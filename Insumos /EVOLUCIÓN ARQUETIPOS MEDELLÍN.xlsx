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zgo\Downloads\"/>
    </mc:Choice>
  </mc:AlternateContent>
  <xr:revisionPtr revIDLastSave="0" documentId="13_ncr:1_{442F0E9B-457C-4734-AA71-3597E470CFC3}" xr6:coauthVersionLast="47" xr6:coauthVersionMax="47" xr10:uidLastSave="{00000000-0000-0000-0000-000000000000}"/>
  <bookViews>
    <workbookView xWindow="-108" yWindow="-108" windowWidth="23256" windowHeight="12456" activeTab="7" xr2:uid="{14076C27-369D-4C4F-8775-0158E360E193}"/>
  </bookViews>
  <sheets>
    <sheet name="2015" sheetId="1" r:id="rId1"/>
    <sheet name="CORRELACION 2015 " sheetId="4" r:id="rId2"/>
    <sheet name="2019" sheetId="2" r:id="rId3"/>
    <sheet name="CORRELACION 2019" sheetId="5" r:id="rId4"/>
    <sheet name="2023" sheetId="3" r:id="rId5"/>
    <sheet name="CORRELACION 2023" sheetId="6" r:id="rId6"/>
    <sheet name="2027" sheetId="7" r:id="rId7"/>
    <sheet name="CORRELACION 2027" sheetId="8" r:id="rId8"/>
  </sheets>
  <externalReferences>
    <externalReference r:id="rId9"/>
    <externalReference r:id="rId10"/>
    <externalReference r:id="rId11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AN153" i="3" l="1"/>
  <c r="AG153" i="3"/>
  <c r="AJ153" i="3" s="1"/>
  <c r="AN152" i="3"/>
  <c r="AG152" i="3"/>
  <c r="AJ152" i="3" s="1"/>
  <c r="AN151" i="3"/>
  <c r="AG151" i="3"/>
  <c r="AJ151" i="3" s="1"/>
  <c r="AN150" i="3"/>
  <c r="AG150" i="3"/>
  <c r="AJ150" i="3" s="1"/>
  <c r="AN149" i="3"/>
  <c r="AG149" i="3"/>
  <c r="AJ149" i="3" s="1"/>
  <c r="AN148" i="3"/>
  <c r="AG148" i="3"/>
  <c r="AJ148" i="3" s="1"/>
  <c r="AN147" i="3"/>
  <c r="AG147" i="3"/>
  <c r="AJ147" i="3" s="1"/>
  <c r="AN146" i="3"/>
  <c r="AG146" i="3"/>
  <c r="AJ146" i="3" s="1"/>
  <c r="AN145" i="3"/>
  <c r="AG145" i="3"/>
  <c r="AJ145" i="3" s="1"/>
  <c r="AN144" i="3"/>
  <c r="AG144" i="3"/>
  <c r="AJ144" i="3" s="1"/>
  <c r="AN143" i="3"/>
  <c r="AG143" i="3"/>
  <c r="AJ143" i="3" s="1"/>
  <c r="AN142" i="3"/>
  <c r="AG142" i="3"/>
  <c r="AJ142" i="3" s="1"/>
  <c r="AN141" i="3"/>
  <c r="AG141" i="3"/>
  <c r="AJ141" i="3" s="1"/>
  <c r="AN140" i="3"/>
  <c r="AG140" i="3"/>
  <c r="AJ140" i="3" s="1"/>
  <c r="AN139" i="3"/>
  <c r="AJ139" i="3"/>
  <c r="AG139" i="3"/>
  <c r="AN138" i="3"/>
  <c r="AG138" i="3"/>
  <c r="AJ138" i="3" s="1"/>
  <c r="AN137" i="3"/>
  <c r="AG137" i="3"/>
  <c r="AJ137" i="3" s="1"/>
  <c r="AN136" i="3"/>
  <c r="AJ136" i="3"/>
  <c r="AG136" i="3"/>
  <c r="AN135" i="3"/>
  <c r="AG135" i="3"/>
  <c r="AJ135" i="3" s="1"/>
  <c r="AN134" i="3"/>
  <c r="AG134" i="3"/>
  <c r="AJ134" i="3" s="1"/>
  <c r="AN133" i="3"/>
  <c r="AG133" i="3"/>
  <c r="AJ133" i="3" s="1"/>
  <c r="AN132" i="3"/>
  <c r="AG132" i="3"/>
  <c r="AJ132" i="3" s="1"/>
  <c r="AN131" i="3"/>
  <c r="AG131" i="3"/>
  <c r="AJ131" i="3" s="1"/>
  <c r="AN130" i="3"/>
  <c r="AG130" i="3"/>
  <c r="AJ130" i="3" s="1"/>
  <c r="AN129" i="3"/>
  <c r="AG129" i="3"/>
  <c r="AJ129" i="3" s="1"/>
  <c r="AN128" i="3"/>
  <c r="AG128" i="3"/>
  <c r="AJ128" i="3" s="1"/>
  <c r="AN127" i="3"/>
  <c r="AG127" i="3"/>
  <c r="AJ127" i="3" s="1"/>
  <c r="AN126" i="3"/>
  <c r="AG126" i="3"/>
  <c r="AJ126" i="3" s="1"/>
  <c r="AN125" i="3"/>
  <c r="AG125" i="3"/>
  <c r="AJ125" i="3" s="1"/>
  <c r="AN124" i="3"/>
  <c r="AG124" i="3"/>
  <c r="AJ124" i="3" s="1"/>
  <c r="AN123" i="3"/>
  <c r="AG123" i="3"/>
  <c r="AJ123" i="3" s="1"/>
  <c r="AN122" i="3"/>
  <c r="AG122" i="3"/>
  <c r="AJ122" i="3" s="1"/>
  <c r="AN121" i="3"/>
  <c r="AG121" i="3"/>
  <c r="AJ121" i="3" s="1"/>
  <c r="AN120" i="3"/>
  <c r="AG120" i="3"/>
  <c r="AJ120" i="3" s="1"/>
  <c r="AN119" i="3"/>
  <c r="AG119" i="3"/>
  <c r="AJ119" i="3" s="1"/>
  <c r="AN118" i="3"/>
  <c r="AG118" i="3"/>
  <c r="AJ118" i="3" s="1"/>
  <c r="AN117" i="3"/>
  <c r="AG117" i="3"/>
  <c r="AJ117" i="3" s="1"/>
  <c r="AN116" i="3"/>
  <c r="AG116" i="3"/>
  <c r="AJ116" i="3" s="1"/>
  <c r="AN115" i="3"/>
  <c r="AG115" i="3"/>
  <c r="AJ115" i="3" s="1"/>
  <c r="AN114" i="3"/>
  <c r="AG114" i="3"/>
  <c r="AJ114" i="3" s="1"/>
  <c r="AN113" i="3"/>
  <c r="AG113" i="3"/>
  <c r="AJ113" i="3" s="1"/>
  <c r="AN112" i="3"/>
  <c r="AG112" i="3"/>
  <c r="AJ112" i="3" s="1"/>
  <c r="AN111" i="3"/>
  <c r="AG111" i="3"/>
  <c r="AJ111" i="3" s="1"/>
  <c r="AN110" i="3"/>
  <c r="AG110" i="3"/>
  <c r="AJ110" i="3" s="1"/>
  <c r="AN109" i="3"/>
  <c r="AG109" i="3"/>
  <c r="AJ109" i="3" s="1"/>
  <c r="AN108" i="3"/>
  <c r="AG108" i="3"/>
  <c r="AJ108" i="3" s="1"/>
  <c r="AN107" i="3"/>
  <c r="AG107" i="3"/>
  <c r="AJ107" i="3" s="1"/>
  <c r="AN106" i="3"/>
  <c r="AG106" i="3"/>
  <c r="AJ106" i="3" s="1"/>
  <c r="AN105" i="3"/>
  <c r="AG105" i="3"/>
  <c r="AJ105" i="3" s="1"/>
  <c r="AN104" i="3"/>
  <c r="AG104" i="3"/>
  <c r="AJ104" i="3" s="1"/>
  <c r="AN103" i="3"/>
  <c r="AG103" i="3"/>
  <c r="AJ103" i="3" s="1"/>
  <c r="AN102" i="3"/>
  <c r="AG102" i="3"/>
  <c r="AJ102" i="3" s="1"/>
  <c r="AN101" i="3"/>
  <c r="AG101" i="3"/>
  <c r="AJ101" i="3" s="1"/>
  <c r="AN100" i="3"/>
  <c r="AG100" i="3"/>
  <c r="AJ100" i="3" s="1"/>
  <c r="AN99" i="3"/>
  <c r="AG99" i="3"/>
  <c r="AJ99" i="3" s="1"/>
  <c r="AN98" i="3"/>
  <c r="AG98" i="3"/>
  <c r="AJ98" i="3" s="1"/>
  <c r="AN97" i="3"/>
  <c r="AG97" i="3"/>
  <c r="AJ97" i="3" s="1"/>
  <c r="AN96" i="3"/>
  <c r="AG96" i="3"/>
  <c r="AJ96" i="3" s="1"/>
  <c r="AN95" i="3"/>
  <c r="AG95" i="3"/>
  <c r="AJ95" i="3" s="1"/>
  <c r="AN94" i="3"/>
  <c r="AG94" i="3"/>
  <c r="AJ94" i="3" s="1"/>
  <c r="AN93" i="3"/>
  <c r="AG93" i="3"/>
  <c r="AJ93" i="3" s="1"/>
  <c r="AN92" i="3"/>
  <c r="AG92" i="3"/>
  <c r="AJ92" i="3" s="1"/>
  <c r="AN91" i="3"/>
  <c r="AG91" i="3"/>
  <c r="AJ91" i="3" s="1"/>
  <c r="AN90" i="3"/>
  <c r="AG90" i="3"/>
  <c r="AJ90" i="3" s="1"/>
  <c r="AN89" i="3"/>
  <c r="AG89" i="3"/>
  <c r="AJ89" i="3" s="1"/>
  <c r="AN88" i="3"/>
  <c r="AG88" i="3"/>
  <c r="AJ88" i="3" s="1"/>
  <c r="AN87" i="3"/>
  <c r="AG87" i="3"/>
  <c r="AJ87" i="3" s="1"/>
  <c r="AN86" i="3"/>
  <c r="AG86" i="3"/>
  <c r="AJ86" i="3" s="1"/>
  <c r="AN85" i="3"/>
  <c r="AG85" i="3"/>
  <c r="AJ85" i="3" s="1"/>
  <c r="AN84" i="3"/>
  <c r="AG84" i="3"/>
  <c r="AJ84" i="3" s="1"/>
  <c r="AN83" i="3"/>
  <c r="AG83" i="3"/>
  <c r="AJ83" i="3" s="1"/>
  <c r="AN82" i="3"/>
  <c r="AG82" i="3"/>
  <c r="AJ82" i="3" s="1"/>
  <c r="AN81" i="3"/>
  <c r="AG81" i="3"/>
  <c r="AJ81" i="3" s="1"/>
  <c r="AN80" i="3"/>
  <c r="AG80" i="3"/>
  <c r="AJ80" i="3" s="1"/>
  <c r="AN79" i="3"/>
  <c r="AG79" i="3"/>
  <c r="AJ79" i="3" s="1"/>
  <c r="AN78" i="3"/>
  <c r="AG78" i="3"/>
  <c r="AJ78" i="3" s="1"/>
  <c r="AN77" i="3"/>
  <c r="AG77" i="3"/>
  <c r="AJ77" i="3" s="1"/>
  <c r="AN76" i="3"/>
  <c r="AG76" i="3"/>
  <c r="AJ76" i="3" s="1"/>
  <c r="AN75" i="3"/>
  <c r="AG75" i="3"/>
  <c r="AJ75" i="3" s="1"/>
  <c r="AN74" i="3"/>
  <c r="AG74" i="3"/>
  <c r="AJ74" i="3" s="1"/>
  <c r="AN73" i="3"/>
  <c r="AG73" i="3"/>
  <c r="AJ73" i="3" s="1"/>
  <c r="AN72" i="3"/>
  <c r="AG72" i="3"/>
  <c r="AJ72" i="3" s="1"/>
  <c r="AN71" i="3"/>
  <c r="AG71" i="3"/>
  <c r="AJ71" i="3" s="1"/>
  <c r="AN70" i="3"/>
  <c r="AG70" i="3"/>
  <c r="AJ70" i="3" s="1"/>
  <c r="AN69" i="3"/>
  <c r="AJ69" i="3"/>
  <c r="AG69" i="3"/>
  <c r="AN68" i="3"/>
  <c r="AG68" i="3"/>
  <c r="AJ68" i="3" s="1"/>
  <c r="AN67" i="3"/>
  <c r="AG67" i="3"/>
  <c r="AJ67" i="3" s="1"/>
  <c r="AN66" i="3"/>
  <c r="AG66" i="3"/>
  <c r="AJ66" i="3" s="1"/>
  <c r="AN65" i="3"/>
  <c r="AG65" i="3"/>
  <c r="AJ65" i="3" s="1"/>
  <c r="AN64" i="3"/>
  <c r="AG64" i="3"/>
  <c r="AJ64" i="3" s="1"/>
  <c r="AN63" i="3"/>
  <c r="AG63" i="3"/>
  <c r="AJ63" i="3" s="1"/>
  <c r="AN62" i="3"/>
  <c r="AG62" i="3"/>
  <c r="AJ62" i="3" s="1"/>
  <c r="AN61" i="3"/>
  <c r="AG61" i="3"/>
  <c r="AJ61" i="3" s="1"/>
  <c r="AN60" i="3"/>
  <c r="AG60" i="3"/>
  <c r="AJ60" i="3" s="1"/>
  <c r="AN59" i="3"/>
  <c r="AG59" i="3"/>
  <c r="AJ59" i="3" s="1"/>
  <c r="AN58" i="3"/>
  <c r="AG58" i="3"/>
  <c r="AJ58" i="3" s="1"/>
  <c r="AN57" i="3"/>
  <c r="AG57" i="3"/>
  <c r="AJ57" i="3" s="1"/>
  <c r="AN56" i="3"/>
  <c r="AG56" i="3"/>
  <c r="AJ56" i="3" s="1"/>
  <c r="AN55" i="3"/>
  <c r="AG55" i="3"/>
  <c r="AJ55" i="3" s="1"/>
  <c r="AN54" i="3"/>
  <c r="AG54" i="3"/>
  <c r="AJ54" i="3" s="1"/>
  <c r="AN53" i="3"/>
  <c r="AG53" i="3"/>
  <c r="AJ53" i="3" s="1"/>
  <c r="AN52" i="3"/>
  <c r="AG52" i="3"/>
  <c r="AJ52" i="3" s="1"/>
  <c r="AN51" i="3"/>
  <c r="AG51" i="3"/>
  <c r="AJ51" i="3" s="1"/>
  <c r="AN50" i="3"/>
  <c r="AG50" i="3"/>
  <c r="AJ50" i="3" s="1"/>
  <c r="AN49" i="3"/>
  <c r="AG49" i="3"/>
  <c r="AJ49" i="3" s="1"/>
  <c r="AN48" i="3"/>
  <c r="AG48" i="3"/>
  <c r="AJ48" i="3" s="1"/>
  <c r="AN47" i="3"/>
  <c r="AG47" i="3"/>
  <c r="AJ47" i="3" s="1"/>
  <c r="AN46" i="3"/>
  <c r="AG46" i="3"/>
  <c r="AJ46" i="3" s="1"/>
  <c r="AN45" i="3"/>
  <c r="AG45" i="3"/>
  <c r="AJ45" i="3" s="1"/>
  <c r="AN44" i="3"/>
  <c r="AG44" i="3"/>
  <c r="AJ44" i="3" s="1"/>
  <c r="AN43" i="3"/>
  <c r="AG43" i="3"/>
  <c r="AJ43" i="3" s="1"/>
  <c r="AN42" i="3"/>
  <c r="AG42" i="3"/>
  <c r="AJ42" i="3" s="1"/>
  <c r="AN41" i="3"/>
  <c r="AG41" i="3"/>
  <c r="AJ41" i="3" s="1"/>
  <c r="AN40" i="3"/>
  <c r="AG40" i="3"/>
  <c r="AJ40" i="3" s="1"/>
  <c r="AN39" i="3"/>
  <c r="AG39" i="3"/>
  <c r="AJ39" i="3" s="1"/>
  <c r="AN38" i="3"/>
  <c r="AG38" i="3"/>
  <c r="AJ38" i="3" s="1"/>
  <c r="AN37" i="3"/>
  <c r="AG37" i="3"/>
  <c r="AJ37" i="3" s="1"/>
  <c r="AN36" i="3"/>
  <c r="AG36" i="3"/>
  <c r="AJ36" i="3" s="1"/>
  <c r="AN35" i="3"/>
  <c r="AG35" i="3"/>
  <c r="AJ35" i="3" s="1"/>
  <c r="AN34" i="3"/>
  <c r="AG34" i="3"/>
  <c r="AJ34" i="3" s="1"/>
  <c r="AN33" i="3"/>
  <c r="AG33" i="3"/>
  <c r="AJ33" i="3" s="1"/>
  <c r="AN32" i="3"/>
  <c r="AG32" i="3"/>
  <c r="AJ32" i="3" s="1"/>
  <c r="AN31" i="3"/>
  <c r="AG31" i="3"/>
  <c r="AJ31" i="3" s="1"/>
  <c r="AN30" i="3"/>
  <c r="AG30" i="3"/>
  <c r="AJ30" i="3" s="1"/>
  <c r="AN29" i="3"/>
  <c r="AG29" i="3"/>
  <c r="AJ29" i="3" s="1"/>
  <c r="AN28" i="3"/>
  <c r="AG28" i="3"/>
  <c r="AJ28" i="3" s="1"/>
  <c r="AN27" i="3"/>
  <c r="AG27" i="3"/>
  <c r="AJ27" i="3" s="1"/>
  <c r="AN26" i="3"/>
  <c r="AG26" i="3"/>
  <c r="AJ26" i="3" s="1"/>
  <c r="AN25" i="3"/>
  <c r="AG25" i="3"/>
  <c r="AJ25" i="3" s="1"/>
  <c r="AN24" i="3"/>
  <c r="AG24" i="3"/>
  <c r="AJ24" i="3" s="1"/>
  <c r="AN23" i="3"/>
  <c r="AG23" i="3"/>
  <c r="AJ23" i="3" s="1"/>
  <c r="AN22" i="3"/>
  <c r="AG22" i="3"/>
  <c r="AJ22" i="3" s="1"/>
  <c r="AN21" i="3"/>
  <c r="AG21" i="3"/>
  <c r="AJ21" i="3" s="1"/>
  <c r="AN20" i="3"/>
  <c r="AG20" i="3"/>
  <c r="AJ20" i="3" s="1"/>
  <c r="AN19" i="3"/>
  <c r="AG19" i="3"/>
  <c r="AJ19" i="3" s="1"/>
  <c r="AN18" i="3"/>
  <c r="AG18" i="3"/>
  <c r="AJ18" i="3" s="1"/>
  <c r="AN17" i="3"/>
  <c r="AG17" i="3"/>
  <c r="AJ17" i="3" s="1"/>
  <c r="AN16" i="3"/>
  <c r="AG16" i="3"/>
  <c r="AJ16" i="3" s="1"/>
  <c r="AN15" i="3"/>
  <c r="AG15" i="3"/>
  <c r="AJ15" i="3" s="1"/>
  <c r="AN14" i="3"/>
  <c r="AG14" i="3"/>
  <c r="AJ14" i="3" s="1"/>
  <c r="AN13" i="3"/>
  <c r="AG13" i="3"/>
  <c r="AJ13" i="3" s="1"/>
  <c r="AN12" i="3"/>
  <c r="AG12" i="3"/>
  <c r="AJ12" i="3" s="1"/>
  <c r="AN11" i="3"/>
  <c r="AG11" i="3"/>
  <c r="AJ11" i="3" s="1"/>
  <c r="AN10" i="3"/>
  <c r="AG10" i="3"/>
  <c r="AJ10" i="3" s="1"/>
  <c r="AN9" i="3"/>
  <c r="AG9" i="3"/>
  <c r="AJ9" i="3" s="1"/>
  <c r="AN8" i="3"/>
  <c r="AG8" i="3"/>
  <c r="AJ8" i="3" s="1"/>
  <c r="AN7" i="3"/>
  <c r="AG7" i="3"/>
  <c r="AJ7" i="3" s="1"/>
  <c r="AN6" i="3"/>
  <c r="AG6" i="3"/>
  <c r="AJ6" i="3" s="1"/>
  <c r="AN5" i="3"/>
  <c r="AG5" i="3"/>
  <c r="AJ5" i="3" s="1"/>
  <c r="AN4" i="3"/>
  <c r="AG4" i="3"/>
  <c r="AJ4" i="3" s="1"/>
  <c r="AN3" i="3"/>
  <c r="AG3" i="3"/>
  <c r="AJ3" i="3" s="1"/>
  <c r="AN2" i="3"/>
  <c r="AG2" i="3"/>
  <c r="AJ2" i="3" s="1"/>
  <c r="AN144" i="2"/>
  <c r="AG144" i="2"/>
  <c r="AJ144" i="2" s="1"/>
  <c r="AN143" i="2"/>
  <c r="AG143" i="2"/>
  <c r="AJ143" i="2" s="1"/>
  <c r="AN142" i="2"/>
  <c r="AG142" i="2"/>
  <c r="AJ142" i="2" s="1"/>
  <c r="AN141" i="2"/>
  <c r="AG141" i="2"/>
  <c r="AJ141" i="2" s="1"/>
  <c r="AN140" i="2"/>
  <c r="AG140" i="2"/>
  <c r="AJ140" i="2" s="1"/>
  <c r="AN139" i="2"/>
  <c r="AG139" i="2"/>
  <c r="AJ139" i="2" s="1"/>
  <c r="AN138" i="2"/>
  <c r="AG138" i="2"/>
  <c r="AJ138" i="2" s="1"/>
  <c r="AN137" i="2"/>
  <c r="AG137" i="2"/>
  <c r="AJ137" i="2" s="1"/>
  <c r="AN136" i="2"/>
  <c r="AG136" i="2"/>
  <c r="AJ136" i="2" s="1"/>
  <c r="AN135" i="2"/>
  <c r="AG135" i="2"/>
  <c r="AJ135" i="2" s="1"/>
  <c r="AN134" i="2"/>
  <c r="AG134" i="2"/>
  <c r="AJ134" i="2" s="1"/>
  <c r="AN133" i="2"/>
  <c r="AG133" i="2"/>
  <c r="AJ133" i="2" s="1"/>
  <c r="AN132" i="2"/>
  <c r="AG132" i="2"/>
  <c r="AJ132" i="2" s="1"/>
  <c r="AN131" i="2"/>
  <c r="AG131" i="2"/>
  <c r="AJ131" i="2" s="1"/>
  <c r="AN130" i="2"/>
  <c r="AG130" i="2"/>
  <c r="AJ130" i="2" s="1"/>
  <c r="AN129" i="2"/>
  <c r="AG129" i="2"/>
  <c r="AJ129" i="2" s="1"/>
  <c r="AN128" i="2"/>
  <c r="AG128" i="2"/>
  <c r="AJ128" i="2" s="1"/>
  <c r="AN127" i="2"/>
  <c r="AG127" i="2"/>
  <c r="AJ127" i="2" s="1"/>
  <c r="AN126" i="2"/>
  <c r="AG126" i="2"/>
  <c r="AJ126" i="2" s="1"/>
  <c r="AN125" i="2"/>
  <c r="AG125" i="2"/>
  <c r="AJ125" i="2" s="1"/>
  <c r="AN124" i="2"/>
  <c r="AG124" i="2"/>
  <c r="AJ124" i="2" s="1"/>
  <c r="AN123" i="2"/>
  <c r="AG123" i="2"/>
  <c r="AJ123" i="2" s="1"/>
  <c r="AN122" i="2"/>
  <c r="AG122" i="2"/>
  <c r="AJ122" i="2" s="1"/>
  <c r="AN121" i="2"/>
  <c r="AG121" i="2"/>
  <c r="AJ121" i="2" s="1"/>
  <c r="AN120" i="2"/>
  <c r="AG120" i="2"/>
  <c r="AJ120" i="2" s="1"/>
  <c r="AN119" i="2"/>
  <c r="AG119" i="2"/>
  <c r="AJ119" i="2" s="1"/>
  <c r="AN118" i="2"/>
  <c r="AG118" i="2"/>
  <c r="AJ118" i="2" s="1"/>
  <c r="AN117" i="2"/>
  <c r="AG117" i="2"/>
  <c r="AJ117" i="2" s="1"/>
  <c r="AN116" i="2"/>
  <c r="AG116" i="2"/>
  <c r="AJ116" i="2" s="1"/>
  <c r="AN115" i="2"/>
  <c r="AG115" i="2"/>
  <c r="AJ115" i="2" s="1"/>
  <c r="AN114" i="2"/>
  <c r="AG114" i="2"/>
  <c r="AJ114" i="2" s="1"/>
  <c r="AN113" i="2"/>
  <c r="AG113" i="2"/>
  <c r="AJ113" i="2" s="1"/>
  <c r="AN112" i="2"/>
  <c r="AG112" i="2"/>
  <c r="AJ112" i="2" s="1"/>
  <c r="AN111" i="2"/>
  <c r="AG111" i="2"/>
  <c r="AJ111" i="2" s="1"/>
  <c r="AN110" i="2"/>
  <c r="AG110" i="2"/>
  <c r="AJ110" i="2" s="1"/>
  <c r="AN109" i="2"/>
  <c r="AG109" i="2"/>
  <c r="AJ109" i="2" s="1"/>
  <c r="AN108" i="2"/>
  <c r="AG108" i="2"/>
  <c r="AJ108" i="2" s="1"/>
  <c r="AN107" i="2"/>
  <c r="AG107" i="2"/>
  <c r="AJ107" i="2" s="1"/>
  <c r="AN106" i="2"/>
  <c r="AG106" i="2"/>
  <c r="AJ106" i="2" s="1"/>
  <c r="AN105" i="2"/>
  <c r="AG105" i="2"/>
  <c r="AJ105" i="2" s="1"/>
  <c r="AN104" i="2"/>
  <c r="AG104" i="2"/>
  <c r="AJ104" i="2" s="1"/>
  <c r="AN103" i="2"/>
  <c r="AG103" i="2"/>
  <c r="AJ103" i="2" s="1"/>
  <c r="AN102" i="2"/>
  <c r="AG102" i="2"/>
  <c r="AJ102" i="2" s="1"/>
  <c r="AN101" i="2"/>
  <c r="AG101" i="2"/>
  <c r="AJ101" i="2" s="1"/>
  <c r="AN100" i="2"/>
  <c r="AG100" i="2"/>
  <c r="AJ100" i="2" s="1"/>
  <c r="AN99" i="2"/>
  <c r="AG99" i="2"/>
  <c r="AJ99" i="2" s="1"/>
  <c r="AN98" i="2"/>
  <c r="AG98" i="2"/>
  <c r="AJ98" i="2" s="1"/>
  <c r="AN97" i="2"/>
  <c r="AG97" i="2"/>
  <c r="AJ97" i="2" s="1"/>
  <c r="AN96" i="2"/>
  <c r="AG96" i="2"/>
  <c r="AJ96" i="2" s="1"/>
  <c r="AN95" i="2"/>
  <c r="AG95" i="2"/>
  <c r="AJ95" i="2" s="1"/>
  <c r="AN94" i="2"/>
  <c r="AG94" i="2"/>
  <c r="AJ94" i="2" s="1"/>
  <c r="AN93" i="2"/>
  <c r="AG93" i="2"/>
  <c r="AJ93" i="2" s="1"/>
  <c r="AN92" i="2"/>
  <c r="AG92" i="2"/>
  <c r="AJ92" i="2" s="1"/>
  <c r="AN91" i="2"/>
  <c r="AG91" i="2"/>
  <c r="AJ91" i="2" s="1"/>
  <c r="AN90" i="2"/>
  <c r="AG90" i="2"/>
  <c r="AJ90" i="2" s="1"/>
  <c r="AN89" i="2"/>
  <c r="AG89" i="2"/>
  <c r="AJ89" i="2" s="1"/>
  <c r="AN88" i="2"/>
  <c r="AG88" i="2"/>
  <c r="AJ88" i="2" s="1"/>
  <c r="AN87" i="2"/>
  <c r="AG87" i="2"/>
  <c r="AJ87" i="2" s="1"/>
  <c r="AN86" i="2"/>
  <c r="AG86" i="2"/>
  <c r="AJ86" i="2" s="1"/>
  <c r="AN85" i="2"/>
  <c r="AG85" i="2"/>
  <c r="AJ85" i="2" s="1"/>
  <c r="AN84" i="2"/>
  <c r="AG84" i="2"/>
  <c r="AJ84" i="2" s="1"/>
  <c r="AN83" i="2"/>
  <c r="AG83" i="2"/>
  <c r="AJ83" i="2" s="1"/>
  <c r="AN82" i="2"/>
  <c r="AG82" i="2"/>
  <c r="AJ82" i="2" s="1"/>
  <c r="AN81" i="2"/>
  <c r="AG81" i="2"/>
  <c r="AJ81" i="2" s="1"/>
  <c r="AN80" i="2"/>
  <c r="AG80" i="2"/>
  <c r="AJ80" i="2" s="1"/>
  <c r="AN79" i="2"/>
  <c r="AG79" i="2"/>
  <c r="AJ79" i="2" s="1"/>
  <c r="AN78" i="2"/>
  <c r="AG78" i="2"/>
  <c r="AJ78" i="2" s="1"/>
  <c r="AN77" i="2"/>
  <c r="AG77" i="2"/>
  <c r="AJ77" i="2" s="1"/>
  <c r="AN76" i="2"/>
  <c r="AG76" i="2"/>
  <c r="AJ76" i="2" s="1"/>
  <c r="AN75" i="2"/>
  <c r="AG75" i="2"/>
  <c r="AJ75" i="2" s="1"/>
  <c r="AN74" i="2"/>
  <c r="AG74" i="2"/>
  <c r="AJ74" i="2" s="1"/>
  <c r="AN73" i="2"/>
  <c r="AG73" i="2"/>
  <c r="AJ73" i="2" s="1"/>
  <c r="AN72" i="2"/>
  <c r="AG72" i="2"/>
  <c r="AJ72" i="2" s="1"/>
  <c r="AN71" i="2"/>
  <c r="AG71" i="2"/>
  <c r="AJ71" i="2" s="1"/>
  <c r="AN70" i="2"/>
  <c r="AG70" i="2"/>
  <c r="AJ70" i="2" s="1"/>
  <c r="AN69" i="2"/>
  <c r="AG69" i="2"/>
  <c r="AJ69" i="2" s="1"/>
  <c r="AN68" i="2"/>
  <c r="AG68" i="2"/>
  <c r="AJ68" i="2" s="1"/>
  <c r="AN67" i="2"/>
  <c r="AG67" i="2"/>
  <c r="AJ67" i="2" s="1"/>
  <c r="AN66" i="2"/>
  <c r="AG66" i="2"/>
  <c r="AJ66" i="2" s="1"/>
  <c r="AN65" i="2"/>
  <c r="AG65" i="2"/>
  <c r="AJ65" i="2" s="1"/>
  <c r="AN64" i="2"/>
  <c r="AG64" i="2"/>
  <c r="AJ64" i="2" s="1"/>
  <c r="AN63" i="2"/>
  <c r="AG63" i="2"/>
  <c r="AJ63" i="2" s="1"/>
  <c r="AN62" i="2"/>
  <c r="AG62" i="2"/>
  <c r="AJ62" i="2" s="1"/>
  <c r="AN61" i="2"/>
  <c r="AG61" i="2"/>
  <c r="AJ61" i="2" s="1"/>
  <c r="AN60" i="2"/>
  <c r="AG60" i="2"/>
  <c r="AJ60" i="2" s="1"/>
  <c r="AN59" i="2"/>
  <c r="AG59" i="2"/>
  <c r="AJ59" i="2" s="1"/>
  <c r="AN58" i="2"/>
  <c r="AG58" i="2"/>
  <c r="AJ58" i="2" s="1"/>
  <c r="AN57" i="2"/>
  <c r="AG57" i="2"/>
  <c r="AJ57" i="2" s="1"/>
  <c r="AN56" i="2"/>
  <c r="AG56" i="2"/>
  <c r="AJ56" i="2" s="1"/>
  <c r="AN55" i="2"/>
  <c r="AG55" i="2"/>
  <c r="AJ55" i="2" s="1"/>
  <c r="AN54" i="2"/>
  <c r="AG54" i="2"/>
  <c r="AJ54" i="2" s="1"/>
  <c r="AN53" i="2"/>
  <c r="AG53" i="2"/>
  <c r="AJ53" i="2" s="1"/>
  <c r="AN52" i="2"/>
  <c r="AG52" i="2"/>
  <c r="AJ52" i="2" s="1"/>
  <c r="AN51" i="2"/>
  <c r="AG51" i="2"/>
  <c r="AJ51" i="2" s="1"/>
  <c r="AN50" i="2"/>
  <c r="AG50" i="2"/>
  <c r="AJ50" i="2" s="1"/>
  <c r="AN49" i="2"/>
  <c r="AG49" i="2"/>
  <c r="AJ49" i="2" s="1"/>
  <c r="AN48" i="2"/>
  <c r="AG48" i="2"/>
  <c r="AJ48" i="2" s="1"/>
  <c r="AN47" i="2"/>
  <c r="AG47" i="2"/>
  <c r="AJ47" i="2" s="1"/>
  <c r="AN46" i="2"/>
  <c r="AG46" i="2"/>
  <c r="AJ46" i="2" s="1"/>
  <c r="AN45" i="2"/>
  <c r="AG45" i="2"/>
  <c r="AJ45" i="2" s="1"/>
  <c r="AN44" i="2"/>
  <c r="AG44" i="2"/>
  <c r="AJ44" i="2" s="1"/>
  <c r="AN43" i="2"/>
  <c r="AG43" i="2"/>
  <c r="AJ43" i="2" s="1"/>
  <c r="AN42" i="2"/>
  <c r="AG42" i="2"/>
  <c r="AJ42" i="2" s="1"/>
  <c r="AN41" i="2"/>
  <c r="AG41" i="2"/>
  <c r="AJ41" i="2" s="1"/>
  <c r="AN40" i="2"/>
  <c r="AG40" i="2"/>
  <c r="AJ40" i="2" s="1"/>
  <c r="AN39" i="2"/>
  <c r="AG39" i="2"/>
  <c r="AJ39" i="2" s="1"/>
  <c r="AN38" i="2"/>
  <c r="AG38" i="2"/>
  <c r="AJ38" i="2" s="1"/>
  <c r="AN37" i="2"/>
  <c r="AG37" i="2"/>
  <c r="AJ37" i="2" s="1"/>
  <c r="AN36" i="2"/>
  <c r="AG36" i="2"/>
  <c r="AJ36" i="2" s="1"/>
  <c r="AN35" i="2"/>
  <c r="AG35" i="2"/>
  <c r="AJ35" i="2" s="1"/>
  <c r="AN34" i="2"/>
  <c r="AG34" i="2"/>
  <c r="AJ34" i="2" s="1"/>
  <c r="AN33" i="2"/>
  <c r="AG33" i="2"/>
  <c r="AJ33" i="2" s="1"/>
  <c r="AN32" i="2"/>
  <c r="AG32" i="2"/>
  <c r="AJ32" i="2" s="1"/>
  <c r="AN31" i="2"/>
  <c r="AG31" i="2"/>
  <c r="AJ31" i="2" s="1"/>
  <c r="AN30" i="2"/>
  <c r="AG30" i="2"/>
  <c r="AJ30" i="2" s="1"/>
  <c r="AN29" i="2"/>
  <c r="AG29" i="2"/>
  <c r="AJ29" i="2" s="1"/>
  <c r="AN28" i="2"/>
  <c r="AG28" i="2"/>
  <c r="AJ28" i="2" s="1"/>
  <c r="AN27" i="2"/>
  <c r="AG27" i="2"/>
  <c r="AJ27" i="2" s="1"/>
  <c r="AN26" i="2"/>
  <c r="AG26" i="2"/>
  <c r="AJ26" i="2" s="1"/>
  <c r="AN25" i="2"/>
  <c r="AG25" i="2"/>
  <c r="AJ25" i="2" s="1"/>
  <c r="AN24" i="2"/>
  <c r="AG24" i="2"/>
  <c r="AJ24" i="2" s="1"/>
  <c r="AN23" i="2"/>
  <c r="AG23" i="2"/>
  <c r="AJ23" i="2" s="1"/>
  <c r="AN22" i="2"/>
  <c r="AG22" i="2"/>
  <c r="AJ22" i="2" s="1"/>
  <c r="AN21" i="2"/>
  <c r="AG21" i="2"/>
  <c r="AJ21" i="2" s="1"/>
  <c r="AN20" i="2"/>
  <c r="AG20" i="2"/>
  <c r="AJ20" i="2" s="1"/>
  <c r="AN19" i="2"/>
  <c r="AG19" i="2"/>
  <c r="AJ19" i="2" s="1"/>
  <c r="AN18" i="2"/>
  <c r="AG18" i="2"/>
  <c r="AJ18" i="2" s="1"/>
  <c r="AN17" i="2"/>
  <c r="AG17" i="2"/>
  <c r="AJ17" i="2" s="1"/>
  <c r="AN16" i="2"/>
  <c r="AG16" i="2"/>
  <c r="AJ16" i="2" s="1"/>
  <c r="AN15" i="2"/>
  <c r="AG15" i="2"/>
  <c r="AJ15" i="2" s="1"/>
  <c r="AN14" i="2"/>
  <c r="AG14" i="2"/>
  <c r="AJ14" i="2" s="1"/>
  <c r="AN13" i="2"/>
  <c r="AG13" i="2"/>
  <c r="AJ13" i="2" s="1"/>
  <c r="AN12" i="2"/>
  <c r="AG12" i="2"/>
  <c r="AJ12" i="2" s="1"/>
  <c r="AN11" i="2"/>
  <c r="AG11" i="2"/>
  <c r="AJ11" i="2" s="1"/>
  <c r="AN10" i="2"/>
  <c r="AG10" i="2"/>
  <c r="AJ10" i="2" s="1"/>
  <c r="AN9" i="2"/>
  <c r="AG9" i="2"/>
  <c r="AJ9" i="2" s="1"/>
  <c r="AN8" i="2"/>
  <c r="AG8" i="2"/>
  <c r="AJ8" i="2" s="1"/>
  <c r="AN7" i="2"/>
  <c r="AG7" i="2"/>
  <c r="AJ7" i="2" s="1"/>
  <c r="AN6" i="2"/>
  <c r="AG6" i="2"/>
  <c r="AJ6" i="2" s="1"/>
  <c r="AN5" i="2"/>
  <c r="AG5" i="2"/>
  <c r="AJ5" i="2" s="1"/>
  <c r="AN4" i="2"/>
  <c r="AG4" i="2"/>
  <c r="AJ4" i="2" s="1"/>
  <c r="AN3" i="2"/>
  <c r="AG3" i="2"/>
  <c r="AJ3" i="2" s="1"/>
  <c r="AN2" i="2"/>
  <c r="AG2" i="2"/>
  <c r="AJ2" i="2" s="1"/>
  <c r="AQ128" i="1"/>
  <c r="AP128" i="1"/>
  <c r="AO128" i="1"/>
  <c r="AN128" i="1"/>
  <c r="AM128" i="1"/>
  <c r="AQ127" i="1"/>
  <c r="AP127" i="1"/>
  <c r="AO127" i="1"/>
  <c r="AN127" i="1"/>
  <c r="AM127" i="1"/>
  <c r="AR127" i="1" s="1"/>
  <c r="AS127" i="1" s="1"/>
  <c r="AQ126" i="1"/>
  <c r="AP126" i="1"/>
  <c r="AO126" i="1"/>
  <c r="AN126" i="1"/>
  <c r="AM126" i="1"/>
  <c r="AR126" i="1" s="1"/>
  <c r="AS126" i="1" s="1"/>
  <c r="AQ125" i="1"/>
  <c r="AP125" i="1"/>
  <c r="AO125" i="1"/>
  <c r="AN125" i="1"/>
  <c r="AM125" i="1"/>
  <c r="AQ124" i="1"/>
  <c r="AP124" i="1"/>
  <c r="AO124" i="1"/>
  <c r="AN124" i="1"/>
  <c r="AM124" i="1"/>
  <c r="AQ123" i="1"/>
  <c r="AP123" i="1"/>
  <c r="AO123" i="1"/>
  <c r="AN123" i="1"/>
  <c r="AM123" i="1"/>
  <c r="AQ122" i="1"/>
  <c r="AP122" i="1"/>
  <c r="AO122" i="1"/>
  <c r="AN122" i="1"/>
  <c r="AM122" i="1"/>
  <c r="AQ121" i="1"/>
  <c r="AP121" i="1"/>
  <c r="AO121" i="1"/>
  <c r="AN121" i="1"/>
  <c r="AM121" i="1"/>
  <c r="AQ120" i="1"/>
  <c r="AP120" i="1"/>
  <c r="AO120" i="1"/>
  <c r="AN120" i="1"/>
  <c r="AM120" i="1"/>
  <c r="AQ119" i="1"/>
  <c r="AP119" i="1"/>
  <c r="AO119" i="1"/>
  <c r="AN119" i="1"/>
  <c r="AM119" i="1"/>
  <c r="AQ118" i="1"/>
  <c r="AP118" i="1"/>
  <c r="AO118" i="1"/>
  <c r="AN118" i="1"/>
  <c r="AM118" i="1"/>
  <c r="AR118" i="1" s="1"/>
  <c r="AS118" i="1" s="1"/>
  <c r="AQ117" i="1"/>
  <c r="AP117" i="1"/>
  <c r="AT117" i="1" s="1"/>
  <c r="AO117" i="1"/>
  <c r="AN117" i="1"/>
  <c r="AM117" i="1"/>
  <c r="AR117" i="1" s="1"/>
  <c r="AS117" i="1" s="1"/>
  <c r="AQ116" i="1"/>
  <c r="AP116" i="1"/>
  <c r="AO116" i="1"/>
  <c r="AN116" i="1"/>
  <c r="AM116" i="1"/>
  <c r="AR116" i="1" s="1"/>
  <c r="AS116" i="1" s="1"/>
  <c r="AQ115" i="1"/>
  <c r="AP115" i="1"/>
  <c r="AO115" i="1"/>
  <c r="AN115" i="1"/>
  <c r="AM115" i="1"/>
  <c r="AQ114" i="1"/>
  <c r="AP114" i="1"/>
  <c r="AO114" i="1"/>
  <c r="AN114" i="1"/>
  <c r="AM114" i="1"/>
  <c r="AQ113" i="1"/>
  <c r="AP113" i="1"/>
  <c r="AO113" i="1"/>
  <c r="AN113" i="1"/>
  <c r="AM113" i="1"/>
  <c r="AQ112" i="1"/>
  <c r="AP112" i="1"/>
  <c r="AO112" i="1"/>
  <c r="AN112" i="1"/>
  <c r="AM112" i="1"/>
  <c r="AQ111" i="1"/>
  <c r="AP111" i="1"/>
  <c r="AO111" i="1"/>
  <c r="AN111" i="1"/>
  <c r="AM111" i="1"/>
  <c r="AR111" i="1" s="1"/>
  <c r="AS111" i="1" s="1"/>
  <c r="AQ110" i="1"/>
  <c r="AP110" i="1"/>
  <c r="AO110" i="1"/>
  <c r="AN110" i="1"/>
  <c r="AM110" i="1"/>
  <c r="AR110" i="1" s="1"/>
  <c r="AS110" i="1" s="1"/>
  <c r="AQ109" i="1"/>
  <c r="AP109" i="1"/>
  <c r="AO109" i="1"/>
  <c r="AN109" i="1"/>
  <c r="AM109" i="1"/>
  <c r="AQ108" i="1"/>
  <c r="AP108" i="1"/>
  <c r="AO108" i="1"/>
  <c r="AN108" i="1"/>
  <c r="AM108" i="1"/>
  <c r="AQ107" i="1"/>
  <c r="AP107" i="1"/>
  <c r="AO107" i="1"/>
  <c r="AN107" i="1"/>
  <c r="AM107" i="1"/>
  <c r="AR107" i="1" s="1"/>
  <c r="AS107" i="1" s="1"/>
  <c r="AQ106" i="1"/>
  <c r="AP106" i="1"/>
  <c r="AO106" i="1"/>
  <c r="AN106" i="1"/>
  <c r="AM106" i="1"/>
  <c r="AQ105" i="1"/>
  <c r="AP105" i="1"/>
  <c r="AO105" i="1"/>
  <c r="AN105" i="1"/>
  <c r="AM105" i="1"/>
  <c r="AQ104" i="1"/>
  <c r="AP104" i="1"/>
  <c r="AO104" i="1"/>
  <c r="AN104" i="1"/>
  <c r="AM104" i="1"/>
  <c r="AQ103" i="1"/>
  <c r="AP103" i="1"/>
  <c r="AO103" i="1"/>
  <c r="AN103" i="1"/>
  <c r="AM103" i="1"/>
  <c r="AQ102" i="1"/>
  <c r="AP102" i="1"/>
  <c r="AO102" i="1"/>
  <c r="AN102" i="1"/>
  <c r="AM102" i="1"/>
  <c r="AQ101" i="1"/>
  <c r="AP101" i="1"/>
  <c r="AO101" i="1"/>
  <c r="AN101" i="1"/>
  <c r="AM101" i="1"/>
  <c r="AQ100" i="1"/>
  <c r="AP100" i="1"/>
  <c r="AO100" i="1"/>
  <c r="AN100" i="1"/>
  <c r="AM100" i="1"/>
  <c r="AQ99" i="1"/>
  <c r="AP99" i="1"/>
  <c r="AO99" i="1"/>
  <c r="AN99" i="1"/>
  <c r="AM99" i="1"/>
  <c r="AQ98" i="1"/>
  <c r="AP98" i="1"/>
  <c r="AO98" i="1"/>
  <c r="AN98" i="1"/>
  <c r="AM98" i="1"/>
  <c r="AQ97" i="1"/>
  <c r="AP97" i="1"/>
  <c r="AO97" i="1"/>
  <c r="AN97" i="1"/>
  <c r="AM97" i="1"/>
  <c r="AQ96" i="1"/>
  <c r="AP96" i="1"/>
  <c r="AO96" i="1"/>
  <c r="AN96" i="1"/>
  <c r="AM96" i="1"/>
  <c r="AQ95" i="1"/>
  <c r="AP95" i="1"/>
  <c r="AO95" i="1"/>
  <c r="AN95" i="1"/>
  <c r="AM95" i="1"/>
  <c r="AQ94" i="1"/>
  <c r="AP94" i="1"/>
  <c r="AO94" i="1"/>
  <c r="AN94" i="1"/>
  <c r="AM94" i="1"/>
  <c r="AQ93" i="1"/>
  <c r="AP93" i="1"/>
  <c r="AO93" i="1"/>
  <c r="AN93" i="1"/>
  <c r="AM93" i="1"/>
  <c r="AQ92" i="1"/>
  <c r="AP92" i="1"/>
  <c r="AO92" i="1"/>
  <c r="AN92" i="1"/>
  <c r="AM92" i="1"/>
  <c r="AQ91" i="1"/>
  <c r="AP91" i="1"/>
  <c r="AO91" i="1"/>
  <c r="AN91" i="1"/>
  <c r="AM91" i="1"/>
  <c r="AR91" i="1" s="1"/>
  <c r="AS91" i="1" s="1"/>
  <c r="AQ90" i="1"/>
  <c r="AP90" i="1"/>
  <c r="AO90" i="1"/>
  <c r="AN90" i="1"/>
  <c r="AM90" i="1"/>
  <c r="AR90" i="1" s="1"/>
  <c r="AS90" i="1" s="1"/>
  <c r="AQ89" i="1"/>
  <c r="AP89" i="1"/>
  <c r="AO89" i="1"/>
  <c r="AN89" i="1"/>
  <c r="AM89" i="1"/>
  <c r="AR89" i="1" s="1"/>
  <c r="AS89" i="1" s="1"/>
  <c r="AQ88" i="1"/>
  <c r="AP88" i="1"/>
  <c r="AO88" i="1"/>
  <c r="AN88" i="1"/>
  <c r="AM88" i="1"/>
  <c r="AR88" i="1" s="1"/>
  <c r="AS88" i="1" s="1"/>
  <c r="AQ87" i="1"/>
  <c r="AP87" i="1"/>
  <c r="AO87" i="1"/>
  <c r="AN87" i="1"/>
  <c r="AM87" i="1"/>
  <c r="AR87" i="1" s="1"/>
  <c r="AS87" i="1" s="1"/>
  <c r="AQ86" i="1"/>
  <c r="AP86" i="1"/>
  <c r="AO86" i="1"/>
  <c r="AN86" i="1"/>
  <c r="AM86" i="1"/>
  <c r="AR86" i="1" s="1"/>
  <c r="AS86" i="1" s="1"/>
  <c r="AQ85" i="1"/>
  <c r="AP85" i="1"/>
  <c r="AO85" i="1"/>
  <c r="AN85" i="1"/>
  <c r="AM85" i="1"/>
  <c r="AR85" i="1" s="1"/>
  <c r="AS85" i="1" s="1"/>
  <c r="AQ84" i="1"/>
  <c r="AP84" i="1"/>
  <c r="AO84" i="1"/>
  <c r="AN84" i="1"/>
  <c r="AM84" i="1"/>
  <c r="AR84" i="1" s="1"/>
  <c r="AS84" i="1" s="1"/>
  <c r="AQ83" i="1"/>
  <c r="AP83" i="1"/>
  <c r="AO83" i="1"/>
  <c r="AN83" i="1"/>
  <c r="AM83" i="1"/>
  <c r="AQ82" i="1"/>
  <c r="AP82" i="1"/>
  <c r="AT82" i="1" s="1"/>
  <c r="AO82" i="1"/>
  <c r="AN82" i="1"/>
  <c r="AM82" i="1"/>
  <c r="AQ81" i="1"/>
  <c r="AP81" i="1"/>
  <c r="AO81" i="1"/>
  <c r="AN81" i="1"/>
  <c r="AM81" i="1"/>
  <c r="AQ80" i="1"/>
  <c r="AP80" i="1"/>
  <c r="AO80" i="1"/>
  <c r="AN80" i="1"/>
  <c r="AM80" i="1"/>
  <c r="AQ79" i="1"/>
  <c r="AP79" i="1"/>
  <c r="AO79" i="1"/>
  <c r="AN79" i="1"/>
  <c r="AM79" i="1"/>
  <c r="AR79" i="1" s="1"/>
  <c r="AS79" i="1" s="1"/>
  <c r="AQ78" i="1"/>
  <c r="AP78" i="1"/>
  <c r="AO78" i="1"/>
  <c r="AN78" i="1"/>
  <c r="AM78" i="1"/>
  <c r="AR78" i="1" s="1"/>
  <c r="AS78" i="1" s="1"/>
  <c r="AQ77" i="1"/>
  <c r="AP77" i="1"/>
  <c r="AO77" i="1"/>
  <c r="AN77" i="1"/>
  <c r="AM77" i="1"/>
  <c r="AR77" i="1" s="1"/>
  <c r="AS77" i="1" s="1"/>
  <c r="AQ76" i="1"/>
  <c r="AP76" i="1"/>
  <c r="AO76" i="1"/>
  <c r="AN76" i="1"/>
  <c r="AM76" i="1"/>
  <c r="AR76" i="1" s="1"/>
  <c r="AS76" i="1" s="1"/>
  <c r="AQ75" i="1"/>
  <c r="AP75" i="1"/>
  <c r="AO75" i="1"/>
  <c r="AN75" i="1"/>
  <c r="AM75" i="1"/>
  <c r="AR75" i="1" s="1"/>
  <c r="AS75" i="1" s="1"/>
  <c r="AQ74" i="1"/>
  <c r="AP74" i="1"/>
  <c r="AO74" i="1"/>
  <c r="AN74" i="1"/>
  <c r="AM74" i="1"/>
  <c r="AR74" i="1" s="1"/>
  <c r="AS74" i="1" s="1"/>
  <c r="AQ73" i="1"/>
  <c r="AP73" i="1"/>
  <c r="AO73" i="1"/>
  <c r="AN73" i="1"/>
  <c r="AM73" i="1"/>
  <c r="AR73" i="1" s="1"/>
  <c r="AS73" i="1" s="1"/>
  <c r="AQ72" i="1"/>
  <c r="AP72" i="1"/>
  <c r="AO72" i="1"/>
  <c r="AN72" i="1"/>
  <c r="AM72" i="1"/>
  <c r="AQ71" i="1"/>
  <c r="AP71" i="1"/>
  <c r="AO71" i="1"/>
  <c r="AN71" i="1"/>
  <c r="AM71" i="1"/>
  <c r="AQ70" i="1"/>
  <c r="AP70" i="1"/>
  <c r="AO70" i="1"/>
  <c r="AN70" i="1"/>
  <c r="AM70" i="1"/>
  <c r="AQ69" i="1"/>
  <c r="AP69" i="1"/>
  <c r="AO69" i="1"/>
  <c r="AN69" i="1"/>
  <c r="AM69" i="1"/>
  <c r="AQ68" i="1"/>
  <c r="AP68" i="1"/>
  <c r="AO68" i="1"/>
  <c r="AN68" i="1"/>
  <c r="AM68" i="1"/>
  <c r="AQ67" i="1"/>
  <c r="AP67" i="1"/>
  <c r="AO67" i="1"/>
  <c r="AN67" i="1"/>
  <c r="AM67" i="1"/>
  <c r="AQ66" i="1"/>
  <c r="AP66" i="1"/>
  <c r="AO66" i="1"/>
  <c r="AN66" i="1"/>
  <c r="AM66" i="1"/>
  <c r="AQ65" i="1"/>
  <c r="AP65" i="1"/>
  <c r="AO65" i="1"/>
  <c r="AN65" i="1"/>
  <c r="AM65" i="1"/>
  <c r="AR65" i="1" s="1"/>
  <c r="AS65" i="1" s="1"/>
  <c r="AQ64" i="1"/>
  <c r="AP64" i="1"/>
  <c r="AO64" i="1"/>
  <c r="AN64" i="1"/>
  <c r="AM64" i="1"/>
  <c r="AQ63" i="1"/>
  <c r="AP63" i="1"/>
  <c r="AO63" i="1"/>
  <c r="AN63" i="1"/>
  <c r="AM63" i="1"/>
  <c r="AQ62" i="1"/>
  <c r="AP62" i="1"/>
  <c r="AO62" i="1"/>
  <c r="AN62" i="1"/>
  <c r="AM62" i="1"/>
  <c r="AR62" i="1" s="1"/>
  <c r="AS62" i="1" s="1"/>
  <c r="AQ61" i="1"/>
  <c r="AP61" i="1"/>
  <c r="AO61" i="1"/>
  <c r="AN61" i="1"/>
  <c r="AM61" i="1"/>
  <c r="AR61" i="1" s="1"/>
  <c r="AS61" i="1" s="1"/>
  <c r="AQ60" i="1"/>
  <c r="AP60" i="1"/>
  <c r="AO60" i="1"/>
  <c r="AN60" i="1"/>
  <c r="AM60" i="1"/>
  <c r="AR60" i="1" s="1"/>
  <c r="AS60" i="1" s="1"/>
  <c r="AQ59" i="1"/>
  <c r="AP59" i="1"/>
  <c r="AO59" i="1"/>
  <c r="AN59" i="1"/>
  <c r="AM59" i="1"/>
  <c r="AQ58" i="1"/>
  <c r="AP58" i="1"/>
  <c r="AO58" i="1"/>
  <c r="AN58" i="1"/>
  <c r="AM58" i="1"/>
  <c r="AR58" i="1" s="1"/>
  <c r="AS58" i="1" s="1"/>
  <c r="AQ57" i="1"/>
  <c r="AP57" i="1"/>
  <c r="AO57" i="1"/>
  <c r="AN57" i="1"/>
  <c r="AM57" i="1"/>
  <c r="AQ56" i="1"/>
  <c r="AP56" i="1"/>
  <c r="AO56" i="1"/>
  <c r="AN56" i="1"/>
  <c r="AM56" i="1"/>
  <c r="AQ55" i="1"/>
  <c r="AP55" i="1"/>
  <c r="AO55" i="1"/>
  <c r="AN55" i="1"/>
  <c r="AM55" i="1"/>
  <c r="AQ54" i="1"/>
  <c r="AP54" i="1"/>
  <c r="AO54" i="1"/>
  <c r="AN54" i="1"/>
  <c r="AM54" i="1"/>
  <c r="AQ53" i="1"/>
  <c r="AP53" i="1"/>
  <c r="AO53" i="1"/>
  <c r="AN53" i="1"/>
  <c r="AM53" i="1"/>
  <c r="AQ52" i="1"/>
  <c r="AP52" i="1"/>
  <c r="AO52" i="1"/>
  <c r="AN52" i="1"/>
  <c r="AM52" i="1"/>
  <c r="AQ51" i="1"/>
  <c r="AP51" i="1"/>
  <c r="AO51" i="1"/>
  <c r="AN51" i="1"/>
  <c r="AM51" i="1"/>
  <c r="AQ50" i="1"/>
  <c r="AP50" i="1"/>
  <c r="AO50" i="1"/>
  <c r="AN50" i="1"/>
  <c r="AM50" i="1"/>
  <c r="AQ49" i="1"/>
  <c r="AP49" i="1"/>
  <c r="AO49" i="1"/>
  <c r="AN49" i="1"/>
  <c r="AM49" i="1"/>
  <c r="AQ48" i="1"/>
  <c r="AP48" i="1"/>
  <c r="AO48" i="1"/>
  <c r="AN48" i="1"/>
  <c r="AM48" i="1"/>
  <c r="AQ47" i="1"/>
  <c r="AP47" i="1"/>
  <c r="AO47" i="1"/>
  <c r="AN47" i="1"/>
  <c r="AM47" i="1"/>
  <c r="AR47" i="1" s="1"/>
  <c r="AS47" i="1" s="1"/>
  <c r="AQ46" i="1"/>
  <c r="AP46" i="1"/>
  <c r="AO46" i="1"/>
  <c r="AN46" i="1"/>
  <c r="AM46" i="1"/>
  <c r="AR46" i="1" s="1"/>
  <c r="AS46" i="1" s="1"/>
  <c r="AQ45" i="1"/>
  <c r="AP45" i="1"/>
  <c r="AO45" i="1"/>
  <c r="AN45" i="1"/>
  <c r="AM45" i="1"/>
  <c r="AR45" i="1" s="1"/>
  <c r="AS45" i="1" s="1"/>
  <c r="AQ44" i="1"/>
  <c r="AP44" i="1"/>
  <c r="AO44" i="1"/>
  <c r="AN44" i="1"/>
  <c r="AM44" i="1"/>
  <c r="AR44" i="1" s="1"/>
  <c r="AS44" i="1" s="1"/>
  <c r="AQ43" i="1"/>
  <c r="AP43" i="1"/>
  <c r="AO43" i="1"/>
  <c r="AN43" i="1"/>
  <c r="AM43" i="1"/>
  <c r="AR43" i="1" s="1"/>
  <c r="AS43" i="1" s="1"/>
  <c r="AQ42" i="1"/>
  <c r="AP42" i="1"/>
  <c r="AO42" i="1"/>
  <c r="AN42" i="1"/>
  <c r="AM42" i="1"/>
  <c r="AQ41" i="1"/>
  <c r="AP41" i="1"/>
  <c r="AO41" i="1"/>
  <c r="AN41" i="1"/>
  <c r="AM41" i="1"/>
  <c r="AQ40" i="1"/>
  <c r="AP40" i="1"/>
  <c r="AO40" i="1"/>
  <c r="AN40" i="1"/>
  <c r="AM40" i="1"/>
  <c r="AR40" i="1" s="1"/>
  <c r="AS40" i="1" s="1"/>
  <c r="AQ39" i="1"/>
  <c r="AP39" i="1"/>
  <c r="AO39" i="1"/>
  <c r="AN39" i="1"/>
  <c r="AM39" i="1"/>
  <c r="AQ38" i="1"/>
  <c r="AP38" i="1"/>
  <c r="AO38" i="1"/>
  <c r="AN38" i="1"/>
  <c r="AM38" i="1"/>
  <c r="AQ37" i="1"/>
  <c r="AP37" i="1"/>
  <c r="AO37" i="1"/>
  <c r="AN37" i="1"/>
  <c r="AM37" i="1"/>
  <c r="AQ36" i="1"/>
  <c r="AP36" i="1"/>
  <c r="AO36" i="1"/>
  <c r="AN36" i="1"/>
  <c r="AM36" i="1"/>
  <c r="AQ35" i="1"/>
  <c r="AP35" i="1"/>
  <c r="AO35" i="1"/>
  <c r="AN35" i="1"/>
  <c r="AM35" i="1"/>
  <c r="AQ34" i="1"/>
  <c r="AP34" i="1"/>
  <c r="AO34" i="1"/>
  <c r="AN34" i="1"/>
  <c r="AM34" i="1"/>
  <c r="AQ33" i="1"/>
  <c r="AP33" i="1"/>
  <c r="AO33" i="1"/>
  <c r="AN33" i="1"/>
  <c r="AM33" i="1"/>
  <c r="AQ32" i="1"/>
  <c r="AP32" i="1"/>
  <c r="AO32" i="1"/>
  <c r="AN32" i="1"/>
  <c r="AM32" i="1"/>
  <c r="AQ31" i="1"/>
  <c r="AP31" i="1"/>
  <c r="AO31" i="1"/>
  <c r="AN31" i="1"/>
  <c r="AM31" i="1"/>
  <c r="AQ30" i="1"/>
  <c r="AP30" i="1"/>
  <c r="AO30" i="1"/>
  <c r="AN30" i="1"/>
  <c r="AM30" i="1"/>
  <c r="AQ29" i="1"/>
  <c r="AP29" i="1"/>
  <c r="AO29" i="1"/>
  <c r="AN29" i="1"/>
  <c r="AM29" i="1"/>
  <c r="AQ28" i="1"/>
  <c r="AP28" i="1"/>
  <c r="AO28" i="1"/>
  <c r="AN28" i="1"/>
  <c r="AM28" i="1"/>
  <c r="AQ27" i="1"/>
  <c r="AP27" i="1"/>
  <c r="AO27" i="1"/>
  <c r="AN27" i="1"/>
  <c r="AM27" i="1"/>
  <c r="AR27" i="1" s="1"/>
  <c r="AS27" i="1" s="1"/>
  <c r="AQ26" i="1"/>
  <c r="AP26" i="1"/>
  <c r="AO26" i="1"/>
  <c r="AN26" i="1"/>
  <c r="AM26" i="1"/>
  <c r="AR26" i="1" s="1"/>
  <c r="AS26" i="1" s="1"/>
  <c r="AQ25" i="1"/>
  <c r="AP25" i="1"/>
  <c r="AO25" i="1"/>
  <c r="AN25" i="1"/>
  <c r="AM25" i="1"/>
  <c r="AQ24" i="1"/>
  <c r="AP24" i="1"/>
  <c r="AO24" i="1"/>
  <c r="AN24" i="1"/>
  <c r="AM24" i="1"/>
  <c r="AQ23" i="1"/>
  <c r="AP23" i="1"/>
  <c r="AO23" i="1"/>
  <c r="AN23" i="1"/>
  <c r="AM23" i="1"/>
  <c r="AQ22" i="1"/>
  <c r="AP22" i="1"/>
  <c r="AO22" i="1"/>
  <c r="AN22" i="1"/>
  <c r="AM22" i="1"/>
  <c r="AQ21" i="1"/>
  <c r="AP21" i="1"/>
  <c r="AO21" i="1"/>
  <c r="AN21" i="1"/>
  <c r="AM21" i="1"/>
  <c r="AQ20" i="1"/>
  <c r="AP20" i="1"/>
  <c r="AO20" i="1"/>
  <c r="AN20" i="1"/>
  <c r="AM20" i="1"/>
  <c r="AQ19" i="1"/>
  <c r="AP19" i="1"/>
  <c r="AO19" i="1"/>
  <c r="AN19" i="1"/>
  <c r="AM19" i="1"/>
  <c r="AQ18" i="1"/>
  <c r="AP18" i="1"/>
  <c r="AO18" i="1"/>
  <c r="AN18" i="1"/>
  <c r="AM18" i="1"/>
  <c r="AQ17" i="1"/>
  <c r="AP17" i="1"/>
  <c r="AO17" i="1"/>
  <c r="AN17" i="1"/>
  <c r="AM17" i="1"/>
  <c r="AR17" i="1" s="1"/>
  <c r="AS17" i="1" s="1"/>
  <c r="AQ16" i="1"/>
  <c r="AP16" i="1"/>
  <c r="AO16" i="1"/>
  <c r="AN16" i="1"/>
  <c r="AM16" i="1"/>
  <c r="AR16" i="1" s="1"/>
  <c r="AS16" i="1" s="1"/>
  <c r="AQ15" i="1"/>
  <c r="AP15" i="1"/>
  <c r="AO15" i="1"/>
  <c r="AN15" i="1"/>
  <c r="AM15" i="1"/>
  <c r="AR15" i="1" s="1"/>
  <c r="AS15" i="1" s="1"/>
  <c r="AQ14" i="1"/>
  <c r="AP14" i="1"/>
  <c r="AO14" i="1"/>
  <c r="AN14" i="1"/>
  <c r="AM14" i="1"/>
  <c r="AR14" i="1" s="1"/>
  <c r="AS14" i="1" s="1"/>
  <c r="AQ13" i="1"/>
  <c r="AP13" i="1"/>
  <c r="AO13" i="1"/>
  <c r="AN13" i="1"/>
  <c r="AM13" i="1"/>
  <c r="AQ12" i="1"/>
  <c r="AP12" i="1"/>
  <c r="AO12" i="1"/>
  <c r="AN12" i="1"/>
  <c r="AM12" i="1"/>
  <c r="AQ11" i="1"/>
  <c r="AP11" i="1"/>
  <c r="AO11" i="1"/>
  <c r="AN11" i="1"/>
  <c r="AM11" i="1"/>
  <c r="AQ10" i="1"/>
  <c r="AP10" i="1"/>
  <c r="AO10" i="1"/>
  <c r="AN10" i="1"/>
  <c r="AM10" i="1"/>
  <c r="AQ9" i="1"/>
  <c r="AP9" i="1"/>
  <c r="AO9" i="1"/>
  <c r="AN9" i="1"/>
  <c r="AM9" i="1"/>
  <c r="AQ8" i="1"/>
  <c r="AP8" i="1"/>
  <c r="AO8" i="1"/>
  <c r="AN8" i="1"/>
  <c r="AM8" i="1"/>
  <c r="AQ7" i="1"/>
  <c r="AP7" i="1"/>
  <c r="AO7" i="1"/>
  <c r="AN7" i="1"/>
  <c r="AM7" i="1"/>
  <c r="AQ6" i="1"/>
  <c r="AP6" i="1"/>
  <c r="AO6" i="1"/>
  <c r="AN6" i="1"/>
  <c r="AM6" i="1"/>
  <c r="AQ5" i="1"/>
  <c r="AP5" i="1"/>
  <c r="AO5" i="1"/>
  <c r="AN5" i="1"/>
  <c r="AM5" i="1"/>
  <c r="AQ4" i="1"/>
  <c r="AP4" i="1"/>
  <c r="AO4" i="1"/>
  <c r="AN4" i="1"/>
  <c r="AM4" i="1"/>
  <c r="AT128" i="1" l="1"/>
  <c r="AT56" i="1"/>
  <c r="AR55" i="1"/>
  <c r="AS55" i="1" s="1"/>
  <c r="AR50" i="1"/>
  <c r="AS50" i="1" s="1"/>
  <c r="AR42" i="1"/>
  <c r="AS42" i="1" s="1"/>
  <c r="AT30" i="1"/>
  <c r="AR25" i="1"/>
  <c r="AS25" i="1" s="1"/>
  <c r="AT122" i="1"/>
  <c r="AR122" i="1"/>
  <c r="AS122" i="1" s="1"/>
  <c r="AR121" i="1"/>
  <c r="AS121" i="1" s="1"/>
  <c r="AT120" i="1"/>
  <c r="AR120" i="1"/>
  <c r="AS120" i="1" s="1"/>
  <c r="AT119" i="1"/>
  <c r="AT113" i="1"/>
  <c r="AT102" i="1"/>
  <c r="AR97" i="1"/>
  <c r="AS97" i="1" s="1"/>
  <c r="AR82" i="1"/>
  <c r="AS82" i="1" s="1"/>
  <c r="AT64" i="1"/>
  <c r="AT63" i="1"/>
  <c r="AT51" i="1"/>
  <c r="AT37" i="1"/>
  <c r="AR34" i="1"/>
  <c r="AS34" i="1" s="1"/>
  <c r="AT31" i="1"/>
  <c r="AT127" i="1"/>
  <c r="AT125" i="1"/>
  <c r="AR125" i="1"/>
  <c r="AS125" i="1" s="1"/>
  <c r="AT124" i="1"/>
  <c r="AT123" i="1"/>
  <c r="AR123" i="1"/>
  <c r="AS123" i="1" s="1"/>
  <c r="AR113" i="1"/>
  <c r="AS113" i="1" s="1"/>
  <c r="AT111" i="1"/>
  <c r="AT110" i="1"/>
  <c r="AR108" i="1"/>
  <c r="AS108" i="1" s="1"/>
  <c r="AT107" i="1"/>
  <c r="AT104" i="1"/>
  <c r="AT103" i="1"/>
  <c r="AR103" i="1"/>
  <c r="AS103" i="1" s="1"/>
  <c r="AR102" i="1"/>
  <c r="AS102" i="1" s="1"/>
  <c r="AT83" i="1"/>
  <c r="AT68" i="1"/>
  <c r="AR54" i="1"/>
  <c r="AS54" i="1" s="1"/>
  <c r="AT48" i="1"/>
  <c r="AT42" i="1"/>
  <c r="AR36" i="1"/>
  <c r="AS36" i="1" s="1"/>
  <c r="AR29" i="1"/>
  <c r="AS29" i="1" s="1"/>
  <c r="AT18" i="1"/>
  <c r="AR5" i="1"/>
  <c r="AS5" i="1" s="1"/>
  <c r="AR4" i="1"/>
  <c r="AS4" i="1" s="1"/>
  <c r="AT101" i="1"/>
  <c r="AT97" i="1"/>
  <c r="AT96" i="1"/>
  <c r="AR96" i="1"/>
  <c r="AS96" i="1" s="1"/>
  <c r="AR81" i="1"/>
  <c r="AS81" i="1" s="1"/>
  <c r="AT53" i="1"/>
  <c r="AT52" i="1"/>
  <c r="AR52" i="1"/>
  <c r="AS52" i="1" s="1"/>
  <c r="AT49" i="1"/>
  <c r="AR49" i="1"/>
  <c r="AS49" i="1" s="1"/>
  <c r="AR30" i="1"/>
  <c r="AS30" i="1" s="1"/>
  <c r="AT23" i="1"/>
  <c r="AT22" i="1"/>
  <c r="AR8" i="1"/>
  <c r="AS8" i="1" s="1"/>
  <c r="AR7" i="1"/>
  <c r="AS7" i="1" s="1"/>
  <c r="AT81" i="1"/>
  <c r="AT72" i="1"/>
  <c r="AT67" i="1"/>
  <c r="AR64" i="1"/>
  <c r="AS64" i="1" s="1"/>
  <c r="AR56" i="1"/>
  <c r="AS56" i="1" s="1"/>
  <c r="AT54" i="1"/>
  <c r="AR53" i="1"/>
  <c r="AS53" i="1" s="1"/>
  <c r="AR38" i="1"/>
  <c r="AS38" i="1" s="1"/>
  <c r="AR35" i="1"/>
  <c r="AS35" i="1" s="1"/>
  <c r="AR124" i="1"/>
  <c r="AS124" i="1" s="1"/>
  <c r="AR119" i="1"/>
  <c r="AS119" i="1" s="1"/>
  <c r="AT118" i="1"/>
  <c r="AT116" i="1"/>
  <c r="AR115" i="1"/>
  <c r="AS115" i="1" s="1"/>
  <c r="AT114" i="1"/>
  <c r="AR112" i="1"/>
  <c r="AS112" i="1" s="1"/>
  <c r="AT109" i="1"/>
  <c r="AR109" i="1"/>
  <c r="AS109" i="1" s="1"/>
  <c r="AT108" i="1"/>
  <c r="AR101" i="1"/>
  <c r="AS101" i="1" s="1"/>
  <c r="AT95" i="1"/>
  <c r="AR95" i="1"/>
  <c r="AS95" i="1" s="1"/>
  <c r="AR94" i="1"/>
  <c r="AS94" i="1" s="1"/>
  <c r="AT78" i="1"/>
  <c r="AR72" i="1"/>
  <c r="AS72" i="1" s="1"/>
  <c r="AT69" i="1"/>
  <c r="AR69" i="1"/>
  <c r="AS69" i="1" s="1"/>
  <c r="AR67" i="1"/>
  <c r="AS67" i="1" s="1"/>
  <c r="AR41" i="1"/>
  <c r="AS41" i="1" s="1"/>
  <c r="AT29" i="1"/>
  <c r="AT27" i="1"/>
  <c r="AT9" i="1"/>
  <c r="AT6" i="1"/>
  <c r="AT26" i="1"/>
  <c r="AT10" i="1"/>
  <c r="AR9" i="1"/>
  <c r="AS9" i="1" s="1"/>
  <c r="AR128" i="1"/>
  <c r="AS128" i="1" s="1"/>
  <c r="AT126" i="1"/>
  <c r="AT121" i="1"/>
  <c r="AT115" i="1"/>
  <c r="AR114" i="1"/>
  <c r="AS114" i="1" s="1"/>
  <c r="AT112" i="1"/>
  <c r="AT106" i="1"/>
  <c r="AT105" i="1"/>
  <c r="AR104" i="1"/>
  <c r="AS104" i="1" s="1"/>
  <c r="AT100" i="1"/>
  <c r="AR100" i="1"/>
  <c r="AS100" i="1" s="1"/>
  <c r="AT99" i="1"/>
  <c r="AR99" i="1"/>
  <c r="AS99" i="1" s="1"/>
  <c r="AT98" i="1"/>
  <c r="AR98" i="1"/>
  <c r="AS98" i="1" s="1"/>
  <c r="AT93" i="1"/>
  <c r="AR93" i="1"/>
  <c r="AS93" i="1" s="1"/>
  <c r="AR83" i="1"/>
  <c r="AS83" i="1" s="1"/>
  <c r="AT80" i="1"/>
  <c r="AR80" i="1"/>
  <c r="AS80" i="1" s="1"/>
  <c r="AR51" i="1"/>
  <c r="AS51" i="1" s="1"/>
  <c r="AT40" i="1"/>
  <c r="AT38" i="1"/>
  <c r="AR37" i="1"/>
  <c r="AS37" i="1" s="1"/>
  <c r="AT28" i="1"/>
  <c r="AR22" i="1"/>
  <c r="AS22" i="1" s="1"/>
  <c r="AT20" i="1"/>
  <c r="AT19" i="1"/>
  <c r="AR19" i="1"/>
  <c r="AS19" i="1" s="1"/>
  <c r="AR13" i="1"/>
  <c r="AS13" i="1" s="1"/>
  <c r="AT8" i="1"/>
  <c r="AT7" i="1"/>
  <c r="AT79" i="1"/>
  <c r="AR71" i="1"/>
  <c r="AS71" i="1" s="1"/>
  <c r="AT66" i="1"/>
  <c r="AT65" i="1"/>
  <c r="AT55" i="1"/>
  <c r="AT50" i="1"/>
  <c r="AR33" i="1"/>
  <c r="AS33" i="1" s="1"/>
  <c r="AR106" i="1"/>
  <c r="AS106" i="1" s="1"/>
  <c r="AR105" i="1"/>
  <c r="AS105" i="1" s="1"/>
  <c r="AT94" i="1"/>
  <c r="AR57" i="1"/>
  <c r="AS57" i="1" s="1"/>
  <c r="AT39" i="1"/>
  <c r="AT35" i="1"/>
  <c r="AT34" i="1"/>
  <c r="AT33" i="1"/>
  <c r="AR32" i="1"/>
  <c r="AS32" i="1" s="1"/>
  <c r="AR11" i="1"/>
  <c r="AS11" i="1" s="1"/>
  <c r="AT92" i="1"/>
  <c r="AR92" i="1"/>
  <c r="AS92" i="1" s="1"/>
  <c r="AT91" i="1"/>
  <c r="AT90" i="1"/>
  <c r="AT89" i="1"/>
  <c r="AT88" i="1"/>
  <c r="AT87" i="1"/>
  <c r="AT86" i="1"/>
  <c r="AT85" i="1"/>
  <c r="AT84" i="1"/>
  <c r="AT71" i="1"/>
  <c r="AT70" i="1"/>
  <c r="AT57" i="1"/>
  <c r="AT41" i="1"/>
  <c r="AR31" i="1"/>
  <c r="AS31" i="1" s="1"/>
  <c r="AR21" i="1"/>
  <c r="AS21" i="1" s="1"/>
  <c r="AR6" i="1"/>
  <c r="AS6" i="1" s="1"/>
  <c r="AT4" i="1"/>
  <c r="AT77" i="1"/>
  <c r="AT76" i="1"/>
  <c r="AT75" i="1"/>
  <c r="AT74" i="1"/>
  <c r="AT73" i="1"/>
  <c r="AR70" i="1"/>
  <c r="AS70" i="1" s="1"/>
  <c r="AR68" i="1"/>
  <c r="AS68" i="1" s="1"/>
  <c r="AR66" i="1"/>
  <c r="AS66" i="1" s="1"/>
  <c r="AR39" i="1"/>
  <c r="AS39" i="1" s="1"/>
  <c r="AT36" i="1"/>
  <c r="AR20" i="1"/>
  <c r="AS20" i="1" s="1"/>
  <c r="AT12" i="1"/>
  <c r="AR63" i="1"/>
  <c r="AS63" i="1" s="1"/>
  <c r="AT62" i="1"/>
  <c r="AT61" i="1"/>
  <c r="AT60" i="1"/>
  <c r="AT58" i="1"/>
  <c r="AT32" i="1"/>
  <c r="AR28" i="1"/>
  <c r="AS28" i="1" s="1"/>
  <c r="AT25" i="1"/>
  <c r="AR23" i="1"/>
  <c r="AS23" i="1" s="1"/>
  <c r="AT21" i="1"/>
  <c r="AR12" i="1"/>
  <c r="AS12" i="1" s="1"/>
  <c r="AR10" i="1"/>
  <c r="AS10" i="1" s="1"/>
  <c r="AR48" i="1"/>
  <c r="AS48" i="1" s="1"/>
  <c r="AT47" i="1"/>
  <c r="AT46" i="1"/>
  <c r="AT45" i="1"/>
  <c r="AT44" i="1"/>
  <c r="AT43" i="1"/>
  <c r="AT5" i="1"/>
  <c r="AR18" i="1"/>
  <c r="AS18" i="1" s="1"/>
  <c r="AT17" i="1"/>
  <c r="AT16" i="1"/>
  <c r="AT15" i="1"/>
  <c r="AT14" i="1"/>
  <c r="AT13" i="1"/>
  <c r="AT11" i="1"/>
  <c r="AM153" i="3"/>
  <c r="AL153" i="3"/>
  <c r="AK153" i="3"/>
  <c r="AK152" i="3"/>
  <c r="AM152" i="3"/>
  <c r="AL152" i="3"/>
  <c r="AL151" i="3"/>
  <c r="AK151" i="3"/>
  <c r="AM151" i="3"/>
  <c r="AM150" i="3"/>
  <c r="AK150" i="3"/>
  <c r="AL150" i="3"/>
  <c r="AK149" i="3"/>
  <c r="AL149" i="3"/>
  <c r="AM149" i="3"/>
  <c r="AK148" i="3"/>
  <c r="AL148" i="3"/>
  <c r="AM148" i="3"/>
  <c r="AK147" i="3"/>
  <c r="AM147" i="3"/>
  <c r="AL147" i="3"/>
  <c r="AL146" i="3"/>
  <c r="AK146" i="3"/>
  <c r="AM146" i="3"/>
  <c r="AK145" i="3"/>
  <c r="AL145" i="3"/>
  <c r="AM145" i="3"/>
  <c r="AK144" i="3"/>
  <c r="AL144" i="3"/>
  <c r="AM144" i="3"/>
  <c r="AK143" i="3"/>
  <c r="AM143" i="3"/>
  <c r="AL143" i="3"/>
  <c r="AL142" i="3"/>
  <c r="AK142" i="3"/>
  <c r="AM142" i="3"/>
  <c r="AK141" i="3"/>
  <c r="AL141" i="3"/>
  <c r="AM141" i="3"/>
  <c r="AL140" i="3"/>
  <c r="AM140" i="3"/>
  <c r="AK140" i="3"/>
  <c r="AK139" i="3"/>
  <c r="AM139" i="3"/>
  <c r="AL139" i="3"/>
  <c r="AM138" i="3"/>
  <c r="AK138" i="3"/>
  <c r="AL138" i="3"/>
  <c r="AL137" i="3"/>
  <c r="AK137" i="3"/>
  <c r="AM137" i="3"/>
  <c r="AL136" i="3"/>
  <c r="AM136" i="3"/>
  <c r="AK136" i="3"/>
  <c r="AK135" i="3"/>
  <c r="AM135" i="3"/>
  <c r="AL135" i="3"/>
  <c r="AL134" i="3"/>
  <c r="AM134" i="3"/>
  <c r="AK134" i="3"/>
  <c r="AL133" i="3"/>
  <c r="AM133" i="3"/>
  <c r="AK133" i="3"/>
  <c r="AM132" i="3"/>
  <c r="AK132" i="3"/>
  <c r="AL132" i="3"/>
  <c r="AL131" i="3"/>
  <c r="AK131" i="3"/>
  <c r="AM131" i="3"/>
  <c r="AL130" i="3"/>
  <c r="AK130" i="3"/>
  <c r="AM130" i="3"/>
  <c r="AM129" i="3"/>
  <c r="AK129" i="3"/>
  <c r="AL129" i="3"/>
  <c r="AL128" i="3"/>
  <c r="AK128" i="3"/>
  <c r="AM128" i="3"/>
  <c r="AL127" i="3"/>
  <c r="AM127" i="3"/>
  <c r="AK127" i="3"/>
  <c r="AL126" i="3"/>
  <c r="AK126" i="3"/>
  <c r="AM126" i="3"/>
  <c r="AK125" i="3"/>
  <c r="AL125" i="3"/>
  <c r="AM125" i="3"/>
  <c r="AK124" i="3"/>
  <c r="AL124" i="3"/>
  <c r="AM124" i="3"/>
  <c r="AK123" i="3"/>
  <c r="AL123" i="3"/>
  <c r="AM123" i="3"/>
  <c r="AM122" i="3"/>
  <c r="AL122" i="3"/>
  <c r="AK122" i="3"/>
  <c r="AK121" i="3"/>
  <c r="AL121" i="3"/>
  <c r="AM121" i="3"/>
  <c r="AL120" i="3"/>
  <c r="AM120" i="3"/>
  <c r="AK120" i="3"/>
  <c r="AK119" i="3"/>
  <c r="AL119" i="3"/>
  <c r="AM119" i="3"/>
  <c r="AK118" i="3"/>
  <c r="AM118" i="3"/>
  <c r="AL118" i="3"/>
  <c r="AK117" i="3"/>
  <c r="AL117" i="3"/>
  <c r="AM117" i="3"/>
  <c r="AL116" i="3"/>
  <c r="AK116" i="3"/>
  <c r="AM116" i="3"/>
  <c r="AL115" i="3"/>
  <c r="AK115" i="3"/>
  <c r="AM115" i="3"/>
  <c r="AM114" i="3"/>
  <c r="AK114" i="3"/>
  <c r="AL114" i="3"/>
  <c r="AM113" i="3"/>
  <c r="AK113" i="3"/>
  <c r="AL113" i="3"/>
  <c r="AL112" i="3"/>
  <c r="AM112" i="3"/>
  <c r="AK112" i="3"/>
  <c r="AM111" i="3"/>
  <c r="AK111" i="3"/>
  <c r="AL111" i="3"/>
  <c r="AK110" i="3"/>
  <c r="AL110" i="3"/>
  <c r="AM110" i="3"/>
  <c r="AK109" i="3"/>
  <c r="AL109" i="3"/>
  <c r="AM109" i="3"/>
  <c r="AK108" i="3"/>
  <c r="AM108" i="3"/>
  <c r="AL108" i="3"/>
  <c r="AM107" i="3"/>
  <c r="AK107" i="3"/>
  <c r="AL107" i="3"/>
  <c r="AM106" i="3"/>
  <c r="AK106" i="3"/>
  <c r="AL106" i="3"/>
  <c r="AM105" i="3"/>
  <c r="AL105" i="3"/>
  <c r="AK105" i="3"/>
  <c r="AM104" i="3"/>
  <c r="AL104" i="3"/>
  <c r="AK104" i="3"/>
  <c r="AL103" i="3"/>
  <c r="AM103" i="3"/>
  <c r="AK103" i="3"/>
  <c r="AK102" i="3"/>
  <c r="AM102" i="3"/>
  <c r="AL102" i="3"/>
  <c r="AK101" i="3"/>
  <c r="AM101" i="3"/>
  <c r="AL101" i="3"/>
  <c r="AL100" i="3"/>
  <c r="AM100" i="3"/>
  <c r="AK100" i="3"/>
  <c r="AL99" i="3"/>
  <c r="AK99" i="3"/>
  <c r="AM99" i="3"/>
  <c r="AL98" i="3"/>
  <c r="AM98" i="3"/>
  <c r="AK98" i="3"/>
  <c r="AK97" i="3"/>
  <c r="AL97" i="3"/>
  <c r="AM97" i="3"/>
  <c r="AK96" i="3"/>
  <c r="AL96" i="3"/>
  <c r="AM96" i="3"/>
  <c r="AK95" i="3"/>
  <c r="AL95" i="3"/>
  <c r="AM95" i="3"/>
  <c r="AK94" i="3"/>
  <c r="AL94" i="3"/>
  <c r="AM94" i="3"/>
  <c r="AK93" i="3"/>
  <c r="AL93" i="3"/>
  <c r="AM93" i="3"/>
  <c r="AK92" i="3"/>
  <c r="AL92" i="3"/>
  <c r="AM92" i="3"/>
  <c r="AM91" i="3"/>
  <c r="AL91" i="3"/>
  <c r="AK91" i="3"/>
  <c r="AL90" i="3"/>
  <c r="AM90" i="3"/>
  <c r="AK90" i="3"/>
  <c r="AM89" i="3"/>
  <c r="AK89" i="3"/>
  <c r="AL89" i="3"/>
  <c r="AK88" i="3"/>
  <c r="AM88" i="3"/>
  <c r="AL88" i="3"/>
  <c r="AM87" i="3"/>
  <c r="AK87" i="3"/>
  <c r="AL87" i="3"/>
  <c r="AM86" i="3"/>
  <c r="AL86" i="3"/>
  <c r="AK86" i="3"/>
  <c r="AK85" i="3"/>
  <c r="AM85" i="3"/>
  <c r="AL85" i="3"/>
  <c r="AL84" i="3"/>
  <c r="AM84" i="3"/>
  <c r="AK84" i="3"/>
  <c r="AM83" i="3"/>
  <c r="AK83" i="3"/>
  <c r="AL83" i="3"/>
  <c r="AM82" i="3"/>
  <c r="AK82" i="3"/>
  <c r="AL82" i="3"/>
  <c r="AL81" i="3"/>
  <c r="AK81" i="3"/>
  <c r="AM81" i="3"/>
  <c r="AL80" i="3"/>
  <c r="AM80" i="3"/>
  <c r="AK80" i="3"/>
  <c r="AK79" i="3"/>
  <c r="AL79" i="3"/>
  <c r="AM79" i="3"/>
  <c r="AM78" i="3"/>
  <c r="AK78" i="3"/>
  <c r="AL78" i="3"/>
  <c r="AK77" i="3"/>
  <c r="AL77" i="3"/>
  <c r="AM77" i="3"/>
  <c r="AK76" i="3"/>
  <c r="AM76" i="3"/>
  <c r="AL76" i="3"/>
  <c r="AK75" i="3"/>
  <c r="AM75" i="3"/>
  <c r="AL75" i="3"/>
  <c r="AM74" i="3"/>
  <c r="AL74" i="3"/>
  <c r="AK74" i="3"/>
  <c r="AL73" i="3"/>
  <c r="AK73" i="3"/>
  <c r="AM73" i="3"/>
  <c r="AM72" i="3"/>
  <c r="AK72" i="3"/>
  <c r="AL72" i="3"/>
  <c r="AM71" i="3"/>
  <c r="AL71" i="3"/>
  <c r="AK71" i="3"/>
  <c r="AL70" i="3"/>
  <c r="AM70" i="3"/>
  <c r="AK70" i="3"/>
  <c r="AL69" i="3"/>
  <c r="AM69" i="3"/>
  <c r="AK69" i="3"/>
  <c r="AL68" i="3"/>
  <c r="AM68" i="3"/>
  <c r="AK68" i="3"/>
  <c r="AM67" i="3"/>
  <c r="AK67" i="3"/>
  <c r="AL67" i="3"/>
  <c r="AK66" i="3"/>
  <c r="AL66" i="3"/>
  <c r="AM66" i="3"/>
  <c r="AK65" i="3"/>
  <c r="AL65" i="3"/>
  <c r="AM65" i="3"/>
  <c r="AK64" i="3"/>
  <c r="AL64" i="3"/>
  <c r="AM64" i="3"/>
  <c r="AK63" i="3"/>
  <c r="AL63" i="3"/>
  <c r="AM63" i="3"/>
  <c r="AK62" i="3"/>
  <c r="AL62" i="3"/>
  <c r="AM62" i="3"/>
  <c r="AK61" i="3"/>
  <c r="AL61" i="3"/>
  <c r="AM61" i="3"/>
  <c r="AM60" i="3"/>
  <c r="AK60" i="3"/>
  <c r="AL60" i="3"/>
  <c r="AL59" i="3"/>
  <c r="AK59" i="3"/>
  <c r="AM59" i="3"/>
  <c r="AM58" i="3"/>
  <c r="AK58" i="3"/>
  <c r="AL58" i="3"/>
  <c r="AK57" i="3"/>
  <c r="AM57" i="3"/>
  <c r="AL57" i="3"/>
  <c r="AM56" i="3"/>
  <c r="AL56" i="3"/>
  <c r="AK56" i="3"/>
  <c r="AM55" i="3"/>
  <c r="AK55" i="3"/>
  <c r="AL55" i="3"/>
  <c r="AL54" i="3"/>
  <c r="AK54" i="3"/>
  <c r="AM54" i="3"/>
  <c r="AK53" i="3"/>
  <c r="AL53" i="3"/>
  <c r="AM53" i="3"/>
  <c r="AM52" i="3"/>
  <c r="AK52" i="3"/>
  <c r="AL52" i="3"/>
  <c r="AK51" i="3"/>
  <c r="AL51" i="3"/>
  <c r="AM51" i="3"/>
  <c r="AK50" i="3"/>
  <c r="AL50" i="3"/>
  <c r="AM50" i="3"/>
  <c r="AL49" i="3"/>
  <c r="AM49" i="3"/>
  <c r="AK49" i="3"/>
  <c r="AK48" i="3"/>
  <c r="AL48" i="3"/>
  <c r="AM48" i="3"/>
  <c r="AK47" i="3"/>
  <c r="AL47" i="3"/>
  <c r="AM47" i="3"/>
  <c r="AK46" i="3"/>
  <c r="AM46" i="3"/>
  <c r="AL46" i="3"/>
  <c r="AM45" i="3"/>
  <c r="AK45" i="3"/>
  <c r="AL45" i="3"/>
  <c r="AM44" i="3"/>
  <c r="AK44" i="3"/>
  <c r="AL44" i="3"/>
  <c r="AM43" i="3"/>
  <c r="AL43" i="3"/>
  <c r="AK43" i="3"/>
  <c r="AM42" i="3"/>
  <c r="AL42" i="3"/>
  <c r="AK42" i="3"/>
  <c r="AL41" i="3"/>
  <c r="AK41" i="3"/>
  <c r="AM41" i="3"/>
  <c r="AL40" i="3"/>
  <c r="AM40" i="3"/>
  <c r="AK40" i="3"/>
  <c r="AK39" i="3"/>
  <c r="AM39" i="3"/>
  <c r="AL39" i="3"/>
  <c r="AL38" i="3"/>
  <c r="AK38" i="3"/>
  <c r="AM38" i="3"/>
  <c r="AK37" i="3"/>
  <c r="AL37" i="3"/>
  <c r="AM37" i="3"/>
  <c r="AK36" i="3"/>
  <c r="AL36" i="3"/>
  <c r="AM36" i="3"/>
  <c r="AK35" i="3"/>
  <c r="AL35" i="3"/>
  <c r="AM35" i="3"/>
  <c r="AK34" i="3"/>
  <c r="AL34" i="3"/>
  <c r="AM34" i="3"/>
  <c r="AK33" i="3"/>
  <c r="AL33" i="3"/>
  <c r="AM33" i="3"/>
  <c r="AK32" i="3"/>
  <c r="AL32" i="3"/>
  <c r="AM32" i="3"/>
  <c r="AK31" i="3"/>
  <c r="AL31" i="3"/>
  <c r="AM31" i="3"/>
  <c r="AK30" i="3"/>
  <c r="AL30" i="3"/>
  <c r="AM30" i="3"/>
  <c r="AK29" i="3"/>
  <c r="AL29" i="3"/>
  <c r="AM29" i="3"/>
  <c r="AK28" i="3"/>
  <c r="AL28" i="3"/>
  <c r="AM28" i="3"/>
  <c r="AK27" i="3"/>
  <c r="AL27" i="3"/>
  <c r="AM27" i="3"/>
  <c r="AK26" i="3"/>
  <c r="AL26" i="3"/>
  <c r="AM26" i="3"/>
  <c r="AK25" i="3"/>
  <c r="AL25" i="3"/>
  <c r="AM25" i="3"/>
  <c r="AK24" i="3"/>
  <c r="AL24" i="3"/>
  <c r="AM24" i="3"/>
  <c r="AK23" i="3"/>
  <c r="AL23" i="3"/>
  <c r="AM23" i="3"/>
  <c r="AK22" i="3"/>
  <c r="AL22" i="3"/>
  <c r="AM22" i="3"/>
  <c r="AK21" i="3"/>
  <c r="AL21" i="3"/>
  <c r="AM21" i="3"/>
  <c r="AK20" i="3"/>
  <c r="AL20" i="3"/>
  <c r="AM20" i="3"/>
  <c r="AK19" i="3"/>
  <c r="AL19" i="3"/>
  <c r="AM19" i="3"/>
  <c r="AK18" i="3"/>
  <c r="AL18" i="3"/>
  <c r="AM18" i="3"/>
  <c r="AK17" i="3"/>
  <c r="AL17" i="3"/>
  <c r="AM17" i="3"/>
  <c r="AK16" i="3"/>
  <c r="AL16" i="3"/>
  <c r="AM16" i="3"/>
  <c r="AK15" i="3"/>
  <c r="AL15" i="3"/>
  <c r="AM15" i="3"/>
  <c r="AK14" i="3"/>
  <c r="AL14" i="3"/>
  <c r="AM14" i="3"/>
  <c r="AM13" i="3"/>
  <c r="AL13" i="3"/>
  <c r="AK13" i="3"/>
  <c r="AM12" i="3"/>
  <c r="AK12" i="3"/>
  <c r="AL12" i="3"/>
  <c r="AM11" i="3"/>
  <c r="AK11" i="3"/>
  <c r="AL11" i="3"/>
  <c r="AL10" i="3"/>
  <c r="AK10" i="3"/>
  <c r="AM10" i="3"/>
  <c r="AK9" i="3"/>
  <c r="AM9" i="3"/>
  <c r="AL9" i="3"/>
  <c r="AK8" i="3"/>
  <c r="AL8" i="3"/>
  <c r="AM8" i="3"/>
  <c r="AK7" i="3"/>
  <c r="AL7" i="3"/>
  <c r="AM7" i="3"/>
  <c r="AK6" i="3"/>
  <c r="AL6" i="3"/>
  <c r="AM6" i="3"/>
  <c r="AK5" i="3"/>
  <c r="AL5" i="3"/>
  <c r="AM5" i="3"/>
  <c r="AK4" i="3"/>
  <c r="AL4" i="3"/>
  <c r="AM4" i="3"/>
  <c r="AK3" i="3"/>
  <c r="AL3" i="3"/>
  <c r="AM3" i="3"/>
  <c r="AK2" i="3"/>
  <c r="AL2" i="3"/>
  <c r="AM2" i="3"/>
  <c r="AK144" i="2"/>
  <c r="AL144" i="2"/>
  <c r="AM144" i="2"/>
  <c r="AK143" i="2"/>
  <c r="AL143" i="2"/>
  <c r="AM143" i="2"/>
  <c r="AL142" i="2"/>
  <c r="AM142" i="2"/>
  <c r="AK142" i="2"/>
  <c r="AM141" i="2"/>
  <c r="AK141" i="2"/>
  <c r="AL141" i="2"/>
  <c r="AK140" i="2"/>
  <c r="AM140" i="2"/>
  <c r="AL140" i="2"/>
  <c r="AM139" i="2"/>
  <c r="AL139" i="2"/>
  <c r="AK139" i="2"/>
  <c r="AK138" i="2"/>
  <c r="AL138" i="2"/>
  <c r="AM138" i="2"/>
  <c r="AL137" i="2"/>
  <c r="AM137" i="2"/>
  <c r="AK137" i="2"/>
  <c r="AM136" i="2"/>
  <c r="AK136" i="2"/>
  <c r="AL136" i="2"/>
  <c r="AM135" i="2"/>
  <c r="AK135" i="2"/>
  <c r="AL135" i="2"/>
  <c r="AL134" i="2"/>
  <c r="AK134" i="2"/>
  <c r="AM134" i="2"/>
  <c r="AM133" i="2"/>
  <c r="AL133" i="2"/>
  <c r="AK133" i="2"/>
  <c r="AL132" i="2"/>
  <c r="AM132" i="2"/>
  <c r="AK132" i="2"/>
  <c r="AM131" i="2"/>
  <c r="AK131" i="2"/>
  <c r="AL131" i="2"/>
  <c r="AM130" i="2"/>
  <c r="AK130" i="2"/>
  <c r="AL130" i="2"/>
  <c r="AM129" i="2"/>
  <c r="AL129" i="2"/>
  <c r="AK129" i="2"/>
  <c r="AM128" i="2"/>
  <c r="AK128" i="2"/>
  <c r="AL128" i="2"/>
  <c r="AL127" i="2"/>
  <c r="AK127" i="2"/>
  <c r="AM127" i="2"/>
  <c r="AK126" i="2"/>
  <c r="AM126" i="2"/>
  <c r="AL126" i="2"/>
  <c r="AK125" i="2"/>
  <c r="AM125" i="2"/>
  <c r="AL125" i="2"/>
  <c r="AK124" i="2"/>
  <c r="AL124" i="2"/>
  <c r="AM124" i="2"/>
  <c r="AL123" i="2"/>
  <c r="AK123" i="2"/>
  <c r="AM123" i="2"/>
  <c r="AL122" i="2"/>
  <c r="AM122" i="2"/>
  <c r="AK122" i="2"/>
  <c r="AM121" i="2"/>
  <c r="AK121" i="2"/>
  <c r="AL121" i="2"/>
  <c r="AK120" i="2"/>
  <c r="AL120" i="2"/>
  <c r="AM120" i="2"/>
  <c r="AK119" i="2"/>
  <c r="AL119" i="2"/>
  <c r="AM119" i="2"/>
  <c r="AK118" i="2"/>
  <c r="AL118" i="2"/>
  <c r="AM118" i="2"/>
  <c r="AK117" i="2"/>
  <c r="AL117" i="2"/>
  <c r="AM117" i="2"/>
  <c r="AM116" i="2"/>
  <c r="AL116" i="2"/>
  <c r="AK116" i="2"/>
  <c r="AM115" i="2"/>
  <c r="AK115" i="2"/>
  <c r="AL115" i="2"/>
  <c r="AM114" i="2"/>
  <c r="AK114" i="2"/>
  <c r="AL114" i="2"/>
  <c r="AL113" i="2"/>
  <c r="AM113" i="2"/>
  <c r="AK113" i="2"/>
  <c r="AL112" i="2"/>
  <c r="AK112" i="2"/>
  <c r="AM112" i="2"/>
  <c r="AM111" i="2"/>
  <c r="AK111" i="2"/>
  <c r="AL111" i="2"/>
  <c r="AM110" i="2"/>
  <c r="AK110" i="2"/>
  <c r="AL110" i="2"/>
  <c r="AK109" i="2"/>
  <c r="AL109" i="2"/>
  <c r="AM109" i="2"/>
  <c r="AK108" i="2"/>
  <c r="AM108" i="2"/>
  <c r="AL108" i="2"/>
  <c r="AM107" i="2"/>
  <c r="AK107" i="2"/>
  <c r="AL107" i="2"/>
  <c r="AM106" i="2"/>
  <c r="AK106" i="2"/>
  <c r="AL106" i="2"/>
  <c r="AK105" i="2"/>
  <c r="AL105" i="2"/>
  <c r="AM105" i="2"/>
  <c r="AK104" i="2"/>
  <c r="AM104" i="2"/>
  <c r="AL104" i="2"/>
  <c r="AM103" i="2"/>
  <c r="AL103" i="2"/>
  <c r="AK103" i="2"/>
  <c r="AK102" i="2"/>
  <c r="AL102" i="2"/>
  <c r="AM102" i="2"/>
  <c r="AM101" i="2"/>
  <c r="AL101" i="2"/>
  <c r="AK101" i="2"/>
  <c r="AM100" i="2"/>
  <c r="AL100" i="2"/>
  <c r="AK100" i="2"/>
  <c r="AM99" i="2"/>
  <c r="AK99" i="2"/>
  <c r="AL99" i="2"/>
  <c r="AL98" i="2"/>
  <c r="AK98" i="2"/>
  <c r="AM98" i="2"/>
  <c r="AK97" i="2"/>
  <c r="AL97" i="2"/>
  <c r="AM97" i="2"/>
  <c r="AK96" i="2"/>
  <c r="AL96" i="2"/>
  <c r="AM96" i="2"/>
  <c r="AK95" i="2"/>
  <c r="AL95" i="2"/>
  <c r="AM95" i="2"/>
  <c r="AK94" i="2"/>
  <c r="AL94" i="2"/>
  <c r="AM94" i="2"/>
  <c r="AK93" i="2"/>
  <c r="AL93" i="2"/>
  <c r="AM93" i="2"/>
  <c r="AK92" i="2"/>
  <c r="AL92" i="2"/>
  <c r="AM92" i="2"/>
  <c r="AK91" i="2"/>
  <c r="AL91" i="2"/>
  <c r="AM91" i="2"/>
  <c r="AL90" i="2"/>
  <c r="AM90" i="2"/>
  <c r="AK90" i="2"/>
  <c r="AL89" i="2"/>
  <c r="AK89" i="2"/>
  <c r="AM89" i="2"/>
  <c r="AK88" i="2"/>
  <c r="AM88" i="2"/>
  <c r="AL88" i="2"/>
  <c r="AK87" i="2"/>
  <c r="AM87" i="2"/>
  <c r="AL87" i="2"/>
  <c r="AK86" i="2"/>
  <c r="AM86" i="2"/>
  <c r="AL86" i="2"/>
  <c r="AM85" i="2"/>
  <c r="AK85" i="2"/>
  <c r="AL85" i="2"/>
  <c r="AK84" i="2"/>
  <c r="AM84" i="2"/>
  <c r="AL84" i="2"/>
  <c r="AM83" i="2"/>
  <c r="AK83" i="2"/>
  <c r="AL83" i="2"/>
  <c r="AM82" i="2"/>
  <c r="AK82" i="2"/>
  <c r="AL82" i="2"/>
  <c r="AK81" i="2"/>
  <c r="AM81" i="2"/>
  <c r="AL81" i="2"/>
  <c r="AK80" i="2"/>
  <c r="AL80" i="2"/>
  <c r="AM80" i="2"/>
  <c r="AK79" i="2"/>
  <c r="AM79" i="2"/>
  <c r="AL79" i="2"/>
  <c r="AM78" i="2"/>
  <c r="AK78" i="2"/>
  <c r="AL78" i="2"/>
  <c r="AM77" i="2"/>
  <c r="AK77" i="2"/>
  <c r="AL77" i="2"/>
  <c r="AK76" i="2"/>
  <c r="AL76" i="2"/>
  <c r="AM76" i="2"/>
  <c r="AM75" i="2"/>
  <c r="AK75" i="2"/>
  <c r="AL75" i="2"/>
  <c r="AM74" i="2"/>
  <c r="AK74" i="2"/>
  <c r="AL74" i="2"/>
  <c r="AK73" i="2"/>
  <c r="AL73" i="2"/>
  <c r="AM73" i="2"/>
  <c r="AK72" i="2"/>
  <c r="AL72" i="2"/>
  <c r="AM72" i="2"/>
  <c r="AK71" i="2"/>
  <c r="AL71" i="2"/>
  <c r="AM71" i="2"/>
  <c r="AK70" i="2"/>
  <c r="AL70" i="2"/>
  <c r="AM70" i="2"/>
  <c r="AK69" i="2"/>
  <c r="AL69" i="2"/>
  <c r="AM69" i="2"/>
  <c r="AK68" i="2"/>
  <c r="AL68" i="2"/>
  <c r="AM68" i="2"/>
  <c r="AK67" i="2"/>
  <c r="AL67" i="2"/>
  <c r="AM67" i="2"/>
  <c r="AK66" i="2"/>
  <c r="AL66" i="2"/>
  <c r="AM66" i="2"/>
  <c r="AK65" i="2"/>
  <c r="AL65" i="2"/>
  <c r="AM65" i="2"/>
  <c r="AM64" i="2"/>
  <c r="AL64" i="2"/>
  <c r="AK64" i="2"/>
  <c r="AK63" i="2"/>
  <c r="AL63" i="2"/>
  <c r="AM63" i="2"/>
  <c r="AL62" i="2"/>
  <c r="AK62" i="2"/>
  <c r="AM62" i="2"/>
  <c r="AL61" i="2"/>
  <c r="AK61" i="2"/>
  <c r="AM61" i="2"/>
  <c r="AL60" i="2"/>
  <c r="AM60" i="2"/>
  <c r="AK60" i="2"/>
  <c r="AM59" i="2"/>
  <c r="AK59" i="2"/>
  <c r="AL59" i="2"/>
  <c r="AM58" i="2"/>
  <c r="AL58" i="2"/>
  <c r="AK58" i="2"/>
  <c r="AL57" i="2"/>
  <c r="AK57" i="2"/>
  <c r="AM57" i="2"/>
  <c r="AL56" i="2"/>
  <c r="AM56" i="2"/>
  <c r="AK56" i="2"/>
  <c r="AL55" i="2"/>
  <c r="AM55" i="2"/>
  <c r="AK55" i="2"/>
  <c r="AM54" i="2"/>
  <c r="AK54" i="2"/>
  <c r="AL54" i="2"/>
  <c r="AM53" i="2"/>
  <c r="AK53" i="2"/>
  <c r="AL53" i="2"/>
  <c r="AM52" i="2"/>
  <c r="AL52" i="2"/>
  <c r="AK52" i="2"/>
  <c r="AL51" i="2"/>
  <c r="AK51" i="2"/>
  <c r="AM51" i="2"/>
  <c r="AK50" i="2"/>
  <c r="AL50" i="2"/>
  <c r="AM50" i="2"/>
  <c r="AK49" i="2"/>
  <c r="AL49" i="2"/>
  <c r="AM49" i="2"/>
  <c r="AK48" i="2"/>
  <c r="AL48" i="2"/>
  <c r="AM48" i="2"/>
  <c r="AK47" i="2"/>
  <c r="AL47" i="2"/>
  <c r="AM47" i="2"/>
  <c r="AK46" i="2"/>
  <c r="AL46" i="2"/>
  <c r="AM46" i="2"/>
  <c r="AK45" i="2"/>
  <c r="AL45" i="2"/>
  <c r="AM45" i="2"/>
  <c r="AK44" i="2"/>
  <c r="AL44" i="2"/>
  <c r="AM44" i="2"/>
  <c r="AK43" i="2"/>
  <c r="AL43" i="2"/>
  <c r="AM43" i="2"/>
  <c r="AK42" i="2"/>
  <c r="AL42" i="2"/>
  <c r="AM42" i="2"/>
  <c r="AK41" i="2"/>
  <c r="AL41" i="2"/>
  <c r="AM41" i="2"/>
  <c r="AK40" i="2"/>
  <c r="AL40" i="2"/>
  <c r="AM40" i="2"/>
  <c r="AK39" i="2"/>
  <c r="AL39" i="2"/>
  <c r="AM39" i="2"/>
  <c r="AL38" i="2"/>
  <c r="AK38" i="2"/>
  <c r="AM38" i="2"/>
  <c r="AK37" i="2"/>
  <c r="AL37" i="2"/>
  <c r="AM37" i="2"/>
  <c r="AK36" i="2"/>
  <c r="AM36" i="2"/>
  <c r="AL36" i="2"/>
  <c r="AL35" i="2"/>
  <c r="AK35" i="2"/>
  <c r="AM35" i="2"/>
  <c r="AK34" i="2"/>
  <c r="AM34" i="2"/>
  <c r="AL34" i="2"/>
  <c r="AM33" i="2"/>
  <c r="AL33" i="2"/>
  <c r="AK33" i="2"/>
  <c r="AL32" i="2"/>
  <c r="AM32" i="2"/>
  <c r="AK32" i="2"/>
  <c r="AM31" i="2"/>
  <c r="AL31" i="2"/>
  <c r="AK31" i="2"/>
  <c r="AL30" i="2"/>
  <c r="AM30" i="2"/>
  <c r="AK30" i="2"/>
  <c r="AK29" i="2"/>
  <c r="AM29" i="2"/>
  <c r="AL29" i="2"/>
  <c r="AK28" i="2"/>
  <c r="AM28" i="2"/>
  <c r="AL28" i="2"/>
  <c r="AL27" i="2"/>
  <c r="AM27" i="2"/>
  <c r="AK27" i="2"/>
  <c r="AK26" i="2"/>
  <c r="AM26" i="2"/>
  <c r="AL26" i="2"/>
  <c r="AK25" i="2"/>
  <c r="AL25" i="2"/>
  <c r="AM25" i="2"/>
  <c r="AK24" i="2"/>
  <c r="AL24" i="2"/>
  <c r="AM24" i="2"/>
  <c r="AK23" i="2"/>
  <c r="AL23" i="2"/>
  <c r="AM23" i="2"/>
  <c r="AK22" i="2"/>
  <c r="AL22" i="2"/>
  <c r="AM22" i="2"/>
  <c r="AK21" i="2"/>
  <c r="AL21" i="2"/>
  <c r="AM21" i="2"/>
  <c r="AK20" i="2"/>
  <c r="AL20" i="2"/>
  <c r="AM20" i="2"/>
  <c r="AK19" i="2"/>
  <c r="AL19" i="2"/>
  <c r="AM19" i="2"/>
  <c r="AL18" i="2"/>
  <c r="AM18" i="2"/>
  <c r="AK18" i="2"/>
  <c r="AM17" i="2"/>
  <c r="AK17" i="2"/>
  <c r="AL17" i="2"/>
  <c r="AM16" i="2"/>
  <c r="AL16" i="2"/>
  <c r="AK16" i="2"/>
  <c r="AL15" i="2"/>
  <c r="AM15" i="2"/>
  <c r="AK15" i="2"/>
  <c r="AL14" i="2"/>
  <c r="AK14" i="2"/>
  <c r="AM14" i="2"/>
  <c r="AM13" i="2"/>
  <c r="AK13" i="2"/>
  <c r="AL13" i="2"/>
  <c r="AK12" i="2"/>
  <c r="AL12" i="2"/>
  <c r="AM12" i="2"/>
  <c r="AL11" i="2"/>
  <c r="AM11" i="2"/>
  <c r="AK11" i="2"/>
  <c r="AK10" i="2"/>
  <c r="AM10" i="2"/>
  <c r="AL10" i="2"/>
  <c r="AK9" i="2"/>
  <c r="AM9" i="2"/>
  <c r="AL9" i="2"/>
  <c r="AM8" i="2"/>
  <c r="AK8" i="2"/>
  <c r="AL8" i="2"/>
  <c r="AK7" i="2"/>
  <c r="AM7" i="2"/>
  <c r="AL7" i="2"/>
  <c r="AL6" i="2"/>
  <c r="AM6" i="2"/>
  <c r="AK6" i="2"/>
  <c r="AK5" i="2"/>
  <c r="AL5" i="2"/>
  <c r="AM5" i="2"/>
  <c r="AK4" i="2"/>
  <c r="AM4" i="2"/>
  <c r="AL4" i="2"/>
  <c r="AL3" i="2"/>
  <c r="AM3" i="2"/>
  <c r="AK3" i="2"/>
  <c r="AK2" i="2"/>
  <c r="AM2" i="2"/>
  <c r="AL2" i="2"/>
  <c r="AU128" i="1"/>
  <c r="AV128" i="1"/>
  <c r="AW128" i="1"/>
  <c r="AX128" i="1"/>
  <c r="AY128" i="1"/>
  <c r="AZ128" i="1"/>
  <c r="AU127" i="1"/>
  <c r="AW127" i="1"/>
  <c r="AX127" i="1"/>
  <c r="AZ127" i="1"/>
  <c r="AV127" i="1"/>
  <c r="AY127" i="1"/>
  <c r="AV126" i="1"/>
  <c r="AU126" i="1"/>
  <c r="AW126" i="1"/>
  <c r="AX126" i="1"/>
  <c r="AY126" i="1"/>
  <c r="AZ126" i="1"/>
  <c r="AU125" i="1"/>
  <c r="AW125" i="1"/>
  <c r="AY125" i="1"/>
  <c r="AV125" i="1"/>
  <c r="AX125" i="1"/>
  <c r="AZ125" i="1"/>
  <c r="AV124" i="1"/>
  <c r="AU122" i="1"/>
  <c r="AV122" i="1"/>
  <c r="AX122" i="1"/>
  <c r="AY122" i="1"/>
  <c r="AZ122" i="1"/>
  <c r="AW122" i="1"/>
  <c r="AV121" i="1"/>
  <c r="AU121" i="1"/>
  <c r="AW121" i="1"/>
  <c r="AX121" i="1"/>
  <c r="AY121" i="1"/>
  <c r="AZ121" i="1"/>
  <c r="AU120" i="1"/>
  <c r="AV120" i="1"/>
  <c r="AW120" i="1"/>
  <c r="AX120" i="1"/>
  <c r="AY120" i="1"/>
  <c r="AZ120" i="1"/>
  <c r="AV118" i="1"/>
  <c r="AX118" i="1"/>
  <c r="AY118" i="1"/>
  <c r="AZ118" i="1"/>
  <c r="AU118" i="1"/>
  <c r="AW118" i="1"/>
  <c r="AU117" i="1"/>
  <c r="AV117" i="1"/>
  <c r="AW117" i="1"/>
  <c r="AX117" i="1"/>
  <c r="AY117" i="1"/>
  <c r="AZ117" i="1"/>
  <c r="AU116" i="1"/>
  <c r="AV116" i="1"/>
  <c r="AW116" i="1"/>
  <c r="AX116" i="1"/>
  <c r="AY116" i="1"/>
  <c r="AZ116" i="1"/>
  <c r="AU115" i="1"/>
  <c r="AV115" i="1"/>
  <c r="AW115" i="1"/>
  <c r="AX115" i="1"/>
  <c r="AY115" i="1"/>
  <c r="AZ115" i="1"/>
  <c r="AV114" i="1"/>
  <c r="AU114" i="1"/>
  <c r="AW114" i="1"/>
  <c r="AX114" i="1"/>
  <c r="AY114" i="1"/>
  <c r="AZ114" i="1"/>
  <c r="AW113" i="1"/>
  <c r="AY113" i="1"/>
  <c r="AU113" i="1"/>
  <c r="AV113" i="1"/>
  <c r="AX113" i="1"/>
  <c r="AZ113" i="1"/>
  <c r="AW112" i="1"/>
  <c r="AU112" i="1"/>
  <c r="AV112" i="1"/>
  <c r="AX112" i="1"/>
  <c r="AY112" i="1"/>
  <c r="AZ112" i="1"/>
  <c r="AU111" i="1"/>
  <c r="AW111" i="1"/>
  <c r="AV111" i="1"/>
  <c r="AX111" i="1"/>
  <c r="AY111" i="1"/>
  <c r="AZ111" i="1"/>
  <c r="AU110" i="1"/>
  <c r="AX110" i="1"/>
  <c r="AZ110" i="1"/>
  <c r="AV110" i="1"/>
  <c r="AW110" i="1"/>
  <c r="AY110" i="1"/>
  <c r="AU109" i="1"/>
  <c r="AW109" i="1"/>
  <c r="AY109" i="1"/>
  <c r="AV109" i="1"/>
  <c r="AX109" i="1"/>
  <c r="AZ109" i="1"/>
  <c r="AV108" i="1"/>
  <c r="AX108" i="1"/>
  <c r="AY108" i="1"/>
  <c r="AZ108" i="1"/>
  <c r="AU108" i="1"/>
  <c r="AW108" i="1"/>
  <c r="AU107" i="1"/>
  <c r="AV107" i="1"/>
  <c r="AW107" i="1"/>
  <c r="AX107" i="1"/>
  <c r="AY107" i="1"/>
  <c r="AZ107" i="1"/>
  <c r="AW106" i="1"/>
  <c r="AU106" i="1"/>
  <c r="AY106" i="1"/>
  <c r="AV106" i="1"/>
  <c r="AX106" i="1"/>
  <c r="AZ106" i="1"/>
  <c r="AU105" i="1"/>
  <c r="AV105" i="1"/>
  <c r="AW105" i="1"/>
  <c r="AX105" i="1"/>
  <c r="AZ105" i="1"/>
  <c r="AY105" i="1"/>
  <c r="AU104" i="1"/>
  <c r="AU97" i="1"/>
  <c r="AW97" i="1"/>
  <c r="AV97" i="1"/>
  <c r="AX97" i="1"/>
  <c r="AY97" i="1"/>
  <c r="AZ97" i="1"/>
  <c r="AU91" i="1"/>
  <c r="AV91" i="1"/>
  <c r="AW91" i="1"/>
  <c r="AX91" i="1"/>
  <c r="AY91" i="1"/>
  <c r="AZ91" i="1"/>
  <c r="AU90" i="1"/>
  <c r="AV90" i="1"/>
  <c r="AW90" i="1"/>
  <c r="AX90" i="1"/>
  <c r="AY90" i="1"/>
  <c r="AZ90" i="1"/>
  <c r="AU89" i="1"/>
  <c r="AV89" i="1"/>
  <c r="AW89" i="1"/>
  <c r="AX89" i="1"/>
  <c r="AY89" i="1"/>
  <c r="AZ89" i="1"/>
  <c r="AU88" i="1"/>
  <c r="AV88" i="1"/>
  <c r="AW88" i="1"/>
  <c r="AX88" i="1"/>
  <c r="AY88" i="1"/>
  <c r="AZ88" i="1"/>
  <c r="AU87" i="1"/>
  <c r="AV87" i="1"/>
  <c r="AW87" i="1"/>
  <c r="AX87" i="1"/>
  <c r="AY87" i="1"/>
  <c r="AZ87" i="1"/>
  <c r="AU86" i="1"/>
  <c r="AV86" i="1"/>
  <c r="AW86" i="1"/>
  <c r="AX86" i="1"/>
  <c r="AY86" i="1"/>
  <c r="AZ86" i="1"/>
  <c r="AU85" i="1"/>
  <c r="AV85" i="1"/>
  <c r="AW85" i="1"/>
  <c r="AX85" i="1"/>
  <c r="AY85" i="1"/>
  <c r="AZ85" i="1"/>
  <c r="AV84" i="1"/>
  <c r="AW84" i="1"/>
  <c r="AY84" i="1"/>
  <c r="AZ84" i="1"/>
  <c r="AU84" i="1"/>
  <c r="AX84" i="1"/>
  <c r="AU79" i="1"/>
  <c r="AV79" i="1"/>
  <c r="AW79" i="1"/>
  <c r="AX79" i="1"/>
  <c r="AY79" i="1"/>
  <c r="AZ79" i="1"/>
  <c r="AU78" i="1"/>
  <c r="AV78" i="1"/>
  <c r="AW78" i="1"/>
  <c r="AX78" i="1"/>
  <c r="AY78" i="1"/>
  <c r="AZ78" i="1"/>
  <c r="AU77" i="1"/>
  <c r="AV77" i="1"/>
  <c r="AW77" i="1"/>
  <c r="AX77" i="1"/>
  <c r="AY77" i="1"/>
  <c r="AZ77" i="1"/>
  <c r="AV76" i="1"/>
  <c r="AW76" i="1"/>
  <c r="AX76" i="1"/>
  <c r="AY76" i="1"/>
  <c r="AZ76" i="1"/>
  <c r="AU76" i="1"/>
  <c r="AV75" i="1"/>
  <c r="AW75" i="1"/>
  <c r="AX75" i="1"/>
  <c r="AY75" i="1"/>
  <c r="AZ75" i="1"/>
  <c r="AU75" i="1"/>
  <c r="AU74" i="1"/>
  <c r="AV74" i="1"/>
  <c r="AW74" i="1"/>
  <c r="AX74" i="1"/>
  <c r="AY74" i="1"/>
  <c r="AZ74" i="1"/>
  <c r="AU73" i="1"/>
  <c r="AW73" i="1"/>
  <c r="AY73" i="1"/>
  <c r="AV73" i="1"/>
  <c r="AX73" i="1"/>
  <c r="AZ73" i="1"/>
  <c r="AU72" i="1"/>
  <c r="AV72" i="1"/>
  <c r="AW72" i="1"/>
  <c r="AX72" i="1"/>
  <c r="AY72" i="1"/>
  <c r="AZ72" i="1"/>
  <c r="AU70" i="1"/>
  <c r="AV70" i="1"/>
  <c r="AW70" i="1"/>
  <c r="AX70" i="1"/>
  <c r="AY70" i="1"/>
  <c r="AZ70" i="1"/>
  <c r="AU69" i="1"/>
  <c r="AV69" i="1"/>
  <c r="AW69" i="1"/>
  <c r="AX69" i="1"/>
  <c r="AY69" i="1"/>
  <c r="AZ69" i="1"/>
  <c r="AU68" i="1"/>
  <c r="AV68" i="1"/>
  <c r="AW68" i="1"/>
  <c r="AX68" i="1"/>
  <c r="AY68" i="1"/>
  <c r="AZ68" i="1"/>
  <c r="AU67" i="1"/>
  <c r="AV67" i="1"/>
  <c r="AW67" i="1"/>
  <c r="AX67" i="1"/>
  <c r="AY67" i="1"/>
  <c r="AZ67" i="1"/>
  <c r="AU66" i="1"/>
  <c r="AW66" i="1"/>
  <c r="AX66" i="1"/>
  <c r="AZ66" i="1"/>
  <c r="AV66" i="1"/>
  <c r="AY66" i="1"/>
  <c r="AU65" i="1"/>
  <c r="AW65" i="1"/>
  <c r="AY65" i="1"/>
  <c r="AV65" i="1"/>
  <c r="AX65" i="1"/>
  <c r="AZ65" i="1"/>
  <c r="AU63" i="1"/>
  <c r="AX63" i="1"/>
  <c r="AZ63" i="1"/>
  <c r="AV63" i="1"/>
  <c r="AW63" i="1"/>
  <c r="AY63" i="1"/>
  <c r="AU62" i="1"/>
  <c r="AW62" i="1"/>
  <c r="AX62" i="1"/>
  <c r="AZ62" i="1"/>
  <c r="AV62" i="1"/>
  <c r="AY62" i="1"/>
  <c r="AV61" i="1"/>
  <c r="AU61" i="1"/>
  <c r="AW61" i="1"/>
  <c r="AX61" i="1"/>
  <c r="AY61" i="1"/>
  <c r="AZ61" i="1"/>
  <c r="AU60" i="1"/>
  <c r="AV60" i="1"/>
  <c r="AW60" i="1"/>
  <c r="AX60" i="1"/>
  <c r="AY60" i="1"/>
  <c r="AZ60" i="1"/>
  <c r="AR59" i="1"/>
  <c r="AS59" i="1" s="1"/>
  <c r="AT59" i="1"/>
  <c r="AU58" i="1"/>
  <c r="AV58" i="1"/>
  <c r="AW58" i="1"/>
  <c r="AX58" i="1"/>
  <c r="AY58" i="1"/>
  <c r="AZ58" i="1"/>
  <c r="AU56" i="1"/>
  <c r="AV56" i="1"/>
  <c r="AW56" i="1"/>
  <c r="AX56" i="1"/>
  <c r="AY56" i="1"/>
  <c r="AZ56" i="1"/>
  <c r="AU55" i="1"/>
  <c r="AV55" i="1"/>
  <c r="AW55" i="1"/>
  <c r="AX55" i="1"/>
  <c r="AY55" i="1"/>
  <c r="AZ55" i="1"/>
  <c r="AU54" i="1"/>
  <c r="AV54" i="1"/>
  <c r="AW54" i="1"/>
  <c r="AX54" i="1"/>
  <c r="AY54" i="1"/>
  <c r="AZ54" i="1"/>
  <c r="AU53" i="1"/>
  <c r="AW53" i="1"/>
  <c r="AY53" i="1"/>
  <c r="AV53" i="1"/>
  <c r="AX53" i="1"/>
  <c r="AZ53" i="1"/>
  <c r="AU52" i="1"/>
  <c r="AX52" i="1"/>
  <c r="AZ52" i="1"/>
  <c r="AV52" i="1"/>
  <c r="AY52" i="1"/>
  <c r="AW52" i="1"/>
  <c r="AZ51" i="1"/>
  <c r="AV51" i="1"/>
  <c r="AY51" i="1"/>
  <c r="AX51" i="1"/>
  <c r="AU51" i="1"/>
  <c r="AW51" i="1"/>
  <c r="AU50" i="1"/>
  <c r="AV50" i="1"/>
  <c r="AX50" i="1"/>
  <c r="AY50" i="1"/>
  <c r="AZ50" i="1"/>
  <c r="AW50" i="1"/>
  <c r="AU49" i="1"/>
  <c r="AV49" i="1"/>
  <c r="AW49" i="1"/>
  <c r="AX49" i="1"/>
  <c r="AY49" i="1"/>
  <c r="AZ49" i="1"/>
  <c r="AU48" i="1"/>
  <c r="AV48" i="1"/>
  <c r="AW48" i="1"/>
  <c r="AX48" i="1"/>
  <c r="AY48" i="1"/>
  <c r="AZ48" i="1"/>
  <c r="AU47" i="1"/>
  <c r="AV47" i="1"/>
  <c r="AW47" i="1"/>
  <c r="AX47" i="1"/>
  <c r="AY47" i="1"/>
  <c r="AZ47" i="1"/>
  <c r="AU46" i="1"/>
  <c r="AV46" i="1"/>
  <c r="AW46" i="1"/>
  <c r="AX46" i="1"/>
  <c r="AY46" i="1"/>
  <c r="AZ46" i="1"/>
  <c r="AU45" i="1"/>
  <c r="AV45" i="1"/>
  <c r="AW45" i="1"/>
  <c r="AX45" i="1"/>
  <c r="AY45" i="1"/>
  <c r="AZ45" i="1"/>
  <c r="AU44" i="1"/>
  <c r="AV44" i="1"/>
  <c r="AW44" i="1"/>
  <c r="AX44" i="1"/>
  <c r="AY44" i="1"/>
  <c r="AZ44" i="1"/>
  <c r="AU43" i="1"/>
  <c r="AV43" i="1"/>
  <c r="AW43" i="1"/>
  <c r="AX43" i="1"/>
  <c r="AY43" i="1"/>
  <c r="AZ43" i="1"/>
  <c r="AU40" i="1"/>
  <c r="AV40" i="1"/>
  <c r="AW40" i="1"/>
  <c r="AX40" i="1"/>
  <c r="AY40" i="1"/>
  <c r="AZ40" i="1"/>
  <c r="AU27" i="1"/>
  <c r="AV27" i="1"/>
  <c r="AW27" i="1"/>
  <c r="AX27" i="1"/>
  <c r="AY27" i="1"/>
  <c r="AZ27" i="1"/>
  <c r="AU26" i="1"/>
  <c r="AV26" i="1"/>
  <c r="AW26" i="1"/>
  <c r="AX26" i="1"/>
  <c r="AY26" i="1"/>
  <c r="AZ26" i="1"/>
  <c r="AU25" i="1"/>
  <c r="AV25" i="1"/>
  <c r="AW25" i="1"/>
  <c r="AX25" i="1"/>
  <c r="AY25" i="1"/>
  <c r="AZ25" i="1"/>
  <c r="AR24" i="1"/>
  <c r="AS24" i="1" s="1"/>
  <c r="AT24" i="1"/>
  <c r="AW17" i="1"/>
  <c r="AV17" i="1"/>
  <c r="AX17" i="1"/>
  <c r="AY17" i="1"/>
  <c r="AZ17" i="1"/>
  <c r="AU17" i="1"/>
  <c r="AU16" i="1"/>
  <c r="AW16" i="1"/>
  <c r="AY16" i="1"/>
  <c r="AV16" i="1"/>
  <c r="AX16" i="1"/>
  <c r="AZ16" i="1"/>
  <c r="AV15" i="1"/>
  <c r="AW15" i="1"/>
  <c r="AY15" i="1"/>
  <c r="AU15" i="1"/>
  <c r="AX15" i="1"/>
  <c r="AZ15" i="1"/>
  <c r="AV14" i="1"/>
  <c r="AZ14" i="1"/>
  <c r="AU14" i="1"/>
  <c r="AW14" i="1"/>
  <c r="AY14" i="1"/>
  <c r="AX14" i="1"/>
  <c r="AU12" i="1"/>
  <c r="AV12" i="1"/>
  <c r="AW12" i="1"/>
  <c r="AX12" i="1"/>
  <c r="AY12" i="1"/>
  <c r="AZ12" i="1"/>
  <c r="AU10" i="1"/>
  <c r="AV10" i="1"/>
  <c r="AW10" i="1"/>
  <c r="AX10" i="1"/>
  <c r="AY10" i="1"/>
  <c r="AZ10" i="1"/>
  <c r="AU5" i="1"/>
  <c r="AV5" i="1"/>
  <c r="AW5" i="1"/>
  <c r="AX5" i="1"/>
  <c r="AY5" i="1"/>
  <c r="AZ5" i="1"/>
  <c r="AU4" i="1"/>
  <c r="AW4" i="1"/>
  <c r="AX4" i="1"/>
  <c r="AZ4" i="1"/>
  <c r="AV4" i="1"/>
  <c r="AY4" i="1"/>
  <c r="AU42" i="1" l="1"/>
  <c r="AY42" i="1"/>
  <c r="AV42" i="1"/>
  <c r="AW42" i="1"/>
  <c r="AX42" i="1"/>
  <c r="AZ42" i="1"/>
  <c r="AV82" i="1"/>
  <c r="AU82" i="1"/>
  <c r="AW82" i="1"/>
  <c r="AX82" i="1"/>
  <c r="AZ82" i="1"/>
  <c r="AY82" i="1"/>
  <c r="AY34" i="1"/>
  <c r="AZ34" i="1"/>
  <c r="AU34" i="1"/>
  <c r="AX34" i="1"/>
  <c r="AW34" i="1"/>
  <c r="AV34" i="1"/>
  <c r="AU123" i="1"/>
  <c r="AV123" i="1"/>
  <c r="AW123" i="1"/>
  <c r="AY123" i="1"/>
  <c r="AZ123" i="1"/>
  <c r="AX123" i="1"/>
  <c r="AV103" i="1"/>
  <c r="AX103" i="1"/>
  <c r="AY103" i="1"/>
  <c r="AZ103" i="1"/>
  <c r="AW103" i="1"/>
  <c r="AU103" i="1"/>
  <c r="AW102" i="1"/>
  <c r="AX102" i="1"/>
  <c r="AY102" i="1"/>
  <c r="AZ102" i="1"/>
  <c r="AU102" i="1"/>
  <c r="AV102" i="1"/>
  <c r="AY36" i="1"/>
  <c r="AU36" i="1"/>
  <c r="AX36" i="1"/>
  <c r="AV36" i="1"/>
  <c r="AZ36" i="1"/>
  <c r="AW36" i="1"/>
  <c r="AZ29" i="1"/>
  <c r="AY29" i="1"/>
  <c r="AX29" i="1"/>
  <c r="AW29" i="1"/>
  <c r="AU29" i="1"/>
  <c r="AV29" i="1"/>
  <c r="AV96" i="1"/>
  <c r="AU96" i="1"/>
  <c r="AW96" i="1"/>
  <c r="AX96" i="1"/>
  <c r="AY96" i="1"/>
  <c r="AZ96" i="1"/>
  <c r="AX81" i="1"/>
  <c r="AW81" i="1"/>
  <c r="AV81" i="1"/>
  <c r="AZ81" i="1"/>
  <c r="AU81" i="1"/>
  <c r="AY81" i="1"/>
  <c r="AW30" i="1"/>
  <c r="AV30" i="1"/>
  <c r="AU30" i="1"/>
  <c r="AY30" i="1"/>
  <c r="AZ30" i="1"/>
  <c r="AX30" i="1"/>
  <c r="AW8" i="1"/>
  <c r="AU8" i="1"/>
  <c r="AV8" i="1"/>
  <c r="AX8" i="1"/>
  <c r="AY8" i="1"/>
  <c r="AZ8" i="1"/>
  <c r="AU7" i="1"/>
  <c r="AW7" i="1"/>
  <c r="AX7" i="1"/>
  <c r="AZ7" i="1"/>
  <c r="AV7" i="1"/>
  <c r="AY7" i="1"/>
  <c r="AZ64" i="1"/>
  <c r="AX64" i="1"/>
  <c r="AW64" i="1"/>
  <c r="AU64" i="1"/>
  <c r="AY64" i="1"/>
  <c r="AV64" i="1"/>
  <c r="AV38" i="1"/>
  <c r="AW38" i="1"/>
  <c r="AX38" i="1"/>
  <c r="AY38" i="1"/>
  <c r="AZ38" i="1"/>
  <c r="AU38" i="1"/>
  <c r="AY35" i="1"/>
  <c r="AU35" i="1"/>
  <c r="AZ35" i="1"/>
  <c r="AV35" i="1"/>
  <c r="AW35" i="1"/>
  <c r="AX35" i="1"/>
  <c r="AY124" i="1"/>
  <c r="AU124" i="1"/>
  <c r="AW124" i="1"/>
  <c r="AZ124" i="1"/>
  <c r="AX124" i="1"/>
  <c r="AU119" i="1"/>
  <c r="AV119" i="1"/>
  <c r="AW119" i="1"/>
  <c r="AX119" i="1"/>
  <c r="AY119" i="1"/>
  <c r="AZ119" i="1"/>
  <c r="AW101" i="1"/>
  <c r="AX101" i="1"/>
  <c r="AZ101" i="1"/>
  <c r="AV101" i="1"/>
  <c r="AY101" i="1"/>
  <c r="AU101" i="1"/>
  <c r="AZ95" i="1"/>
  <c r="AX95" i="1"/>
  <c r="AV95" i="1"/>
  <c r="AY95" i="1"/>
  <c r="AW95" i="1"/>
  <c r="AU95" i="1"/>
  <c r="AU94" i="1"/>
  <c r="AX94" i="1"/>
  <c r="AZ94" i="1"/>
  <c r="AV94" i="1"/>
  <c r="AY94" i="1"/>
  <c r="AW94" i="1"/>
  <c r="AU41" i="1"/>
  <c r="AV41" i="1"/>
  <c r="AW41" i="1"/>
  <c r="AX41" i="1"/>
  <c r="AY41" i="1"/>
  <c r="AZ41" i="1"/>
  <c r="AZ9" i="1"/>
  <c r="AV9" i="1"/>
  <c r="AW9" i="1"/>
  <c r="AY9" i="1"/>
  <c r="AU9" i="1"/>
  <c r="AX9" i="1"/>
  <c r="AX104" i="1"/>
  <c r="AY104" i="1"/>
  <c r="AW104" i="1"/>
  <c r="AV104" i="1"/>
  <c r="AZ104" i="1"/>
  <c r="AX100" i="1"/>
  <c r="AW100" i="1"/>
  <c r="AV100" i="1"/>
  <c r="AU100" i="1"/>
  <c r="AY100" i="1"/>
  <c r="AZ100" i="1"/>
  <c r="AX99" i="1"/>
  <c r="AZ99" i="1"/>
  <c r="AY99" i="1"/>
  <c r="AW99" i="1"/>
  <c r="AU99" i="1"/>
  <c r="AV99" i="1"/>
  <c r="AZ98" i="1"/>
  <c r="AW98" i="1"/>
  <c r="AU98" i="1"/>
  <c r="AV98" i="1"/>
  <c r="AY98" i="1"/>
  <c r="AX98" i="1"/>
  <c r="AZ93" i="1"/>
  <c r="AW93" i="1"/>
  <c r="AU93" i="1"/>
  <c r="AX93" i="1"/>
  <c r="AY93" i="1"/>
  <c r="AV93" i="1"/>
  <c r="AV83" i="1"/>
  <c r="AZ83" i="1"/>
  <c r="AX83" i="1"/>
  <c r="AU83" i="1"/>
  <c r="AW83" i="1"/>
  <c r="AY83" i="1"/>
  <c r="AU80" i="1"/>
  <c r="AW80" i="1"/>
  <c r="AZ80" i="1"/>
  <c r="AY80" i="1"/>
  <c r="AX80" i="1"/>
  <c r="AV80" i="1"/>
  <c r="AZ37" i="1"/>
  <c r="AU37" i="1"/>
  <c r="AV37" i="1"/>
  <c r="AW37" i="1"/>
  <c r="AX37" i="1"/>
  <c r="AY37" i="1"/>
  <c r="AV22" i="1"/>
  <c r="AW22" i="1"/>
  <c r="AY22" i="1"/>
  <c r="AZ22" i="1"/>
  <c r="AU22" i="1"/>
  <c r="AX22" i="1"/>
  <c r="AU19" i="1"/>
  <c r="AW19" i="1"/>
  <c r="AX19" i="1"/>
  <c r="AY19" i="1"/>
  <c r="AZ19" i="1"/>
  <c r="AV19" i="1"/>
  <c r="AV13" i="1"/>
  <c r="AX13" i="1"/>
  <c r="AY13" i="1"/>
  <c r="AZ13" i="1"/>
  <c r="AW13" i="1"/>
  <c r="AU13" i="1"/>
  <c r="AY71" i="1"/>
  <c r="AV71" i="1"/>
  <c r="AX71" i="1"/>
  <c r="AZ71" i="1"/>
  <c r="AU71" i="1"/>
  <c r="AW71" i="1"/>
  <c r="AZ33" i="1"/>
  <c r="AY33" i="1"/>
  <c r="AW33" i="1"/>
  <c r="AX33" i="1"/>
  <c r="AV33" i="1"/>
  <c r="AU33" i="1"/>
  <c r="AX57" i="1"/>
  <c r="AW57" i="1"/>
  <c r="AV57" i="1"/>
  <c r="AU57" i="1"/>
  <c r="AZ57" i="1"/>
  <c r="AY57" i="1"/>
  <c r="AY32" i="1"/>
  <c r="AZ32" i="1"/>
  <c r="AU32" i="1"/>
  <c r="AX32" i="1"/>
  <c r="AW32" i="1"/>
  <c r="AV32" i="1"/>
  <c r="AZ11" i="1"/>
  <c r="AY11" i="1"/>
  <c r="AW11" i="1"/>
  <c r="AV11" i="1"/>
  <c r="AU11" i="1"/>
  <c r="AX11" i="1"/>
  <c r="AZ92" i="1"/>
  <c r="AY92" i="1"/>
  <c r="AX92" i="1"/>
  <c r="AW92" i="1"/>
  <c r="AV92" i="1"/>
  <c r="AU92" i="1"/>
  <c r="AV31" i="1"/>
  <c r="AU31" i="1"/>
  <c r="AX31" i="1"/>
  <c r="AY31" i="1"/>
  <c r="AZ31" i="1"/>
  <c r="AW31" i="1"/>
  <c r="AZ21" i="1"/>
  <c r="AV21" i="1"/>
  <c r="AU21" i="1"/>
  <c r="AW21" i="1"/>
  <c r="AX21" i="1"/>
  <c r="AY21" i="1"/>
  <c r="AU6" i="1"/>
  <c r="AW6" i="1"/>
  <c r="AX6" i="1"/>
  <c r="AZ6" i="1"/>
  <c r="AY6" i="1"/>
  <c r="AV6" i="1"/>
  <c r="AW39" i="1"/>
  <c r="AZ39" i="1"/>
  <c r="AV39" i="1"/>
  <c r="AU39" i="1"/>
  <c r="AY39" i="1"/>
  <c r="AX39" i="1"/>
  <c r="AU20" i="1"/>
  <c r="AV20" i="1"/>
  <c r="AW20" i="1"/>
  <c r="AX20" i="1"/>
  <c r="AY20" i="1"/>
  <c r="AZ20" i="1"/>
  <c r="AZ28" i="1"/>
  <c r="AX28" i="1"/>
  <c r="AW28" i="1"/>
  <c r="AV28" i="1"/>
  <c r="AU28" i="1"/>
  <c r="AY28" i="1"/>
  <c r="AY23" i="1"/>
  <c r="AZ23" i="1"/>
  <c r="AW23" i="1"/>
  <c r="AV23" i="1"/>
  <c r="AU23" i="1"/>
  <c r="AX23" i="1"/>
  <c r="AU18" i="1"/>
  <c r="AV18" i="1"/>
  <c r="AW18" i="1"/>
  <c r="AX18" i="1"/>
  <c r="AZ18" i="1"/>
  <c r="AY18" i="1"/>
  <c r="AU59" i="1"/>
  <c r="AV59" i="1"/>
  <c r="AW59" i="1"/>
  <c r="AX59" i="1"/>
  <c r="AY59" i="1"/>
  <c r="AZ59" i="1"/>
  <c r="AW24" i="1"/>
  <c r="AV24" i="1"/>
  <c r="AY24" i="1"/>
  <c r="AZ24" i="1"/>
  <c r="AU24" i="1"/>
  <c r="AX2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tc={A7DF3A27-03B8-4DBE-AAA1-39E1D18CE8AB}</author>
    <author>tc={EB100C6F-3071-4BF3-A343-4F4C49BA99DE}</author>
  </authors>
  <commentList>
    <comment ref="G3" authorId="0" shapeId="0" xr:uid="{A7DF3A27-03B8-4DBE-AAA1-39E1D18CE8A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USAR ESTE ARQUETIPO</t>
      </text>
    </comment>
    <comment ref="AT3" authorId="1" shapeId="0" xr:uid="{EB100C6F-3071-4BF3-A343-4F4C49BA99D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USAR ESTE ARQUETIP0</t>
      </text>
    </comment>
  </commentList>
</comments>
</file>

<file path=xl/sharedStrings.xml><?xml version="1.0" encoding="utf-8"?>
<sst xmlns="http://schemas.openxmlformats.org/spreadsheetml/2006/main" count="39206" uniqueCount="772">
  <si>
    <t>Base maestra por barrio · arquetipo psicopolítico, correlaciones y contexto territorial</t>
  </si>
  <si>
    <t>Código DAP</t>
  </si>
  <si>
    <t>Comuna</t>
  </si>
  <si>
    <t>Barrio</t>
  </si>
  <si>
    <t>Votantes totales</t>
  </si>
  <si>
    <t>Share ganador</t>
  </si>
  <si>
    <t>Ganador Alcaldía</t>
  </si>
  <si>
    <t>Arquetipo político original</t>
  </si>
  <si>
    <t>Votantes arquetipo aprox</t>
  </si>
  <si>
    <t>% votantes arquetipo original</t>
  </si>
  <si>
    <t>COD_COMUNA</t>
  </si>
  <si>
    <t>ZONA</t>
  </si>
  <si>
    <t>NIV_GOB_CRIMINAL</t>
  </si>
  <si>
    <t>NIV_CONTROL_TERR</t>
  </si>
  <si>
    <t>CAP_DANO_NIV</t>
  </si>
  <si>
    <t>CAP_MOVILIZACION_NIV</t>
  </si>
  <si>
    <t>JAC_CAPTURADA_NIV</t>
  </si>
  <si>
    <t>CONTROL_PARTICIP_NIV</t>
  </si>
  <si>
    <t>RIESGO_ELECTORAL</t>
  </si>
  <si>
    <t>INDICE_PRIORIDAD</t>
  </si>
  <si>
    <t>PRIORIDAD_OBSERVACION</t>
  </si>
  <si>
    <t>MECANISMO_DOMINANTE</t>
  </si>
  <si>
    <t>BANDAS_REFERIDAS</t>
  </si>
  <si>
    <t>TIPO_CONTROL_SOCIAL</t>
  </si>
  <si>
    <t>ACTIV_CRIM_PRINC</t>
  </si>
  <si>
    <t>TIPO_INFLU_ELECT</t>
  </si>
  <si>
    <t>ORG_RIESGO</t>
  </si>
  <si>
    <t>CONFIANZA</t>
  </si>
  <si>
    <t>FUENTE_CRIMEN</t>
  </si>
  <si>
    <t>FUENTE_ELECTORAL</t>
  </si>
  <si>
    <t>ESCALA_TERRITORIAL</t>
  </si>
  <si>
    <t>Concejo vínculo positivo</t>
  </si>
  <si>
    <t>Corr Concejo +</t>
  </si>
  <si>
    <t>Nivel Concejo +</t>
  </si>
  <si>
    <t>JAL vínculo positivo</t>
  </si>
  <si>
    <t>Corr JAL +</t>
  </si>
  <si>
    <t>Nivel JAL +</t>
  </si>
  <si>
    <t>Vínculo inverso crítico</t>
  </si>
  <si>
    <t>Corr inversa crítica</t>
  </si>
  <si>
    <t>Score Protección y orden</t>
  </si>
  <si>
    <t>Score Estabilidad y continuidad</t>
  </si>
  <si>
    <t>Score Supervivencia económica</t>
  </si>
  <si>
    <t>Score Desconfianza y castigo</t>
  </si>
  <si>
    <t>Score Pertenencia territorial</t>
  </si>
  <si>
    <t>Arquetipo psicopolítico sugerido</t>
  </si>
  <si>
    <t>Arquetipo final editable</t>
  </si>
  <si>
    <t>Arquetipo movilizador calibrado</t>
  </si>
  <si>
    <t>Tema agenda recomendado</t>
  </si>
  <si>
    <t>Motor cognitivo / sesgo</t>
  </si>
  <si>
    <t>Miedo dominante</t>
  </si>
  <si>
    <t>Sesgo principal</t>
  </si>
  <si>
    <t>Agenda activadora</t>
  </si>
  <si>
    <t>Recomendación ética</t>
  </si>
  <si>
    <t>Observaciones</t>
  </si>
  <si>
    <t>0401</t>
  </si>
  <si>
    <t>Aranjuez</t>
  </si>
  <si>
    <t>Berlín</t>
  </si>
  <si>
    <t>FEDERICO ANDRES GUTIERREZ ZULUAGA · CREEMOS</t>
  </si>
  <si>
    <t>Arquetipo 1 – Fico urbano-seguridad</t>
  </si>
  <si>
    <t>Nororiental</t>
  </si>
  <si>
    <t>Alto</t>
  </si>
  <si>
    <t>Alta</t>
  </si>
  <si>
    <t>Fronteras/control territorial</t>
  </si>
  <si>
    <t>La Oficina / redes metropolitanas; referencias a Los Triana en el norte</t>
  </si>
  <si>
    <t>CS01;CS03;CS04;CS06</t>
  </si>
  <si>
    <t>AC01;AC02;AC05</t>
  </si>
  <si>
    <t>IE03;IE05;IE06</t>
  </si>
  <si>
    <t>JAC; liderazgos barriales; redes comunitarias</t>
  </si>
  <si>
    <t>Media-alta</t>
  </si>
  <si>
    <t>Documento base; estudios y reportes citados en el documento</t>
  </si>
  <si>
    <t>Documento base; alertas y reportes citados en el documento</t>
  </si>
  <si>
    <t>Escala comuna / no desagregado por barrio</t>
  </si>
  <si>
    <t>ALEJANDRO DE BEDOUT ARANGO · CREEMOS</t>
  </si>
  <si>
    <t>Baja</t>
  </si>
  <si>
    <t>NO APLICA · "MOVIMIENTO ALTERNATIVO INDIGENA Y SOCIAL ""MAIS"""</t>
  </si>
  <si>
    <t>Media</t>
  </si>
  <si>
    <t>GILDARDO ANTONIO CARDONA RUIZ · PARTIDO ALIANZA VERDE</t>
  </si>
  <si>
    <t>Asignación calculada; validar con trabajo territorial.</t>
  </si>
  <si>
    <t>0402</t>
  </si>
  <si>
    <t>San Isidro</t>
  </si>
  <si>
    <t>0405</t>
  </si>
  <si>
    <t>Moravia</t>
  </si>
  <si>
    <t>JUAN CARLOS ROBERTO VELEZ URIBE · PARTIDO CENTRO DEMOCRATICO</t>
  </si>
  <si>
    <t>Arquetipo 2 – Derecha uribista-popular</t>
  </si>
  <si>
    <t>NO APLICA · PARTIDO LIBERAL COLOMBIANO</t>
  </si>
  <si>
    <t>LEIDY CATALINA LOPERA QUICENO · CREEMOS</t>
  </si>
  <si>
    <t>0407</t>
  </si>
  <si>
    <t>Sevilla</t>
  </si>
  <si>
    <t>0409</t>
  </si>
  <si>
    <t>Manrique Central No.1</t>
  </si>
  <si>
    <t>0410</t>
  </si>
  <si>
    <t>Campo Valdés No.1</t>
  </si>
  <si>
    <t>0413</t>
  </si>
  <si>
    <t>0415</t>
  </si>
  <si>
    <t>Miranda</t>
  </si>
  <si>
    <t>1601</t>
  </si>
  <si>
    <t>Belén</t>
  </si>
  <si>
    <t>Fátima</t>
  </si>
  <si>
    <t>Suroccidental</t>
  </si>
  <si>
    <t>Referencias a La Agonía y Los Pesebreros en comunas 13 y 16</t>
  </si>
  <si>
    <t>CS01;CS03;CS04;CS05;CS06</t>
  </si>
  <si>
    <t>AC01;AC02;AC03;AC05</t>
  </si>
  <si>
    <t>IE03;IE04;IE05;IE06</t>
  </si>
  <si>
    <t>JAC; asentamientos de ladera; organizaciones barriales</t>
  </si>
  <si>
    <t>1602</t>
  </si>
  <si>
    <t>Rosales</t>
  </si>
  <si>
    <t>1603</t>
  </si>
  <si>
    <t>1605</t>
  </si>
  <si>
    <t>San Bernardo</t>
  </si>
  <si>
    <t>1606</t>
  </si>
  <si>
    <t>Las Playas</t>
  </si>
  <si>
    <t>1609</t>
  </si>
  <si>
    <t>La Hondonada</t>
  </si>
  <si>
    <t>1610</t>
  </si>
  <si>
    <t>El Rincón</t>
  </si>
  <si>
    <t>1612</t>
  </si>
  <si>
    <t>La Gloria</t>
  </si>
  <si>
    <t>1613</t>
  </si>
  <si>
    <t>Altavista</t>
  </si>
  <si>
    <t>1614</t>
  </si>
  <si>
    <t>La Palma</t>
  </si>
  <si>
    <t>1616</t>
  </si>
  <si>
    <t>Las Violetas</t>
  </si>
  <si>
    <t>1617</t>
  </si>
  <si>
    <t>Las Mercedes</t>
  </si>
  <si>
    <t>1620</t>
  </si>
  <si>
    <t>El Nogal-Los Almendros</t>
  </si>
  <si>
    <t>0903</t>
  </si>
  <si>
    <t>Buenos Aires</t>
  </si>
  <si>
    <t>Bomboná No.2</t>
  </si>
  <si>
    <t>Centroriental</t>
  </si>
  <si>
    <t>Medio</t>
  </si>
  <si>
    <t>Acceso político/comunitario</t>
  </si>
  <si>
    <t>No consolidado por fuente; referencia general a combos locales</t>
  </si>
  <si>
    <t>CS03;CS04;CS05</t>
  </si>
  <si>
    <t>IE03;IE05</t>
  </si>
  <si>
    <t>JAC; redes comunitarias</t>
  </si>
  <si>
    <t>Media-baja</t>
  </si>
  <si>
    <t>0904</t>
  </si>
  <si>
    <t>Los Cerros El Vergel</t>
  </si>
  <si>
    <t>0906</t>
  </si>
  <si>
    <t>Barrio Caicedo</t>
  </si>
  <si>
    <t>0907</t>
  </si>
  <si>
    <t>0910</t>
  </si>
  <si>
    <t>La Milagrosa</t>
  </si>
  <si>
    <t>0912</t>
  </si>
  <si>
    <t>El Salvador</t>
  </si>
  <si>
    <t>0913</t>
  </si>
  <si>
    <t>Loreto</t>
  </si>
  <si>
    <t>0504</t>
  </si>
  <si>
    <t>Castilla</t>
  </si>
  <si>
    <t>Tejelo</t>
  </si>
  <si>
    <t>Noroccidental</t>
  </si>
  <si>
    <t>La Oficina / Los Triana / Pachelly en entorno norte según reportes citados</t>
  </si>
  <si>
    <t>CS01;CS03;CS04;CS05</t>
  </si>
  <si>
    <t>AC01;AC02;AC05;AC06</t>
  </si>
  <si>
    <t>IE03;IE04;IE05</t>
  </si>
  <si>
    <t>JAC; comerciantes; organizaciones comunales</t>
  </si>
  <si>
    <t>0505</t>
  </si>
  <si>
    <t>Boyacá</t>
  </si>
  <si>
    <t>0507</t>
  </si>
  <si>
    <t>Héctor Abad Gómez</t>
  </si>
  <si>
    <t>0509</t>
  </si>
  <si>
    <t>Girardot</t>
  </si>
  <si>
    <t>0513</t>
  </si>
  <si>
    <t>Francisco Antonio Zea</t>
  </si>
  <si>
    <t>0514</t>
  </si>
  <si>
    <t>Alfonso López</t>
  </si>
  <si>
    <t>Inst_1</t>
  </si>
  <si>
    <t>Plaza de Ferias</t>
  </si>
  <si>
    <t>GABRIEL JAIME RICO BETANCUR · GRAN ALIANZA POR MEDELLIN</t>
  </si>
  <si>
    <t>7005</t>
  </si>
  <si>
    <t>Corregimiento de Altavista</t>
  </si>
  <si>
    <t>Altavista Sector Central</t>
  </si>
  <si>
    <t>Sin dato</t>
  </si>
  <si>
    <t>Sin fuente</t>
  </si>
  <si>
    <t>No aplica</t>
  </si>
  <si>
    <t>Sin dato específico en paquete 2023–2026</t>
  </si>
  <si>
    <t>AUC2</t>
  </si>
  <si>
    <t>Corregimiento de San Antonio de Prado</t>
  </si>
  <si>
    <t>San Antonio de Prado</t>
  </si>
  <si>
    <t>6013</t>
  </si>
  <si>
    <t>Corregimiento de San Cristóbal</t>
  </si>
  <si>
    <t>Pedregal Alto</t>
  </si>
  <si>
    <t>5004</t>
  </si>
  <si>
    <t>Corregimiento de San Sebastián de Palmitas</t>
  </si>
  <si>
    <t>Palmitas Sector Central</t>
  </si>
  <si>
    <t>9006</t>
  </si>
  <si>
    <t>Corregimiento de Santa Elena</t>
  </si>
  <si>
    <t>Santa Elena Sector Central</t>
  </si>
  <si>
    <t>0601</t>
  </si>
  <si>
    <t>Doce de Octubre</t>
  </si>
  <si>
    <t>Santander</t>
  </si>
  <si>
    <t>La Oficina / referencias a redes del norte urbano</t>
  </si>
  <si>
    <t>JAC; liderazgos comunales; redes juveniles</t>
  </si>
  <si>
    <t>0602</t>
  </si>
  <si>
    <t>Doce de Octubre No.1</t>
  </si>
  <si>
    <t>0603</t>
  </si>
  <si>
    <t>Doce de Octubre No.2</t>
  </si>
  <si>
    <t>0604</t>
  </si>
  <si>
    <t>Pedregal</t>
  </si>
  <si>
    <t>0606</t>
  </si>
  <si>
    <t>San Martín de Porres</t>
  </si>
  <si>
    <t>0607</t>
  </si>
  <si>
    <t>Kennedy</t>
  </si>
  <si>
    <t>1409</t>
  </si>
  <si>
    <t>El Poblado</t>
  </si>
  <si>
    <t>El Tesoro</t>
  </si>
  <si>
    <t>Suroriental</t>
  </si>
  <si>
    <t>Bajo</t>
  </si>
  <si>
    <t>Actividad puntual/sin dominio</t>
  </si>
  <si>
    <t>No dominio territorial; actividades puntuales de drogas/lavado según fuente</t>
  </si>
  <si>
    <t>AC02;AC07</t>
  </si>
  <si>
    <t>No priorizado</t>
  </si>
  <si>
    <t>1412</t>
  </si>
  <si>
    <t>San Lucas</t>
  </si>
  <si>
    <t>1421</t>
  </si>
  <si>
    <t>Patio Bonito</t>
  </si>
  <si>
    <t>1422</t>
  </si>
  <si>
    <t>La Aguacatala</t>
  </si>
  <si>
    <t>1503</t>
  </si>
  <si>
    <t>Guayabal</t>
  </si>
  <si>
    <t>Trinidad</t>
  </si>
  <si>
    <t>Control económico</t>
  </si>
  <si>
    <t>No consolidado por fuente; actividades puntuales posibles</t>
  </si>
  <si>
    <t>CS05</t>
  </si>
  <si>
    <t>AC01;AC02;AC07</t>
  </si>
  <si>
    <t>IE03</t>
  </si>
  <si>
    <t>Comerciantes; redes barriales específicas</t>
  </si>
  <si>
    <t>1507</t>
  </si>
  <si>
    <t>Campo Amor</t>
  </si>
  <si>
    <t>1509</t>
  </si>
  <si>
    <t>Cristo Rey</t>
  </si>
  <si>
    <t>1511</t>
  </si>
  <si>
    <t>La Colina</t>
  </si>
  <si>
    <t>1201</t>
  </si>
  <si>
    <t>La América</t>
  </si>
  <si>
    <t>Ferrini</t>
  </si>
  <si>
    <t>Centroccidental</t>
  </si>
  <si>
    <t>No consolidado; referencias a alertas en comunas 12 y 13</t>
  </si>
  <si>
    <t>CS01;CS04</t>
  </si>
  <si>
    <t>JAC en sectores específicos</t>
  </si>
  <si>
    <t>1204</t>
  </si>
  <si>
    <t>1205</t>
  </si>
  <si>
    <t>La Floresta</t>
  </si>
  <si>
    <t>1206</t>
  </si>
  <si>
    <t>Santa Lucía</t>
  </si>
  <si>
    <t>1208</t>
  </si>
  <si>
    <t>Campo Alegre</t>
  </si>
  <si>
    <t>1209</t>
  </si>
  <si>
    <t>Santa Mónica</t>
  </si>
  <si>
    <t>1210</t>
  </si>
  <si>
    <t>Barrio Cristóbal</t>
  </si>
  <si>
    <t>1211</t>
  </si>
  <si>
    <t>Simón Bolívar</t>
  </si>
  <si>
    <t>1212</t>
  </si>
  <si>
    <t>Santa Teresita</t>
  </si>
  <si>
    <t>1003</t>
  </si>
  <si>
    <t>La Candelaria</t>
  </si>
  <si>
    <t>Jesús Nazareno</t>
  </si>
  <si>
    <t>Extremo</t>
  </si>
  <si>
    <t>La Oficina / redes del centro; estructuras con control de rentas</t>
  </si>
  <si>
    <t>AC01;AC02;AC04;AC05;AC06;AC07</t>
  </si>
  <si>
    <t>Comerciantes; transportadores; liderazgos comunitarios</t>
  </si>
  <si>
    <t>1006</t>
  </si>
  <si>
    <t>San Benito</t>
  </si>
  <si>
    <t>1016</t>
  </si>
  <si>
    <t>Boston</t>
  </si>
  <si>
    <t>1017</t>
  </si>
  <si>
    <t>Los Ángeles</t>
  </si>
  <si>
    <t>1020</t>
  </si>
  <si>
    <t>San Diego</t>
  </si>
  <si>
    <t>Inst_16</t>
  </si>
  <si>
    <t>La Alpujarra</t>
  </si>
  <si>
    <t>Inst_17</t>
  </si>
  <si>
    <t>Centro Administrativo</t>
  </si>
  <si>
    <t>1101</t>
  </si>
  <si>
    <t>Laureles Estadio</t>
  </si>
  <si>
    <t>Carlos E. Restrepo</t>
  </si>
  <si>
    <t>No dominio territorial; actividades puntuales posibles</t>
  </si>
  <si>
    <t>1102</t>
  </si>
  <si>
    <t>Suramericana</t>
  </si>
  <si>
    <t>1104</t>
  </si>
  <si>
    <t>San Joaquín</t>
  </si>
  <si>
    <t>1108</t>
  </si>
  <si>
    <t>Laureles</t>
  </si>
  <si>
    <t>1111</t>
  </si>
  <si>
    <t>Lorena</t>
  </si>
  <si>
    <t>1112</t>
  </si>
  <si>
    <t>El Velódromo</t>
  </si>
  <si>
    <t>1114</t>
  </si>
  <si>
    <t>Los Colores</t>
  </si>
  <si>
    <t>Inst_14</t>
  </si>
  <si>
    <t>U.D. Atanasio Girardot</t>
  </si>
  <si>
    <t>0301</t>
  </si>
  <si>
    <t>Manrique</t>
  </si>
  <si>
    <t>La Salle</t>
  </si>
  <si>
    <t>La Oficina / redes metropolitanas; combos barriales</t>
  </si>
  <si>
    <t>JAC; liderazgos juveniles; organizaciones barriales</t>
  </si>
  <si>
    <t>0302</t>
  </si>
  <si>
    <t>Las Granjas</t>
  </si>
  <si>
    <t>0304</t>
  </si>
  <si>
    <t>Santa Inés</t>
  </si>
  <si>
    <t>0305</t>
  </si>
  <si>
    <t>El Raizal</t>
  </si>
  <si>
    <t>0306</t>
  </si>
  <si>
    <t>El Pomar</t>
  </si>
  <si>
    <t>0308</t>
  </si>
  <si>
    <t>Manrique Oriental</t>
  </si>
  <si>
    <t>0309</t>
  </si>
  <si>
    <t>Versalles No.1</t>
  </si>
  <si>
    <t>0101</t>
  </si>
  <si>
    <t>Popular</t>
  </si>
  <si>
    <t>Santo Domingo Savio No.1</t>
  </si>
  <si>
    <t>JAC; liderazgos barriales; colectivos comunitarios</t>
  </si>
  <si>
    <t>0103</t>
  </si>
  <si>
    <t>0104</t>
  </si>
  <si>
    <t>Granizal</t>
  </si>
  <si>
    <t>0106</t>
  </si>
  <si>
    <t>Villa Guadalupe</t>
  </si>
  <si>
    <t>0107</t>
  </si>
  <si>
    <t>San Pablo</t>
  </si>
  <si>
    <t>0110</t>
  </si>
  <si>
    <t>La Esperanza No.2</t>
  </si>
  <si>
    <t>0703</t>
  </si>
  <si>
    <t>Robledo</t>
  </si>
  <si>
    <t>San Germán</t>
  </si>
  <si>
    <t>JAC; asociaciones barriales; liderazgos comunitarios</t>
  </si>
  <si>
    <t>0708</t>
  </si>
  <si>
    <t>Altamira</t>
  </si>
  <si>
    <t>0711</t>
  </si>
  <si>
    <t>El Diamante</t>
  </si>
  <si>
    <t>0712</t>
  </si>
  <si>
    <t>Aures No.2</t>
  </si>
  <si>
    <t>0713</t>
  </si>
  <si>
    <t>Aures No.1</t>
  </si>
  <si>
    <t>0716</t>
  </si>
  <si>
    <t>Palenque</t>
  </si>
  <si>
    <t>0717</t>
  </si>
  <si>
    <t>0719</t>
  </si>
  <si>
    <t>Fuente Clara</t>
  </si>
  <si>
    <t>0720</t>
  </si>
  <si>
    <t>Santa Margarita</t>
  </si>
  <si>
    <t>0723</t>
  </si>
  <si>
    <t>Pajarito</t>
  </si>
  <si>
    <t>1302</t>
  </si>
  <si>
    <t>San Javier</t>
  </si>
  <si>
    <t>Blanquizal</t>
  </si>
  <si>
    <t>Crítica</t>
  </si>
  <si>
    <t>JAC; liderazgos juveniles; colectivos culturales; organizaciones de base</t>
  </si>
  <si>
    <t>1303</t>
  </si>
  <si>
    <t>Santa Rosa de Lima</t>
  </si>
  <si>
    <t>1306</t>
  </si>
  <si>
    <t>La Pradera</t>
  </si>
  <si>
    <t>1307</t>
  </si>
  <si>
    <t>Juan XXIII La Quiebra</t>
  </si>
  <si>
    <t>1309</t>
  </si>
  <si>
    <t>San Javier No.1</t>
  </si>
  <si>
    <t>1310</t>
  </si>
  <si>
    <t>Veinte de Julio</t>
  </si>
  <si>
    <t>1313</t>
  </si>
  <si>
    <t>El Corazón</t>
  </si>
  <si>
    <t>1317</t>
  </si>
  <si>
    <t>Eduardo Santos</t>
  </si>
  <si>
    <t>1318</t>
  </si>
  <si>
    <t>Antonio Nariño</t>
  </si>
  <si>
    <t>0204</t>
  </si>
  <si>
    <t>Santa Cruz</t>
  </si>
  <si>
    <t>La Frontera</t>
  </si>
  <si>
    <t>No consolidado por fuente; referencia a combos locales</t>
  </si>
  <si>
    <t>CS01;CS03;CS04</t>
  </si>
  <si>
    <t>AC01;AC02</t>
  </si>
  <si>
    <t>JAC; líderes de base</t>
  </si>
  <si>
    <t>0206</t>
  </si>
  <si>
    <t>Andalucía</t>
  </si>
  <si>
    <t>0207</t>
  </si>
  <si>
    <t>Villa del Socorro</t>
  </si>
  <si>
    <t>0209</t>
  </si>
  <si>
    <t>Moscú No.1</t>
  </si>
  <si>
    <t>0211</t>
  </si>
  <si>
    <t>La Rosa</t>
  </si>
  <si>
    <t>0801</t>
  </si>
  <si>
    <t>Villa Hermosa</t>
  </si>
  <si>
    <t>La Oficina / combos barriales; estructuras locales no consolidadas por fuente</t>
  </si>
  <si>
    <t>JAC; líderes sociales; colectivos culturales</t>
  </si>
  <si>
    <t>0802</t>
  </si>
  <si>
    <t>La Mansión</t>
  </si>
  <si>
    <t>0803</t>
  </si>
  <si>
    <t>San Miguel</t>
  </si>
  <si>
    <t>0807</t>
  </si>
  <si>
    <t>Los Mangos</t>
  </si>
  <si>
    <t>0808</t>
  </si>
  <si>
    <t>Enciso</t>
  </si>
  <si>
    <t>0809</t>
  </si>
  <si>
    <t>Sucre</t>
  </si>
  <si>
    <t>0810</t>
  </si>
  <si>
    <t>El Pinal</t>
  </si>
  <si>
    <t>0811</t>
  </si>
  <si>
    <t>Trece de Noviembre</t>
  </si>
  <si>
    <t>0813</t>
  </si>
  <si>
    <t>Villatina</t>
  </si>
  <si>
    <t>0816</t>
  </si>
  <si>
    <t>Villa Turbay</t>
  </si>
  <si>
    <t>Correlaciones completas Alcaldía–Concejo–JAL 2015</t>
  </si>
  <si>
    <t>Cruce</t>
  </si>
  <si>
    <t>Candidato Alcaldía</t>
  </si>
  <si>
    <t>Candidato relacionado</t>
  </si>
  <si>
    <t>Correlación barrio</t>
  </si>
  <si>
    <t>Signo</t>
  </si>
  <si>
    <t>Nivel</t>
  </si>
  <si>
    <t>Alcaldía-Concejo</t>
  </si>
  <si>
    <t>Positiva</t>
  </si>
  <si>
    <t>Muy baja</t>
  </si>
  <si>
    <t>DANIELA MATURANA AGUDELO · CREEMOS</t>
  </si>
  <si>
    <t>RICARDO LEON GALINDO SUAREZ · CREEMOS</t>
  </si>
  <si>
    <t>Negativa</t>
  </si>
  <si>
    <t>DANIEL CARVALHO MEJIA · CREEMOS</t>
  </si>
  <si>
    <t>CARLOS ALBERTO ARCILA VALENCIA · CREEMOS</t>
  </si>
  <si>
    <t>CARLOS ALBERTO BAYER CANO · PARTIDO CONSERVADOR COLOMBIANO</t>
  </si>
  <si>
    <t>JORGE IVAN RIOS RIVERA · CREEMOS</t>
  </si>
  <si>
    <t>JESUS ALBERTO SANCHEZ RESTREPO · CREEMOS</t>
  </si>
  <si>
    <t>CRISTIAN CAMILO RESTREPO · CREEMOS</t>
  </si>
  <si>
    <t>JOSE NILSON LECTAMO SILVA · CREEMOS</t>
  </si>
  <si>
    <t>ELKIN LIBARDO RIOS ORTIZ · PARTIDO ALIANZA SOCIAL INDEPENDIENTE</t>
  </si>
  <si>
    <t>JORGE RODRIGO TOBON MONTOYA · JUNTOS POR MEDELLIN</t>
  </si>
  <si>
    <t>JAIRO HORACIO BERNAL NARANJO · CREEMOS</t>
  </si>
  <si>
    <t>MATEO GONZALEZ BENITEZ · CREEMOS</t>
  </si>
  <si>
    <t>GLORIA ASTRID PIEDRAHITA DE RAMIREZ · CREEMOS</t>
  </si>
  <si>
    <t>LUZ AMPARO GUTIERREZ VELASQUEZ · CREEMOS</t>
  </si>
  <si>
    <t>WENDY GAVIRIA CARDONA · CREEMOS</t>
  </si>
  <si>
    <t>JULIANA MEJIA JIMENEZ · CREEMOS</t>
  </si>
  <si>
    <t>CESAR MAURICIO RUIZ CHAVERRA · PARTIDO CAMBIO RADICAL</t>
  </si>
  <si>
    <t>JAVIER ALFONSO GARCIA NARANJO · CREEMOS</t>
  </si>
  <si>
    <t>Alcaldía-JAL</t>
  </si>
  <si>
    <t>LUZ DANELIA GUARIN OCAMPO · "MOVIMIENTO ALTERNATIVO INDIGENA Y SOCIAL ""MAIS"""</t>
  </si>
  <si>
    <t>GORBACHOV BAILARIN SINIGUI · "MOVIMIENTO ALTERNATIVO INDIGENA Y SOCIAL ""MAIS"""</t>
  </si>
  <si>
    <t>SILVIA SANMIGUEL DAVID · "MOVIMIENTO ALTERNATIVO INDIGENA Y SOCIAL ""MAIS"""</t>
  </si>
  <si>
    <t>PAOLA ANDREA PULIDO POLO · "MOVIMIENTO ALTERNATIVO INDIGENA Y SOCIAL ""MAIS"""</t>
  </si>
  <si>
    <t>CARLOS JULIO GUERRERO ZULUAGA · "MOVIMIENTO ALTERNATIVO INDIGENA Y SOCIAL ""MAIS"""</t>
  </si>
  <si>
    <t>LUIS DANIEL MUNOZ SALAZAR · "MOVIMIENTO ALTERNATIVO INDIGENA Y SOCIAL ""MAIS"""</t>
  </si>
  <si>
    <t>Muy alta</t>
  </si>
  <si>
    <t>FABIO ALONSO SALAZAR JARAMILLO · "PARTIDO ALIANZA VERDE - PART. ALIANZA SOCIAL INDEPENDIENTE ""ASI"""</t>
  </si>
  <si>
    <t>HECTOR MANUEL HOYOS MENESES · PARTIDO POLO DEMOCRATICO ALTERNATIVO</t>
  </si>
  <si>
    <t>RETIRADO (A) · PARTIDO LIBERAL COLOMBIANO</t>
  </si>
  <si>
    <t>Total válidos Alcaldía</t>
  </si>
  <si>
    <t>Total válidos Concejo</t>
  </si>
  <si>
    <t>Total válidos JAL</t>
  </si>
  <si>
    <t>% ganador Alcaldía</t>
  </si>
  <si>
    <t>Brecha Alcaldía</t>
  </si>
  <si>
    <t>Ganador Concejo</t>
  </si>
  <si>
    <t>% ganador Concejo</t>
  </si>
  <si>
    <t>Brecha Concejo</t>
  </si>
  <si>
    <t>Ganador JAL</t>
  </si>
  <si>
    <t>% ganador JAL</t>
  </si>
  <si>
    <t>Brecha JAL</t>
  </si>
  <si>
    <t>Corr Alcaldía-Concejo ganador</t>
  </si>
  <si>
    <t>Nivel Alcaldía-Concejo</t>
  </si>
  <si>
    <t>Corr Alcaldía-JAL ganador</t>
  </si>
  <si>
    <t>Nivel Alcaldía-JAL</t>
  </si>
  <si>
    <t>Corr JAL-Concejo ganador</t>
  </si>
  <si>
    <t>Score triádico ganador</t>
  </si>
  <si>
    <t>Nivel relación emocional</t>
  </si>
  <si>
    <t>Patrón emocional de signos</t>
  </si>
  <si>
    <t>Riesgo analítico</t>
  </si>
  <si>
    <t>Zona criminal-territorial</t>
  </si>
  <si>
    <t>Estructuras/dinámicas reportadas</t>
  </si>
  <si>
    <t>Tema agenda más sensible</t>
  </si>
  <si>
    <t>Score Protección y orden cotidiano</t>
  </si>
  <si>
    <t>Score Supervivencia económica y servicios básicos</t>
  </si>
  <si>
    <t>Score Pertenencia y dignidad territorial</t>
  </si>
  <si>
    <t>Arquetipo calculado 2015</t>
  </si>
  <si>
    <t>Arquetipo emocional original 2019</t>
  </si>
  <si>
    <t>Arquetipo ajustable</t>
  </si>
  <si>
    <t>Arquetipo final</t>
  </si>
  <si>
    <t>Agenda pública activadora</t>
  </si>
  <si>
    <t>Prioridad territorial</t>
  </si>
  <si>
    <t>Nota metodológica</t>
  </si>
  <si>
    <t>DANIEL QUINTERO CALLE · INDEPENDIENTES</t>
  </si>
  <si>
    <t>PARTIDO ALIANZA VERDE · PARTIDO ALIANZA VERDE</t>
  </si>
  <si>
    <t>ALBA NURY HERNANDEZ PUERTA · ALIANZA VERDE</t>
  </si>
  <si>
    <t>JAL-Alcaldía converge; JAL-Concejo diverge</t>
  </si>
  <si>
    <t>Norte y noroccidente urbano</t>
  </si>
  <si>
    <t>La Terraza en comunas 4, 5 y 6; Altos de Aranjuez; Los Mondongueros y Los Machacos en Castilla/Doce de Octubre.</t>
  </si>
  <si>
    <t>Cambio institucional, seguridad con inteligencia social, medio ambiente y EPM</t>
  </si>
  <si>
    <t>Esperanza de cambio protector</t>
  </si>
  <si>
    <t>Arquetipo recalculado con la lógica 2015. La capa criminal-territorial se usa como contexto analítico, no como imputación judicial ni partidista.</t>
  </si>
  <si>
    <t>ALIANZA VERDE · ALIANZA VERDE</t>
  </si>
  <si>
    <t>JAL-Concejo converge; JAL-Alcaldía diverge</t>
  </si>
  <si>
    <t>Desconfianza defensiva y voto fragmentado</t>
  </si>
  <si>
    <t>Occidente y suroccidente</t>
  </si>
  <si>
    <t>Los Pesebreros/Robledo en comunas 6, 7, 12, 13 y 16; La Agonía y conflictos en San Javier.</t>
  </si>
  <si>
    <t>Gratitud clientelar y reciprocidad</t>
  </si>
  <si>
    <t>ALFREDO RAMOS · PARTIDO CENTRO DEMOCRATICO</t>
  </si>
  <si>
    <t>JAL converge con ambos, pero Alcaldía-Concejo divergen</t>
  </si>
  <si>
    <t>Seguridad, tecnología policial, continuidad de orden y control territorial</t>
  </si>
  <si>
    <t>Protección y orden cercano</t>
  </si>
  <si>
    <t>1604</t>
  </si>
  <si>
    <t>Granada</t>
  </si>
  <si>
    <t>JUAN FELIPE BETANCUR CORRALES · COALICION CAMBIO RADICAL  - MIRA</t>
  </si>
  <si>
    <t>RICARDO LEON YEPES PEREZ · COALICION CAMBIO RADICAL  - MIRA</t>
  </si>
  <si>
    <t>Solo JAL-Concejo converge</t>
  </si>
  <si>
    <t>Centro-oriente y centro</t>
  </si>
  <si>
    <t>Caicedo en comunas 8, 9, 10 y 13; GDO del centro como La Terraza, Los Conejos, Los Chagualos, Los Cocuelos y Los Intocables.</t>
  </si>
  <si>
    <t>0908</t>
  </si>
  <si>
    <t>Miraflores</t>
  </si>
  <si>
    <t>LILIANA MARIA RENDON ROLDAN · COALICION CAMBIO RADICAL  - MIRA</t>
  </si>
  <si>
    <t>ANDRES VALLADALES ATEHORTUA · CAMBIO RADICAL</t>
  </si>
  <si>
    <t>0501</t>
  </si>
  <si>
    <t>Toscana</t>
  </si>
  <si>
    <t>ROBERTO DE JESUS CARDONA ALVAREZ · COALICION CAMBIO RADICAL  - MIRA</t>
  </si>
  <si>
    <t>Alcaldía-Concejo converge sin JAL</t>
  </si>
  <si>
    <t>0510</t>
  </si>
  <si>
    <t>Tricentenario</t>
  </si>
  <si>
    <t>Medio-Alto</t>
  </si>
  <si>
    <t>Borde urbano-rural</t>
  </si>
  <si>
    <t>Control territorial en corregimientos; presencia reportada de Pesebreros en San Cristóbal y Altavista.</t>
  </si>
  <si>
    <t>Voto blanco, fragmentación, mediación local y baja definición programática</t>
  </si>
  <si>
    <t>JUAN GABRIEL VELEZ MANCO · COALICION CAMBIO RADICAL  - MIRA</t>
  </si>
  <si>
    <t>N/A</t>
  </si>
  <si>
    <t>9001</t>
  </si>
  <si>
    <t>Las Palmas</t>
  </si>
  <si>
    <t>0605</t>
  </si>
  <si>
    <t>La Esperanza</t>
  </si>
  <si>
    <t>RAQUEL ANDREA ALVAREZ LEYTON · COALICION CAMBIO RADICAL  - MIRA</t>
  </si>
  <si>
    <t>0608</t>
  </si>
  <si>
    <t>Picacho</t>
  </si>
  <si>
    <t>1420</t>
  </si>
  <si>
    <t>Astorga</t>
  </si>
  <si>
    <t>Centralidad de renta urbana</t>
  </si>
  <si>
    <t>Sin registro de control territorial cotidiano en IPA, pero con actividad de drogas, prostitución y extorsión según fuentes públicas.</t>
  </si>
  <si>
    <t>1414</t>
  </si>
  <si>
    <t>El Castillo</t>
  </si>
  <si>
    <t>Zona mixta no priorizada</t>
  </si>
  <si>
    <t>Sin asignación específica con las fuentes consultadas.</t>
  </si>
  <si>
    <t>1004</t>
  </si>
  <si>
    <t>El Chagualo</t>
  </si>
  <si>
    <t>Orgullo comunitario y pertenencia</t>
  </si>
  <si>
    <t>1110</t>
  </si>
  <si>
    <t>La Castellana</t>
  </si>
  <si>
    <t>Inst_15</t>
  </si>
  <si>
    <t>U.P.B</t>
  </si>
  <si>
    <t>Nororiente popular</t>
  </si>
  <si>
    <t>Los Triana en Santa Cruz; La Silla en Popular; La Terraza con influencia en Manrique; combos y regulación barrial.</t>
  </si>
  <si>
    <t>0312</t>
  </si>
  <si>
    <t>Oriente</t>
  </si>
  <si>
    <t>0112</t>
  </si>
  <si>
    <t>Carpinelo</t>
  </si>
  <si>
    <t>MARIA CAMILA ORTIZ CORREA · ALIANZA VERDE</t>
  </si>
  <si>
    <t>0111</t>
  </si>
  <si>
    <t>La Avanzada</t>
  </si>
  <si>
    <t>CATALINA ANDREA MIRA HERRERA · COALICION CAMBIO RADICAL  - MIRA</t>
  </si>
  <si>
    <t>Triada convergente</t>
  </si>
  <si>
    <t>0102</t>
  </si>
  <si>
    <t>Santo Domingo Savio No.2</t>
  </si>
  <si>
    <t>Inst_5</t>
  </si>
  <si>
    <t>Facultad de Minas</t>
  </si>
  <si>
    <t>0722</t>
  </si>
  <si>
    <t>Olaya Herrera</t>
  </si>
  <si>
    <t>Movilidad, gestión administrativa, continuidad y redes institucionales</t>
  </si>
  <si>
    <t>Candidato JAL</t>
  </si>
  <si>
    <t>Candidato Concejo</t>
  </si>
  <si>
    <t>Corr JAL-Alcaldía</t>
  </si>
  <si>
    <t>Corr JAL-Concejo</t>
  </si>
  <si>
    <t>Corr Alcaldía-Concejo</t>
  </si>
  <si>
    <t>Score directo JAL→Alc+Con</t>
  </si>
  <si>
    <t>Score triádico firmado</t>
  </si>
  <si>
    <t>Cohesión triádica absoluta</t>
  </si>
  <si>
    <t>Nivel cohesión</t>
  </si>
  <si>
    <t>Patrón de signos</t>
  </si>
  <si>
    <t>FRANCISCO JAVIER SALAZAR GIRALDO · COALICION CAMBIO RADICAL  - MIRA</t>
  </si>
  <si>
    <t>BEATRIZ RAVE · PARTIDO ALIANZA VERDE</t>
  </si>
  <si>
    <t>IVAN DARIO RESTREPO CANO · CENTRO DEMOCRATICO</t>
  </si>
  <si>
    <t>JUAN DAVID VALDERRAMA LOPEZ · TODOS JUNTOS</t>
  </si>
  <si>
    <t>MILTON MARINO RODRIGUEZ ECHEVERRIA · ALIANZA VERDE</t>
  </si>
  <si>
    <t>EDWIN BAZURTO GIL · COALICION CAMBIO RADICAL  - MIRA</t>
  </si>
  <si>
    <t>GEMMA MARIA MEJIA IZQUIERDO · PARTIDO COLOMBIA JUSTA LIBRES</t>
  </si>
  <si>
    <t>LUIS ALONSO QUINTERO JARAMILLO · CENTRO DEMOCRATICO</t>
  </si>
  <si>
    <t>GABRIEL JAIME SIERRA POSADA · CENTRO DEMOCRATICO</t>
  </si>
  <si>
    <t>MAYERLIN ALIXAN MAZO CASTANO · COALICION CAMBIO RADICAL  - MIRA</t>
  </si>
  <si>
    <t>Solo JAL-Alcaldía converge</t>
  </si>
  <si>
    <t>OMAR DARIO RESTREPO ZULUAGA · COALICION CAMBIO RADICAL  - MIRA</t>
  </si>
  <si>
    <t>CARLOS MARIO URIBE ZAPATA · COALICION CAMBIO RADICAL  - MIRA</t>
  </si>
  <si>
    <t>SANTIAGO GOMEZ · SEGUIMOS CONTANDO CON VOS</t>
  </si>
  <si>
    <t>JUAN CARLOS VELEZ · MEDELLIN AVANZA</t>
  </si>
  <si>
    <t>JORGE ORLANDO GUTIERREZ SERNA · PARTIDO COLOMBIA RENACIENTE</t>
  </si>
  <si>
    <t>VICTOR JAVIER CORREA VELEZ · PARTIDO POLO DEMOCRATICO ALTERNATIVO</t>
  </si>
  <si>
    <t>PAULA DANIELA VALDES CIFUENTES · COALICION CAMBIO RADICAL  - MIRA</t>
  </si>
  <si>
    <t>ALEJANDRO ALBEIRO SALAZAR OSORNO · COALICION CAMBIO RADICAL  - MIRA</t>
  </si>
  <si>
    <t>LUIS ANTONIO ARBELAEZ HERRERA · COALICION CAMBIO RADICAL  - MIRA</t>
  </si>
  <si>
    <t>Triada divergente</t>
  </si>
  <si>
    <t>LILLIANA MARIA ALZATE VASQUEZ · COALICION CAMBIO RADICAL  - MIRA</t>
  </si>
  <si>
    <t>LUIS FERNANDO MUNOZ RAMIREZ · PARTIDO ADA</t>
  </si>
  <si>
    <t>FRANCISCO ALVEIRO QUERUBIN MENESES · COALICION CAMBIO RADICAL  - MIRA</t>
  </si>
  <si>
    <t>JAIRO HERRAN VARGAS · COLOMBIA HUMANA - UNION PATRIOTICA</t>
  </si>
  <si>
    <t>LUIS GUILLERMO HOYOS MENESES · "PARTIDO DE REIVINDICACION ETNICA ""PRE"""</t>
  </si>
  <si>
    <t>JESUS ALIRIO BLANDON NARANJO · COALICION CAMBIO RADICAL  - MIRA</t>
  </si>
  <si>
    <t>JOSE EDGAR GONZALEZ GOMEZ · COALICION CAMBIO RADICAL  - MIRA</t>
  </si>
  <si>
    <t>JOSE ALEXANDER TORRES RAMIREZ · COALICION CAMBIO RADICAL  - MIRA</t>
  </si>
  <si>
    <t>MARIBEL ROJAS ZULUAGA · COALICION CAMBIO RADICAL  - MIRA</t>
  </si>
  <si>
    <t>Arquetipo calculado 2019</t>
  </si>
  <si>
    <t>Arquetipo emocional original 2023</t>
  </si>
  <si>
    <t>FEDERICO ANDRES GUTIERREZ ZULUAGA · PARTIDO POLITICO CREEMOS</t>
  </si>
  <si>
    <t>INDEPENDIENTES · INDEPENDIENTES</t>
  </si>
  <si>
    <t>PARTIDO POLITICO DIGNIDAD &amp; COMPROMISO · PARTIDO POLITICO DIGNIDAD &amp; COMPROMISO</t>
  </si>
  <si>
    <t>Mixto/divergente</t>
  </si>
  <si>
    <t>La Galera; La 30; El Compromiso; influencia amplia de La Oficina</t>
  </si>
  <si>
    <t>Transparencia, control político, lucha anticorrupción, vigilancia ciudadana, ejecución presupuestal y sanción a abusos.</t>
  </si>
  <si>
    <t>Desconfianza fragmentada y autoprotección</t>
  </si>
  <si>
    <t>Arquetipo recalculado con la lógica 2019/2015. La capa criminal-territorial se usa como contexto analítico, no como imputación judicial ni partidista.</t>
  </si>
  <si>
    <t>YOHAN VARGAS JIMENEZ · INDEPENDIENTES</t>
  </si>
  <si>
    <t>WHENDY DAYHANA GARCIA OSPINA · INDEPENDIENTES</t>
  </si>
  <si>
    <t>Continuidad administrativa, servicios públicos, infraestructura, salud, educación y programas sociales.</t>
  </si>
  <si>
    <t>Lealtad defensiva quinterista-independiente</t>
  </si>
  <si>
    <t>JUAN FELIPE BETANCUR CORRALES · JUNTOS</t>
  </si>
  <si>
    <t>Seguridad, convivencia, movilidad, alumbrado, reacción institucional rápida, presencia de autoridad.</t>
  </si>
  <si>
    <t>Protección restauradora y orden</t>
  </si>
  <si>
    <t>Entornos de influencia nororiental de combos articulados a redes metropolitanas</t>
  </si>
  <si>
    <t>La Terraza; Los Triana; influencia de La Oficina</t>
  </si>
  <si>
    <t>Altos de Aranjuez; La Terraza; Los Intrépidos; La Viña</t>
  </si>
  <si>
    <t>0403</t>
  </si>
  <si>
    <t>Palermo</t>
  </si>
  <si>
    <t>Los Mondongueros/Castilla e influencia de redes de La Oficina</t>
  </si>
  <si>
    <t>Los de Córdoba; El Acopio; influencia Pesebreros/Robledo</t>
  </si>
  <si>
    <t>Los de Robledo; Pesebreros; redes de La Oficina</t>
  </si>
  <si>
    <t>Centro-oriental / centro</t>
  </si>
  <si>
    <t>Los de La Sierra; El Avispero; combos de ladera</t>
  </si>
  <si>
    <t>0804</t>
  </si>
  <si>
    <t>La Ladera</t>
  </si>
  <si>
    <t>0819</t>
  </si>
  <si>
    <t>Villa Lilliam</t>
  </si>
  <si>
    <t>0902</t>
  </si>
  <si>
    <t>Barrios de Jesús</t>
  </si>
  <si>
    <t>Los Chamizos; Los Cerros; La Milagrosa/Caicedo en corredores orientales</t>
  </si>
  <si>
    <t>0905</t>
  </si>
  <si>
    <t>Alejandro Echavarría</t>
  </si>
  <si>
    <t>0909</t>
  </si>
  <si>
    <t>Cataluña</t>
  </si>
  <si>
    <t>Redes de extorsión del centro; Caicedo/La Milagrosa y articulaciones de Oficina</t>
  </si>
  <si>
    <t>Sin clasificar</t>
  </si>
  <si>
    <t>Centro-occidental</t>
  </si>
  <si>
    <t>Sin información específica</t>
  </si>
  <si>
    <t>Pesebreros/Robledo en zona occidental; redes metropolitanas</t>
  </si>
  <si>
    <t>1202</t>
  </si>
  <si>
    <t>Calasanz</t>
  </si>
  <si>
    <t>La Agonía; El Coco; Betania; Pesebreros/Robledo; Caicedo en corredores</t>
  </si>
  <si>
    <t>Sur / suroccidente</t>
  </si>
  <si>
    <t>Baja presencia territorial barrial directa; economías criminales metropolitanas y rentas de alto valor</t>
  </si>
  <si>
    <t>La Unión; redes de Belén/Guayabal; extorsión comercial</t>
  </si>
  <si>
    <t>La Unión; Pesebreros/Robledo; redes de Belén</t>
  </si>
  <si>
    <t>7007</t>
  </si>
  <si>
    <t>San José del Manzanillo</t>
  </si>
  <si>
    <t>Inst_4</t>
  </si>
  <si>
    <t>Terminal de Transporte</t>
  </si>
  <si>
    <t>FERNANDO PULGARIN CASTANO · INDEPENDIENTES</t>
  </si>
  <si>
    <t>Convergente</t>
  </si>
  <si>
    <t>JUAN CARLOS UPEGUI VANEGAS · INDEPENDIENTES</t>
  </si>
  <si>
    <t>ALBERT YORDANO CORREDOR BUSTAMANTE · MEDELLIN NOS UNE</t>
  </si>
  <si>
    <t>LUZ MAIRA VILLADA RAMIREZ · JUNTOS</t>
  </si>
  <si>
    <t>LILIANA DE LOS RIOS OSPINA · INDEPENDIENTES</t>
  </si>
  <si>
    <t>FELIPE VELEZ ROA · MOVIMIENTO ALIANZA DEMOCRATICA AMPLIA</t>
  </si>
  <si>
    <t>SEBASTIAN ZULUAGA GIRALDO · JUNTOS</t>
  </si>
  <si>
    <t>BEATRIZ ELENA CARTAGENA ZAPATA · "PARTIDO ALIANZA SOCIAL INDEPENDIENTE ""ASI"""</t>
  </si>
  <si>
    <t>WILLIAN DE JESUS MUNOZ RAMIREZ · INDEPENDIENTES</t>
  </si>
  <si>
    <t>MARIA PAULINA AGUINAGA LEZCANO · POR MEDELLIN</t>
  </si>
  <si>
    <t>CARLOS ALBERTO BALLESTEROS BARON · PARTIDO POLO DEMOCRATICO ALTERNATIVO</t>
  </si>
  <si>
    <t>JHONATAN DANIEL PEREA CORDOBA · INDEPENDIENTES</t>
  </si>
  <si>
    <t>LILIANA MARIA RENDON ROLDAN · DE FRENTE MOVIMIENTO LILIANISTA</t>
  </si>
  <si>
    <t>JAIME ALBERTO MEJIA ALVARAN · SUMAMOS</t>
  </si>
  <si>
    <t>ANA MARIA VALLE VILLEGAS · INDEPENDIENTES</t>
  </si>
  <si>
    <t>SANDRA MILENA HENAO CANO · JUNTOS</t>
  </si>
  <si>
    <t>JUAN DAVID VALDERRAMA LOPEZ · PROPONEMOS POR MEDELLIN</t>
  </si>
  <si>
    <t>JOHN FABER ROJAS CASTRILLON · "PARTIDO ALIANZA SOCIAL INDEPENDIENTE ""ASI"""</t>
  </si>
  <si>
    <t>DANIEL MUNOZ GONZALEZ · INDEPENDIENTES</t>
  </si>
  <si>
    <t>OMAR MAURICIO ARISTIZABAL RAMIREZ · INDEPENDIENTES</t>
  </si>
  <si>
    <t>DEICY ELENA BERMUDEZ HURTADO · PARTIDO ECOLOGISTA COLOMBIANO</t>
  </si>
  <si>
    <t>RODOLFO ANDRES CORREA VARGAS · PARTIDO COLOMBIA RENACIENTE</t>
  </si>
  <si>
    <t>ANGELA MARIA OSPINA OCHOA · JUNTOS</t>
  </si>
  <si>
    <t>JUAN CAMILO RESTREPO GOMEZ · MOVIMIENTO  SALVACION NACIONAL</t>
  </si>
  <si>
    <t>ELKIN ANTONIO SERNA ARIAS · INDEPENDIENTES</t>
  </si>
  <si>
    <t>JOSE SANTIAGO PULGARIN ALVAREZ · "PARTIDO ALIANZA SOCIAL INDEPENDIENTE ""ASI"""</t>
  </si>
  <si>
    <t>JORGE ALBERTO URIBE VELASQUEZ · JUNTOS</t>
  </si>
  <si>
    <t>CARLOS MARIO ROMERO MISAS · INDEPENDIENTES</t>
  </si>
  <si>
    <t>MARIA EUGENIA CARTAGENA MORALES · INDEPENDIENTES</t>
  </si>
  <si>
    <t>GILBERTO TOBON SANIN · MOVIMIENTO POLITICO FUERZA CIUDADANA</t>
  </si>
  <si>
    <t>SAULO ALEXANDER AGUILAR RINCON · JUNTOS</t>
  </si>
  <si>
    <t>YULIANA ZAPATA RUIZ · JUNTOS</t>
  </si>
  <si>
    <t>CARLOS ALBERTO GUTIERREZ BUSTAMANTE · INDEPENDIENTES</t>
  </si>
  <si>
    <t>CESAR MAURICIO RUIZ CHAVERRA · JUNTOS</t>
  </si>
  <si>
    <t>FRANZ ALEXANDER RESTREPO GRISALES · JUNTOS</t>
  </si>
  <si>
    <t>JESUS ANIBAL ECHEVERRY JIMENEZ · JUNTOS</t>
  </si>
  <si>
    <t>LUIS BERNARDO VELEZ MONTOYA · MOVIMIENTO CUIDEMOS MEDELLIN</t>
  </si>
  <si>
    <t>MICHAEL ANDRES DAVID PINEDA · INDEPENDIENTES</t>
  </si>
  <si>
    <t>Arquetipo 2015</t>
  </si>
  <si>
    <t>Arquetipo 2019</t>
  </si>
  <si>
    <t>Arquetipo 2023</t>
  </si>
  <si>
    <t>Trayectoria 2015→2019→2023</t>
  </si>
  <si>
    <t>Tipo evolución histórica</t>
  </si>
  <si>
    <t>Ganador Alcaldía 2023</t>
  </si>
  <si>
    <t>% ganador Alcaldía 2023</t>
  </si>
  <si>
    <t>Ganador Concejo 2023</t>
  </si>
  <si>
    <t>Ganador JAL 2023</t>
  </si>
  <si>
    <t>Corr Alcaldía-Concejo 2023</t>
  </si>
  <si>
    <t>Corr Alcaldía-JAL 2023</t>
  </si>
  <si>
    <t>Corr JAL-Concejo 2023</t>
  </si>
  <si>
    <t>Score triádico 2023</t>
  </si>
  <si>
    <t>Arquetipo proyectado 2027</t>
  </si>
  <si>
    <t>Prob arquetipo proyectado 2027</t>
  </si>
  <si>
    <t>Arquetipo alterno 2027</t>
  </si>
  <si>
    <t>Prob arquetipo alterno 2027</t>
  </si>
  <si>
    <t>Riesgo de cambio 2023→2027</t>
  </si>
  <si>
    <t>Nivel riesgo cambio</t>
  </si>
  <si>
    <t>Comportamiento probable 2027</t>
  </si>
  <si>
    <t>Prob 2027 · Protección con resultados y orden competente</t>
  </si>
  <si>
    <t>Prob 2027 · Castigo a la restauración y demanda de alternancia</t>
  </si>
  <si>
    <t>Prob 2027 · Continuidad pragmática y gestión barrial</t>
  </si>
  <si>
    <t>Prob 2027 · Supervivencia económica y servicios cotidianos</t>
  </si>
  <si>
    <t>Prob 2027 · Pertenencia comunitaria y autonomía territorial</t>
  </si>
  <si>
    <t>Protección y orden cotidiano</t>
  </si>
  <si>
    <t>Desconfianza y castigo</t>
  </si>
  <si>
    <t>Protección y orden cotidiano → Desconfianza y castigo → Protección y orden cotidiano</t>
  </si>
  <si>
    <t>Cambio parcial</t>
  </si>
  <si>
    <t>Protección con resultados y orden competente</t>
  </si>
  <si>
    <t>Castigo a la restauración y demanda de alternancia</t>
  </si>
  <si>
    <t>Retención probable del voto de orden, condicionada a resultados visibles.</t>
  </si>
  <si>
    <t>Estabilidad y continuidad</t>
  </si>
  <si>
    <t>Protección y orden cotidiano → Desconfianza y castigo → Estabilidad y continuidad</t>
  </si>
  <si>
    <t>Volátil</t>
  </si>
  <si>
    <t>Continuidad pragmática y gestión barrial</t>
  </si>
  <si>
    <t>Voto de continuidad local si las redes resuelven necesidades concretas.</t>
  </si>
  <si>
    <t>Protección y orden cotidiano → Protección y orden cotidiano → Protección y orden cotidiano</t>
  </si>
  <si>
    <t>Estable</t>
  </si>
  <si>
    <t>Supervivencia económica y servicios básicos</t>
  </si>
  <si>
    <t>Protección y orden cotidiano → Supervivencia económica y servicios básicos → Protección y orden cotidiano</t>
  </si>
  <si>
    <t>Desconfianza y castigo → Estabilidad y continuidad → Protección y orden cotidiano</t>
  </si>
  <si>
    <t>Desconfianza y castigo → Desconfianza y castigo → Protección y orden cotidiano</t>
  </si>
  <si>
    <t>Supervivencia económica y servicios básicos → Desconfianza y castigo → Protección y orden cotidiano</t>
  </si>
  <si>
    <t>Supervivencia económica y servicios básicos → Supervivencia económica y servicios básicos → Protección y orden cotidiano</t>
  </si>
  <si>
    <t>Protección y orden cotidiano → Estabilidad y continuidad → Protección y orden cotidiano</t>
  </si>
  <si>
    <t>Estabilidad y continuidad → Supervivencia económica y servicios básicos → Protección y orden cotidiano</t>
  </si>
  <si>
    <t>Estabilidad y continuidad → Desconfianza y castigo → Desconfianza y castigo</t>
  </si>
  <si>
    <t>Alta sensibilidad a sancionar incumplimientos y buscar alternativa.</t>
  </si>
  <si>
    <t>Estabilidad y continuidad → Protección y orden cotidiano → Desconfianza y castigo</t>
  </si>
  <si>
    <t>Estabilidad y continuidad → Supervivencia económica y servicios básicos → Desconfianza y castigo</t>
  </si>
  <si>
    <t>Pertenencia y dignidad territorial</t>
  </si>
  <si>
    <t>Estabilidad y continuidad → Pertenencia y dignidad territorial → Protección y orden cotidiano</t>
  </si>
  <si>
    <t>Protección y orden cotidiano → Desconfianza y castigo → Desconfianza y castigo</t>
  </si>
  <si>
    <t>Estabilidad y continuidad → Protección y orden cotidiano → Protección y orden cotidiano</t>
  </si>
  <si>
    <t>Supervivencia económica y servicios básicos → Estabilidad y continuidad → Protección y orden cotidiano</t>
  </si>
  <si>
    <t>Estabilidad y continuidad → Desconfianza y castigo → Protección y orden cotidiano</t>
  </si>
  <si>
    <t>Supervivencia económica y servicios básicos → Protección y orden cotidiano → Protección y orden cotidiano</t>
  </si>
  <si>
    <t>Supervivencia económica y servicios básicos → Pertenencia y dignidad territorial → Protección y orden cotidiano</t>
  </si>
  <si>
    <t>Supervivencia económica y servicios básicos → Desconfianza y castigo → Desconfianza y castigo</t>
  </si>
  <si>
    <t>Protección y orden cotidiano → Pertenencia y dignidad territorial → Protección y orden cotidiano</t>
  </si>
  <si>
    <t>Sin dato → Protección y orden cotidiano → Protección y orden cotidiano</t>
  </si>
  <si>
    <t>Sin dato → Estabilidad y continuidad → Estabilidad y continuidad</t>
  </si>
  <si>
    <t>Sin dato → Desconfianza y castigo → Estabilidad y continuidad</t>
  </si>
  <si>
    <t>Sin dato → Estabilidad y continuidad → Protección y orden cotidiano</t>
  </si>
  <si>
    <t>Sin dato → Supervivencia económica y servicios básicos → Protección y orden cotidiano</t>
  </si>
  <si>
    <t>Sin dato → Desconfianza y castigo → Protección y orden cotidiano</t>
  </si>
  <si>
    <t>Sin dato → Pertenencia y dignidad territorial → Desconfianza y castigo</t>
  </si>
  <si>
    <t>Sin dato → Desconfianza y castigo → Desconfianza y castigo</t>
  </si>
  <si>
    <t>Sin dato → Supervivencia económica y servicios básicos → Desconfianza y castigo</t>
  </si>
  <si>
    <t>Supervivencia económica y servicios cotidianos</t>
  </si>
  <si>
    <t>Sin dato → Sin dato → Estabilidad y continuidad</t>
  </si>
  <si>
    <t>Sin comparabilidad suficiente</t>
  </si>
  <si>
    <t>Sin dato → Sin dato → Protección y orden cotidiano</t>
  </si>
  <si>
    <t>Arquetipo 2027</t>
  </si>
  <si>
    <t>Probabilidad</t>
  </si>
  <si>
    <t>Es proyectado dominante</t>
  </si>
  <si>
    <t>Sí</t>
  </si>
  <si>
    <t>No</t>
  </si>
  <si>
    <t>Pertenencia comunitaria y autonomía territorial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</si>
</sst>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"/>
    <numFmt numFmtId="166" formatCode="0.0"/>
  </numFmts>
  <fonts count="5">
    <font>
      <sz val="11"/>
      <color theme="1"/>
      <name val="Aptos Narrow"/>
      <family val="2"/>
      <scheme val="minor"/>
    </font>
    <font>
      <b/>
      <sz val="14"/>
      <color rgb="FFFFFFFF"/>
      <name val="Carlito"/>
    </font>
    <font>
      <b/>
      <sz val="11"/>
      <color rgb="FFFFFFFF"/>
      <name val="Carlito"/>
    </font>
    <font>
      <b/>
      <sz val="10"/>
      <color rgb="FFFFFFFF"/>
      <name val="Calibri"/>
    </font>
    <font>
      <sz val="10"/>
      <color rgb="FF28251D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1E3A8A"/>
      </patternFill>
    </fill>
    <fill>
      <patternFill patternType="solid">
        <fgColor rgb="FF0F766E"/>
      </patternFill>
    </fill>
    <fill>
      <patternFill patternType="solid">
        <fgColor rgb="FF1F4E79"/>
      </patternFill>
    </fill>
    <fill>
      <patternFill patternType="solid">
        <fgColor rgb="FF1B474D"/>
        <bgColor rgb="FF1B474D"/>
      </patternFill>
    </fill>
  </fills>
  <borders count="2">
    <border>
      <left/>
      <right/>
      <top/>
      <bottom/>
      <diagonal/>
    </border>
    <border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vertical="top"/>
    </xf>
    <xf numFmtId="0" fontId="2" fillId="3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3" fontId="0" fillId="0" borderId="0" xfId="0" applyNumberFormat="1" applyAlignment="1">
      <alignment vertical="top" wrapText="1"/>
    </xf>
    <xf numFmtId="164" fontId="0" fillId="0" borderId="0" xfId="0" applyNumberFormat="1" applyAlignment="1">
      <alignment vertical="top" wrapText="1"/>
    </xf>
    <xf numFmtId="165" fontId="0" fillId="0" borderId="0" xfId="0" applyNumberFormat="1" applyAlignment="1">
      <alignment vertical="top" wrapText="1"/>
    </xf>
    <xf numFmtId="166" fontId="0" fillId="0" borderId="0" xfId="0" applyNumberFormat="1" applyAlignment="1">
      <alignment vertical="top" wrapText="1"/>
    </xf>
    <xf numFmtId="0" fontId="2" fillId="4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3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2" fillId="5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top"/>
    </xf>
    <xf numFmtId="0" fontId="0" fillId="0" borderId="0" xfId="0" applyAlignment="1">
      <alignment vertical="top"/>
    </xf>
    <xf numFmtId="0" fontId="3" fillId="6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164" fontId="4" fillId="0" borderId="1" xfId="0" applyNumberFormat="1" applyFont="1" applyBorder="1" applyAlignment="1">
      <alignment horizontal="right" vertical="top"/>
    </xf>
    <xf numFmtId="165" fontId="4" fillId="0" borderId="1" xfId="0" applyNumberFormat="1" applyFont="1" applyBorder="1" applyAlignment="1">
      <alignment horizontal="right" vertical="top"/>
    </xf>
  </cellXfs>
  <cellStyles count="1">
    <cellStyle name="Normal" xfId="0" builtinId="0"/>
  </cellStyles>
  <dxfs count="6">
    <dxf>
      <fill>
        <patternFill patternType="solid">
          <bgColor rgb="FFFCE4D6"/>
        </patternFill>
      </fill>
    </dxf>
    <dxf>
      <font>
        <b/>
        <color rgb="FFFFFFFF"/>
      </font>
      <fill>
        <patternFill patternType="solid">
          <bgColor rgb="FFC00000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BBF7D0"/>
        </patternFill>
      </fill>
    </dxf>
    <dxf>
      <fill>
        <patternFill patternType="solid">
          <bgColor rgb="FFFDE68A"/>
        </patternFill>
      </fill>
    </dxf>
    <dxf>
      <fill>
        <patternFill patternType="solid">
          <bgColor rgb="FFFCA5A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zgo\Downloads\2015.xlsx" TargetMode="External"/><Relationship Id="rId1" Type="http://schemas.openxmlformats.org/officeDocument/2006/relationships/externalLinkPath" Target="201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zgo\Downloads\2019.xlsx" TargetMode="External"/><Relationship Id="rId1" Type="http://schemas.openxmlformats.org/officeDocument/2006/relationships/externalLinkPath" Target="2019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zgo\Downloads\2023.xlsx" TargetMode="External"/><Relationship Id="rId1" Type="http://schemas.openxmlformats.org/officeDocument/2006/relationships/externalLinkPath" Target="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0_Instrucciones"/>
      <sheetName val="01_Parametros"/>
      <sheetName val="02_Arquetipos_Miedo_Sesgo"/>
      <sheetName val="03_Base_Barrios_Arquetipo"/>
      <sheetName val="04_Correlaciones_Candidatos"/>
      <sheetName val="05_Correlador_Candidatos"/>
      <sheetName val="12_Diccionario_Fuentes_Limites"/>
      <sheetName val="13_Listas"/>
    </sheetNames>
    <sheetDataSet>
      <sheetData sheetId="0"/>
      <sheetData sheetId="1">
        <row r="3">
          <cell r="B3">
            <v>0.3</v>
          </cell>
        </row>
        <row r="4">
          <cell r="B4">
            <v>0.25</v>
          </cell>
        </row>
        <row r="5">
          <cell r="B5">
            <v>0.2</v>
          </cell>
        </row>
        <row r="6">
          <cell r="B6">
            <v>0.15</v>
          </cell>
        </row>
        <row r="7">
          <cell r="B7">
            <v>0.1</v>
          </cell>
        </row>
        <row r="8">
          <cell r="B8">
            <v>0.5</v>
          </cell>
        </row>
        <row r="9">
          <cell r="B9">
            <v>0.3</v>
          </cell>
        </row>
        <row r="10">
          <cell r="B10">
            <v>0.2</v>
          </cell>
        </row>
        <row r="11">
          <cell r="B11">
            <v>0.35</v>
          </cell>
        </row>
        <row r="12">
          <cell r="B12">
            <v>0.25</v>
          </cell>
        </row>
        <row r="13">
          <cell r="B13">
            <v>0.2</v>
          </cell>
        </row>
        <row r="14">
          <cell r="B14">
            <v>0.2</v>
          </cell>
        </row>
        <row r="15">
          <cell r="B15">
            <v>0.3</v>
          </cell>
        </row>
        <row r="16">
          <cell r="B16">
            <v>0.25</v>
          </cell>
        </row>
        <row r="17">
          <cell r="B17">
            <v>0.2</v>
          </cell>
        </row>
        <row r="18">
          <cell r="B18">
            <v>0.15</v>
          </cell>
        </row>
        <row r="19">
          <cell r="B19">
            <v>0.1</v>
          </cell>
        </row>
        <row r="20">
          <cell r="B20">
            <v>0.15</v>
          </cell>
        </row>
        <row r="21">
          <cell r="B21">
            <v>0.1</v>
          </cell>
        </row>
        <row r="22">
          <cell r="B22">
            <v>0.6</v>
          </cell>
        </row>
        <row r="23">
          <cell r="B23">
            <v>0.1</v>
          </cell>
        </row>
        <row r="24">
          <cell r="B24">
            <v>0.05</v>
          </cell>
        </row>
      </sheetData>
      <sheetData sheetId="2">
        <row r="4">
          <cell r="A4" t="str">
            <v>Protección y orden cotidiano</v>
          </cell>
          <cell r="B4" t="str">
            <v>Votante que prioriza seguridad, autoridad visible, control del desorden y protección del entorno familiar.</v>
          </cell>
          <cell r="C4" t="str">
            <v>Miedo a la inseguridad, al descontrol barrial y a perder la tranquilidad cotidiana.</v>
          </cell>
          <cell r="D4" t="str">
            <v>Sesgo de disponibilidad + sesgo de negatividad + preferencia por autoridad.</v>
          </cell>
          <cell r="E4" t="str">
            <v>Seguridad, convivencia, movilidad, alumbrado, reacción institucional rápida, presencia de autoridad.</v>
          </cell>
          <cell r="F4" t="str">
            <v>Mostrar capacidad verificable de resolver problemas concretos de seguridad y convivencia sin prometer acciones ilegales.</v>
          </cell>
          <cell r="G4" t="str">
            <v>No explotar pánico, no estigmatizar barrios y no asociar votantes con criminalidad sin evidencia.</v>
          </cell>
        </row>
        <row r="5">
          <cell r="A5" t="str">
            <v>Estabilidad y continuidad</v>
          </cell>
          <cell r="B5" t="str">
            <v>Votante que busca previsibilidad, continuidad de servicios, baja incertidumbre y protección de logros conocidos.</v>
          </cell>
          <cell r="C5" t="str">
            <v>Miedo a perder beneficios, subsidios, estabilidad institucional o condiciones de vida ya alcanzadas.</v>
          </cell>
          <cell r="D5" t="str">
            <v>Aversión a la pérdida + sesgo de statu quo + confirmación.</v>
          </cell>
          <cell r="E5" t="str">
            <v>Continuidad administrativa, servicios públicos, infraestructura, salud, educación y programas sociales.</v>
          </cell>
          <cell r="F5" t="str">
            <v>Explicar qué se mantiene, qué se mejora y cómo se reducen riesgos de cambio brusco.</v>
          </cell>
          <cell r="G5" t="str">
            <v>No crear amenazas falsas sobre pérdida de derechos o beneficios.</v>
          </cell>
        </row>
        <row r="6">
          <cell r="A6" t="str">
            <v>Supervivencia económica y servicios básicos</v>
          </cell>
          <cell r="B6" t="str">
            <v>Votante que decide desde presión económica, informalidad, empleo, transporte, alimentación y acceso a oportunidades inmediatas.</v>
          </cell>
          <cell r="C6" t="str">
            <v>Miedo a no llegar a fin de mes, perder ingresos, empleo, movilidad o acceso a servicios básicos.</v>
          </cell>
          <cell r="D6" t="str">
            <v>Sesgo de escasez + presente dominante + aversión al riesgo económico.</v>
          </cell>
          <cell r="E6" t="str">
            <v>Empleo, emprendimiento, economía popular, transporte, costo de vida, salud, educación técnica y subsidios focalizados.</v>
          </cell>
          <cell r="F6" t="str">
            <v>Traducir propuestas en alivios concretos, rutas de acceso y resultados medibles de corto plazo.</v>
          </cell>
          <cell r="G6" t="str">
            <v>Evitar clientelismo, promesas individualizadas o intercambio indebido de beneficios.</v>
          </cell>
        </row>
        <row r="7">
          <cell r="A7" t="str">
            <v>Desconfianza y castigo</v>
          </cell>
          <cell r="B7" t="str">
            <v>Votante reactivo frente a élites, corrupción, incumplimientos, promesas fallidas y sensación de abandono institucional.</v>
          </cell>
          <cell r="C7" t="str">
            <v>Miedo a ser engañado, robado, manipulado o usado electoralmente.</v>
          </cell>
          <cell r="D7" t="str">
            <v>Sesgo de confirmación + cinismo político + efecto de indignación moral.</v>
          </cell>
          <cell r="E7" t="str">
            <v>Transparencia, control político, lucha anticorrupción, vigilancia ciudadana, ejecución presupuestal y sanción a abusos.</v>
          </cell>
          <cell r="F7" t="str">
            <v>Aportar evidencia verificable, mecanismos de control y rendición de cuentas local.</v>
          </cell>
          <cell r="G7" t="str">
            <v>No promover teorías conspirativas, acusaciones sin prueba o discurso de odio.</v>
          </cell>
        </row>
        <row r="8">
          <cell r="A8" t="str">
            <v>Pertenencia y dignidad territorial</v>
          </cell>
          <cell r="B8" t="str">
            <v>Votante que responde a identidad barrial, reconocimiento, liderazgo comunitario, memoria local y defensa del territorio.</v>
          </cell>
          <cell r="C8" t="str">
            <v>Miedo a ser olvidado, desplazado simbólicamente, estigmatizado o excluido de la inversión pública.</v>
          </cell>
          <cell r="D8" t="str">
            <v>Sesgo de identidad grupal + razonamiento protector de identidad + efecto halo de liderazgos cercanos.</v>
          </cell>
          <cell r="E8" t="str">
            <v>Inversión barrial, cultura, deporte, juventud, espacio público, vías locales, equipamientos y reconocimiento comunitario.</v>
          </cell>
          <cell r="F8" t="str">
            <v>Construir agenda con líderes y evidencias del barrio, respetando memoria, cultura y autonomía comunitaria.</v>
          </cell>
          <cell r="G8" t="str">
            <v>No instrumentalizar líderes, romantizar pobreza ni usar intermediación opaca.</v>
          </cell>
        </row>
      </sheetData>
      <sheetData sheetId="3"/>
      <sheetData sheetId="4"/>
      <sheetData sheetId="5"/>
      <sheetData sheetId="6"/>
      <sheetData sheetId="7">
        <row r="2">
          <cell r="A2" t="str">
            <v>Protección y orden cotidiano</v>
          </cell>
        </row>
        <row r="3">
          <cell r="A3" t="str">
            <v>Estabilidad y continuidad</v>
          </cell>
        </row>
        <row r="4">
          <cell r="A4" t="str">
            <v>Supervivencia económica y servicios básicos</v>
          </cell>
        </row>
        <row r="5">
          <cell r="A5" t="str">
            <v>Desconfianza y castigo</v>
          </cell>
        </row>
        <row r="6">
          <cell r="A6" t="str">
            <v>Pertenencia y dignidad territorial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0_Instrucciones"/>
      <sheetName val="01_Parametros"/>
      <sheetName val="02_Arquetipos_Miedo_Sesgo"/>
      <sheetName val="03_Base_Barrios_2019"/>
      <sheetName val="04_Correlaciones_Candidatos"/>
      <sheetName val="05_Matriz_Triadas_2019"/>
      <sheetName val="06_Correlador_Candidatos"/>
      <sheetName val="07_Matriz_Crimen_Territorio"/>
      <sheetName val="08_Dashboard"/>
      <sheetName val="09_Diccionario_Fuentes"/>
      <sheetName val="10_Listas"/>
    </sheetNames>
    <sheetDataSet>
      <sheetData sheetId="0"/>
      <sheetData sheetId="1"/>
      <sheetData sheetId="2">
        <row r="4">
          <cell r="A4" t="str">
            <v>Protección y orden cotidiano</v>
          </cell>
          <cell r="C4" t="str">
            <v>Miedo a la inseguridad, al descontrol barrial y a perder la tranquilidad cotidiana.</v>
          </cell>
          <cell r="D4" t="str">
            <v>Sesgo de disponibilidad + sesgo de negatividad + preferencia por autoridad.</v>
          </cell>
          <cell r="E4" t="str">
            <v>Seguridad, convivencia, movilidad, alumbrado, reacción institucional rápida, presencia de autoridad.</v>
          </cell>
        </row>
        <row r="5">
          <cell r="A5" t="str">
            <v>Estabilidad y continuidad</v>
          </cell>
          <cell r="C5" t="str">
            <v>Miedo a perder beneficios, subsidios, estabilidad institucional o condiciones de vida ya alcanzadas.</v>
          </cell>
          <cell r="D5" t="str">
            <v>Aversión a la pérdida + sesgo de statu quo + confirmación.</v>
          </cell>
          <cell r="E5" t="str">
            <v>Continuidad administrativa, servicios públicos, infraestructura, salud, educación y programas sociales.</v>
          </cell>
        </row>
        <row r="6">
          <cell r="A6" t="str">
            <v>Supervivencia económica y servicios básicos</v>
          </cell>
          <cell r="C6" t="str">
            <v>Miedo a no llegar a fin de mes, perder ingresos, empleo, movilidad o acceso a servicios básicos.</v>
          </cell>
          <cell r="D6" t="str">
            <v>Sesgo de escasez + presente dominante + aversión al riesgo económico.</v>
          </cell>
          <cell r="E6" t="str">
            <v>Empleo, emprendimiento, economía popular, transporte, costo de vida, salud, educación técnica y subsidios focalizados.</v>
          </cell>
        </row>
        <row r="7">
          <cell r="A7" t="str">
            <v>Desconfianza y castigo</v>
          </cell>
          <cell r="C7" t="str">
            <v>Miedo a ser engañado, robado, manipulado o usado electoralmente.</v>
          </cell>
          <cell r="D7" t="str">
            <v>Sesgo de confirmación + cinismo político + efecto de indignación moral.</v>
          </cell>
          <cell r="E7" t="str">
            <v>Transparencia, control político, lucha anticorrupción, vigilancia ciudadana, ejecución presupuestal y sanción a abusos.</v>
          </cell>
        </row>
        <row r="8">
          <cell r="A8" t="str">
            <v>Pertenencia y dignidad territorial</v>
          </cell>
          <cell r="C8" t="str">
            <v>Miedo a ser olvidado, desplazado simbólicamente, estigmatizado o excluido de la inversión pública.</v>
          </cell>
          <cell r="D8" t="str">
            <v>Sesgo de identidad grupal + razonamiento protector de identidad + efecto halo de liderazgos cercanos.</v>
          </cell>
          <cell r="E8" t="str">
            <v>Inversión barrial, cultura, deporte, juventud, espacio público, vías locales, equipamientos y reconocimiento comunitario.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>
        <row r="2">
          <cell r="A2" t="str">
            <v>Protección y orden cotidiano</v>
          </cell>
        </row>
        <row r="3">
          <cell r="A3" t="str">
            <v>Estabilidad y continuidad</v>
          </cell>
        </row>
        <row r="4">
          <cell r="A4" t="str">
            <v>Supervivencia económica y servicios básicos</v>
          </cell>
        </row>
        <row r="5">
          <cell r="A5" t="str">
            <v>Desconfianza y castigo</v>
          </cell>
        </row>
        <row r="6">
          <cell r="A6" t="str">
            <v>Pertenencia y dignidad territorial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0_Instrucciones"/>
      <sheetName val="01_Parametros"/>
      <sheetName val="02_Arquetipos_Miedo_Sesgo"/>
      <sheetName val="03_Base_Barrios_2023"/>
      <sheetName val="04_Correlaciones_Candidatos"/>
      <sheetName val="05_Matriz_Triadas_2023"/>
      <sheetName val="06_Correlador_Candidatos"/>
      <sheetName val="07_Matriz_Crimen_Territorio"/>
      <sheetName val="08_Dashboard"/>
      <sheetName val="09_Diccionario_Fuentes"/>
      <sheetName val="10_Listas"/>
    </sheetNames>
    <sheetDataSet>
      <sheetData sheetId="0"/>
      <sheetData sheetId="1"/>
      <sheetData sheetId="2">
        <row r="5">
          <cell r="A5" t="str">
            <v>Protección y orden cotidiano</v>
          </cell>
          <cell r="C5" t="str">
            <v>Miedo a la inseguridad, al descontrol barrial y a perder la tranquilidad cotidiana.</v>
          </cell>
          <cell r="D5" t="str">
            <v>Sesgo de disponibilidad + sesgo de negatividad + preferencia por autoridad.</v>
          </cell>
          <cell r="E5" t="str">
            <v>Seguridad, convivencia, movilidad, alumbrado, reacción institucional rápida, presencia de autoridad.</v>
          </cell>
        </row>
        <row r="6">
          <cell r="A6" t="str">
            <v>Estabilidad y continuidad</v>
          </cell>
          <cell r="C6" t="str">
            <v>Miedo a perder beneficios, subsidios, estabilidad institucional o condiciones de vida ya alcanzadas.</v>
          </cell>
          <cell r="D6" t="str">
            <v>Aversión a la pérdida + sesgo de statu quo + confirmación.</v>
          </cell>
          <cell r="E6" t="str">
            <v>Continuidad administrativa, servicios públicos, infraestructura, salud, educación y programas sociales.</v>
          </cell>
        </row>
        <row r="7">
          <cell r="A7" t="str">
            <v>Supervivencia económica y servicios básicos</v>
          </cell>
          <cell r="C7" t="str">
            <v>Miedo a no llegar a fin de mes, perder ingresos, empleo, movilidad o acceso a servicios básicos.</v>
          </cell>
          <cell r="D7" t="str">
            <v>Sesgo de escasez + presente dominante + aversión al riesgo económico.</v>
          </cell>
          <cell r="E7" t="str">
            <v>Empleo, emprendimiento, economía popular, transporte, costo de vida, salud, educación técnica y subsidios focalizados.</v>
          </cell>
        </row>
        <row r="8">
          <cell r="A8" t="str">
            <v>Desconfianza y castigo</v>
          </cell>
          <cell r="C8" t="str">
            <v>Miedo a ser engañado, robado, manipulado o usado electoralmente.</v>
          </cell>
          <cell r="D8" t="str">
            <v>Sesgo de confirmación + cinismo político + efecto de indignación moral.</v>
          </cell>
          <cell r="E8" t="str">
            <v>Transparencia, control político, lucha anticorrupción, vigilancia ciudadana, ejecución presupuestal y sanción a abusos.</v>
          </cell>
        </row>
        <row r="9">
          <cell r="A9" t="str">
            <v>Pertenencia y dignidad territorial</v>
          </cell>
          <cell r="C9" t="str">
            <v>Miedo a ser olvidado, desplazado simbólicamente, estigmatizado o excluido de la inversión pública.</v>
          </cell>
          <cell r="D9" t="str">
            <v>Sesgo de identidad grupal + razonamiento protector de identidad + efecto halo de liderazgos cercanos.</v>
          </cell>
          <cell r="E9" t="str">
            <v>Inversión barrial, cultura, deporte, juventud, espacio público, vías locales, equipamientos y reconocimiento comunitario.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NURY ASTRID" id="{AD360B81-CDD5-4274-9A63-D6A70013D0BB}" userId="S::ngomezs@eafit.edu.co::be2e3658-03a4-4965-bfab-dd2df17a4855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88237E-5FD4-486F-81A8-42A3B008A675}" name="tblBaseBarrios" displayName="tblBaseBarrios" ref="A3:BA128">
  <autoFilter ref="A3:BA128" xr:uid="{AD88237E-5FD4-486F-81A8-42A3B008A675}"/>
  <tableColumns count="53">
    <tableColumn id="1" xr3:uid="{0610F7F2-8A7C-4A57-9600-9C66602F642D}" name="Código DAP"/>
    <tableColumn id="2" xr3:uid="{FEC705CD-52EA-4968-A28E-C7274D0FFCF2}" name="Comuna"/>
    <tableColumn id="3" xr3:uid="{FF263C8D-EB53-4FC8-9FEC-E78397C06442}" name="Barrio"/>
    <tableColumn id="4" xr3:uid="{8703EDD9-CC79-418C-AD92-F1557D2E9B26}" name="Votantes totales"/>
    <tableColumn id="5" xr3:uid="{FA9D6D9B-DBEB-46D1-A714-A2CDCB411D9C}" name="Share ganador"/>
    <tableColumn id="6" xr3:uid="{B54B183A-A500-4F50-9EFE-9EFF880E0A1E}" name="Ganador Alcaldía"/>
    <tableColumn id="7" xr3:uid="{9BFAB985-13D2-4F7B-B97A-873178AEB679}" name="Arquetipo político original"/>
    <tableColumn id="8" xr3:uid="{78FCA938-EED5-48CD-86BB-6CAC82036D8B}" name="Votantes arquetipo aprox"/>
    <tableColumn id="9" xr3:uid="{FAD4BC1A-9EB9-42CE-ABFC-ED1183E1A52F}" name="% votantes arquetipo original"/>
    <tableColumn id="10" xr3:uid="{9F89DBEA-7238-434B-A992-E058BE93DDFC}" name="COD_COMUNA"/>
    <tableColumn id="11" xr3:uid="{C23DBDC8-720F-4FBE-9FD2-CB703B9FF705}" name="ZONA"/>
    <tableColumn id="12" xr3:uid="{C90DD431-DB14-4D02-942E-F532B0FF2621}" name="NIV_GOB_CRIMINAL"/>
    <tableColumn id="13" xr3:uid="{A46F43B8-687C-417D-B9DC-4098B32BBFCF}" name="NIV_CONTROL_TERR"/>
    <tableColumn id="14" xr3:uid="{836FB0C4-6584-49D6-B404-B1766B3E0E7D}" name="CAP_DANO_NIV"/>
    <tableColumn id="15" xr3:uid="{09EE9C19-728B-494C-8B79-8CC305F297E5}" name="CAP_MOVILIZACION_NIV"/>
    <tableColumn id="16" xr3:uid="{C6316AA3-B20D-4904-9823-16A310489B98}" name="JAC_CAPTURADA_NIV"/>
    <tableColumn id="17" xr3:uid="{F7BC3D8D-EBBA-49F2-9FDE-8011219A3542}" name="CONTROL_PARTICIP_NIV"/>
    <tableColumn id="18" xr3:uid="{B1077754-0B0D-4A1A-A2F3-AF4D82AD79A8}" name="RIESGO_ELECTORAL"/>
    <tableColumn id="19" xr3:uid="{1EFACC04-1C5D-473C-8F9F-4C0E7DE4061A}" name="INDICE_PRIORIDAD"/>
    <tableColumn id="20" xr3:uid="{9325D31B-68D6-44CE-A6C1-7AC9AA2BC13B}" name="PRIORIDAD_OBSERVACION"/>
    <tableColumn id="21" xr3:uid="{57949DDB-2840-44A5-A7AF-E40C4CB426FF}" name="MECANISMO_DOMINANTE"/>
    <tableColumn id="22" xr3:uid="{15A260BA-A419-4612-9DB5-EED38B17EBE9}" name="BANDAS_REFERIDAS"/>
    <tableColumn id="23" xr3:uid="{4318AA4F-9441-4B07-96D4-5835B9352F50}" name="TIPO_CONTROL_SOCIAL"/>
    <tableColumn id="24" xr3:uid="{D16290E0-C67B-43AE-B050-91F9C3832738}" name="ACTIV_CRIM_PRINC"/>
    <tableColumn id="25" xr3:uid="{0700D3EE-8CFD-43E7-8151-5697CD375C40}" name="TIPO_INFLU_ELECT"/>
    <tableColumn id="26" xr3:uid="{959A29E2-EAAF-4394-A4A4-89D78893C99D}" name="ORG_RIESGO"/>
    <tableColumn id="27" xr3:uid="{437BF2AD-A77B-4153-AA09-3A5CC392D44F}" name="CONFIANZA"/>
    <tableColumn id="28" xr3:uid="{0DE45A99-E494-4631-A894-B7FBCAF453E9}" name="FUENTE_CRIMEN"/>
    <tableColumn id="29" xr3:uid="{63EFBC2E-99D0-4D08-8824-B0B9593421D7}" name="FUENTE_ELECTORAL"/>
    <tableColumn id="30" xr3:uid="{EDFFCC0E-F30B-424B-B141-9CD306A3793D}" name="ESCALA_TERRITORIAL"/>
    <tableColumn id="31" xr3:uid="{1C90C895-B546-4166-A46E-C6E515F5E44D}" name="Concejo vínculo positivo"/>
    <tableColumn id="32" xr3:uid="{DA3F28A5-2F5C-40D3-807C-9FF028C5C00D}" name="Corr Concejo +"/>
    <tableColumn id="33" xr3:uid="{D1D84242-95DE-49B7-AE2C-3091204CCB67}" name="Nivel Concejo +"/>
    <tableColumn id="34" xr3:uid="{51B7E140-ACDC-4F32-B0CF-A20CA7223656}" name="JAL vínculo positivo"/>
    <tableColumn id="35" xr3:uid="{0C2E12E4-89E4-4CB0-A20A-3A0B4A50AEE2}" name="Corr JAL +"/>
    <tableColumn id="36" xr3:uid="{A0CD67BC-5410-40EC-9732-A2511ECCC66F}" name="Nivel JAL +"/>
    <tableColumn id="37" xr3:uid="{0A917874-2F4A-4369-8DBC-04C174FC4AA3}" name="Vínculo inverso crítico"/>
    <tableColumn id="38" xr3:uid="{393D165A-CED7-465B-B905-8FFC14572A73}" name="Corr inversa crítica"/>
    <tableColumn id="39" xr3:uid="{EBD8BEF8-AFA7-418D-B50C-B804ED2E2D12}" name="Score Protección y orden">
      <calculatedColumnFormula>ROUND((L4/3*'[1]01_Parametros'!$B$3+M4/3*'[1]01_Parametros'!$B$4+N4/3*'[1]01_Parametros'!$B$5+O4/3*'[1]01_Parametros'!$B$6+IF(ISNUMBER(SEARCH("Fronteras",U4)),1,0)*'[1]01_Parametros'!$B$7)*100,1)</calculatedColumnFormula>
    </tableColumn>
    <tableColumn id="40" xr3:uid="{1D4B80CF-D62D-47FB-A9E5-1D3FC6ED6279}" name="Score Estabilidad y continuidad">
      <calculatedColumnFormula>ROUND((E4*'[1]01_Parametros'!$B$8+(1-L4/3)*'[1]01_Parametros'!$B$9+IF(OR(AA4="Alta",AA4="Media"),1,0)*'[1]01_Parametros'!$B$10)*100,1)</calculatedColumnFormula>
    </tableColumn>
    <tableColumn id="41" xr3:uid="{303459BA-36A3-4F34-8BFA-034120D14BC6}" name="Score Supervivencia económica">
      <calculatedColumnFormula>ROUND((IF(ISNUMBER(SEARCH("AC01",X4)),1,0)*'[1]01_Parametros'!$B$11+IF(OR(ISNUMBER(SEARCH("AC06",X4)),ISNUMBER(SEARCH("AC03",X4))),1,0)*'[1]01_Parametros'!$B$12+(1-ABS(E4-0.5))*'[1]01_Parametros'!$B$13+S4/3.2*'[1]01_Parametros'!$B$14)*100,1)</calculatedColumnFormula>
    </tableColumn>
    <tableColumn id="42" xr3:uid="{B38DDFA5-9B6A-49D2-B970-4ACA688B4C8C}" name="Score Desconfianza y castigo">
      <calculatedColumnFormula>ROUND((L4/3*'[1]01_Parametros'!$B$15+Q4/3*'[1]01_Parametros'!$B$16+P4/3*'[1]01_Parametros'!$B$17+IF(OR(AA4="Media-baja",AA4="Baja"),1,0)*'[1]01_Parametros'!$B$18+S4/3.2*'[1]01_Parametros'!$B$19)*100,1)</calculatedColumnFormula>
    </tableColumn>
    <tableColumn id="43" xr3:uid="{ABAF6E26-EFCD-4E75-ACD9-8201BA546D28}" name="Score Pertenencia territorial">
      <calculatedColumnFormula>ROUND((P4/3*'[1]01_Parametros'!$B$20+IF(OR(ISNUMBER(SEARCH("JAC",Z4)),ISNUMBER(SEARCH("JAL",Z4)),ISNUMBER(SEARCH("lider",Z4))),1,0)*'[1]01_Parametros'!$B$21+IF(LEFT(B4,14)="Corregimiento",1,0)*'[1]01_Parametros'!$B$22+Q4/3*'[1]01_Parametros'!$B$23+S4/3.2*'[1]01_Parametros'!$B$24)*100,1)</calculatedColumnFormula>
    </tableColumn>
    <tableColumn id="44" xr3:uid="{ED212A93-0CD9-4D57-9145-AE3CC658861B}" name="Arquetipo psicopolítico sugerido">
      <calculatedColumnFormula>INDEX('[1]13_Listas'!$A$2:$A$6, MATCH(MAX(AM4:AQ4), AM4:AQ4, 0))</calculatedColumnFormula>
    </tableColumn>
    <tableColumn id="45" xr3:uid="{1DAD9E06-DCA4-4F1D-9651-19B155E5F29A}" name="Arquetipo final editable">
      <calculatedColumnFormula>AR4</calculatedColumnFormula>
    </tableColumn>
    <tableColumn id="46" xr3:uid="{E4DD2A82-98D8-4EFD-8AF9-22916D6AD291}" name="Arquetipo movilizador calibrado">
      <calculatedColumnFormula>IF(AND(AP4=MAX(AM4:AQ4),AP4&gt;=75),"Contestatario Estructural",IF(OR(S4&gt;=3,O4&gt;=3,AQ4&gt;=75),"Activista Causal",IF(MAX(AM4:AQ4)&gt;=60,"Traductor Digital","Confirmador Silencioso")))</calculatedColumnFormula>
    </tableColumn>
    <tableColumn id="47" xr3:uid="{28298DDB-786A-44F7-AE46-40A8DAEC1237}" name="Tema agenda recomendado">
      <calculatedColumnFormula>IF(AS4="Protección y orden cotidiano","Seguridad urbana y combos",IF(AS4="Estabilidad y continuidad","Encuestas y caballo ganador / menos malo",IF(AS4="Supervivencia económica y servicios básicos","Costo de vida, gentrificación y vivienda",IF(AS4="Desconfianza y castigo","Corrupción, EPM y grandes contratos","Relación ciudad–gobierno nacional"))))</calculatedColumnFormula>
    </tableColumn>
    <tableColumn id="48" xr3:uid="{21B26466-6D94-4A9D-B966-C95789382A9E}" name="Motor cognitivo / sesgo">
      <calculatedColumnFormula>IFERROR(VLOOKUP(AS4,'[1]02_Arquetipos_Miedo_Sesgo'!$A$4:$G$8,4,FALSE),"")</calculatedColumnFormula>
    </tableColumn>
    <tableColumn id="49" xr3:uid="{E6976C31-4375-4955-A3A0-750E5C125CC9}" name="Miedo dominante">
      <calculatedColumnFormula>IFERROR(VLOOKUP(AS4,'[1]02_Arquetipos_Miedo_Sesgo'!$A$4:$G$8,3,FALSE),"")</calculatedColumnFormula>
    </tableColumn>
    <tableColumn id="50" xr3:uid="{280FD9EF-49B9-4742-AD6D-E10E529E8B68}" name="Sesgo principal">
      <calculatedColumnFormula>IFERROR(VLOOKUP(AS4,'[1]02_Arquetipos_Miedo_Sesgo'!$A$4:$G$8,4,FALSE),"")</calculatedColumnFormula>
    </tableColumn>
    <tableColumn id="51" xr3:uid="{E9F7481B-53FF-4098-AC3F-4942C43403D3}" name="Agenda activadora">
      <calculatedColumnFormula>IFERROR(VLOOKUP(AS4,'[1]02_Arquetipos_Miedo_Sesgo'!$A$4:$G$8,5,FALSE),"")</calculatedColumnFormula>
    </tableColumn>
    <tableColumn id="52" xr3:uid="{514957A6-803C-4399-B3EC-5256D3A95069}" name="Recomendación ética">
      <calculatedColumnFormula>IFERROR(VLOOKUP(AS4,'[1]02_Arquetipos_Miedo_Sesgo'!$A$4:$G$8,6,FALSE),"")</calculatedColumnFormula>
    </tableColumn>
    <tableColumn id="53" xr3:uid="{2C3D319E-18BE-4658-9D93-39D0752C9E07}" name="Observacion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408DCD-D41A-488B-A7D4-F16CB1CCD2B6}" name="tblCorrelaciones" displayName="tblCorrelaciones" ref="A3:F183">
  <tableColumns count="6">
    <tableColumn id="1" xr3:uid="{B1BD4B1F-E58B-4923-ADB3-E67ACC4A8B10}" name="Cruce"/>
    <tableColumn id="2" xr3:uid="{66EB6673-AD8A-4C45-967D-0006BD257A40}" name="Candidato Alcaldía"/>
    <tableColumn id="3" xr3:uid="{D91379A2-A219-441F-BA0F-7852871F8393}" name="Candidato relacionado"/>
    <tableColumn id="4" xr3:uid="{8FF5E1B7-385A-4972-8087-E0F8705918B9}" name="Correlación barrio"/>
    <tableColumn id="5" xr3:uid="{F1A358D8-C56C-4A86-819E-302FCAB5DC35}" name="Signo"/>
    <tableColumn id="6" xr3:uid="{0DF8D1B9-BD7D-4398-8BA7-20A61F98BB00}" name="Nive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E68A141-B597-47C0-9A10-C963EF3503DB}" name="BaseBarrios2019" displayName="BaseBarrios2019" ref="A1:AO144">
  <tableColumns count="41">
    <tableColumn id="1" xr3:uid="{03E967D8-81C6-4C03-AAFF-974D76D4C598}" name="Código DAP"/>
    <tableColumn id="2" xr3:uid="{4DC56F69-DAC1-4706-B2AD-82A745661A58}" name="Comuna"/>
    <tableColumn id="3" xr3:uid="{CE10FB54-4AA8-4555-9C78-548FDFA6A41A}" name="Barrio"/>
    <tableColumn id="4" xr3:uid="{DAF20F9C-9E7B-4F3F-8645-89EAEA4E4BE7}" name="Total válidos Alcaldía"/>
    <tableColumn id="5" xr3:uid="{860C1917-BE69-4793-9BF8-4DFCE7E3155C}" name="Total válidos Concejo"/>
    <tableColumn id="6" xr3:uid="{E272D9C2-0BA8-4A57-AE31-87251849A8A7}" name="Total válidos JAL"/>
    <tableColumn id="7" xr3:uid="{73A59FFE-E0C7-4886-ABF2-AC461A67E494}" name="Ganador Alcaldía"/>
    <tableColumn id="8" xr3:uid="{3382DB52-D328-43E6-9250-44478328DFC9}" name="% ganador Alcaldía"/>
    <tableColumn id="9" xr3:uid="{FFE02039-DEC3-4713-B7DE-185DDE43D5F7}" name="Brecha Alcaldía"/>
    <tableColumn id="10" xr3:uid="{5B0E6E68-A614-4DFD-933D-8C8DB8BFA7F1}" name="Ganador Concejo"/>
    <tableColumn id="11" xr3:uid="{8D7217FF-1D42-4B23-B693-71180EC8C27F}" name="% ganador Concejo"/>
    <tableColumn id="12" xr3:uid="{E09A4B4F-CD72-4CB7-8D6E-8611A4AC63CA}" name="Brecha Concejo"/>
    <tableColumn id="13" xr3:uid="{88F5E5CC-2944-41C1-925C-AF6E04B02C5D}" name="Ganador JAL"/>
    <tableColumn id="14" xr3:uid="{4E66FEE7-370D-4FE4-8348-5913712399EC}" name="% ganador JAL"/>
    <tableColumn id="15" xr3:uid="{6161835D-EF3C-47C6-B0B4-6065D9E27F6C}" name="Brecha JAL"/>
    <tableColumn id="16" xr3:uid="{BF43ED8A-3833-4ADA-A08E-36812BB403E0}" name="Corr Alcaldía-Concejo ganador"/>
    <tableColumn id="17" xr3:uid="{724134EC-FA09-4767-80C3-D1ED43A2D222}" name="Nivel Alcaldía-Concejo"/>
    <tableColumn id="18" xr3:uid="{D5A4982E-E4B9-4482-A432-4DD1DAF8904A}" name="Corr Alcaldía-JAL ganador"/>
    <tableColumn id="19" xr3:uid="{1DD61E60-7B5B-4032-A562-BF94A9924CC5}" name="Nivel Alcaldía-JAL"/>
    <tableColumn id="20" xr3:uid="{8A5FF68B-4450-46A7-97FB-0997C6B25008}" name="Corr JAL-Concejo ganador"/>
    <tableColumn id="21" xr3:uid="{CC02BDCF-5E5C-498F-9A5A-FF6C91D3D87C}" name="Score triádico ganador"/>
    <tableColumn id="22" xr3:uid="{D48EF861-C020-48B7-B885-39E40581D99D}" name="Nivel relación emocional"/>
    <tableColumn id="23" xr3:uid="{890B3D8D-442E-4DB6-9CF9-A862BE3386BF}" name="Patrón emocional de signos"/>
    <tableColumn id="24" xr3:uid="{FD6CDEDD-569D-4198-870F-A6D5F92D9C5B}" name="Riesgo analítico"/>
    <tableColumn id="25" xr3:uid="{279ADB80-2768-4F63-8CF2-89650F158228}" name="Zona criminal-territorial"/>
    <tableColumn id="26" xr3:uid="{9F96ED8A-0F36-46C8-B6E4-FC835DBB1653}" name="Estructuras/dinámicas reportadas"/>
    <tableColumn id="27" xr3:uid="{9F1F560B-5398-47AC-8FFB-31A35ED869E6}" name="Tema agenda más sensible"/>
    <tableColumn id="28" xr3:uid="{90DC24FE-5570-4588-BAF4-7F5584F254E8}" name="Score Protección y orden cotidiano"/>
    <tableColumn id="29" xr3:uid="{CDE77CBE-2C80-41B3-8B78-CD5DF0BA5F87}" name="Score Estabilidad y continuidad"/>
    <tableColumn id="30" xr3:uid="{C7D85708-C054-4796-AE9E-C6EE80FBC726}" name="Score Supervivencia económica y servicios básicos"/>
    <tableColumn id="31" xr3:uid="{2F550AED-7C7A-4B89-9C09-43B501D80B0E}" name="Score Desconfianza y castigo"/>
    <tableColumn id="32" xr3:uid="{CCA3597F-04B0-4179-BE0E-B6F00F0FCC88}" name="Score Pertenencia y dignidad territorial"/>
    <tableColumn id="33" xr3:uid="{F437F51A-643D-4976-8635-2D29FCF1D0DF}" name="Arquetipo calculado 2015">
      <calculatedColumnFormula>INDEX('[2]10_Listas'!$A$2:$A$6,MATCH(MAX(AB2:AF2),AB2:AF2,0))</calculatedColumnFormula>
    </tableColumn>
    <tableColumn id="34" xr3:uid="{D35EDB46-1443-4DF3-B57F-69E7777F2EB3}" name="Arquetipo emocional original 2019"/>
    <tableColumn id="35" xr3:uid="{3442809B-F0DC-4AB3-9F84-11C84025A26A}" name="Arquetipo ajustable"/>
    <tableColumn id="36" xr3:uid="{6D8E75CD-39A6-44AF-9B99-0C21CDB78596}" name="Arquetipo final">
      <calculatedColumnFormula>IF(AI2&lt;&gt;"",AI2,AG2)</calculatedColumnFormula>
    </tableColumn>
    <tableColumn id="37" xr3:uid="{0498E16C-65E5-4B05-8C26-446F14CD7689}" name="Miedo dominante">
      <calculatedColumnFormula>IFERROR(INDEX('[2]02_Arquetipos_Miedo_Sesgo'!$C$4:$C$8,MATCH(AJ2,'[2]02_Arquetipos_Miedo_Sesgo'!$A$4:$A$8,0)),"")</calculatedColumnFormula>
    </tableColumn>
    <tableColumn id="38" xr3:uid="{6A8ADCFD-34E5-48C0-BC70-F2681691B181}" name="Sesgo principal">
      <calculatedColumnFormula>IFERROR(INDEX('[2]02_Arquetipos_Miedo_Sesgo'!$D$4:$D$8,MATCH(AJ2,'[2]02_Arquetipos_Miedo_Sesgo'!$A$4:$A$8,0)),"")</calculatedColumnFormula>
    </tableColumn>
    <tableColumn id="39" xr3:uid="{C62FB7DE-0154-47F9-8789-3C0F75248D2C}" name="Agenda pública activadora">
      <calculatedColumnFormula>IFERROR(INDEX('[2]02_Arquetipos_Miedo_Sesgo'!$E$4:$E$8,MATCH(AJ2,'[2]02_Arquetipos_Miedo_Sesgo'!$A$4:$A$8,0)),"")</calculatedColumnFormula>
    </tableColumn>
    <tableColumn id="40" xr3:uid="{570FA2D2-D1C3-4989-ACBB-A0C5D14159C1}" name="Prioridad territorial">
      <calculatedColumnFormula>IF(OR($X2="Alto",$X2="Extremo",MAX($AB2:$AF2)&gt;=0.215),"Alta",IF(MAX($AB2:$AF2)&gt;=0.195,"Media","Baja"))</calculatedColumnFormula>
    </tableColumn>
    <tableColumn id="41" xr3:uid="{2590C65F-E8D8-4166-9248-209B7B0EDE07}" name="Nota metodológic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E2A930A-76E7-4C93-90B6-880DAF76E52D}" name="Triadas2019" displayName="Triadas2019" ref="A1:K2113">
  <tableColumns count="11">
    <tableColumn id="1" xr3:uid="{771AB3A8-2FB3-401D-AA76-BD3BAE97CC22}" name="Candidato JAL"/>
    <tableColumn id="2" xr3:uid="{DA3A3CD4-5B09-4B13-9AF7-6AACC171E29B}" name="Candidato Concejo"/>
    <tableColumn id="3" xr3:uid="{4DF82E0C-5AAC-4E78-8202-706185CEFD29}" name="Candidato Alcaldía"/>
    <tableColumn id="4" xr3:uid="{BA7271D4-4465-468E-AC04-714AC9226949}" name="Corr JAL-Alcaldía"/>
    <tableColumn id="5" xr3:uid="{D9CFA1EF-6145-4998-80BD-3DDCB8A8C513}" name="Corr JAL-Concejo"/>
    <tableColumn id="6" xr3:uid="{11C074A7-E691-439E-B0A5-460C5A8F9C31}" name="Corr Alcaldía-Concejo"/>
    <tableColumn id="7" xr3:uid="{4A90A48F-ECD6-4D1F-AFB3-41884CC2896C}" name="Score directo JAL→Alc+Con"/>
    <tableColumn id="8" xr3:uid="{CA648EDF-173C-4051-B8B9-B5FE6C130E97}" name="Score triádico firmado"/>
    <tableColumn id="9" xr3:uid="{EBB7F841-9820-403E-B55A-E82643EE701E}" name="Cohesión triádica absoluta"/>
    <tableColumn id="10" xr3:uid="{1DF6E58D-C5D9-4ED9-9F96-79FBBA743A7D}" name="Nivel cohesión"/>
    <tableColumn id="11" xr3:uid="{A4DE8E87-31E6-4754-BD35-15D2A424CA4C}" name="Patrón de signo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0F6476F-E2BA-4CDA-9AAD-63A9AC7BED4C}" name="BaseBarrios2023" displayName="BaseBarrios2023" ref="A1:AO153">
  <tableColumns count="41">
    <tableColumn id="1" xr3:uid="{DFCAD76C-3C5A-4560-8263-B397C59001F0}" name="Código DAP"/>
    <tableColumn id="2" xr3:uid="{82EA028A-6452-4347-B731-33072760B1D7}" name="Comuna"/>
    <tableColumn id="3" xr3:uid="{9933252B-8C13-4EB3-9D23-38D4D7712CC9}" name="Barrio"/>
    <tableColumn id="4" xr3:uid="{F11A5AAA-F6B9-4AB4-8433-9F707C6B0A04}" name="Total válidos Alcaldía"/>
    <tableColumn id="5" xr3:uid="{C7C96B28-4816-433B-B9A4-F3D8B3CA2F64}" name="Total válidos Concejo"/>
    <tableColumn id="6" xr3:uid="{791EA9A6-20EB-4666-A276-BEB0DF6F4807}" name="Total válidos JAL"/>
    <tableColumn id="7" xr3:uid="{90D2AED6-495C-4802-ACB0-C1FE518BE000}" name="Ganador Alcaldía"/>
    <tableColumn id="8" xr3:uid="{1248D0BB-B2A1-4199-88DF-D30E52F66E7C}" name="% ganador Alcaldía"/>
    <tableColumn id="9" xr3:uid="{67E35990-0F5A-46F7-A0D0-3134189DCCEC}" name="Brecha Alcaldía"/>
    <tableColumn id="10" xr3:uid="{2A05A1E5-A99E-45AE-9B23-1664A0FBCA56}" name="Ganador Concejo"/>
    <tableColumn id="11" xr3:uid="{E148F11D-B159-4635-8588-5DF2C9348F69}" name="% ganador Concejo"/>
    <tableColumn id="12" xr3:uid="{0AC980F0-F58D-41AE-898A-C41C629AA518}" name="Brecha Concejo"/>
    <tableColumn id="13" xr3:uid="{292073C1-DA3B-49CF-85AB-882BA595DC82}" name="Ganador JAL"/>
    <tableColumn id="14" xr3:uid="{5B89AF1A-70E7-4967-93AD-CDC8B5B029C9}" name="% ganador JAL"/>
    <tableColumn id="15" xr3:uid="{C6338BD6-410F-4F8E-A6F5-9DFA8BB354EE}" name="Brecha JAL"/>
    <tableColumn id="16" xr3:uid="{D1444646-ED72-4B3C-A775-2205ED0F1FD7}" name="Corr Alcaldía-Concejo ganador"/>
    <tableColumn id="17" xr3:uid="{2FBC7BD5-14E5-470E-AEBC-2716E9578FEF}" name="Nivel Alcaldía-Concejo"/>
    <tableColumn id="18" xr3:uid="{5A3BECDE-302F-4043-B3FC-87ECFA0B2051}" name="Corr Alcaldía-JAL ganador"/>
    <tableColumn id="19" xr3:uid="{857E33A2-DA96-423B-9DE3-B89C90250A58}" name="Nivel Alcaldía-JAL"/>
    <tableColumn id="20" xr3:uid="{525837C4-7359-4A35-A828-D20F77B14E35}" name="Corr JAL-Concejo ganador"/>
    <tableColumn id="21" xr3:uid="{41BB12E5-8F01-45D5-BAFF-ABB28E28D7CA}" name="Score triádico ganador"/>
    <tableColumn id="22" xr3:uid="{51F92E1A-EC45-4E9F-BCEE-418568089C38}" name="Nivel relación emocional"/>
    <tableColumn id="23" xr3:uid="{6C5FB5DE-8F0E-457A-ACE2-25422F613FBF}" name="Patrón emocional de signos"/>
    <tableColumn id="24" xr3:uid="{2210E975-CC4D-4DC3-A9A7-DDB5D8E6EB6C}" name="Riesgo analítico"/>
    <tableColumn id="25" xr3:uid="{28F2DB4E-537A-4F53-89B4-44BA7ACF7D65}" name="Zona criminal-territorial"/>
    <tableColumn id="26" xr3:uid="{D441E609-641A-4242-9907-AD4FDC080AFE}" name="Estructuras/dinámicas reportadas"/>
    <tableColumn id="27" xr3:uid="{C261F6B7-96B5-456E-9C87-9069259A0362}" name="Tema agenda más sensible"/>
    <tableColumn id="28" xr3:uid="{597DF147-D434-43BA-A4F4-25DCBC68108A}" name="Score Protección y orden cotidiano"/>
    <tableColumn id="29" xr3:uid="{E503FED7-F1EF-4B03-9C19-651852FE4E4F}" name="Score Estabilidad y continuidad"/>
    <tableColumn id="30" xr3:uid="{85021EA1-775B-461E-9AC7-4B56FC095393}" name="Score Supervivencia económica y servicios básicos"/>
    <tableColumn id="31" xr3:uid="{56A2E04D-2167-47C2-9D17-AD9ADE81190C}" name="Score Desconfianza y castigo"/>
    <tableColumn id="32" xr3:uid="{8935CA02-9B84-4FA1-B0C3-DC93CA4EFEE3}" name="Score Pertenencia y dignidad territorial"/>
    <tableColumn id="33" xr3:uid="{77EB31D4-178B-478B-B3BA-2BCE8B0AAB8E}" name="Arquetipo calculado 2019">
      <calculatedColumnFormula>CHOOSE(MATCH(MAX(AB2:AF2),AB2:AF2,0),"Protección y orden cotidiano","Estabilidad y continuidad","Supervivencia económica y servicios básicos","Desconfianza y castigo","Pertenencia y dignidad territorial")</calculatedColumnFormula>
    </tableColumn>
    <tableColumn id="34" xr3:uid="{D3AA3758-798B-4D9B-9CA7-FA8D712F8931}" name="Arquetipo emocional original 2023"/>
    <tableColumn id="35" xr3:uid="{796E7664-D3F3-4961-8E4A-6D35F31C9D34}" name="Arquetipo ajustable"/>
    <tableColumn id="36" xr3:uid="{AE4753D7-908F-4CD0-8600-8A1AB48C6F0E}" name="Arquetipo final">
      <calculatedColumnFormula>IF(AI2&lt;&gt;"",AI2,AG2)</calculatedColumnFormula>
    </tableColumn>
    <tableColumn id="37" xr3:uid="{DC5AA2BC-C70E-4ACA-92A8-D3EE1A0F35EF}" name="Miedo dominante">
      <calculatedColumnFormula>IFERROR(INDEX('[3]02_Arquetipos_Miedo_Sesgo'!$C$5:$C$9,MATCH(AJ2,'[3]02_Arquetipos_Miedo_Sesgo'!$A$5:$A$9,0)),"")</calculatedColumnFormula>
    </tableColumn>
    <tableColumn id="38" xr3:uid="{2C4BFE0B-7BF0-4E53-83E7-3EBB105AE68F}" name="Sesgo principal">
      <calculatedColumnFormula>IFERROR(INDEX('[3]02_Arquetipos_Miedo_Sesgo'!$D$5:$D$9,MATCH(AJ2,'[3]02_Arquetipos_Miedo_Sesgo'!$A$5:$A$9,0)),"")</calculatedColumnFormula>
    </tableColumn>
    <tableColumn id="39" xr3:uid="{5CA4FB93-8705-4A50-B4DE-95BDF9C31064}" name="Agenda pública activadora">
      <calculatedColumnFormula>IFERROR(INDEX('[3]02_Arquetipos_Miedo_Sesgo'!$E$5:$E$9,MATCH(AJ2,'[3]02_Arquetipos_Miedo_Sesgo'!$A$5:$A$9,0)),"")</calculatedColumnFormula>
    </tableColumn>
    <tableColumn id="40" xr3:uid="{CECDF5EC-7120-48FB-B218-9E16ACB190C2}" name="Prioridad territorial">
      <calculatedColumnFormula>IF(OR(X2="Extremo",X2="Alto",X2="Medio-Alto"),"Alta",IF(X2="Medio","Media",IF(X2="Bajo","Baja","Sin clasificar")))</calculatedColumnFormula>
    </tableColumn>
    <tableColumn id="41" xr3:uid="{E5FC18F2-BC92-4A8C-AE62-B4D5566D5C6B}" name="Nota metodológic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4C5C510-8A1C-4633-B80D-3DF75296A020}" name="Triadas2023" displayName="Triadas2023" ref="A1:K2465">
  <tableColumns count="11">
    <tableColumn id="1" xr3:uid="{BDCEA37D-E713-4FD1-A10C-42F2FD3DE4A8}" name="Candidato JAL"/>
    <tableColumn id="2" xr3:uid="{BAD68E56-F534-46D4-B50C-78A34AD48EB3}" name="Candidato Concejo"/>
    <tableColumn id="3" xr3:uid="{908136DD-7374-4991-9D2A-76B8D4F1B952}" name="Candidato Alcaldía"/>
    <tableColumn id="4" xr3:uid="{5757C3BF-1E4D-4F06-913E-B7E2DA4AE592}" name="Corr JAL-Alcaldía"/>
    <tableColumn id="5" xr3:uid="{6286AF63-89B4-4283-9B7E-E50244D34FA6}" name="Corr JAL-Concejo"/>
    <tableColumn id="6" xr3:uid="{9E882661-55E5-4445-9E40-A5F6C5984F98}" name="Corr Alcaldía-Concejo"/>
    <tableColumn id="7" xr3:uid="{DE90BFC1-80B8-461C-B0D2-51B5D994C0B5}" name="Score directo JAL→Alc+Con"/>
    <tableColumn id="8" xr3:uid="{F70D6C0A-8010-4D7A-A0D3-6CF1FCD25693}" name="Score triádico firmado"/>
    <tableColumn id="9" xr3:uid="{D61831DD-9DBB-4824-B86C-284413CAF632}" name="Cohesión triádica absoluta"/>
    <tableColumn id="10" xr3:uid="{DAD943F8-47BC-48DD-837E-4C16782328B4}" name="Nivel cohesión"/>
    <tableColumn id="11" xr3:uid="{A045AC55-A981-47FB-A4E2-6A39CDBA8EC8}" name="Patrón de signo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3" dT="2026-05-14T18:14:06.00" personId="{AD360B81-CDD5-4274-9A63-D6A70013D0BB}" id="{A7DF3A27-03B8-4DBE-AAA1-39E1D18CE8AB}">
    <text>NO USAR ESTE ARQUETIPO</text>
  </threadedComment>
  <threadedComment ref="AT3" dT="2026-05-14T18:14:48.37" personId="{AD360B81-CDD5-4274-9A63-D6A70013D0BB}" id="{EB100C6F-3071-4BF3-A343-4F4C49BA99DE}">
    <text>NO USAR ESTE ARQUETIP0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32F5D-E189-4A42-BEEF-886103417E9F}">
  <dimension ref="A1:BA250"/>
  <sheetViews>
    <sheetView workbookViewId="0">
      <selection sqref="A1:XFD1048576"/>
    </sheetView>
  </sheetViews>
  <sheetFormatPr baseColWidth="10" defaultColWidth="9.77734375" defaultRowHeight="14.4"/>
  <cols>
    <col min="1" max="1" width="13.33203125" customWidth="1"/>
    <col min="2" max="2" width="24.44140625" customWidth="1"/>
    <col min="3" max="3" width="31.109375" customWidth="1"/>
    <col min="4" max="4" width="14.44140625" customWidth="1"/>
    <col min="5" max="5" width="13.33203125" customWidth="1"/>
    <col min="6" max="6" width="46.6640625" customWidth="1"/>
    <col min="7" max="7" width="35.5546875" customWidth="1"/>
    <col min="8" max="8" width="14.44140625" customWidth="1"/>
    <col min="9" max="9" width="13.33203125" customWidth="1"/>
    <col min="10" max="10" width="11.109375" customWidth="1"/>
    <col min="11" max="11" width="17.77734375" customWidth="1"/>
    <col min="12" max="14" width="14.44140625" customWidth="1"/>
    <col min="15" max="16" width="15.5546875" customWidth="1"/>
    <col min="17" max="17" width="16.6640625" customWidth="1"/>
    <col min="18" max="18" width="17.77734375" customWidth="1"/>
    <col min="19" max="19" width="14.44140625" customWidth="1"/>
    <col min="20" max="20" width="16.6640625" customWidth="1"/>
    <col min="21" max="21" width="26.6640625" customWidth="1"/>
    <col min="22" max="22" width="42.21875" customWidth="1"/>
    <col min="23" max="25" width="26.6640625" customWidth="1"/>
    <col min="26" max="26" width="35.5546875" customWidth="1"/>
    <col min="27" max="27" width="14.44140625" customWidth="1"/>
    <col min="28" max="29" width="40" customWidth="1"/>
    <col min="30" max="30" width="28.88671875" customWidth="1"/>
    <col min="31" max="31" width="44.44140625" customWidth="1"/>
    <col min="32" max="33" width="13.33203125" customWidth="1"/>
    <col min="34" max="34" width="44.44140625" customWidth="1"/>
    <col min="35" max="36" width="13.33203125" customWidth="1"/>
    <col min="37" max="37" width="44.44140625" customWidth="1"/>
    <col min="38" max="38" width="13.33203125" customWidth="1"/>
    <col min="39" max="43" width="15.5546875" customWidth="1"/>
    <col min="44" max="46" width="31.109375" customWidth="1"/>
    <col min="47" max="50" width="35.5546875" customWidth="1"/>
    <col min="51" max="53" width="40" customWidth="1"/>
  </cols>
  <sheetData>
    <row r="1" spans="1:53" ht="17.399999999999999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</row>
    <row r="2" spans="1:5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ht="41.4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</row>
    <row r="4" spans="1:53" ht="43.2">
      <c r="A4" s="3" t="s">
        <v>54</v>
      </c>
      <c r="B4" s="3" t="s">
        <v>55</v>
      </c>
      <c r="C4" s="3" t="s">
        <v>56</v>
      </c>
      <c r="D4" s="4">
        <v>6400</v>
      </c>
      <c r="E4" s="5">
        <v>0.36515625000000002</v>
      </c>
      <c r="F4" s="3" t="s">
        <v>57</v>
      </c>
      <c r="G4" s="3" t="s">
        <v>58</v>
      </c>
      <c r="H4" s="3">
        <v>2337</v>
      </c>
      <c r="I4" s="3">
        <v>36.5</v>
      </c>
      <c r="J4" s="3">
        <v>4</v>
      </c>
      <c r="K4" s="3" t="s">
        <v>59</v>
      </c>
      <c r="L4" s="3">
        <v>3</v>
      </c>
      <c r="M4" s="3">
        <v>3</v>
      </c>
      <c r="N4" s="3">
        <v>3</v>
      </c>
      <c r="O4" s="3">
        <v>3</v>
      </c>
      <c r="P4" s="3">
        <v>2</v>
      </c>
      <c r="Q4" s="3">
        <v>3</v>
      </c>
      <c r="R4" s="3" t="s">
        <v>60</v>
      </c>
      <c r="S4" s="3">
        <v>3</v>
      </c>
      <c r="T4" s="3" t="s">
        <v>61</v>
      </c>
      <c r="U4" s="3" t="s">
        <v>62</v>
      </c>
      <c r="V4" s="3" t="s">
        <v>63</v>
      </c>
      <c r="W4" s="3" t="s">
        <v>64</v>
      </c>
      <c r="X4" s="3" t="s">
        <v>65</v>
      </c>
      <c r="Y4" s="3" t="s">
        <v>66</v>
      </c>
      <c r="Z4" s="3" t="s">
        <v>67</v>
      </c>
      <c r="AA4" s="3" t="s">
        <v>68</v>
      </c>
      <c r="AB4" s="3" t="s">
        <v>69</v>
      </c>
      <c r="AC4" s="3" t="s">
        <v>70</v>
      </c>
      <c r="AD4" s="3" t="s">
        <v>71</v>
      </c>
      <c r="AE4" s="3" t="s">
        <v>72</v>
      </c>
      <c r="AF4" s="6">
        <v>0.36599999999999999</v>
      </c>
      <c r="AG4" s="3" t="s">
        <v>73</v>
      </c>
      <c r="AH4" s="3" t="s">
        <v>74</v>
      </c>
      <c r="AI4" s="6">
        <v>0.497</v>
      </c>
      <c r="AJ4" s="3" t="s">
        <v>75</v>
      </c>
      <c r="AK4" s="3" t="s">
        <v>76</v>
      </c>
      <c r="AL4" s="6">
        <v>-0.38900000000000001</v>
      </c>
      <c r="AM4" s="7">
        <f>ROUND((L4/3*'[1]01_Parametros'!$B$3+M4/3*'[1]01_Parametros'!$B$4+N4/3*'[1]01_Parametros'!$B$5+O4/3*'[1]01_Parametros'!$B$6+IF(ISNUMBER(SEARCH("Fronteras",U4)),1,0)*'[1]01_Parametros'!$B$7)*100,1)</f>
        <v>100</v>
      </c>
      <c r="AN4" s="7">
        <f>ROUND((E4*'[1]01_Parametros'!$B$8+(1-L4/3)*'[1]01_Parametros'!$B$9+IF(OR(AA4="Alta",AA4="Media"),1,0)*'[1]01_Parametros'!$B$10)*100,1)</f>
        <v>18.3</v>
      </c>
      <c r="AO4" s="7">
        <f>ROUND((IF(ISNUMBER(SEARCH("AC01",X4)),1,0)*'[1]01_Parametros'!$B$11+IF(OR(ISNUMBER(SEARCH("AC06",X4)),ISNUMBER(SEARCH("AC03",X4))),1,0)*'[1]01_Parametros'!$B$12+(1-ABS(E4-0.5))*'[1]01_Parametros'!$B$13+S4/3.2*'[1]01_Parametros'!$B$14)*100,1)</f>
        <v>71.099999999999994</v>
      </c>
      <c r="AP4" s="7">
        <f>ROUND((L4/3*'[1]01_Parametros'!$B$15+Q4/3*'[1]01_Parametros'!$B$16+P4/3*'[1]01_Parametros'!$B$17+IF(OR(AA4="Media-baja",AA4="Baja"),1,0)*'[1]01_Parametros'!$B$18+S4/3.2*'[1]01_Parametros'!$B$19)*100,1)</f>
        <v>77.7</v>
      </c>
      <c r="AQ4" s="7">
        <f>ROUND((P4/3*'[1]01_Parametros'!$B$20+IF(OR(ISNUMBER(SEARCH("JAC",Z4)),ISNUMBER(SEARCH("JAL",Z4)),ISNUMBER(SEARCH("lider",Z4))),1,0)*'[1]01_Parametros'!$B$21+IF(LEFT(B4,14)="Corregimiento",1,0)*'[1]01_Parametros'!$B$22+Q4/3*'[1]01_Parametros'!$B$23+S4/3.2*'[1]01_Parametros'!$B$24)*100,1)</f>
        <v>34.700000000000003</v>
      </c>
      <c r="AR4" s="3" t="str">
        <f>INDEX('[1]13_Listas'!$A$2:$A$6, MATCH(MAX(AM4:AQ4), AM4:AQ4, 0))</f>
        <v>Protección y orden cotidiano</v>
      </c>
      <c r="AS4" s="3" t="str">
        <f t="shared" ref="AS4:AS67" si="0">AR4</f>
        <v>Protección y orden cotidiano</v>
      </c>
      <c r="AT4" s="3" t="str">
        <f t="shared" ref="AT4:AT67" si="1">IF(AND(AP4=MAX(AM4:AQ4),AP4&gt;=75),"Contestatario Estructural",IF(OR(S4&gt;=3,O4&gt;=3,AQ4&gt;=75),"Activista Causal",IF(MAX(AM4:AQ4)&gt;=60,"Traductor Digital","Confirmador Silencioso")))</f>
        <v>Activista Causal</v>
      </c>
      <c r="AU4" s="3" t="str">
        <f t="shared" ref="AU4:AU67" si="2">IF(AS4="Protección y orden cotidiano","Seguridad urbana y combos",IF(AS4="Estabilidad y continuidad","Encuestas y caballo ganador / menos malo",IF(AS4="Supervivencia económica y servicios básicos","Costo de vida, gentrificación y vivienda",IF(AS4="Desconfianza y castigo","Corrupción, EPM y grandes contratos","Relación ciudad–gobierno nacional"))))</f>
        <v>Seguridad urbana y combos</v>
      </c>
      <c r="AV4" s="3" t="str">
        <f>IFERROR(VLOOKUP(AS4,'[1]02_Arquetipos_Miedo_Sesgo'!$A$4:$G$8,4,FALSE),"")</f>
        <v>Sesgo de disponibilidad + sesgo de negatividad + preferencia por autoridad.</v>
      </c>
      <c r="AW4" s="3" t="str">
        <f>IFERROR(VLOOKUP(AS4,'[1]02_Arquetipos_Miedo_Sesgo'!$A$4:$G$8,3,FALSE),"")</f>
        <v>Miedo a la inseguridad, al descontrol barrial y a perder la tranquilidad cotidiana.</v>
      </c>
      <c r="AX4" s="3" t="str">
        <f>IFERROR(VLOOKUP(AS4,'[1]02_Arquetipos_Miedo_Sesgo'!$A$4:$G$8,4,FALSE),"")</f>
        <v>Sesgo de disponibilidad + sesgo de negatividad + preferencia por autoridad.</v>
      </c>
      <c r="AY4" s="3" t="str">
        <f>IFERROR(VLOOKUP(AS4,'[1]02_Arquetipos_Miedo_Sesgo'!$A$4:$G$8,5,FALSE),"")</f>
        <v>Seguridad, convivencia, movilidad, alumbrado, reacción institucional rápida, presencia de autoridad.</v>
      </c>
      <c r="AZ4" s="3" t="str">
        <f>IFERROR(VLOOKUP(AS4,'[1]02_Arquetipos_Miedo_Sesgo'!$A$4:$G$8,6,FALSE),"")</f>
        <v>Mostrar capacidad verificable de resolver problemas concretos de seguridad y convivencia sin prometer acciones ilegales.</v>
      </c>
      <c r="BA4" s="3" t="s">
        <v>77</v>
      </c>
    </row>
    <row r="5" spans="1:53" ht="43.2">
      <c r="A5" s="3" t="s">
        <v>78</v>
      </c>
      <c r="B5" s="3" t="s">
        <v>55</v>
      </c>
      <c r="C5" s="3" t="s">
        <v>79</v>
      </c>
      <c r="D5" s="4">
        <v>4428</v>
      </c>
      <c r="E5" s="5">
        <v>0.45347786811201446</v>
      </c>
      <c r="F5" s="3" t="s">
        <v>57</v>
      </c>
      <c r="G5" s="3" t="s">
        <v>58</v>
      </c>
      <c r="H5" s="3">
        <v>2008</v>
      </c>
      <c r="I5" s="3">
        <v>45.3</v>
      </c>
      <c r="J5" s="3">
        <v>4</v>
      </c>
      <c r="K5" s="3" t="s">
        <v>59</v>
      </c>
      <c r="L5" s="3">
        <v>3</v>
      </c>
      <c r="M5" s="3">
        <v>3</v>
      </c>
      <c r="N5" s="3">
        <v>3</v>
      </c>
      <c r="O5" s="3">
        <v>3</v>
      </c>
      <c r="P5" s="3">
        <v>2</v>
      </c>
      <c r="Q5" s="3">
        <v>3</v>
      </c>
      <c r="R5" s="3" t="s">
        <v>60</v>
      </c>
      <c r="S5" s="3">
        <v>3</v>
      </c>
      <c r="T5" s="3" t="s">
        <v>61</v>
      </c>
      <c r="U5" s="3" t="s">
        <v>62</v>
      </c>
      <c r="V5" s="3" t="s">
        <v>63</v>
      </c>
      <c r="W5" s="3" t="s">
        <v>64</v>
      </c>
      <c r="X5" s="3" t="s">
        <v>65</v>
      </c>
      <c r="Y5" s="3" t="s">
        <v>66</v>
      </c>
      <c r="Z5" s="3" t="s">
        <v>67</v>
      </c>
      <c r="AA5" s="3" t="s">
        <v>68</v>
      </c>
      <c r="AB5" s="3" t="s">
        <v>69</v>
      </c>
      <c r="AC5" s="3" t="s">
        <v>70</v>
      </c>
      <c r="AD5" s="3" t="s">
        <v>71</v>
      </c>
      <c r="AE5" s="3" t="s">
        <v>72</v>
      </c>
      <c r="AF5" s="6">
        <v>0.36599999999999999</v>
      </c>
      <c r="AG5" s="3" t="s">
        <v>73</v>
      </c>
      <c r="AH5" s="3" t="s">
        <v>74</v>
      </c>
      <c r="AI5" s="6">
        <v>0.497</v>
      </c>
      <c r="AJ5" s="3" t="s">
        <v>75</v>
      </c>
      <c r="AK5" s="3" t="s">
        <v>76</v>
      </c>
      <c r="AL5" s="6">
        <v>-0.38900000000000001</v>
      </c>
      <c r="AM5" s="7">
        <f>ROUND((L5/3*'[1]01_Parametros'!$B$3+M5/3*'[1]01_Parametros'!$B$4+N5/3*'[1]01_Parametros'!$B$5+O5/3*'[1]01_Parametros'!$B$6+IF(ISNUMBER(SEARCH("Fronteras",U5)),1,0)*'[1]01_Parametros'!$B$7)*100,1)</f>
        <v>100</v>
      </c>
      <c r="AN5" s="7">
        <f>ROUND((E5*'[1]01_Parametros'!$B$8+(1-L5/3)*'[1]01_Parametros'!$B$9+IF(OR(AA5="Alta",AA5="Media"),1,0)*'[1]01_Parametros'!$B$10)*100,1)</f>
        <v>22.7</v>
      </c>
      <c r="AO5" s="7">
        <f>ROUND((IF(ISNUMBER(SEARCH("AC01",X5)),1,0)*'[1]01_Parametros'!$B$11+IF(OR(ISNUMBER(SEARCH("AC06",X5)),ISNUMBER(SEARCH("AC03",X5))),1,0)*'[1]01_Parametros'!$B$12+(1-ABS(E5-0.5))*'[1]01_Parametros'!$B$13+S5/3.2*'[1]01_Parametros'!$B$14)*100,1)</f>
        <v>72.8</v>
      </c>
      <c r="AP5" s="7">
        <f>ROUND((L5/3*'[1]01_Parametros'!$B$15+Q5/3*'[1]01_Parametros'!$B$16+P5/3*'[1]01_Parametros'!$B$17+IF(OR(AA5="Media-baja",AA5="Baja"),1,0)*'[1]01_Parametros'!$B$18+S5/3.2*'[1]01_Parametros'!$B$19)*100,1)</f>
        <v>77.7</v>
      </c>
      <c r="AQ5" s="7">
        <f>ROUND((P5/3*'[1]01_Parametros'!$B$20+IF(OR(ISNUMBER(SEARCH("JAC",Z5)),ISNUMBER(SEARCH("JAL",Z5)),ISNUMBER(SEARCH("lider",Z5))),1,0)*'[1]01_Parametros'!$B$21+IF(LEFT(B5,14)="Corregimiento",1,0)*'[1]01_Parametros'!$B$22+Q5/3*'[1]01_Parametros'!$B$23+S5/3.2*'[1]01_Parametros'!$B$24)*100,1)</f>
        <v>34.700000000000003</v>
      </c>
      <c r="AR5" s="3" t="str">
        <f>INDEX('[1]13_Listas'!$A$2:$A$6, MATCH(MAX(AM5:AQ5), AM5:AQ5, 0))</f>
        <v>Protección y orden cotidiano</v>
      </c>
      <c r="AS5" s="3" t="str">
        <f t="shared" si="0"/>
        <v>Protección y orden cotidiano</v>
      </c>
      <c r="AT5" s="3" t="str">
        <f t="shared" si="1"/>
        <v>Activista Causal</v>
      </c>
      <c r="AU5" s="3" t="str">
        <f t="shared" si="2"/>
        <v>Seguridad urbana y combos</v>
      </c>
      <c r="AV5" s="3" t="str">
        <f>IFERROR(VLOOKUP(AS5,'[1]02_Arquetipos_Miedo_Sesgo'!$A$4:$G$8,4,FALSE),"")</f>
        <v>Sesgo de disponibilidad + sesgo de negatividad + preferencia por autoridad.</v>
      </c>
      <c r="AW5" s="3" t="str">
        <f>IFERROR(VLOOKUP(AS5,'[1]02_Arquetipos_Miedo_Sesgo'!$A$4:$G$8,3,FALSE),"")</f>
        <v>Miedo a la inseguridad, al descontrol barrial y a perder la tranquilidad cotidiana.</v>
      </c>
      <c r="AX5" s="3" t="str">
        <f>IFERROR(VLOOKUP(AS5,'[1]02_Arquetipos_Miedo_Sesgo'!$A$4:$G$8,4,FALSE),"")</f>
        <v>Sesgo de disponibilidad + sesgo de negatividad + preferencia por autoridad.</v>
      </c>
      <c r="AY5" s="3" t="str">
        <f>IFERROR(VLOOKUP(AS5,'[1]02_Arquetipos_Miedo_Sesgo'!$A$4:$G$8,5,FALSE),"")</f>
        <v>Seguridad, convivencia, movilidad, alumbrado, reacción institucional rápida, presencia de autoridad.</v>
      </c>
      <c r="AZ5" s="3" t="str">
        <f>IFERROR(VLOOKUP(AS5,'[1]02_Arquetipos_Miedo_Sesgo'!$A$4:$G$8,6,FALSE),"")</f>
        <v>Mostrar capacidad verificable de resolver problemas concretos de seguridad y convivencia sin prometer acciones ilegales.</v>
      </c>
      <c r="BA5" s="3" t="s">
        <v>77</v>
      </c>
    </row>
    <row r="6" spans="1:53" ht="43.2">
      <c r="A6" s="3" t="s">
        <v>80</v>
      </c>
      <c r="B6" s="3" t="s">
        <v>55</v>
      </c>
      <c r="C6" s="3" t="s">
        <v>81</v>
      </c>
      <c r="D6" s="4">
        <v>367</v>
      </c>
      <c r="E6" s="5">
        <v>0.40054495912806537</v>
      </c>
      <c r="F6" s="3" t="s">
        <v>82</v>
      </c>
      <c r="G6" s="3" t="s">
        <v>83</v>
      </c>
      <c r="H6" s="3">
        <v>147</v>
      </c>
      <c r="I6" s="3">
        <v>40.1</v>
      </c>
      <c r="J6" s="3">
        <v>4</v>
      </c>
      <c r="K6" s="3" t="s">
        <v>59</v>
      </c>
      <c r="L6" s="3">
        <v>3</v>
      </c>
      <c r="M6" s="3">
        <v>3</v>
      </c>
      <c r="N6" s="3">
        <v>3</v>
      </c>
      <c r="O6" s="3">
        <v>3</v>
      </c>
      <c r="P6" s="3">
        <v>2</v>
      </c>
      <c r="Q6" s="3">
        <v>3</v>
      </c>
      <c r="R6" s="3" t="s">
        <v>60</v>
      </c>
      <c r="S6" s="3">
        <v>3</v>
      </c>
      <c r="T6" s="3" t="s">
        <v>61</v>
      </c>
      <c r="U6" s="3" t="s">
        <v>62</v>
      </c>
      <c r="V6" s="3" t="s">
        <v>63</v>
      </c>
      <c r="W6" s="3" t="s">
        <v>64</v>
      </c>
      <c r="X6" s="3" t="s">
        <v>65</v>
      </c>
      <c r="Y6" s="3" t="s">
        <v>66</v>
      </c>
      <c r="Z6" s="3" t="s">
        <v>67</v>
      </c>
      <c r="AA6" s="3" t="s">
        <v>68</v>
      </c>
      <c r="AB6" s="3" t="s">
        <v>69</v>
      </c>
      <c r="AC6" s="3" t="s">
        <v>70</v>
      </c>
      <c r="AD6" s="3" t="s">
        <v>71</v>
      </c>
      <c r="AE6" s="3" t="s">
        <v>84</v>
      </c>
      <c r="AF6" s="6">
        <v>0.73199999999999998</v>
      </c>
      <c r="AG6" s="3" t="s">
        <v>61</v>
      </c>
      <c r="AH6" s="3" t="s">
        <v>74</v>
      </c>
      <c r="AI6" s="6">
        <v>0.69099999999999995</v>
      </c>
      <c r="AJ6" s="3" t="s">
        <v>61</v>
      </c>
      <c r="AK6" s="3" t="s">
        <v>85</v>
      </c>
      <c r="AL6" s="6">
        <v>-0.50800000000000001</v>
      </c>
      <c r="AM6" s="7">
        <f>ROUND((L6/3*'[1]01_Parametros'!$B$3+M6/3*'[1]01_Parametros'!$B$4+N6/3*'[1]01_Parametros'!$B$5+O6/3*'[1]01_Parametros'!$B$6+IF(ISNUMBER(SEARCH("Fronteras",U6)),1,0)*'[1]01_Parametros'!$B$7)*100,1)</f>
        <v>100</v>
      </c>
      <c r="AN6" s="7">
        <f>ROUND((E6*'[1]01_Parametros'!$B$8+(1-L6/3)*'[1]01_Parametros'!$B$9+IF(OR(AA6="Alta",AA6="Media"),1,0)*'[1]01_Parametros'!$B$10)*100,1)</f>
        <v>20</v>
      </c>
      <c r="AO6" s="7">
        <f>ROUND((IF(ISNUMBER(SEARCH("AC01",X6)),1,0)*'[1]01_Parametros'!$B$11+IF(OR(ISNUMBER(SEARCH("AC06",X6)),ISNUMBER(SEARCH("AC03",X6))),1,0)*'[1]01_Parametros'!$B$12+(1-ABS(E6-0.5))*'[1]01_Parametros'!$B$13+S6/3.2*'[1]01_Parametros'!$B$14)*100,1)</f>
        <v>71.8</v>
      </c>
      <c r="AP6" s="7">
        <f>ROUND((L6/3*'[1]01_Parametros'!$B$15+Q6/3*'[1]01_Parametros'!$B$16+P6/3*'[1]01_Parametros'!$B$17+IF(OR(AA6="Media-baja",AA6="Baja"),1,0)*'[1]01_Parametros'!$B$18+S6/3.2*'[1]01_Parametros'!$B$19)*100,1)</f>
        <v>77.7</v>
      </c>
      <c r="AQ6" s="7">
        <f>ROUND((P6/3*'[1]01_Parametros'!$B$20+IF(OR(ISNUMBER(SEARCH("JAC",Z6)),ISNUMBER(SEARCH("JAL",Z6)),ISNUMBER(SEARCH("lider",Z6))),1,0)*'[1]01_Parametros'!$B$21+IF(LEFT(B6,14)="Corregimiento",1,0)*'[1]01_Parametros'!$B$22+Q6/3*'[1]01_Parametros'!$B$23+S6/3.2*'[1]01_Parametros'!$B$24)*100,1)</f>
        <v>34.700000000000003</v>
      </c>
      <c r="AR6" s="3" t="str">
        <f>INDEX('[1]13_Listas'!$A$2:$A$6, MATCH(MAX(AM6:AQ6), AM6:AQ6, 0))</f>
        <v>Protección y orden cotidiano</v>
      </c>
      <c r="AS6" s="3" t="str">
        <f t="shared" si="0"/>
        <v>Protección y orden cotidiano</v>
      </c>
      <c r="AT6" s="3" t="str">
        <f t="shared" si="1"/>
        <v>Activista Causal</v>
      </c>
      <c r="AU6" s="3" t="str">
        <f t="shared" si="2"/>
        <v>Seguridad urbana y combos</v>
      </c>
      <c r="AV6" s="3" t="str">
        <f>IFERROR(VLOOKUP(AS6,'[1]02_Arquetipos_Miedo_Sesgo'!$A$4:$G$8,4,FALSE),"")</f>
        <v>Sesgo de disponibilidad + sesgo de negatividad + preferencia por autoridad.</v>
      </c>
      <c r="AW6" s="3" t="str">
        <f>IFERROR(VLOOKUP(AS6,'[1]02_Arquetipos_Miedo_Sesgo'!$A$4:$G$8,3,FALSE),"")</f>
        <v>Miedo a la inseguridad, al descontrol barrial y a perder la tranquilidad cotidiana.</v>
      </c>
      <c r="AX6" s="3" t="str">
        <f>IFERROR(VLOOKUP(AS6,'[1]02_Arquetipos_Miedo_Sesgo'!$A$4:$G$8,4,FALSE),"")</f>
        <v>Sesgo de disponibilidad + sesgo de negatividad + preferencia por autoridad.</v>
      </c>
      <c r="AY6" s="3" t="str">
        <f>IFERROR(VLOOKUP(AS6,'[1]02_Arquetipos_Miedo_Sesgo'!$A$4:$G$8,5,FALSE),"")</f>
        <v>Seguridad, convivencia, movilidad, alumbrado, reacción institucional rápida, presencia de autoridad.</v>
      </c>
      <c r="AZ6" s="3" t="str">
        <f>IFERROR(VLOOKUP(AS6,'[1]02_Arquetipos_Miedo_Sesgo'!$A$4:$G$8,6,FALSE),"")</f>
        <v>Mostrar capacidad verificable de resolver problemas concretos de seguridad y convivencia sin prometer acciones ilegales.</v>
      </c>
      <c r="BA6" s="3" t="s">
        <v>77</v>
      </c>
    </row>
    <row r="7" spans="1:53" ht="43.2">
      <c r="A7" s="3" t="s">
        <v>86</v>
      </c>
      <c r="B7" s="3" t="s">
        <v>55</v>
      </c>
      <c r="C7" s="3" t="s">
        <v>87</v>
      </c>
      <c r="D7" s="4">
        <v>3930</v>
      </c>
      <c r="E7" s="5">
        <v>0.41730279898218831</v>
      </c>
      <c r="F7" s="3" t="s">
        <v>57</v>
      </c>
      <c r="G7" s="3" t="s">
        <v>58</v>
      </c>
      <c r="H7" s="3">
        <v>1640</v>
      </c>
      <c r="I7" s="3">
        <v>41.7</v>
      </c>
      <c r="J7" s="3">
        <v>4</v>
      </c>
      <c r="K7" s="3" t="s">
        <v>59</v>
      </c>
      <c r="L7" s="3">
        <v>3</v>
      </c>
      <c r="M7" s="3">
        <v>3</v>
      </c>
      <c r="N7" s="3">
        <v>3</v>
      </c>
      <c r="O7" s="3">
        <v>3</v>
      </c>
      <c r="P7" s="3">
        <v>2</v>
      </c>
      <c r="Q7" s="3">
        <v>3</v>
      </c>
      <c r="R7" s="3" t="s">
        <v>60</v>
      </c>
      <c r="S7" s="3">
        <v>3</v>
      </c>
      <c r="T7" s="3" t="s">
        <v>61</v>
      </c>
      <c r="U7" s="3" t="s">
        <v>62</v>
      </c>
      <c r="V7" s="3" t="s">
        <v>63</v>
      </c>
      <c r="W7" s="3" t="s">
        <v>64</v>
      </c>
      <c r="X7" s="3" t="s">
        <v>65</v>
      </c>
      <c r="Y7" s="3" t="s">
        <v>66</v>
      </c>
      <c r="Z7" s="3" t="s">
        <v>67</v>
      </c>
      <c r="AA7" s="3" t="s">
        <v>68</v>
      </c>
      <c r="AB7" s="3" t="s">
        <v>69</v>
      </c>
      <c r="AC7" s="3" t="s">
        <v>70</v>
      </c>
      <c r="AD7" s="3" t="s">
        <v>71</v>
      </c>
      <c r="AE7" s="3" t="s">
        <v>72</v>
      </c>
      <c r="AF7" s="6">
        <v>0.36599999999999999</v>
      </c>
      <c r="AG7" s="3" t="s">
        <v>73</v>
      </c>
      <c r="AH7" s="3" t="s">
        <v>74</v>
      </c>
      <c r="AI7" s="6">
        <v>0.497</v>
      </c>
      <c r="AJ7" s="3" t="s">
        <v>75</v>
      </c>
      <c r="AK7" s="3" t="s">
        <v>76</v>
      </c>
      <c r="AL7" s="6">
        <v>-0.38900000000000001</v>
      </c>
      <c r="AM7" s="7">
        <f>ROUND((L7/3*'[1]01_Parametros'!$B$3+M7/3*'[1]01_Parametros'!$B$4+N7/3*'[1]01_Parametros'!$B$5+O7/3*'[1]01_Parametros'!$B$6+IF(ISNUMBER(SEARCH("Fronteras",U7)),1,0)*'[1]01_Parametros'!$B$7)*100,1)</f>
        <v>100</v>
      </c>
      <c r="AN7" s="7">
        <f>ROUND((E7*'[1]01_Parametros'!$B$8+(1-L7/3)*'[1]01_Parametros'!$B$9+IF(OR(AA7="Alta",AA7="Media"),1,0)*'[1]01_Parametros'!$B$10)*100,1)</f>
        <v>20.9</v>
      </c>
      <c r="AO7" s="7">
        <f>ROUND((IF(ISNUMBER(SEARCH("AC01",X7)),1,0)*'[1]01_Parametros'!$B$11+IF(OR(ISNUMBER(SEARCH("AC06",X7)),ISNUMBER(SEARCH("AC03",X7))),1,0)*'[1]01_Parametros'!$B$12+(1-ABS(E7-0.5))*'[1]01_Parametros'!$B$13+S7/3.2*'[1]01_Parametros'!$B$14)*100,1)</f>
        <v>72.099999999999994</v>
      </c>
      <c r="AP7" s="7">
        <f>ROUND((L7/3*'[1]01_Parametros'!$B$15+Q7/3*'[1]01_Parametros'!$B$16+P7/3*'[1]01_Parametros'!$B$17+IF(OR(AA7="Media-baja",AA7="Baja"),1,0)*'[1]01_Parametros'!$B$18+S7/3.2*'[1]01_Parametros'!$B$19)*100,1)</f>
        <v>77.7</v>
      </c>
      <c r="AQ7" s="7">
        <f>ROUND((P7/3*'[1]01_Parametros'!$B$20+IF(OR(ISNUMBER(SEARCH("JAC",Z7)),ISNUMBER(SEARCH("JAL",Z7)),ISNUMBER(SEARCH("lider",Z7))),1,0)*'[1]01_Parametros'!$B$21+IF(LEFT(B7,14)="Corregimiento",1,0)*'[1]01_Parametros'!$B$22+Q7/3*'[1]01_Parametros'!$B$23+S7/3.2*'[1]01_Parametros'!$B$24)*100,1)</f>
        <v>34.700000000000003</v>
      </c>
      <c r="AR7" s="3" t="str">
        <f>INDEX('[1]13_Listas'!$A$2:$A$6, MATCH(MAX(AM7:AQ7), AM7:AQ7, 0))</f>
        <v>Protección y orden cotidiano</v>
      </c>
      <c r="AS7" s="3" t="str">
        <f t="shared" si="0"/>
        <v>Protección y orden cotidiano</v>
      </c>
      <c r="AT7" s="3" t="str">
        <f t="shared" si="1"/>
        <v>Activista Causal</v>
      </c>
      <c r="AU7" s="3" t="str">
        <f t="shared" si="2"/>
        <v>Seguridad urbana y combos</v>
      </c>
      <c r="AV7" s="3" t="str">
        <f>IFERROR(VLOOKUP(AS7,'[1]02_Arquetipos_Miedo_Sesgo'!$A$4:$G$8,4,FALSE),"")</f>
        <v>Sesgo de disponibilidad + sesgo de negatividad + preferencia por autoridad.</v>
      </c>
      <c r="AW7" s="3" t="str">
        <f>IFERROR(VLOOKUP(AS7,'[1]02_Arquetipos_Miedo_Sesgo'!$A$4:$G$8,3,FALSE),"")</f>
        <v>Miedo a la inseguridad, al descontrol barrial y a perder la tranquilidad cotidiana.</v>
      </c>
      <c r="AX7" s="3" t="str">
        <f>IFERROR(VLOOKUP(AS7,'[1]02_Arquetipos_Miedo_Sesgo'!$A$4:$G$8,4,FALSE),"")</f>
        <v>Sesgo de disponibilidad + sesgo de negatividad + preferencia por autoridad.</v>
      </c>
      <c r="AY7" s="3" t="str">
        <f>IFERROR(VLOOKUP(AS7,'[1]02_Arquetipos_Miedo_Sesgo'!$A$4:$G$8,5,FALSE),"")</f>
        <v>Seguridad, convivencia, movilidad, alumbrado, reacción institucional rápida, presencia de autoridad.</v>
      </c>
      <c r="AZ7" s="3" t="str">
        <f>IFERROR(VLOOKUP(AS7,'[1]02_Arquetipos_Miedo_Sesgo'!$A$4:$G$8,6,FALSE),"")</f>
        <v>Mostrar capacidad verificable de resolver problemas concretos de seguridad y convivencia sin prometer acciones ilegales.</v>
      </c>
      <c r="BA7" s="3" t="s">
        <v>77</v>
      </c>
    </row>
    <row r="8" spans="1:53" ht="43.2">
      <c r="A8" s="3" t="s">
        <v>88</v>
      </c>
      <c r="B8" s="3" t="s">
        <v>55</v>
      </c>
      <c r="C8" s="3" t="s">
        <v>89</v>
      </c>
      <c r="D8" s="4">
        <v>2783</v>
      </c>
      <c r="E8" s="5">
        <v>0.38663312971613367</v>
      </c>
      <c r="F8" s="3" t="s">
        <v>57</v>
      </c>
      <c r="G8" s="3" t="s">
        <v>58</v>
      </c>
      <c r="H8" s="3">
        <v>1076</v>
      </c>
      <c r="I8" s="3">
        <v>38.700000000000003</v>
      </c>
      <c r="J8" s="3">
        <v>4</v>
      </c>
      <c r="K8" s="3" t="s">
        <v>59</v>
      </c>
      <c r="L8" s="3">
        <v>3</v>
      </c>
      <c r="M8" s="3">
        <v>3</v>
      </c>
      <c r="N8" s="3">
        <v>3</v>
      </c>
      <c r="O8" s="3">
        <v>3</v>
      </c>
      <c r="P8" s="3">
        <v>2</v>
      </c>
      <c r="Q8" s="3">
        <v>3</v>
      </c>
      <c r="R8" s="3" t="s">
        <v>60</v>
      </c>
      <c r="S8" s="3">
        <v>3</v>
      </c>
      <c r="T8" s="3" t="s">
        <v>61</v>
      </c>
      <c r="U8" s="3" t="s">
        <v>62</v>
      </c>
      <c r="V8" s="3" t="s">
        <v>63</v>
      </c>
      <c r="W8" s="3" t="s">
        <v>64</v>
      </c>
      <c r="X8" s="3" t="s">
        <v>65</v>
      </c>
      <c r="Y8" s="3" t="s">
        <v>66</v>
      </c>
      <c r="Z8" s="3" t="s">
        <v>67</v>
      </c>
      <c r="AA8" s="3" t="s">
        <v>68</v>
      </c>
      <c r="AB8" s="3" t="s">
        <v>69</v>
      </c>
      <c r="AC8" s="3" t="s">
        <v>70</v>
      </c>
      <c r="AD8" s="3" t="s">
        <v>71</v>
      </c>
      <c r="AE8" s="3" t="s">
        <v>72</v>
      </c>
      <c r="AF8" s="6">
        <v>0.36599999999999999</v>
      </c>
      <c r="AG8" s="3" t="s">
        <v>73</v>
      </c>
      <c r="AH8" s="3" t="s">
        <v>74</v>
      </c>
      <c r="AI8" s="6">
        <v>0.497</v>
      </c>
      <c r="AJ8" s="3" t="s">
        <v>75</v>
      </c>
      <c r="AK8" s="3" t="s">
        <v>76</v>
      </c>
      <c r="AL8" s="6">
        <v>-0.38900000000000001</v>
      </c>
      <c r="AM8" s="7">
        <f>ROUND((L8/3*'[1]01_Parametros'!$B$3+M8/3*'[1]01_Parametros'!$B$4+N8/3*'[1]01_Parametros'!$B$5+O8/3*'[1]01_Parametros'!$B$6+IF(ISNUMBER(SEARCH("Fronteras",U8)),1,0)*'[1]01_Parametros'!$B$7)*100,1)</f>
        <v>100</v>
      </c>
      <c r="AN8" s="7">
        <f>ROUND((E8*'[1]01_Parametros'!$B$8+(1-L8/3)*'[1]01_Parametros'!$B$9+IF(OR(AA8="Alta",AA8="Media"),1,0)*'[1]01_Parametros'!$B$10)*100,1)</f>
        <v>19.3</v>
      </c>
      <c r="AO8" s="7">
        <f>ROUND((IF(ISNUMBER(SEARCH("AC01",X8)),1,0)*'[1]01_Parametros'!$B$11+IF(OR(ISNUMBER(SEARCH("AC06",X8)),ISNUMBER(SEARCH("AC03",X8))),1,0)*'[1]01_Parametros'!$B$12+(1-ABS(E8-0.5))*'[1]01_Parametros'!$B$13+S8/3.2*'[1]01_Parametros'!$B$14)*100,1)</f>
        <v>71.5</v>
      </c>
      <c r="AP8" s="7">
        <f>ROUND((L8/3*'[1]01_Parametros'!$B$15+Q8/3*'[1]01_Parametros'!$B$16+P8/3*'[1]01_Parametros'!$B$17+IF(OR(AA8="Media-baja",AA8="Baja"),1,0)*'[1]01_Parametros'!$B$18+S8/3.2*'[1]01_Parametros'!$B$19)*100,1)</f>
        <v>77.7</v>
      </c>
      <c r="AQ8" s="7">
        <f>ROUND((P8/3*'[1]01_Parametros'!$B$20+IF(OR(ISNUMBER(SEARCH("JAC",Z8)),ISNUMBER(SEARCH("JAL",Z8)),ISNUMBER(SEARCH("lider",Z8))),1,0)*'[1]01_Parametros'!$B$21+IF(LEFT(B8,14)="Corregimiento",1,0)*'[1]01_Parametros'!$B$22+Q8/3*'[1]01_Parametros'!$B$23+S8/3.2*'[1]01_Parametros'!$B$24)*100,1)</f>
        <v>34.700000000000003</v>
      </c>
      <c r="AR8" s="3" t="str">
        <f>INDEX('[1]13_Listas'!$A$2:$A$6, MATCH(MAX(AM8:AQ8), AM8:AQ8, 0))</f>
        <v>Protección y orden cotidiano</v>
      </c>
      <c r="AS8" s="3" t="str">
        <f t="shared" si="0"/>
        <v>Protección y orden cotidiano</v>
      </c>
      <c r="AT8" s="3" t="str">
        <f t="shared" si="1"/>
        <v>Activista Causal</v>
      </c>
      <c r="AU8" s="3" t="str">
        <f t="shared" si="2"/>
        <v>Seguridad urbana y combos</v>
      </c>
      <c r="AV8" s="3" t="str">
        <f>IFERROR(VLOOKUP(AS8,'[1]02_Arquetipos_Miedo_Sesgo'!$A$4:$G$8,4,FALSE),"")</f>
        <v>Sesgo de disponibilidad + sesgo de negatividad + preferencia por autoridad.</v>
      </c>
      <c r="AW8" s="3" t="str">
        <f>IFERROR(VLOOKUP(AS8,'[1]02_Arquetipos_Miedo_Sesgo'!$A$4:$G$8,3,FALSE),"")</f>
        <v>Miedo a la inseguridad, al descontrol barrial y a perder la tranquilidad cotidiana.</v>
      </c>
      <c r="AX8" s="3" t="str">
        <f>IFERROR(VLOOKUP(AS8,'[1]02_Arquetipos_Miedo_Sesgo'!$A$4:$G$8,4,FALSE),"")</f>
        <v>Sesgo de disponibilidad + sesgo de negatividad + preferencia por autoridad.</v>
      </c>
      <c r="AY8" s="3" t="str">
        <f>IFERROR(VLOOKUP(AS8,'[1]02_Arquetipos_Miedo_Sesgo'!$A$4:$G$8,5,FALSE),"")</f>
        <v>Seguridad, convivencia, movilidad, alumbrado, reacción institucional rápida, presencia de autoridad.</v>
      </c>
      <c r="AZ8" s="3" t="str">
        <f>IFERROR(VLOOKUP(AS8,'[1]02_Arquetipos_Miedo_Sesgo'!$A$4:$G$8,6,FALSE),"")</f>
        <v>Mostrar capacidad verificable de resolver problemas concretos de seguridad y convivencia sin prometer acciones ilegales.</v>
      </c>
      <c r="BA8" s="3" t="s">
        <v>77</v>
      </c>
    </row>
    <row r="9" spans="1:53" ht="43.2">
      <c r="A9" s="3" t="s">
        <v>90</v>
      </c>
      <c r="B9" s="3" t="s">
        <v>55</v>
      </c>
      <c r="C9" s="3" t="s">
        <v>91</v>
      </c>
      <c r="D9" s="4">
        <v>8319</v>
      </c>
      <c r="E9" s="5">
        <v>0.37624714508955404</v>
      </c>
      <c r="F9" s="3" t="s">
        <v>57</v>
      </c>
      <c r="G9" s="3" t="s">
        <v>58</v>
      </c>
      <c r="H9" s="3">
        <v>3130</v>
      </c>
      <c r="I9" s="3">
        <v>37.6</v>
      </c>
      <c r="J9" s="3">
        <v>4</v>
      </c>
      <c r="K9" s="3" t="s">
        <v>59</v>
      </c>
      <c r="L9" s="3">
        <v>3</v>
      </c>
      <c r="M9" s="3">
        <v>3</v>
      </c>
      <c r="N9" s="3">
        <v>3</v>
      </c>
      <c r="O9" s="3">
        <v>3</v>
      </c>
      <c r="P9" s="3">
        <v>2</v>
      </c>
      <c r="Q9" s="3">
        <v>3</v>
      </c>
      <c r="R9" s="3" t="s">
        <v>60</v>
      </c>
      <c r="S9" s="3">
        <v>3</v>
      </c>
      <c r="T9" s="3" t="s">
        <v>61</v>
      </c>
      <c r="U9" s="3" t="s">
        <v>62</v>
      </c>
      <c r="V9" s="3" t="s">
        <v>63</v>
      </c>
      <c r="W9" s="3" t="s">
        <v>64</v>
      </c>
      <c r="X9" s="3" t="s">
        <v>65</v>
      </c>
      <c r="Y9" s="3" t="s">
        <v>66</v>
      </c>
      <c r="Z9" s="3" t="s">
        <v>67</v>
      </c>
      <c r="AA9" s="3" t="s">
        <v>68</v>
      </c>
      <c r="AB9" s="3" t="s">
        <v>69</v>
      </c>
      <c r="AC9" s="3" t="s">
        <v>70</v>
      </c>
      <c r="AD9" s="3" t="s">
        <v>71</v>
      </c>
      <c r="AE9" s="3" t="s">
        <v>72</v>
      </c>
      <c r="AF9" s="6">
        <v>0.36599999999999999</v>
      </c>
      <c r="AG9" s="3" t="s">
        <v>73</v>
      </c>
      <c r="AH9" s="3" t="s">
        <v>74</v>
      </c>
      <c r="AI9" s="6">
        <v>0.497</v>
      </c>
      <c r="AJ9" s="3" t="s">
        <v>75</v>
      </c>
      <c r="AK9" s="3" t="s">
        <v>76</v>
      </c>
      <c r="AL9" s="6">
        <v>-0.38900000000000001</v>
      </c>
      <c r="AM9" s="7">
        <f>ROUND((L9/3*'[1]01_Parametros'!$B$3+M9/3*'[1]01_Parametros'!$B$4+N9/3*'[1]01_Parametros'!$B$5+O9/3*'[1]01_Parametros'!$B$6+IF(ISNUMBER(SEARCH("Fronteras",U9)),1,0)*'[1]01_Parametros'!$B$7)*100,1)</f>
        <v>100</v>
      </c>
      <c r="AN9" s="7">
        <f>ROUND((E9*'[1]01_Parametros'!$B$8+(1-L9/3)*'[1]01_Parametros'!$B$9+IF(OR(AA9="Alta",AA9="Media"),1,0)*'[1]01_Parametros'!$B$10)*100,1)</f>
        <v>18.8</v>
      </c>
      <c r="AO9" s="7">
        <f>ROUND((IF(ISNUMBER(SEARCH("AC01",X9)),1,0)*'[1]01_Parametros'!$B$11+IF(OR(ISNUMBER(SEARCH("AC06",X9)),ISNUMBER(SEARCH("AC03",X9))),1,0)*'[1]01_Parametros'!$B$12+(1-ABS(E9-0.5))*'[1]01_Parametros'!$B$13+S9/3.2*'[1]01_Parametros'!$B$14)*100,1)</f>
        <v>71.3</v>
      </c>
      <c r="AP9" s="7">
        <f>ROUND((L9/3*'[1]01_Parametros'!$B$15+Q9/3*'[1]01_Parametros'!$B$16+P9/3*'[1]01_Parametros'!$B$17+IF(OR(AA9="Media-baja",AA9="Baja"),1,0)*'[1]01_Parametros'!$B$18+S9/3.2*'[1]01_Parametros'!$B$19)*100,1)</f>
        <v>77.7</v>
      </c>
      <c r="AQ9" s="7">
        <f>ROUND((P9/3*'[1]01_Parametros'!$B$20+IF(OR(ISNUMBER(SEARCH("JAC",Z9)),ISNUMBER(SEARCH("JAL",Z9)),ISNUMBER(SEARCH("lider",Z9))),1,0)*'[1]01_Parametros'!$B$21+IF(LEFT(B9,14)="Corregimiento",1,0)*'[1]01_Parametros'!$B$22+Q9/3*'[1]01_Parametros'!$B$23+S9/3.2*'[1]01_Parametros'!$B$24)*100,1)</f>
        <v>34.700000000000003</v>
      </c>
      <c r="AR9" s="3" t="str">
        <f>INDEX('[1]13_Listas'!$A$2:$A$6, MATCH(MAX(AM9:AQ9), AM9:AQ9, 0))</f>
        <v>Protección y orden cotidiano</v>
      </c>
      <c r="AS9" s="3" t="str">
        <f t="shared" si="0"/>
        <v>Protección y orden cotidiano</v>
      </c>
      <c r="AT9" s="3" t="str">
        <f t="shared" si="1"/>
        <v>Activista Causal</v>
      </c>
      <c r="AU9" s="3" t="str">
        <f t="shared" si="2"/>
        <v>Seguridad urbana y combos</v>
      </c>
      <c r="AV9" s="3" t="str">
        <f>IFERROR(VLOOKUP(AS9,'[1]02_Arquetipos_Miedo_Sesgo'!$A$4:$G$8,4,FALSE),"")</f>
        <v>Sesgo de disponibilidad + sesgo de negatividad + preferencia por autoridad.</v>
      </c>
      <c r="AW9" s="3" t="str">
        <f>IFERROR(VLOOKUP(AS9,'[1]02_Arquetipos_Miedo_Sesgo'!$A$4:$G$8,3,FALSE),"")</f>
        <v>Miedo a la inseguridad, al descontrol barrial y a perder la tranquilidad cotidiana.</v>
      </c>
      <c r="AX9" s="3" t="str">
        <f>IFERROR(VLOOKUP(AS9,'[1]02_Arquetipos_Miedo_Sesgo'!$A$4:$G$8,4,FALSE),"")</f>
        <v>Sesgo de disponibilidad + sesgo de negatividad + preferencia por autoridad.</v>
      </c>
      <c r="AY9" s="3" t="str">
        <f>IFERROR(VLOOKUP(AS9,'[1]02_Arquetipos_Miedo_Sesgo'!$A$4:$G$8,5,FALSE),"")</f>
        <v>Seguridad, convivencia, movilidad, alumbrado, reacción institucional rápida, presencia de autoridad.</v>
      </c>
      <c r="AZ9" s="3" t="str">
        <f>IFERROR(VLOOKUP(AS9,'[1]02_Arquetipos_Miedo_Sesgo'!$A$4:$G$8,6,FALSE),"")</f>
        <v>Mostrar capacidad verificable de resolver problemas concretos de seguridad y convivencia sin prometer acciones ilegales.</v>
      </c>
      <c r="BA9" s="3" t="s">
        <v>77</v>
      </c>
    </row>
    <row r="10" spans="1:53" ht="43.2">
      <c r="A10" s="3" t="s">
        <v>92</v>
      </c>
      <c r="B10" s="3" t="s">
        <v>55</v>
      </c>
      <c r="C10" s="3" t="s">
        <v>55</v>
      </c>
      <c r="D10" s="4">
        <v>5282</v>
      </c>
      <c r="E10" s="5">
        <v>0.41461567588034837</v>
      </c>
      <c r="F10" s="3" t="s">
        <v>57</v>
      </c>
      <c r="G10" s="3" t="s">
        <v>58</v>
      </c>
      <c r="H10" s="3">
        <v>2190</v>
      </c>
      <c r="I10" s="3">
        <v>41.5</v>
      </c>
      <c r="J10" s="3">
        <v>4</v>
      </c>
      <c r="K10" s="3" t="s">
        <v>59</v>
      </c>
      <c r="L10" s="3">
        <v>3</v>
      </c>
      <c r="M10" s="3">
        <v>3</v>
      </c>
      <c r="N10" s="3">
        <v>3</v>
      </c>
      <c r="O10" s="3">
        <v>3</v>
      </c>
      <c r="P10" s="3">
        <v>2</v>
      </c>
      <c r="Q10" s="3">
        <v>3</v>
      </c>
      <c r="R10" s="3" t="s">
        <v>60</v>
      </c>
      <c r="S10" s="3">
        <v>3</v>
      </c>
      <c r="T10" s="3" t="s">
        <v>61</v>
      </c>
      <c r="U10" s="3" t="s">
        <v>62</v>
      </c>
      <c r="V10" s="3" t="s">
        <v>63</v>
      </c>
      <c r="W10" s="3" t="s">
        <v>64</v>
      </c>
      <c r="X10" s="3" t="s">
        <v>65</v>
      </c>
      <c r="Y10" s="3" t="s">
        <v>66</v>
      </c>
      <c r="Z10" s="3" t="s">
        <v>67</v>
      </c>
      <c r="AA10" s="3" t="s">
        <v>68</v>
      </c>
      <c r="AB10" s="3" t="s">
        <v>69</v>
      </c>
      <c r="AC10" s="3" t="s">
        <v>70</v>
      </c>
      <c r="AD10" s="3" t="s">
        <v>71</v>
      </c>
      <c r="AE10" s="3" t="s">
        <v>72</v>
      </c>
      <c r="AF10" s="6">
        <v>0.36599999999999999</v>
      </c>
      <c r="AG10" s="3" t="s">
        <v>73</v>
      </c>
      <c r="AH10" s="3" t="s">
        <v>74</v>
      </c>
      <c r="AI10" s="6">
        <v>0.497</v>
      </c>
      <c r="AJ10" s="3" t="s">
        <v>75</v>
      </c>
      <c r="AK10" s="3" t="s">
        <v>76</v>
      </c>
      <c r="AL10" s="6">
        <v>-0.38900000000000001</v>
      </c>
      <c r="AM10" s="7">
        <f>ROUND((L10/3*'[1]01_Parametros'!$B$3+M10/3*'[1]01_Parametros'!$B$4+N10/3*'[1]01_Parametros'!$B$5+O10/3*'[1]01_Parametros'!$B$6+IF(ISNUMBER(SEARCH("Fronteras",U10)),1,0)*'[1]01_Parametros'!$B$7)*100,1)</f>
        <v>100</v>
      </c>
      <c r="AN10" s="7">
        <f>ROUND((E10*'[1]01_Parametros'!$B$8+(1-L10/3)*'[1]01_Parametros'!$B$9+IF(OR(AA10="Alta",AA10="Media"),1,0)*'[1]01_Parametros'!$B$10)*100,1)</f>
        <v>20.7</v>
      </c>
      <c r="AO10" s="7">
        <f>ROUND((IF(ISNUMBER(SEARCH("AC01",X10)),1,0)*'[1]01_Parametros'!$B$11+IF(OR(ISNUMBER(SEARCH("AC06",X10)),ISNUMBER(SEARCH("AC03",X10))),1,0)*'[1]01_Parametros'!$B$12+(1-ABS(E10-0.5))*'[1]01_Parametros'!$B$13+S10/3.2*'[1]01_Parametros'!$B$14)*100,1)</f>
        <v>72</v>
      </c>
      <c r="AP10" s="7">
        <f>ROUND((L10/3*'[1]01_Parametros'!$B$15+Q10/3*'[1]01_Parametros'!$B$16+P10/3*'[1]01_Parametros'!$B$17+IF(OR(AA10="Media-baja",AA10="Baja"),1,0)*'[1]01_Parametros'!$B$18+S10/3.2*'[1]01_Parametros'!$B$19)*100,1)</f>
        <v>77.7</v>
      </c>
      <c r="AQ10" s="7">
        <f>ROUND((P10/3*'[1]01_Parametros'!$B$20+IF(OR(ISNUMBER(SEARCH("JAC",Z10)),ISNUMBER(SEARCH("JAL",Z10)),ISNUMBER(SEARCH("lider",Z10))),1,0)*'[1]01_Parametros'!$B$21+IF(LEFT(B10,14)="Corregimiento",1,0)*'[1]01_Parametros'!$B$22+Q10/3*'[1]01_Parametros'!$B$23+S10/3.2*'[1]01_Parametros'!$B$24)*100,1)</f>
        <v>34.700000000000003</v>
      </c>
      <c r="AR10" s="3" t="str">
        <f>INDEX('[1]13_Listas'!$A$2:$A$6, MATCH(MAX(AM10:AQ10), AM10:AQ10, 0))</f>
        <v>Protección y orden cotidiano</v>
      </c>
      <c r="AS10" s="3" t="str">
        <f t="shared" si="0"/>
        <v>Protección y orden cotidiano</v>
      </c>
      <c r="AT10" s="3" t="str">
        <f t="shared" si="1"/>
        <v>Activista Causal</v>
      </c>
      <c r="AU10" s="3" t="str">
        <f t="shared" si="2"/>
        <v>Seguridad urbana y combos</v>
      </c>
      <c r="AV10" s="3" t="str">
        <f>IFERROR(VLOOKUP(AS10,'[1]02_Arquetipos_Miedo_Sesgo'!$A$4:$G$8,4,FALSE),"")</f>
        <v>Sesgo de disponibilidad + sesgo de negatividad + preferencia por autoridad.</v>
      </c>
      <c r="AW10" s="3" t="str">
        <f>IFERROR(VLOOKUP(AS10,'[1]02_Arquetipos_Miedo_Sesgo'!$A$4:$G$8,3,FALSE),"")</f>
        <v>Miedo a la inseguridad, al descontrol barrial y a perder la tranquilidad cotidiana.</v>
      </c>
      <c r="AX10" s="3" t="str">
        <f>IFERROR(VLOOKUP(AS10,'[1]02_Arquetipos_Miedo_Sesgo'!$A$4:$G$8,4,FALSE),"")</f>
        <v>Sesgo de disponibilidad + sesgo de negatividad + preferencia por autoridad.</v>
      </c>
      <c r="AY10" s="3" t="str">
        <f>IFERROR(VLOOKUP(AS10,'[1]02_Arquetipos_Miedo_Sesgo'!$A$4:$G$8,5,FALSE),"")</f>
        <v>Seguridad, convivencia, movilidad, alumbrado, reacción institucional rápida, presencia de autoridad.</v>
      </c>
      <c r="AZ10" s="3" t="str">
        <f>IFERROR(VLOOKUP(AS10,'[1]02_Arquetipos_Miedo_Sesgo'!$A$4:$G$8,6,FALSE),"")</f>
        <v>Mostrar capacidad verificable de resolver problemas concretos de seguridad y convivencia sin prometer acciones ilegales.</v>
      </c>
      <c r="BA10" s="3" t="s">
        <v>77</v>
      </c>
    </row>
    <row r="11" spans="1:53" ht="43.2">
      <c r="A11" s="3" t="s">
        <v>93</v>
      </c>
      <c r="B11" s="3" t="s">
        <v>55</v>
      </c>
      <c r="C11" s="3" t="s">
        <v>94</v>
      </c>
      <c r="D11" s="4">
        <v>6754</v>
      </c>
      <c r="E11" s="5">
        <v>0.35771394729049455</v>
      </c>
      <c r="F11" s="3" t="s">
        <v>82</v>
      </c>
      <c r="G11" s="3" t="s">
        <v>83</v>
      </c>
      <c r="H11" s="3">
        <v>2416</v>
      </c>
      <c r="I11" s="3">
        <v>35.799999999999997</v>
      </c>
      <c r="J11" s="3">
        <v>4</v>
      </c>
      <c r="K11" s="3" t="s">
        <v>59</v>
      </c>
      <c r="L11" s="3">
        <v>3</v>
      </c>
      <c r="M11" s="3">
        <v>3</v>
      </c>
      <c r="N11" s="3">
        <v>3</v>
      </c>
      <c r="O11" s="3">
        <v>3</v>
      </c>
      <c r="P11" s="3">
        <v>2</v>
      </c>
      <c r="Q11" s="3">
        <v>3</v>
      </c>
      <c r="R11" s="3" t="s">
        <v>60</v>
      </c>
      <c r="S11" s="3">
        <v>3</v>
      </c>
      <c r="T11" s="3" t="s">
        <v>61</v>
      </c>
      <c r="U11" s="3" t="s">
        <v>62</v>
      </c>
      <c r="V11" s="3" t="s">
        <v>63</v>
      </c>
      <c r="W11" s="3" t="s">
        <v>64</v>
      </c>
      <c r="X11" s="3" t="s">
        <v>65</v>
      </c>
      <c r="Y11" s="3" t="s">
        <v>66</v>
      </c>
      <c r="Z11" s="3" t="s">
        <v>67</v>
      </c>
      <c r="AA11" s="3" t="s">
        <v>68</v>
      </c>
      <c r="AB11" s="3" t="s">
        <v>69</v>
      </c>
      <c r="AC11" s="3" t="s">
        <v>70</v>
      </c>
      <c r="AD11" s="3" t="s">
        <v>71</v>
      </c>
      <c r="AE11" s="3" t="s">
        <v>84</v>
      </c>
      <c r="AF11" s="6">
        <v>0.73199999999999998</v>
      </c>
      <c r="AG11" s="3" t="s">
        <v>61</v>
      </c>
      <c r="AH11" s="3" t="s">
        <v>74</v>
      </c>
      <c r="AI11" s="6">
        <v>0.69099999999999995</v>
      </c>
      <c r="AJ11" s="3" t="s">
        <v>61</v>
      </c>
      <c r="AK11" s="3" t="s">
        <v>85</v>
      </c>
      <c r="AL11" s="6">
        <v>-0.50800000000000001</v>
      </c>
      <c r="AM11" s="7">
        <f>ROUND((L11/3*'[1]01_Parametros'!$B$3+M11/3*'[1]01_Parametros'!$B$4+N11/3*'[1]01_Parametros'!$B$5+O11/3*'[1]01_Parametros'!$B$6+IF(ISNUMBER(SEARCH("Fronteras",U11)),1,0)*'[1]01_Parametros'!$B$7)*100,1)</f>
        <v>100</v>
      </c>
      <c r="AN11" s="7">
        <f>ROUND((E11*'[1]01_Parametros'!$B$8+(1-L11/3)*'[1]01_Parametros'!$B$9+IF(OR(AA11="Alta",AA11="Media"),1,0)*'[1]01_Parametros'!$B$10)*100,1)</f>
        <v>17.899999999999999</v>
      </c>
      <c r="AO11" s="7">
        <f>ROUND((IF(ISNUMBER(SEARCH("AC01",X11)),1,0)*'[1]01_Parametros'!$B$11+IF(OR(ISNUMBER(SEARCH("AC06",X11)),ISNUMBER(SEARCH("AC03",X11))),1,0)*'[1]01_Parametros'!$B$12+(1-ABS(E11-0.5))*'[1]01_Parametros'!$B$13+S11/3.2*'[1]01_Parametros'!$B$14)*100,1)</f>
        <v>70.900000000000006</v>
      </c>
      <c r="AP11" s="7">
        <f>ROUND((L11/3*'[1]01_Parametros'!$B$15+Q11/3*'[1]01_Parametros'!$B$16+P11/3*'[1]01_Parametros'!$B$17+IF(OR(AA11="Media-baja",AA11="Baja"),1,0)*'[1]01_Parametros'!$B$18+S11/3.2*'[1]01_Parametros'!$B$19)*100,1)</f>
        <v>77.7</v>
      </c>
      <c r="AQ11" s="7">
        <f>ROUND((P11/3*'[1]01_Parametros'!$B$20+IF(OR(ISNUMBER(SEARCH("JAC",Z11)),ISNUMBER(SEARCH("JAL",Z11)),ISNUMBER(SEARCH("lider",Z11))),1,0)*'[1]01_Parametros'!$B$21+IF(LEFT(B11,14)="Corregimiento",1,0)*'[1]01_Parametros'!$B$22+Q11/3*'[1]01_Parametros'!$B$23+S11/3.2*'[1]01_Parametros'!$B$24)*100,1)</f>
        <v>34.700000000000003</v>
      </c>
      <c r="AR11" s="3" t="str">
        <f>INDEX('[1]13_Listas'!$A$2:$A$6, MATCH(MAX(AM11:AQ11), AM11:AQ11, 0))</f>
        <v>Protección y orden cotidiano</v>
      </c>
      <c r="AS11" s="3" t="str">
        <f t="shared" si="0"/>
        <v>Protección y orden cotidiano</v>
      </c>
      <c r="AT11" s="3" t="str">
        <f t="shared" si="1"/>
        <v>Activista Causal</v>
      </c>
      <c r="AU11" s="3" t="str">
        <f t="shared" si="2"/>
        <v>Seguridad urbana y combos</v>
      </c>
      <c r="AV11" s="3" t="str">
        <f>IFERROR(VLOOKUP(AS11,'[1]02_Arquetipos_Miedo_Sesgo'!$A$4:$G$8,4,FALSE),"")</f>
        <v>Sesgo de disponibilidad + sesgo de negatividad + preferencia por autoridad.</v>
      </c>
      <c r="AW11" s="3" t="str">
        <f>IFERROR(VLOOKUP(AS11,'[1]02_Arquetipos_Miedo_Sesgo'!$A$4:$G$8,3,FALSE),"")</f>
        <v>Miedo a la inseguridad, al descontrol barrial y a perder la tranquilidad cotidiana.</v>
      </c>
      <c r="AX11" s="3" t="str">
        <f>IFERROR(VLOOKUP(AS11,'[1]02_Arquetipos_Miedo_Sesgo'!$A$4:$G$8,4,FALSE),"")</f>
        <v>Sesgo de disponibilidad + sesgo de negatividad + preferencia por autoridad.</v>
      </c>
      <c r="AY11" s="3" t="str">
        <f>IFERROR(VLOOKUP(AS11,'[1]02_Arquetipos_Miedo_Sesgo'!$A$4:$G$8,5,FALSE),"")</f>
        <v>Seguridad, convivencia, movilidad, alumbrado, reacción institucional rápida, presencia de autoridad.</v>
      </c>
      <c r="AZ11" s="3" t="str">
        <f>IFERROR(VLOOKUP(AS11,'[1]02_Arquetipos_Miedo_Sesgo'!$A$4:$G$8,6,FALSE),"")</f>
        <v>Mostrar capacidad verificable de resolver problemas concretos de seguridad y convivencia sin prometer acciones ilegales.</v>
      </c>
      <c r="BA11" s="3" t="s">
        <v>77</v>
      </c>
    </row>
    <row r="12" spans="1:53" ht="43.2">
      <c r="A12" s="3" t="s">
        <v>95</v>
      </c>
      <c r="B12" s="3" t="s">
        <v>96</v>
      </c>
      <c r="C12" s="3" t="s">
        <v>97</v>
      </c>
      <c r="D12" s="4">
        <v>10451</v>
      </c>
      <c r="E12" s="5">
        <v>0.45813797722705962</v>
      </c>
      <c r="F12" s="3" t="s">
        <v>82</v>
      </c>
      <c r="G12" s="3" t="s">
        <v>83</v>
      </c>
      <c r="H12" s="3">
        <v>4788</v>
      </c>
      <c r="I12" s="3">
        <v>45.8</v>
      </c>
      <c r="J12" s="3">
        <v>16</v>
      </c>
      <c r="K12" s="3" t="s">
        <v>98</v>
      </c>
      <c r="L12" s="3">
        <v>3</v>
      </c>
      <c r="M12" s="3">
        <v>3</v>
      </c>
      <c r="N12" s="3">
        <v>3</v>
      </c>
      <c r="O12" s="3">
        <v>3</v>
      </c>
      <c r="P12" s="3">
        <v>2</v>
      </c>
      <c r="Q12" s="3">
        <v>3</v>
      </c>
      <c r="R12" s="3" t="s">
        <v>60</v>
      </c>
      <c r="S12" s="3">
        <v>3</v>
      </c>
      <c r="T12" s="3" t="s">
        <v>61</v>
      </c>
      <c r="U12" s="3" t="s">
        <v>62</v>
      </c>
      <c r="V12" s="3" t="s">
        <v>99</v>
      </c>
      <c r="W12" s="3" t="s">
        <v>100</v>
      </c>
      <c r="X12" s="3" t="s">
        <v>101</v>
      </c>
      <c r="Y12" s="3" t="s">
        <v>102</v>
      </c>
      <c r="Z12" s="3" t="s">
        <v>103</v>
      </c>
      <c r="AA12" s="3" t="s">
        <v>61</v>
      </c>
      <c r="AB12" s="3" t="s">
        <v>69</v>
      </c>
      <c r="AC12" s="3" t="s">
        <v>70</v>
      </c>
      <c r="AD12" s="3" t="s">
        <v>71</v>
      </c>
      <c r="AE12" s="3" t="s">
        <v>84</v>
      </c>
      <c r="AF12" s="6">
        <v>0.73199999999999998</v>
      </c>
      <c r="AG12" s="3" t="s">
        <v>61</v>
      </c>
      <c r="AH12" s="3" t="s">
        <v>74</v>
      </c>
      <c r="AI12" s="6">
        <v>0.69099999999999995</v>
      </c>
      <c r="AJ12" s="3" t="s">
        <v>61</v>
      </c>
      <c r="AK12" s="3" t="s">
        <v>85</v>
      </c>
      <c r="AL12" s="6">
        <v>-0.50800000000000001</v>
      </c>
      <c r="AM12" s="7">
        <f>ROUND((L12/3*'[1]01_Parametros'!$B$3+M12/3*'[1]01_Parametros'!$B$4+N12/3*'[1]01_Parametros'!$B$5+O12/3*'[1]01_Parametros'!$B$6+IF(ISNUMBER(SEARCH("Fronteras",U12)),1,0)*'[1]01_Parametros'!$B$7)*100,1)</f>
        <v>100</v>
      </c>
      <c r="AN12" s="7">
        <f>ROUND((E12*'[1]01_Parametros'!$B$8+(1-L12/3)*'[1]01_Parametros'!$B$9+IF(OR(AA12="Alta",AA12="Media"),1,0)*'[1]01_Parametros'!$B$10)*100,1)</f>
        <v>42.9</v>
      </c>
      <c r="AO12" s="7">
        <f>ROUND((IF(ISNUMBER(SEARCH("AC01",X12)),1,0)*'[1]01_Parametros'!$B$11+IF(OR(ISNUMBER(SEARCH("AC06",X12)),ISNUMBER(SEARCH("AC03",X12))),1,0)*'[1]01_Parametros'!$B$12+(1-ABS(E12-0.5))*'[1]01_Parametros'!$B$13+S12/3.2*'[1]01_Parametros'!$B$14)*100,1)</f>
        <v>97.9</v>
      </c>
      <c r="AP12" s="7">
        <f>ROUND((L12/3*'[1]01_Parametros'!$B$15+Q12/3*'[1]01_Parametros'!$B$16+P12/3*'[1]01_Parametros'!$B$17+IF(OR(AA12="Media-baja",AA12="Baja"),1,0)*'[1]01_Parametros'!$B$18+S12/3.2*'[1]01_Parametros'!$B$19)*100,1)</f>
        <v>77.7</v>
      </c>
      <c r="AQ12" s="7">
        <f>ROUND((P12/3*'[1]01_Parametros'!$B$20+IF(OR(ISNUMBER(SEARCH("JAC",Z12)),ISNUMBER(SEARCH("JAL",Z12)),ISNUMBER(SEARCH("lider",Z12))),1,0)*'[1]01_Parametros'!$B$21+IF(LEFT(B12,14)="Corregimiento",1,0)*'[1]01_Parametros'!$B$22+Q12/3*'[1]01_Parametros'!$B$23+S12/3.2*'[1]01_Parametros'!$B$24)*100,1)</f>
        <v>34.700000000000003</v>
      </c>
      <c r="AR12" s="3" t="str">
        <f>INDEX('[1]13_Listas'!$A$2:$A$6, MATCH(MAX(AM12:AQ12), AM12:AQ12, 0))</f>
        <v>Protección y orden cotidiano</v>
      </c>
      <c r="AS12" s="3" t="str">
        <f t="shared" si="0"/>
        <v>Protección y orden cotidiano</v>
      </c>
      <c r="AT12" s="3" t="str">
        <f t="shared" si="1"/>
        <v>Activista Causal</v>
      </c>
      <c r="AU12" s="3" t="str">
        <f t="shared" si="2"/>
        <v>Seguridad urbana y combos</v>
      </c>
      <c r="AV12" s="3" t="str">
        <f>IFERROR(VLOOKUP(AS12,'[1]02_Arquetipos_Miedo_Sesgo'!$A$4:$G$8,4,FALSE),"")</f>
        <v>Sesgo de disponibilidad + sesgo de negatividad + preferencia por autoridad.</v>
      </c>
      <c r="AW12" s="3" t="str">
        <f>IFERROR(VLOOKUP(AS12,'[1]02_Arquetipos_Miedo_Sesgo'!$A$4:$G$8,3,FALSE),"")</f>
        <v>Miedo a la inseguridad, al descontrol barrial y a perder la tranquilidad cotidiana.</v>
      </c>
      <c r="AX12" s="3" t="str">
        <f>IFERROR(VLOOKUP(AS12,'[1]02_Arquetipos_Miedo_Sesgo'!$A$4:$G$8,4,FALSE),"")</f>
        <v>Sesgo de disponibilidad + sesgo de negatividad + preferencia por autoridad.</v>
      </c>
      <c r="AY12" s="3" t="str">
        <f>IFERROR(VLOOKUP(AS12,'[1]02_Arquetipos_Miedo_Sesgo'!$A$4:$G$8,5,FALSE),"")</f>
        <v>Seguridad, convivencia, movilidad, alumbrado, reacción institucional rápida, presencia de autoridad.</v>
      </c>
      <c r="AZ12" s="3" t="str">
        <f>IFERROR(VLOOKUP(AS12,'[1]02_Arquetipos_Miedo_Sesgo'!$A$4:$G$8,6,FALSE),"")</f>
        <v>Mostrar capacidad verificable de resolver problemas concretos de seguridad y convivencia sin prometer acciones ilegales.</v>
      </c>
      <c r="BA12" s="3" t="s">
        <v>77</v>
      </c>
    </row>
    <row r="13" spans="1:53" ht="43.2">
      <c r="A13" s="3" t="s">
        <v>104</v>
      </c>
      <c r="B13" s="3" t="s">
        <v>96</v>
      </c>
      <c r="C13" s="3" t="s">
        <v>105</v>
      </c>
      <c r="D13" s="4">
        <v>394</v>
      </c>
      <c r="E13" s="5">
        <v>0.42639593908629442</v>
      </c>
      <c r="F13" s="3" t="s">
        <v>57</v>
      </c>
      <c r="G13" s="3" t="s">
        <v>58</v>
      </c>
      <c r="H13" s="3">
        <v>168</v>
      </c>
      <c r="I13" s="3">
        <v>42.6</v>
      </c>
      <c r="J13" s="3">
        <v>16</v>
      </c>
      <c r="K13" s="3" t="s">
        <v>98</v>
      </c>
      <c r="L13" s="3">
        <v>3</v>
      </c>
      <c r="M13" s="3">
        <v>3</v>
      </c>
      <c r="N13" s="3">
        <v>3</v>
      </c>
      <c r="O13" s="3">
        <v>3</v>
      </c>
      <c r="P13" s="3">
        <v>2</v>
      </c>
      <c r="Q13" s="3">
        <v>3</v>
      </c>
      <c r="R13" s="3" t="s">
        <v>60</v>
      </c>
      <c r="S13" s="3">
        <v>3</v>
      </c>
      <c r="T13" s="3" t="s">
        <v>61</v>
      </c>
      <c r="U13" s="3" t="s">
        <v>62</v>
      </c>
      <c r="V13" s="3" t="s">
        <v>99</v>
      </c>
      <c r="W13" s="3" t="s">
        <v>100</v>
      </c>
      <c r="X13" s="3" t="s">
        <v>101</v>
      </c>
      <c r="Y13" s="3" t="s">
        <v>102</v>
      </c>
      <c r="Z13" s="3" t="s">
        <v>103</v>
      </c>
      <c r="AA13" s="3" t="s">
        <v>61</v>
      </c>
      <c r="AB13" s="3" t="s">
        <v>69</v>
      </c>
      <c r="AC13" s="3" t="s">
        <v>70</v>
      </c>
      <c r="AD13" s="3" t="s">
        <v>71</v>
      </c>
      <c r="AE13" s="3" t="s">
        <v>72</v>
      </c>
      <c r="AF13" s="6">
        <v>0.36599999999999999</v>
      </c>
      <c r="AG13" s="3" t="s">
        <v>73</v>
      </c>
      <c r="AH13" s="3" t="s">
        <v>74</v>
      </c>
      <c r="AI13" s="6">
        <v>0.497</v>
      </c>
      <c r="AJ13" s="3" t="s">
        <v>75</v>
      </c>
      <c r="AK13" s="3" t="s">
        <v>76</v>
      </c>
      <c r="AL13" s="6">
        <v>-0.38900000000000001</v>
      </c>
      <c r="AM13" s="7">
        <f>ROUND((L13/3*'[1]01_Parametros'!$B$3+M13/3*'[1]01_Parametros'!$B$4+N13/3*'[1]01_Parametros'!$B$5+O13/3*'[1]01_Parametros'!$B$6+IF(ISNUMBER(SEARCH("Fronteras",U13)),1,0)*'[1]01_Parametros'!$B$7)*100,1)</f>
        <v>100</v>
      </c>
      <c r="AN13" s="7">
        <f>ROUND((E13*'[1]01_Parametros'!$B$8+(1-L13/3)*'[1]01_Parametros'!$B$9+IF(OR(AA13="Alta",AA13="Media"),1,0)*'[1]01_Parametros'!$B$10)*100,1)</f>
        <v>41.3</v>
      </c>
      <c r="AO13" s="7">
        <f>ROUND((IF(ISNUMBER(SEARCH("AC01",X13)),1,0)*'[1]01_Parametros'!$B$11+IF(OR(ISNUMBER(SEARCH("AC06",X13)),ISNUMBER(SEARCH("AC03",X13))),1,0)*'[1]01_Parametros'!$B$12+(1-ABS(E13-0.5))*'[1]01_Parametros'!$B$13+S13/3.2*'[1]01_Parametros'!$B$14)*100,1)</f>
        <v>97.3</v>
      </c>
      <c r="AP13" s="7">
        <f>ROUND((L13/3*'[1]01_Parametros'!$B$15+Q13/3*'[1]01_Parametros'!$B$16+P13/3*'[1]01_Parametros'!$B$17+IF(OR(AA13="Media-baja",AA13="Baja"),1,0)*'[1]01_Parametros'!$B$18+S13/3.2*'[1]01_Parametros'!$B$19)*100,1)</f>
        <v>77.7</v>
      </c>
      <c r="AQ13" s="7">
        <f>ROUND((P13/3*'[1]01_Parametros'!$B$20+IF(OR(ISNUMBER(SEARCH("JAC",Z13)),ISNUMBER(SEARCH("JAL",Z13)),ISNUMBER(SEARCH("lider",Z13))),1,0)*'[1]01_Parametros'!$B$21+IF(LEFT(B13,14)="Corregimiento",1,0)*'[1]01_Parametros'!$B$22+Q13/3*'[1]01_Parametros'!$B$23+S13/3.2*'[1]01_Parametros'!$B$24)*100,1)</f>
        <v>34.700000000000003</v>
      </c>
      <c r="AR13" s="3" t="str">
        <f>INDEX('[1]13_Listas'!$A$2:$A$6, MATCH(MAX(AM13:AQ13), AM13:AQ13, 0))</f>
        <v>Protección y orden cotidiano</v>
      </c>
      <c r="AS13" s="3" t="str">
        <f t="shared" si="0"/>
        <v>Protección y orden cotidiano</v>
      </c>
      <c r="AT13" s="3" t="str">
        <f t="shared" si="1"/>
        <v>Activista Causal</v>
      </c>
      <c r="AU13" s="3" t="str">
        <f t="shared" si="2"/>
        <v>Seguridad urbana y combos</v>
      </c>
      <c r="AV13" s="3" t="str">
        <f>IFERROR(VLOOKUP(AS13,'[1]02_Arquetipos_Miedo_Sesgo'!$A$4:$G$8,4,FALSE),"")</f>
        <v>Sesgo de disponibilidad + sesgo de negatividad + preferencia por autoridad.</v>
      </c>
      <c r="AW13" s="3" t="str">
        <f>IFERROR(VLOOKUP(AS13,'[1]02_Arquetipos_Miedo_Sesgo'!$A$4:$G$8,3,FALSE),"")</f>
        <v>Miedo a la inseguridad, al descontrol barrial y a perder la tranquilidad cotidiana.</v>
      </c>
      <c r="AX13" s="3" t="str">
        <f>IFERROR(VLOOKUP(AS13,'[1]02_Arquetipos_Miedo_Sesgo'!$A$4:$G$8,4,FALSE),"")</f>
        <v>Sesgo de disponibilidad + sesgo de negatividad + preferencia por autoridad.</v>
      </c>
      <c r="AY13" s="3" t="str">
        <f>IFERROR(VLOOKUP(AS13,'[1]02_Arquetipos_Miedo_Sesgo'!$A$4:$G$8,5,FALSE),"")</f>
        <v>Seguridad, convivencia, movilidad, alumbrado, reacción institucional rápida, presencia de autoridad.</v>
      </c>
      <c r="AZ13" s="3" t="str">
        <f>IFERROR(VLOOKUP(AS13,'[1]02_Arquetipos_Miedo_Sesgo'!$A$4:$G$8,6,FALSE),"")</f>
        <v>Mostrar capacidad verificable de resolver problemas concretos de seguridad y convivencia sin prometer acciones ilegales.</v>
      </c>
      <c r="BA13" s="3" t="s">
        <v>77</v>
      </c>
    </row>
    <row r="14" spans="1:53" ht="43.2">
      <c r="A14" s="3" t="s">
        <v>106</v>
      </c>
      <c r="B14" s="3" t="s">
        <v>96</v>
      </c>
      <c r="C14" s="3" t="s">
        <v>96</v>
      </c>
      <c r="D14" s="4">
        <v>975</v>
      </c>
      <c r="E14" s="5">
        <v>0.42051282051282052</v>
      </c>
      <c r="F14" s="3" t="s">
        <v>57</v>
      </c>
      <c r="G14" s="3" t="s">
        <v>58</v>
      </c>
      <c r="H14" s="3">
        <v>410</v>
      </c>
      <c r="I14" s="3">
        <v>42.1</v>
      </c>
      <c r="J14" s="3">
        <v>16</v>
      </c>
      <c r="K14" s="3" t="s">
        <v>98</v>
      </c>
      <c r="L14" s="3">
        <v>3</v>
      </c>
      <c r="M14" s="3">
        <v>3</v>
      </c>
      <c r="N14" s="3">
        <v>3</v>
      </c>
      <c r="O14" s="3">
        <v>3</v>
      </c>
      <c r="P14" s="3">
        <v>2</v>
      </c>
      <c r="Q14" s="3">
        <v>3</v>
      </c>
      <c r="R14" s="3" t="s">
        <v>60</v>
      </c>
      <c r="S14" s="3">
        <v>3</v>
      </c>
      <c r="T14" s="3" t="s">
        <v>61</v>
      </c>
      <c r="U14" s="3" t="s">
        <v>62</v>
      </c>
      <c r="V14" s="3" t="s">
        <v>99</v>
      </c>
      <c r="W14" s="3" t="s">
        <v>100</v>
      </c>
      <c r="X14" s="3" t="s">
        <v>101</v>
      </c>
      <c r="Y14" s="3" t="s">
        <v>102</v>
      </c>
      <c r="Z14" s="3" t="s">
        <v>103</v>
      </c>
      <c r="AA14" s="3" t="s">
        <v>61</v>
      </c>
      <c r="AB14" s="3" t="s">
        <v>69</v>
      </c>
      <c r="AC14" s="3" t="s">
        <v>70</v>
      </c>
      <c r="AD14" s="3" t="s">
        <v>71</v>
      </c>
      <c r="AE14" s="3" t="s">
        <v>72</v>
      </c>
      <c r="AF14" s="6">
        <v>0.36599999999999999</v>
      </c>
      <c r="AG14" s="3" t="s">
        <v>73</v>
      </c>
      <c r="AH14" s="3" t="s">
        <v>74</v>
      </c>
      <c r="AI14" s="6">
        <v>0.497</v>
      </c>
      <c r="AJ14" s="3" t="s">
        <v>75</v>
      </c>
      <c r="AK14" s="3" t="s">
        <v>76</v>
      </c>
      <c r="AL14" s="6">
        <v>-0.38900000000000001</v>
      </c>
      <c r="AM14" s="7">
        <f>ROUND((L14/3*'[1]01_Parametros'!$B$3+M14/3*'[1]01_Parametros'!$B$4+N14/3*'[1]01_Parametros'!$B$5+O14/3*'[1]01_Parametros'!$B$6+IF(ISNUMBER(SEARCH("Fronteras",U14)),1,0)*'[1]01_Parametros'!$B$7)*100,1)</f>
        <v>100</v>
      </c>
      <c r="AN14" s="7">
        <f>ROUND((E14*'[1]01_Parametros'!$B$8+(1-L14/3)*'[1]01_Parametros'!$B$9+IF(OR(AA14="Alta",AA14="Media"),1,0)*'[1]01_Parametros'!$B$10)*100,1)</f>
        <v>41</v>
      </c>
      <c r="AO14" s="7">
        <f>ROUND((IF(ISNUMBER(SEARCH("AC01",X14)),1,0)*'[1]01_Parametros'!$B$11+IF(OR(ISNUMBER(SEARCH("AC06",X14)),ISNUMBER(SEARCH("AC03",X14))),1,0)*'[1]01_Parametros'!$B$12+(1-ABS(E14-0.5))*'[1]01_Parametros'!$B$13+S14/3.2*'[1]01_Parametros'!$B$14)*100,1)</f>
        <v>97.2</v>
      </c>
      <c r="AP14" s="7">
        <f>ROUND((L14/3*'[1]01_Parametros'!$B$15+Q14/3*'[1]01_Parametros'!$B$16+P14/3*'[1]01_Parametros'!$B$17+IF(OR(AA14="Media-baja",AA14="Baja"),1,0)*'[1]01_Parametros'!$B$18+S14/3.2*'[1]01_Parametros'!$B$19)*100,1)</f>
        <v>77.7</v>
      </c>
      <c r="AQ14" s="7">
        <f>ROUND((P14/3*'[1]01_Parametros'!$B$20+IF(OR(ISNUMBER(SEARCH("JAC",Z14)),ISNUMBER(SEARCH("JAL",Z14)),ISNUMBER(SEARCH("lider",Z14))),1,0)*'[1]01_Parametros'!$B$21+IF(LEFT(B14,14)="Corregimiento",1,0)*'[1]01_Parametros'!$B$22+Q14/3*'[1]01_Parametros'!$B$23+S14/3.2*'[1]01_Parametros'!$B$24)*100,1)</f>
        <v>34.700000000000003</v>
      </c>
      <c r="AR14" s="3" t="str">
        <f>INDEX('[1]13_Listas'!$A$2:$A$6, MATCH(MAX(AM14:AQ14), AM14:AQ14, 0))</f>
        <v>Protección y orden cotidiano</v>
      </c>
      <c r="AS14" s="3" t="str">
        <f t="shared" si="0"/>
        <v>Protección y orden cotidiano</v>
      </c>
      <c r="AT14" s="3" t="str">
        <f t="shared" si="1"/>
        <v>Activista Causal</v>
      </c>
      <c r="AU14" s="3" t="str">
        <f t="shared" si="2"/>
        <v>Seguridad urbana y combos</v>
      </c>
      <c r="AV14" s="3" t="str">
        <f>IFERROR(VLOOKUP(AS14,'[1]02_Arquetipos_Miedo_Sesgo'!$A$4:$G$8,4,FALSE),"")</f>
        <v>Sesgo de disponibilidad + sesgo de negatividad + preferencia por autoridad.</v>
      </c>
      <c r="AW14" s="3" t="str">
        <f>IFERROR(VLOOKUP(AS14,'[1]02_Arquetipos_Miedo_Sesgo'!$A$4:$G$8,3,FALSE),"")</f>
        <v>Miedo a la inseguridad, al descontrol barrial y a perder la tranquilidad cotidiana.</v>
      </c>
      <c r="AX14" s="3" t="str">
        <f>IFERROR(VLOOKUP(AS14,'[1]02_Arquetipos_Miedo_Sesgo'!$A$4:$G$8,4,FALSE),"")</f>
        <v>Sesgo de disponibilidad + sesgo de negatividad + preferencia por autoridad.</v>
      </c>
      <c r="AY14" s="3" t="str">
        <f>IFERROR(VLOOKUP(AS14,'[1]02_Arquetipos_Miedo_Sesgo'!$A$4:$G$8,5,FALSE),"")</f>
        <v>Seguridad, convivencia, movilidad, alumbrado, reacción institucional rápida, presencia de autoridad.</v>
      </c>
      <c r="AZ14" s="3" t="str">
        <f>IFERROR(VLOOKUP(AS14,'[1]02_Arquetipos_Miedo_Sesgo'!$A$4:$G$8,6,FALSE),"")</f>
        <v>Mostrar capacidad verificable de resolver problemas concretos de seguridad y convivencia sin prometer acciones ilegales.</v>
      </c>
      <c r="BA14" s="3" t="s">
        <v>77</v>
      </c>
    </row>
    <row r="15" spans="1:53" ht="43.2">
      <c r="A15" s="3" t="s">
        <v>107</v>
      </c>
      <c r="B15" s="3" t="s">
        <v>96</v>
      </c>
      <c r="C15" s="3" t="s">
        <v>108</v>
      </c>
      <c r="D15" s="4">
        <v>4338</v>
      </c>
      <c r="E15" s="5">
        <v>0.39972337482710929</v>
      </c>
      <c r="F15" s="3" t="s">
        <v>57</v>
      </c>
      <c r="G15" s="3" t="s">
        <v>58</v>
      </c>
      <c r="H15" s="3">
        <v>1734</v>
      </c>
      <c r="I15" s="3">
        <v>40</v>
      </c>
      <c r="J15" s="3">
        <v>16</v>
      </c>
      <c r="K15" s="3" t="s">
        <v>98</v>
      </c>
      <c r="L15" s="3">
        <v>3</v>
      </c>
      <c r="M15" s="3">
        <v>3</v>
      </c>
      <c r="N15" s="3">
        <v>3</v>
      </c>
      <c r="O15" s="3">
        <v>3</v>
      </c>
      <c r="P15" s="3">
        <v>2</v>
      </c>
      <c r="Q15" s="3">
        <v>3</v>
      </c>
      <c r="R15" s="3" t="s">
        <v>60</v>
      </c>
      <c r="S15" s="3">
        <v>3</v>
      </c>
      <c r="T15" s="3" t="s">
        <v>61</v>
      </c>
      <c r="U15" s="3" t="s">
        <v>62</v>
      </c>
      <c r="V15" s="3" t="s">
        <v>99</v>
      </c>
      <c r="W15" s="3" t="s">
        <v>100</v>
      </c>
      <c r="X15" s="3" t="s">
        <v>101</v>
      </c>
      <c r="Y15" s="3" t="s">
        <v>102</v>
      </c>
      <c r="Z15" s="3" t="s">
        <v>103</v>
      </c>
      <c r="AA15" s="3" t="s">
        <v>61</v>
      </c>
      <c r="AB15" s="3" t="s">
        <v>69</v>
      </c>
      <c r="AC15" s="3" t="s">
        <v>70</v>
      </c>
      <c r="AD15" s="3" t="s">
        <v>71</v>
      </c>
      <c r="AE15" s="3" t="s">
        <v>72</v>
      </c>
      <c r="AF15" s="6">
        <v>0.36599999999999999</v>
      </c>
      <c r="AG15" s="3" t="s">
        <v>73</v>
      </c>
      <c r="AH15" s="3" t="s">
        <v>74</v>
      </c>
      <c r="AI15" s="6">
        <v>0.497</v>
      </c>
      <c r="AJ15" s="3" t="s">
        <v>75</v>
      </c>
      <c r="AK15" s="3" t="s">
        <v>76</v>
      </c>
      <c r="AL15" s="6">
        <v>-0.38900000000000001</v>
      </c>
      <c r="AM15" s="7">
        <f>ROUND((L15/3*'[1]01_Parametros'!$B$3+M15/3*'[1]01_Parametros'!$B$4+N15/3*'[1]01_Parametros'!$B$5+O15/3*'[1]01_Parametros'!$B$6+IF(ISNUMBER(SEARCH("Fronteras",U15)),1,0)*'[1]01_Parametros'!$B$7)*100,1)</f>
        <v>100</v>
      </c>
      <c r="AN15" s="7">
        <f>ROUND((E15*'[1]01_Parametros'!$B$8+(1-L15/3)*'[1]01_Parametros'!$B$9+IF(OR(AA15="Alta",AA15="Media"),1,0)*'[1]01_Parametros'!$B$10)*100,1)</f>
        <v>40</v>
      </c>
      <c r="AO15" s="7">
        <f>ROUND((IF(ISNUMBER(SEARCH("AC01",X15)),1,0)*'[1]01_Parametros'!$B$11+IF(OR(ISNUMBER(SEARCH("AC06",X15)),ISNUMBER(SEARCH("AC03",X15))),1,0)*'[1]01_Parametros'!$B$12+(1-ABS(E15-0.5))*'[1]01_Parametros'!$B$13+S15/3.2*'[1]01_Parametros'!$B$14)*100,1)</f>
        <v>96.7</v>
      </c>
      <c r="AP15" s="7">
        <f>ROUND((L15/3*'[1]01_Parametros'!$B$15+Q15/3*'[1]01_Parametros'!$B$16+P15/3*'[1]01_Parametros'!$B$17+IF(OR(AA15="Media-baja",AA15="Baja"),1,0)*'[1]01_Parametros'!$B$18+S15/3.2*'[1]01_Parametros'!$B$19)*100,1)</f>
        <v>77.7</v>
      </c>
      <c r="AQ15" s="7">
        <f>ROUND((P15/3*'[1]01_Parametros'!$B$20+IF(OR(ISNUMBER(SEARCH("JAC",Z15)),ISNUMBER(SEARCH("JAL",Z15)),ISNUMBER(SEARCH("lider",Z15))),1,0)*'[1]01_Parametros'!$B$21+IF(LEFT(B15,14)="Corregimiento",1,0)*'[1]01_Parametros'!$B$22+Q15/3*'[1]01_Parametros'!$B$23+S15/3.2*'[1]01_Parametros'!$B$24)*100,1)</f>
        <v>34.700000000000003</v>
      </c>
      <c r="AR15" s="3" t="str">
        <f>INDEX('[1]13_Listas'!$A$2:$A$6, MATCH(MAX(AM15:AQ15), AM15:AQ15, 0))</f>
        <v>Protección y orden cotidiano</v>
      </c>
      <c r="AS15" s="3" t="str">
        <f t="shared" si="0"/>
        <v>Protección y orden cotidiano</v>
      </c>
      <c r="AT15" s="3" t="str">
        <f t="shared" si="1"/>
        <v>Activista Causal</v>
      </c>
      <c r="AU15" s="3" t="str">
        <f t="shared" si="2"/>
        <v>Seguridad urbana y combos</v>
      </c>
      <c r="AV15" s="3" t="str">
        <f>IFERROR(VLOOKUP(AS15,'[1]02_Arquetipos_Miedo_Sesgo'!$A$4:$G$8,4,FALSE),"")</f>
        <v>Sesgo de disponibilidad + sesgo de negatividad + preferencia por autoridad.</v>
      </c>
      <c r="AW15" s="3" t="str">
        <f>IFERROR(VLOOKUP(AS15,'[1]02_Arquetipos_Miedo_Sesgo'!$A$4:$G$8,3,FALSE),"")</f>
        <v>Miedo a la inseguridad, al descontrol barrial y a perder la tranquilidad cotidiana.</v>
      </c>
      <c r="AX15" s="3" t="str">
        <f>IFERROR(VLOOKUP(AS15,'[1]02_Arquetipos_Miedo_Sesgo'!$A$4:$G$8,4,FALSE),"")</f>
        <v>Sesgo de disponibilidad + sesgo de negatividad + preferencia por autoridad.</v>
      </c>
      <c r="AY15" s="3" t="str">
        <f>IFERROR(VLOOKUP(AS15,'[1]02_Arquetipos_Miedo_Sesgo'!$A$4:$G$8,5,FALSE),"")</f>
        <v>Seguridad, convivencia, movilidad, alumbrado, reacción institucional rápida, presencia de autoridad.</v>
      </c>
      <c r="AZ15" s="3" t="str">
        <f>IFERROR(VLOOKUP(AS15,'[1]02_Arquetipos_Miedo_Sesgo'!$A$4:$G$8,6,FALSE),"")</f>
        <v>Mostrar capacidad verificable de resolver problemas concretos de seguridad y convivencia sin prometer acciones ilegales.</v>
      </c>
      <c r="BA15" s="3" t="s">
        <v>77</v>
      </c>
    </row>
    <row r="16" spans="1:53" ht="43.2">
      <c r="A16" s="3" t="s">
        <v>109</v>
      </c>
      <c r="B16" s="3" t="s">
        <v>96</v>
      </c>
      <c r="C16" s="3" t="s">
        <v>110</v>
      </c>
      <c r="D16" s="4">
        <v>9033</v>
      </c>
      <c r="E16" s="5">
        <v>0.40495959260489317</v>
      </c>
      <c r="F16" s="3" t="s">
        <v>82</v>
      </c>
      <c r="G16" s="3" t="s">
        <v>83</v>
      </c>
      <c r="H16" s="3">
        <v>3658</v>
      </c>
      <c r="I16" s="3">
        <v>40.5</v>
      </c>
      <c r="J16" s="3">
        <v>16</v>
      </c>
      <c r="K16" s="3" t="s">
        <v>98</v>
      </c>
      <c r="L16" s="3">
        <v>3</v>
      </c>
      <c r="M16" s="3">
        <v>3</v>
      </c>
      <c r="N16" s="3">
        <v>3</v>
      </c>
      <c r="O16" s="3">
        <v>3</v>
      </c>
      <c r="P16" s="3">
        <v>2</v>
      </c>
      <c r="Q16" s="3">
        <v>3</v>
      </c>
      <c r="R16" s="3" t="s">
        <v>60</v>
      </c>
      <c r="S16" s="3">
        <v>3</v>
      </c>
      <c r="T16" s="3" t="s">
        <v>61</v>
      </c>
      <c r="U16" s="3" t="s">
        <v>62</v>
      </c>
      <c r="V16" s="3" t="s">
        <v>99</v>
      </c>
      <c r="W16" s="3" t="s">
        <v>100</v>
      </c>
      <c r="X16" s="3" t="s">
        <v>101</v>
      </c>
      <c r="Y16" s="3" t="s">
        <v>102</v>
      </c>
      <c r="Z16" s="3" t="s">
        <v>103</v>
      </c>
      <c r="AA16" s="3" t="s">
        <v>61</v>
      </c>
      <c r="AB16" s="3" t="s">
        <v>69</v>
      </c>
      <c r="AC16" s="3" t="s">
        <v>70</v>
      </c>
      <c r="AD16" s="3" t="s">
        <v>71</v>
      </c>
      <c r="AE16" s="3" t="s">
        <v>84</v>
      </c>
      <c r="AF16" s="6">
        <v>0.73199999999999998</v>
      </c>
      <c r="AG16" s="3" t="s">
        <v>61</v>
      </c>
      <c r="AH16" s="3" t="s">
        <v>74</v>
      </c>
      <c r="AI16" s="6">
        <v>0.69099999999999995</v>
      </c>
      <c r="AJ16" s="3" t="s">
        <v>61</v>
      </c>
      <c r="AK16" s="3" t="s">
        <v>85</v>
      </c>
      <c r="AL16" s="6">
        <v>-0.50800000000000001</v>
      </c>
      <c r="AM16" s="7">
        <f>ROUND((L16/3*'[1]01_Parametros'!$B$3+M16/3*'[1]01_Parametros'!$B$4+N16/3*'[1]01_Parametros'!$B$5+O16/3*'[1]01_Parametros'!$B$6+IF(ISNUMBER(SEARCH("Fronteras",U16)),1,0)*'[1]01_Parametros'!$B$7)*100,1)</f>
        <v>100</v>
      </c>
      <c r="AN16" s="7">
        <f>ROUND((E16*'[1]01_Parametros'!$B$8+(1-L16/3)*'[1]01_Parametros'!$B$9+IF(OR(AA16="Alta",AA16="Media"),1,0)*'[1]01_Parametros'!$B$10)*100,1)</f>
        <v>40.200000000000003</v>
      </c>
      <c r="AO16" s="7">
        <f>ROUND((IF(ISNUMBER(SEARCH("AC01",X16)),1,0)*'[1]01_Parametros'!$B$11+IF(OR(ISNUMBER(SEARCH("AC06",X16)),ISNUMBER(SEARCH("AC03",X16))),1,0)*'[1]01_Parametros'!$B$12+(1-ABS(E16-0.5))*'[1]01_Parametros'!$B$13+S16/3.2*'[1]01_Parametros'!$B$14)*100,1)</f>
        <v>96.8</v>
      </c>
      <c r="AP16" s="7">
        <f>ROUND((L16/3*'[1]01_Parametros'!$B$15+Q16/3*'[1]01_Parametros'!$B$16+P16/3*'[1]01_Parametros'!$B$17+IF(OR(AA16="Media-baja",AA16="Baja"),1,0)*'[1]01_Parametros'!$B$18+S16/3.2*'[1]01_Parametros'!$B$19)*100,1)</f>
        <v>77.7</v>
      </c>
      <c r="AQ16" s="7">
        <f>ROUND((P16/3*'[1]01_Parametros'!$B$20+IF(OR(ISNUMBER(SEARCH("JAC",Z16)),ISNUMBER(SEARCH("JAL",Z16)),ISNUMBER(SEARCH("lider",Z16))),1,0)*'[1]01_Parametros'!$B$21+IF(LEFT(B16,14)="Corregimiento",1,0)*'[1]01_Parametros'!$B$22+Q16/3*'[1]01_Parametros'!$B$23+S16/3.2*'[1]01_Parametros'!$B$24)*100,1)</f>
        <v>34.700000000000003</v>
      </c>
      <c r="AR16" s="3" t="str">
        <f>INDEX('[1]13_Listas'!$A$2:$A$6, MATCH(MAX(AM16:AQ16), AM16:AQ16, 0))</f>
        <v>Protección y orden cotidiano</v>
      </c>
      <c r="AS16" s="3" t="str">
        <f t="shared" si="0"/>
        <v>Protección y orden cotidiano</v>
      </c>
      <c r="AT16" s="3" t="str">
        <f t="shared" si="1"/>
        <v>Activista Causal</v>
      </c>
      <c r="AU16" s="3" t="str">
        <f t="shared" si="2"/>
        <v>Seguridad urbana y combos</v>
      </c>
      <c r="AV16" s="3" t="str">
        <f>IFERROR(VLOOKUP(AS16,'[1]02_Arquetipos_Miedo_Sesgo'!$A$4:$G$8,4,FALSE),"")</f>
        <v>Sesgo de disponibilidad + sesgo de negatividad + preferencia por autoridad.</v>
      </c>
      <c r="AW16" s="3" t="str">
        <f>IFERROR(VLOOKUP(AS16,'[1]02_Arquetipos_Miedo_Sesgo'!$A$4:$G$8,3,FALSE),"")</f>
        <v>Miedo a la inseguridad, al descontrol barrial y a perder la tranquilidad cotidiana.</v>
      </c>
      <c r="AX16" s="3" t="str">
        <f>IFERROR(VLOOKUP(AS16,'[1]02_Arquetipos_Miedo_Sesgo'!$A$4:$G$8,4,FALSE),"")</f>
        <v>Sesgo de disponibilidad + sesgo de negatividad + preferencia por autoridad.</v>
      </c>
      <c r="AY16" s="3" t="str">
        <f>IFERROR(VLOOKUP(AS16,'[1]02_Arquetipos_Miedo_Sesgo'!$A$4:$G$8,5,FALSE),"")</f>
        <v>Seguridad, convivencia, movilidad, alumbrado, reacción institucional rápida, presencia de autoridad.</v>
      </c>
      <c r="AZ16" s="3" t="str">
        <f>IFERROR(VLOOKUP(AS16,'[1]02_Arquetipos_Miedo_Sesgo'!$A$4:$G$8,6,FALSE),"")</f>
        <v>Mostrar capacidad verificable de resolver problemas concretos de seguridad y convivencia sin prometer acciones ilegales.</v>
      </c>
      <c r="BA16" s="3" t="s">
        <v>77</v>
      </c>
    </row>
    <row r="17" spans="1:53" ht="43.2">
      <c r="A17" s="3" t="s">
        <v>111</v>
      </c>
      <c r="B17" s="3" t="s">
        <v>96</v>
      </c>
      <c r="C17" s="3" t="s">
        <v>112</v>
      </c>
      <c r="D17" s="4">
        <v>444</v>
      </c>
      <c r="E17" s="5">
        <v>0.40765765765765766</v>
      </c>
      <c r="F17" s="3" t="s">
        <v>57</v>
      </c>
      <c r="G17" s="3" t="s">
        <v>58</v>
      </c>
      <c r="H17" s="3">
        <v>181</v>
      </c>
      <c r="I17" s="3">
        <v>40.799999999999997</v>
      </c>
      <c r="J17" s="3">
        <v>16</v>
      </c>
      <c r="K17" s="3" t="s">
        <v>98</v>
      </c>
      <c r="L17" s="3">
        <v>3</v>
      </c>
      <c r="M17" s="3">
        <v>3</v>
      </c>
      <c r="N17" s="3">
        <v>3</v>
      </c>
      <c r="O17" s="3">
        <v>3</v>
      </c>
      <c r="P17" s="3">
        <v>2</v>
      </c>
      <c r="Q17" s="3">
        <v>3</v>
      </c>
      <c r="R17" s="3" t="s">
        <v>60</v>
      </c>
      <c r="S17" s="3">
        <v>3</v>
      </c>
      <c r="T17" s="3" t="s">
        <v>61</v>
      </c>
      <c r="U17" s="3" t="s">
        <v>62</v>
      </c>
      <c r="V17" s="3" t="s">
        <v>99</v>
      </c>
      <c r="W17" s="3" t="s">
        <v>100</v>
      </c>
      <c r="X17" s="3" t="s">
        <v>101</v>
      </c>
      <c r="Y17" s="3" t="s">
        <v>102</v>
      </c>
      <c r="Z17" s="3" t="s">
        <v>103</v>
      </c>
      <c r="AA17" s="3" t="s">
        <v>61</v>
      </c>
      <c r="AB17" s="3" t="s">
        <v>69</v>
      </c>
      <c r="AC17" s="3" t="s">
        <v>70</v>
      </c>
      <c r="AD17" s="3" t="s">
        <v>71</v>
      </c>
      <c r="AE17" s="3" t="s">
        <v>72</v>
      </c>
      <c r="AF17" s="6">
        <v>0.36599999999999999</v>
      </c>
      <c r="AG17" s="3" t="s">
        <v>73</v>
      </c>
      <c r="AH17" s="3" t="s">
        <v>74</v>
      </c>
      <c r="AI17" s="6">
        <v>0.497</v>
      </c>
      <c r="AJ17" s="3" t="s">
        <v>75</v>
      </c>
      <c r="AK17" s="3" t="s">
        <v>76</v>
      </c>
      <c r="AL17" s="6">
        <v>-0.38900000000000001</v>
      </c>
      <c r="AM17" s="7">
        <f>ROUND((L17/3*'[1]01_Parametros'!$B$3+M17/3*'[1]01_Parametros'!$B$4+N17/3*'[1]01_Parametros'!$B$5+O17/3*'[1]01_Parametros'!$B$6+IF(ISNUMBER(SEARCH("Fronteras",U17)),1,0)*'[1]01_Parametros'!$B$7)*100,1)</f>
        <v>100</v>
      </c>
      <c r="AN17" s="7">
        <f>ROUND((E17*'[1]01_Parametros'!$B$8+(1-L17/3)*'[1]01_Parametros'!$B$9+IF(OR(AA17="Alta",AA17="Media"),1,0)*'[1]01_Parametros'!$B$10)*100,1)</f>
        <v>40.4</v>
      </c>
      <c r="AO17" s="7">
        <f>ROUND((IF(ISNUMBER(SEARCH("AC01",X17)),1,0)*'[1]01_Parametros'!$B$11+IF(OR(ISNUMBER(SEARCH("AC06",X17)),ISNUMBER(SEARCH("AC03",X17))),1,0)*'[1]01_Parametros'!$B$12+(1-ABS(E17-0.5))*'[1]01_Parametros'!$B$13+S17/3.2*'[1]01_Parametros'!$B$14)*100,1)</f>
        <v>96.9</v>
      </c>
      <c r="AP17" s="7">
        <f>ROUND((L17/3*'[1]01_Parametros'!$B$15+Q17/3*'[1]01_Parametros'!$B$16+P17/3*'[1]01_Parametros'!$B$17+IF(OR(AA17="Media-baja",AA17="Baja"),1,0)*'[1]01_Parametros'!$B$18+S17/3.2*'[1]01_Parametros'!$B$19)*100,1)</f>
        <v>77.7</v>
      </c>
      <c r="AQ17" s="7">
        <f>ROUND((P17/3*'[1]01_Parametros'!$B$20+IF(OR(ISNUMBER(SEARCH("JAC",Z17)),ISNUMBER(SEARCH("JAL",Z17)),ISNUMBER(SEARCH("lider",Z17))),1,0)*'[1]01_Parametros'!$B$21+IF(LEFT(B17,14)="Corregimiento",1,0)*'[1]01_Parametros'!$B$22+Q17/3*'[1]01_Parametros'!$B$23+S17/3.2*'[1]01_Parametros'!$B$24)*100,1)</f>
        <v>34.700000000000003</v>
      </c>
      <c r="AR17" s="3" t="str">
        <f>INDEX('[1]13_Listas'!$A$2:$A$6, MATCH(MAX(AM17:AQ17), AM17:AQ17, 0))</f>
        <v>Protección y orden cotidiano</v>
      </c>
      <c r="AS17" s="3" t="str">
        <f t="shared" si="0"/>
        <v>Protección y orden cotidiano</v>
      </c>
      <c r="AT17" s="3" t="str">
        <f t="shared" si="1"/>
        <v>Activista Causal</v>
      </c>
      <c r="AU17" s="3" t="str">
        <f t="shared" si="2"/>
        <v>Seguridad urbana y combos</v>
      </c>
      <c r="AV17" s="3" t="str">
        <f>IFERROR(VLOOKUP(AS17,'[1]02_Arquetipos_Miedo_Sesgo'!$A$4:$G$8,4,FALSE),"")</f>
        <v>Sesgo de disponibilidad + sesgo de negatividad + preferencia por autoridad.</v>
      </c>
      <c r="AW17" s="3" t="str">
        <f>IFERROR(VLOOKUP(AS17,'[1]02_Arquetipos_Miedo_Sesgo'!$A$4:$G$8,3,FALSE),"")</f>
        <v>Miedo a la inseguridad, al descontrol barrial y a perder la tranquilidad cotidiana.</v>
      </c>
      <c r="AX17" s="3" t="str">
        <f>IFERROR(VLOOKUP(AS17,'[1]02_Arquetipos_Miedo_Sesgo'!$A$4:$G$8,4,FALSE),"")</f>
        <v>Sesgo de disponibilidad + sesgo de negatividad + preferencia por autoridad.</v>
      </c>
      <c r="AY17" s="3" t="str">
        <f>IFERROR(VLOOKUP(AS17,'[1]02_Arquetipos_Miedo_Sesgo'!$A$4:$G$8,5,FALSE),"")</f>
        <v>Seguridad, convivencia, movilidad, alumbrado, reacción institucional rápida, presencia de autoridad.</v>
      </c>
      <c r="AZ17" s="3" t="str">
        <f>IFERROR(VLOOKUP(AS17,'[1]02_Arquetipos_Miedo_Sesgo'!$A$4:$G$8,6,FALSE),"")</f>
        <v>Mostrar capacidad verificable de resolver problemas concretos de seguridad y convivencia sin prometer acciones ilegales.</v>
      </c>
      <c r="BA17" s="3" t="s">
        <v>77</v>
      </c>
    </row>
    <row r="18" spans="1:53" ht="43.2">
      <c r="A18" s="3" t="s">
        <v>113</v>
      </c>
      <c r="B18" s="3" t="s">
        <v>96</v>
      </c>
      <c r="C18" s="3" t="s">
        <v>114</v>
      </c>
      <c r="D18" s="4">
        <v>6071</v>
      </c>
      <c r="E18" s="5">
        <v>0.38296820952067206</v>
      </c>
      <c r="F18" s="3" t="s">
        <v>57</v>
      </c>
      <c r="G18" s="3" t="s">
        <v>58</v>
      </c>
      <c r="H18" s="3">
        <v>2325</v>
      </c>
      <c r="I18" s="3">
        <v>38.299999999999997</v>
      </c>
      <c r="J18" s="3">
        <v>16</v>
      </c>
      <c r="K18" s="3" t="s">
        <v>98</v>
      </c>
      <c r="L18" s="3">
        <v>3</v>
      </c>
      <c r="M18" s="3">
        <v>3</v>
      </c>
      <c r="N18" s="3">
        <v>3</v>
      </c>
      <c r="O18" s="3">
        <v>3</v>
      </c>
      <c r="P18" s="3">
        <v>2</v>
      </c>
      <c r="Q18" s="3">
        <v>3</v>
      </c>
      <c r="R18" s="3" t="s">
        <v>60</v>
      </c>
      <c r="S18" s="3">
        <v>3</v>
      </c>
      <c r="T18" s="3" t="s">
        <v>61</v>
      </c>
      <c r="U18" s="3" t="s">
        <v>62</v>
      </c>
      <c r="V18" s="3" t="s">
        <v>99</v>
      </c>
      <c r="W18" s="3" t="s">
        <v>100</v>
      </c>
      <c r="X18" s="3" t="s">
        <v>101</v>
      </c>
      <c r="Y18" s="3" t="s">
        <v>102</v>
      </c>
      <c r="Z18" s="3" t="s">
        <v>103</v>
      </c>
      <c r="AA18" s="3" t="s">
        <v>61</v>
      </c>
      <c r="AB18" s="3" t="s">
        <v>69</v>
      </c>
      <c r="AC18" s="3" t="s">
        <v>70</v>
      </c>
      <c r="AD18" s="3" t="s">
        <v>71</v>
      </c>
      <c r="AE18" s="3" t="s">
        <v>72</v>
      </c>
      <c r="AF18" s="6">
        <v>0.36599999999999999</v>
      </c>
      <c r="AG18" s="3" t="s">
        <v>73</v>
      </c>
      <c r="AH18" s="3" t="s">
        <v>74</v>
      </c>
      <c r="AI18" s="6">
        <v>0.497</v>
      </c>
      <c r="AJ18" s="3" t="s">
        <v>75</v>
      </c>
      <c r="AK18" s="3" t="s">
        <v>76</v>
      </c>
      <c r="AL18" s="6">
        <v>-0.38900000000000001</v>
      </c>
      <c r="AM18" s="7">
        <f>ROUND((L18/3*'[1]01_Parametros'!$B$3+M18/3*'[1]01_Parametros'!$B$4+N18/3*'[1]01_Parametros'!$B$5+O18/3*'[1]01_Parametros'!$B$6+IF(ISNUMBER(SEARCH("Fronteras",U18)),1,0)*'[1]01_Parametros'!$B$7)*100,1)</f>
        <v>100</v>
      </c>
      <c r="AN18" s="7">
        <f>ROUND((E18*'[1]01_Parametros'!$B$8+(1-L18/3)*'[1]01_Parametros'!$B$9+IF(OR(AA18="Alta",AA18="Media"),1,0)*'[1]01_Parametros'!$B$10)*100,1)</f>
        <v>39.1</v>
      </c>
      <c r="AO18" s="7">
        <f>ROUND((IF(ISNUMBER(SEARCH("AC01",X18)),1,0)*'[1]01_Parametros'!$B$11+IF(OR(ISNUMBER(SEARCH("AC06",X18)),ISNUMBER(SEARCH("AC03",X18))),1,0)*'[1]01_Parametros'!$B$12+(1-ABS(E18-0.5))*'[1]01_Parametros'!$B$13+S18/3.2*'[1]01_Parametros'!$B$14)*100,1)</f>
        <v>96.4</v>
      </c>
      <c r="AP18" s="7">
        <f>ROUND((L18/3*'[1]01_Parametros'!$B$15+Q18/3*'[1]01_Parametros'!$B$16+P18/3*'[1]01_Parametros'!$B$17+IF(OR(AA18="Media-baja",AA18="Baja"),1,0)*'[1]01_Parametros'!$B$18+S18/3.2*'[1]01_Parametros'!$B$19)*100,1)</f>
        <v>77.7</v>
      </c>
      <c r="AQ18" s="7">
        <f>ROUND((P18/3*'[1]01_Parametros'!$B$20+IF(OR(ISNUMBER(SEARCH("JAC",Z18)),ISNUMBER(SEARCH("JAL",Z18)),ISNUMBER(SEARCH("lider",Z18))),1,0)*'[1]01_Parametros'!$B$21+IF(LEFT(B18,14)="Corregimiento",1,0)*'[1]01_Parametros'!$B$22+Q18/3*'[1]01_Parametros'!$B$23+S18/3.2*'[1]01_Parametros'!$B$24)*100,1)</f>
        <v>34.700000000000003</v>
      </c>
      <c r="AR18" s="3" t="str">
        <f>INDEX('[1]13_Listas'!$A$2:$A$6, MATCH(MAX(AM18:AQ18), AM18:AQ18, 0))</f>
        <v>Protección y orden cotidiano</v>
      </c>
      <c r="AS18" s="3" t="str">
        <f t="shared" si="0"/>
        <v>Protección y orden cotidiano</v>
      </c>
      <c r="AT18" s="3" t="str">
        <f t="shared" si="1"/>
        <v>Activista Causal</v>
      </c>
      <c r="AU18" s="3" t="str">
        <f t="shared" si="2"/>
        <v>Seguridad urbana y combos</v>
      </c>
      <c r="AV18" s="3" t="str">
        <f>IFERROR(VLOOKUP(AS18,'[1]02_Arquetipos_Miedo_Sesgo'!$A$4:$G$8,4,FALSE),"")</f>
        <v>Sesgo de disponibilidad + sesgo de negatividad + preferencia por autoridad.</v>
      </c>
      <c r="AW18" s="3" t="str">
        <f>IFERROR(VLOOKUP(AS18,'[1]02_Arquetipos_Miedo_Sesgo'!$A$4:$G$8,3,FALSE),"")</f>
        <v>Miedo a la inseguridad, al descontrol barrial y a perder la tranquilidad cotidiana.</v>
      </c>
      <c r="AX18" s="3" t="str">
        <f>IFERROR(VLOOKUP(AS18,'[1]02_Arquetipos_Miedo_Sesgo'!$A$4:$G$8,4,FALSE),"")</f>
        <v>Sesgo de disponibilidad + sesgo de negatividad + preferencia por autoridad.</v>
      </c>
      <c r="AY18" s="3" t="str">
        <f>IFERROR(VLOOKUP(AS18,'[1]02_Arquetipos_Miedo_Sesgo'!$A$4:$G$8,5,FALSE),"")</f>
        <v>Seguridad, convivencia, movilidad, alumbrado, reacción institucional rápida, presencia de autoridad.</v>
      </c>
      <c r="AZ18" s="3" t="str">
        <f>IFERROR(VLOOKUP(AS18,'[1]02_Arquetipos_Miedo_Sesgo'!$A$4:$G$8,6,FALSE),"")</f>
        <v>Mostrar capacidad verificable de resolver problemas concretos de seguridad y convivencia sin prometer acciones ilegales.</v>
      </c>
      <c r="BA18" s="3" t="s">
        <v>77</v>
      </c>
    </row>
    <row r="19" spans="1:53" ht="43.2">
      <c r="A19" s="3" t="s">
        <v>115</v>
      </c>
      <c r="B19" s="3" t="s">
        <v>96</v>
      </c>
      <c r="C19" s="3" t="s">
        <v>116</v>
      </c>
      <c r="D19" s="4">
        <v>7699</v>
      </c>
      <c r="E19" s="5">
        <v>0.48928432263930383</v>
      </c>
      <c r="F19" s="3" t="s">
        <v>57</v>
      </c>
      <c r="G19" s="3" t="s">
        <v>58</v>
      </c>
      <c r="H19" s="3">
        <v>3767</v>
      </c>
      <c r="I19" s="3">
        <v>48.9</v>
      </c>
      <c r="J19" s="3">
        <v>16</v>
      </c>
      <c r="K19" s="3" t="s">
        <v>98</v>
      </c>
      <c r="L19" s="3">
        <v>3</v>
      </c>
      <c r="M19" s="3">
        <v>3</v>
      </c>
      <c r="N19" s="3">
        <v>3</v>
      </c>
      <c r="O19" s="3">
        <v>3</v>
      </c>
      <c r="P19" s="3">
        <v>2</v>
      </c>
      <c r="Q19" s="3">
        <v>3</v>
      </c>
      <c r="R19" s="3" t="s">
        <v>60</v>
      </c>
      <c r="S19" s="3">
        <v>3</v>
      </c>
      <c r="T19" s="3" t="s">
        <v>61</v>
      </c>
      <c r="U19" s="3" t="s">
        <v>62</v>
      </c>
      <c r="V19" s="3" t="s">
        <v>99</v>
      </c>
      <c r="W19" s="3" t="s">
        <v>100</v>
      </c>
      <c r="X19" s="3" t="s">
        <v>101</v>
      </c>
      <c r="Y19" s="3" t="s">
        <v>102</v>
      </c>
      <c r="Z19" s="3" t="s">
        <v>103</v>
      </c>
      <c r="AA19" s="3" t="s">
        <v>61</v>
      </c>
      <c r="AB19" s="3" t="s">
        <v>69</v>
      </c>
      <c r="AC19" s="3" t="s">
        <v>70</v>
      </c>
      <c r="AD19" s="3" t="s">
        <v>71</v>
      </c>
      <c r="AE19" s="3" t="s">
        <v>72</v>
      </c>
      <c r="AF19" s="6">
        <v>0.36599999999999999</v>
      </c>
      <c r="AG19" s="3" t="s">
        <v>73</v>
      </c>
      <c r="AH19" s="3" t="s">
        <v>74</v>
      </c>
      <c r="AI19" s="6">
        <v>0.497</v>
      </c>
      <c r="AJ19" s="3" t="s">
        <v>75</v>
      </c>
      <c r="AK19" s="3" t="s">
        <v>76</v>
      </c>
      <c r="AL19" s="6">
        <v>-0.38900000000000001</v>
      </c>
      <c r="AM19" s="7">
        <f>ROUND((L19/3*'[1]01_Parametros'!$B$3+M19/3*'[1]01_Parametros'!$B$4+N19/3*'[1]01_Parametros'!$B$5+O19/3*'[1]01_Parametros'!$B$6+IF(ISNUMBER(SEARCH("Fronteras",U19)),1,0)*'[1]01_Parametros'!$B$7)*100,1)</f>
        <v>100</v>
      </c>
      <c r="AN19" s="7">
        <f>ROUND((E19*'[1]01_Parametros'!$B$8+(1-L19/3)*'[1]01_Parametros'!$B$9+IF(OR(AA19="Alta",AA19="Media"),1,0)*'[1]01_Parametros'!$B$10)*100,1)</f>
        <v>44.5</v>
      </c>
      <c r="AO19" s="7">
        <f>ROUND((IF(ISNUMBER(SEARCH("AC01",X19)),1,0)*'[1]01_Parametros'!$B$11+IF(OR(ISNUMBER(SEARCH("AC06",X19)),ISNUMBER(SEARCH("AC03",X19))),1,0)*'[1]01_Parametros'!$B$12+(1-ABS(E19-0.5))*'[1]01_Parametros'!$B$13+S19/3.2*'[1]01_Parametros'!$B$14)*100,1)</f>
        <v>98.5</v>
      </c>
      <c r="AP19" s="7">
        <f>ROUND((L19/3*'[1]01_Parametros'!$B$15+Q19/3*'[1]01_Parametros'!$B$16+P19/3*'[1]01_Parametros'!$B$17+IF(OR(AA19="Media-baja",AA19="Baja"),1,0)*'[1]01_Parametros'!$B$18+S19/3.2*'[1]01_Parametros'!$B$19)*100,1)</f>
        <v>77.7</v>
      </c>
      <c r="AQ19" s="7">
        <f>ROUND((P19/3*'[1]01_Parametros'!$B$20+IF(OR(ISNUMBER(SEARCH("JAC",Z19)),ISNUMBER(SEARCH("JAL",Z19)),ISNUMBER(SEARCH("lider",Z19))),1,0)*'[1]01_Parametros'!$B$21+IF(LEFT(B19,14)="Corregimiento",1,0)*'[1]01_Parametros'!$B$22+Q19/3*'[1]01_Parametros'!$B$23+S19/3.2*'[1]01_Parametros'!$B$24)*100,1)</f>
        <v>34.700000000000003</v>
      </c>
      <c r="AR19" s="3" t="str">
        <f>INDEX('[1]13_Listas'!$A$2:$A$6, MATCH(MAX(AM19:AQ19), AM19:AQ19, 0))</f>
        <v>Protección y orden cotidiano</v>
      </c>
      <c r="AS19" s="3" t="str">
        <f t="shared" si="0"/>
        <v>Protección y orden cotidiano</v>
      </c>
      <c r="AT19" s="3" t="str">
        <f t="shared" si="1"/>
        <v>Activista Causal</v>
      </c>
      <c r="AU19" s="3" t="str">
        <f t="shared" si="2"/>
        <v>Seguridad urbana y combos</v>
      </c>
      <c r="AV19" s="3" t="str">
        <f>IFERROR(VLOOKUP(AS19,'[1]02_Arquetipos_Miedo_Sesgo'!$A$4:$G$8,4,FALSE),"")</f>
        <v>Sesgo de disponibilidad + sesgo de negatividad + preferencia por autoridad.</v>
      </c>
      <c r="AW19" s="3" t="str">
        <f>IFERROR(VLOOKUP(AS19,'[1]02_Arquetipos_Miedo_Sesgo'!$A$4:$G$8,3,FALSE),"")</f>
        <v>Miedo a la inseguridad, al descontrol barrial y a perder la tranquilidad cotidiana.</v>
      </c>
      <c r="AX19" s="3" t="str">
        <f>IFERROR(VLOOKUP(AS19,'[1]02_Arquetipos_Miedo_Sesgo'!$A$4:$G$8,4,FALSE),"")</f>
        <v>Sesgo de disponibilidad + sesgo de negatividad + preferencia por autoridad.</v>
      </c>
      <c r="AY19" s="3" t="str">
        <f>IFERROR(VLOOKUP(AS19,'[1]02_Arquetipos_Miedo_Sesgo'!$A$4:$G$8,5,FALSE),"")</f>
        <v>Seguridad, convivencia, movilidad, alumbrado, reacción institucional rápida, presencia de autoridad.</v>
      </c>
      <c r="AZ19" s="3" t="str">
        <f>IFERROR(VLOOKUP(AS19,'[1]02_Arquetipos_Miedo_Sesgo'!$A$4:$G$8,6,FALSE),"")</f>
        <v>Mostrar capacidad verificable de resolver problemas concretos de seguridad y convivencia sin prometer acciones ilegales.</v>
      </c>
      <c r="BA19" s="3" t="s">
        <v>77</v>
      </c>
    </row>
    <row r="20" spans="1:53" ht="43.2">
      <c r="A20" s="3" t="s">
        <v>117</v>
      </c>
      <c r="B20" s="3" t="s">
        <v>96</v>
      </c>
      <c r="C20" s="3" t="s">
        <v>118</v>
      </c>
      <c r="D20" s="4">
        <v>897</v>
      </c>
      <c r="E20" s="5">
        <v>0.52285395763656628</v>
      </c>
      <c r="F20" s="3" t="s">
        <v>57</v>
      </c>
      <c r="G20" s="3" t="s">
        <v>58</v>
      </c>
      <c r="H20" s="3">
        <v>469</v>
      </c>
      <c r="I20" s="3">
        <v>52.3</v>
      </c>
      <c r="J20" s="3">
        <v>16</v>
      </c>
      <c r="K20" s="3" t="s">
        <v>98</v>
      </c>
      <c r="L20" s="3">
        <v>3</v>
      </c>
      <c r="M20" s="3">
        <v>3</v>
      </c>
      <c r="N20" s="3">
        <v>3</v>
      </c>
      <c r="O20" s="3">
        <v>3</v>
      </c>
      <c r="P20" s="3">
        <v>2</v>
      </c>
      <c r="Q20" s="3">
        <v>3</v>
      </c>
      <c r="R20" s="3" t="s">
        <v>60</v>
      </c>
      <c r="S20" s="3">
        <v>3</v>
      </c>
      <c r="T20" s="3" t="s">
        <v>61</v>
      </c>
      <c r="U20" s="3" t="s">
        <v>62</v>
      </c>
      <c r="V20" s="3" t="s">
        <v>99</v>
      </c>
      <c r="W20" s="3" t="s">
        <v>100</v>
      </c>
      <c r="X20" s="3" t="s">
        <v>101</v>
      </c>
      <c r="Y20" s="3" t="s">
        <v>102</v>
      </c>
      <c r="Z20" s="3" t="s">
        <v>103</v>
      </c>
      <c r="AA20" s="3" t="s">
        <v>61</v>
      </c>
      <c r="AB20" s="3" t="s">
        <v>69</v>
      </c>
      <c r="AC20" s="3" t="s">
        <v>70</v>
      </c>
      <c r="AD20" s="3" t="s">
        <v>71</v>
      </c>
      <c r="AE20" s="3" t="s">
        <v>72</v>
      </c>
      <c r="AF20" s="6">
        <v>0.36599999999999999</v>
      </c>
      <c r="AG20" s="3" t="s">
        <v>73</v>
      </c>
      <c r="AH20" s="3" t="s">
        <v>74</v>
      </c>
      <c r="AI20" s="6">
        <v>0.497</v>
      </c>
      <c r="AJ20" s="3" t="s">
        <v>75</v>
      </c>
      <c r="AK20" s="3" t="s">
        <v>76</v>
      </c>
      <c r="AL20" s="6">
        <v>-0.38900000000000001</v>
      </c>
      <c r="AM20" s="7">
        <f>ROUND((L20/3*'[1]01_Parametros'!$B$3+M20/3*'[1]01_Parametros'!$B$4+N20/3*'[1]01_Parametros'!$B$5+O20/3*'[1]01_Parametros'!$B$6+IF(ISNUMBER(SEARCH("Fronteras",U20)),1,0)*'[1]01_Parametros'!$B$7)*100,1)</f>
        <v>100</v>
      </c>
      <c r="AN20" s="7">
        <f>ROUND((E20*'[1]01_Parametros'!$B$8+(1-L20/3)*'[1]01_Parametros'!$B$9+IF(OR(AA20="Alta",AA20="Media"),1,0)*'[1]01_Parametros'!$B$10)*100,1)</f>
        <v>46.1</v>
      </c>
      <c r="AO20" s="7">
        <f>ROUND((IF(ISNUMBER(SEARCH("AC01",X20)),1,0)*'[1]01_Parametros'!$B$11+IF(OR(ISNUMBER(SEARCH("AC06",X20)),ISNUMBER(SEARCH("AC03",X20))),1,0)*'[1]01_Parametros'!$B$12+(1-ABS(E20-0.5))*'[1]01_Parametros'!$B$13+S20/3.2*'[1]01_Parametros'!$B$14)*100,1)</f>
        <v>98.3</v>
      </c>
      <c r="AP20" s="7">
        <f>ROUND((L20/3*'[1]01_Parametros'!$B$15+Q20/3*'[1]01_Parametros'!$B$16+P20/3*'[1]01_Parametros'!$B$17+IF(OR(AA20="Media-baja",AA20="Baja"),1,0)*'[1]01_Parametros'!$B$18+S20/3.2*'[1]01_Parametros'!$B$19)*100,1)</f>
        <v>77.7</v>
      </c>
      <c r="AQ20" s="7">
        <f>ROUND((P20/3*'[1]01_Parametros'!$B$20+IF(OR(ISNUMBER(SEARCH("JAC",Z20)),ISNUMBER(SEARCH("JAL",Z20)),ISNUMBER(SEARCH("lider",Z20))),1,0)*'[1]01_Parametros'!$B$21+IF(LEFT(B20,14)="Corregimiento",1,0)*'[1]01_Parametros'!$B$22+Q20/3*'[1]01_Parametros'!$B$23+S20/3.2*'[1]01_Parametros'!$B$24)*100,1)</f>
        <v>34.700000000000003</v>
      </c>
      <c r="AR20" s="3" t="str">
        <f>INDEX('[1]13_Listas'!$A$2:$A$6, MATCH(MAX(AM20:AQ20), AM20:AQ20, 0))</f>
        <v>Protección y orden cotidiano</v>
      </c>
      <c r="AS20" s="3" t="str">
        <f t="shared" si="0"/>
        <v>Protección y orden cotidiano</v>
      </c>
      <c r="AT20" s="3" t="str">
        <f t="shared" si="1"/>
        <v>Activista Causal</v>
      </c>
      <c r="AU20" s="3" t="str">
        <f t="shared" si="2"/>
        <v>Seguridad urbana y combos</v>
      </c>
      <c r="AV20" s="3" t="str">
        <f>IFERROR(VLOOKUP(AS20,'[1]02_Arquetipos_Miedo_Sesgo'!$A$4:$G$8,4,FALSE),"")</f>
        <v>Sesgo de disponibilidad + sesgo de negatividad + preferencia por autoridad.</v>
      </c>
      <c r="AW20" s="3" t="str">
        <f>IFERROR(VLOOKUP(AS20,'[1]02_Arquetipos_Miedo_Sesgo'!$A$4:$G$8,3,FALSE),"")</f>
        <v>Miedo a la inseguridad, al descontrol barrial y a perder la tranquilidad cotidiana.</v>
      </c>
      <c r="AX20" s="3" t="str">
        <f>IFERROR(VLOOKUP(AS20,'[1]02_Arquetipos_Miedo_Sesgo'!$A$4:$G$8,4,FALSE),"")</f>
        <v>Sesgo de disponibilidad + sesgo de negatividad + preferencia por autoridad.</v>
      </c>
      <c r="AY20" s="3" t="str">
        <f>IFERROR(VLOOKUP(AS20,'[1]02_Arquetipos_Miedo_Sesgo'!$A$4:$G$8,5,FALSE),"")</f>
        <v>Seguridad, convivencia, movilidad, alumbrado, reacción institucional rápida, presencia de autoridad.</v>
      </c>
      <c r="AZ20" s="3" t="str">
        <f>IFERROR(VLOOKUP(AS20,'[1]02_Arquetipos_Miedo_Sesgo'!$A$4:$G$8,6,FALSE),"")</f>
        <v>Mostrar capacidad verificable de resolver problemas concretos de seguridad y convivencia sin prometer acciones ilegales.</v>
      </c>
      <c r="BA20" s="3" t="s">
        <v>77</v>
      </c>
    </row>
    <row r="21" spans="1:53" ht="43.2">
      <c r="A21" s="3" t="s">
        <v>119</v>
      </c>
      <c r="B21" s="3" t="s">
        <v>96</v>
      </c>
      <c r="C21" s="3" t="s">
        <v>120</v>
      </c>
      <c r="D21" s="4">
        <v>6795</v>
      </c>
      <c r="E21" s="5">
        <v>0.39720382634289919</v>
      </c>
      <c r="F21" s="3" t="s">
        <v>57</v>
      </c>
      <c r="G21" s="3" t="s">
        <v>58</v>
      </c>
      <c r="H21" s="3">
        <v>2699</v>
      </c>
      <c r="I21" s="3">
        <v>39.700000000000003</v>
      </c>
      <c r="J21" s="3">
        <v>16</v>
      </c>
      <c r="K21" s="3" t="s">
        <v>98</v>
      </c>
      <c r="L21" s="3">
        <v>3</v>
      </c>
      <c r="M21" s="3">
        <v>3</v>
      </c>
      <c r="N21" s="3">
        <v>3</v>
      </c>
      <c r="O21" s="3">
        <v>3</v>
      </c>
      <c r="P21" s="3">
        <v>2</v>
      </c>
      <c r="Q21" s="3">
        <v>3</v>
      </c>
      <c r="R21" s="3" t="s">
        <v>60</v>
      </c>
      <c r="S21" s="3">
        <v>3</v>
      </c>
      <c r="T21" s="3" t="s">
        <v>61</v>
      </c>
      <c r="U21" s="3" t="s">
        <v>62</v>
      </c>
      <c r="V21" s="3" t="s">
        <v>99</v>
      </c>
      <c r="W21" s="3" t="s">
        <v>100</v>
      </c>
      <c r="X21" s="3" t="s">
        <v>101</v>
      </c>
      <c r="Y21" s="3" t="s">
        <v>102</v>
      </c>
      <c r="Z21" s="3" t="s">
        <v>103</v>
      </c>
      <c r="AA21" s="3" t="s">
        <v>61</v>
      </c>
      <c r="AB21" s="3" t="s">
        <v>69</v>
      </c>
      <c r="AC21" s="3" t="s">
        <v>70</v>
      </c>
      <c r="AD21" s="3" t="s">
        <v>71</v>
      </c>
      <c r="AE21" s="3" t="s">
        <v>72</v>
      </c>
      <c r="AF21" s="6">
        <v>0.36599999999999999</v>
      </c>
      <c r="AG21" s="3" t="s">
        <v>73</v>
      </c>
      <c r="AH21" s="3" t="s">
        <v>74</v>
      </c>
      <c r="AI21" s="6">
        <v>0.497</v>
      </c>
      <c r="AJ21" s="3" t="s">
        <v>75</v>
      </c>
      <c r="AK21" s="3" t="s">
        <v>76</v>
      </c>
      <c r="AL21" s="6">
        <v>-0.38900000000000001</v>
      </c>
      <c r="AM21" s="7">
        <f>ROUND((L21/3*'[1]01_Parametros'!$B$3+M21/3*'[1]01_Parametros'!$B$4+N21/3*'[1]01_Parametros'!$B$5+O21/3*'[1]01_Parametros'!$B$6+IF(ISNUMBER(SEARCH("Fronteras",U21)),1,0)*'[1]01_Parametros'!$B$7)*100,1)</f>
        <v>100</v>
      </c>
      <c r="AN21" s="7">
        <f>ROUND((E21*'[1]01_Parametros'!$B$8+(1-L21/3)*'[1]01_Parametros'!$B$9+IF(OR(AA21="Alta",AA21="Media"),1,0)*'[1]01_Parametros'!$B$10)*100,1)</f>
        <v>39.9</v>
      </c>
      <c r="AO21" s="7">
        <f>ROUND((IF(ISNUMBER(SEARCH("AC01",X21)),1,0)*'[1]01_Parametros'!$B$11+IF(OR(ISNUMBER(SEARCH("AC06",X21)),ISNUMBER(SEARCH("AC03",X21))),1,0)*'[1]01_Parametros'!$B$12+(1-ABS(E21-0.5))*'[1]01_Parametros'!$B$13+S21/3.2*'[1]01_Parametros'!$B$14)*100,1)</f>
        <v>96.7</v>
      </c>
      <c r="AP21" s="7">
        <f>ROUND((L21/3*'[1]01_Parametros'!$B$15+Q21/3*'[1]01_Parametros'!$B$16+P21/3*'[1]01_Parametros'!$B$17+IF(OR(AA21="Media-baja",AA21="Baja"),1,0)*'[1]01_Parametros'!$B$18+S21/3.2*'[1]01_Parametros'!$B$19)*100,1)</f>
        <v>77.7</v>
      </c>
      <c r="AQ21" s="7">
        <f>ROUND((P21/3*'[1]01_Parametros'!$B$20+IF(OR(ISNUMBER(SEARCH("JAC",Z21)),ISNUMBER(SEARCH("JAL",Z21)),ISNUMBER(SEARCH("lider",Z21))),1,0)*'[1]01_Parametros'!$B$21+IF(LEFT(B21,14)="Corregimiento",1,0)*'[1]01_Parametros'!$B$22+Q21/3*'[1]01_Parametros'!$B$23+S21/3.2*'[1]01_Parametros'!$B$24)*100,1)</f>
        <v>34.700000000000003</v>
      </c>
      <c r="AR21" s="3" t="str">
        <f>INDEX('[1]13_Listas'!$A$2:$A$6, MATCH(MAX(AM21:AQ21), AM21:AQ21, 0))</f>
        <v>Protección y orden cotidiano</v>
      </c>
      <c r="AS21" s="3" t="str">
        <f t="shared" si="0"/>
        <v>Protección y orden cotidiano</v>
      </c>
      <c r="AT21" s="3" t="str">
        <f t="shared" si="1"/>
        <v>Activista Causal</v>
      </c>
      <c r="AU21" s="3" t="str">
        <f t="shared" si="2"/>
        <v>Seguridad urbana y combos</v>
      </c>
      <c r="AV21" s="3" t="str">
        <f>IFERROR(VLOOKUP(AS21,'[1]02_Arquetipos_Miedo_Sesgo'!$A$4:$G$8,4,FALSE),"")</f>
        <v>Sesgo de disponibilidad + sesgo de negatividad + preferencia por autoridad.</v>
      </c>
      <c r="AW21" s="3" t="str">
        <f>IFERROR(VLOOKUP(AS21,'[1]02_Arquetipos_Miedo_Sesgo'!$A$4:$G$8,3,FALSE),"")</f>
        <v>Miedo a la inseguridad, al descontrol barrial y a perder la tranquilidad cotidiana.</v>
      </c>
      <c r="AX21" s="3" t="str">
        <f>IFERROR(VLOOKUP(AS21,'[1]02_Arquetipos_Miedo_Sesgo'!$A$4:$G$8,4,FALSE),"")</f>
        <v>Sesgo de disponibilidad + sesgo de negatividad + preferencia por autoridad.</v>
      </c>
      <c r="AY21" s="3" t="str">
        <f>IFERROR(VLOOKUP(AS21,'[1]02_Arquetipos_Miedo_Sesgo'!$A$4:$G$8,5,FALSE),"")</f>
        <v>Seguridad, convivencia, movilidad, alumbrado, reacción institucional rápida, presencia de autoridad.</v>
      </c>
      <c r="AZ21" s="3" t="str">
        <f>IFERROR(VLOOKUP(AS21,'[1]02_Arquetipos_Miedo_Sesgo'!$A$4:$G$8,6,FALSE),"")</f>
        <v>Mostrar capacidad verificable de resolver problemas concretos de seguridad y convivencia sin prometer acciones ilegales.</v>
      </c>
      <c r="BA21" s="3" t="s">
        <v>77</v>
      </c>
    </row>
    <row r="22" spans="1:53" ht="43.2">
      <c r="A22" s="3" t="s">
        <v>121</v>
      </c>
      <c r="B22" s="3" t="s">
        <v>96</v>
      </c>
      <c r="C22" s="3" t="s">
        <v>122</v>
      </c>
      <c r="D22" s="4">
        <v>11668</v>
      </c>
      <c r="E22" s="5">
        <v>0.40058279053822421</v>
      </c>
      <c r="F22" s="3" t="s">
        <v>57</v>
      </c>
      <c r="G22" s="3" t="s">
        <v>58</v>
      </c>
      <c r="H22" s="3">
        <v>4674</v>
      </c>
      <c r="I22" s="3">
        <v>40.1</v>
      </c>
      <c r="J22" s="3">
        <v>16</v>
      </c>
      <c r="K22" s="3" t="s">
        <v>98</v>
      </c>
      <c r="L22" s="3">
        <v>3</v>
      </c>
      <c r="M22" s="3">
        <v>3</v>
      </c>
      <c r="N22" s="3">
        <v>3</v>
      </c>
      <c r="O22" s="3">
        <v>3</v>
      </c>
      <c r="P22" s="3">
        <v>2</v>
      </c>
      <c r="Q22" s="3">
        <v>3</v>
      </c>
      <c r="R22" s="3" t="s">
        <v>60</v>
      </c>
      <c r="S22" s="3">
        <v>3</v>
      </c>
      <c r="T22" s="3" t="s">
        <v>61</v>
      </c>
      <c r="U22" s="3" t="s">
        <v>62</v>
      </c>
      <c r="V22" s="3" t="s">
        <v>99</v>
      </c>
      <c r="W22" s="3" t="s">
        <v>100</v>
      </c>
      <c r="X22" s="3" t="s">
        <v>101</v>
      </c>
      <c r="Y22" s="3" t="s">
        <v>102</v>
      </c>
      <c r="Z22" s="3" t="s">
        <v>103</v>
      </c>
      <c r="AA22" s="3" t="s">
        <v>61</v>
      </c>
      <c r="AB22" s="3" t="s">
        <v>69</v>
      </c>
      <c r="AC22" s="3" t="s">
        <v>70</v>
      </c>
      <c r="AD22" s="3" t="s">
        <v>71</v>
      </c>
      <c r="AE22" s="3" t="s">
        <v>72</v>
      </c>
      <c r="AF22" s="6">
        <v>0.36599999999999999</v>
      </c>
      <c r="AG22" s="3" t="s">
        <v>73</v>
      </c>
      <c r="AH22" s="3" t="s">
        <v>74</v>
      </c>
      <c r="AI22" s="6">
        <v>0.497</v>
      </c>
      <c r="AJ22" s="3" t="s">
        <v>75</v>
      </c>
      <c r="AK22" s="3" t="s">
        <v>76</v>
      </c>
      <c r="AL22" s="6">
        <v>-0.38900000000000001</v>
      </c>
      <c r="AM22" s="7">
        <f>ROUND((L22/3*'[1]01_Parametros'!$B$3+M22/3*'[1]01_Parametros'!$B$4+N22/3*'[1]01_Parametros'!$B$5+O22/3*'[1]01_Parametros'!$B$6+IF(ISNUMBER(SEARCH("Fronteras",U22)),1,0)*'[1]01_Parametros'!$B$7)*100,1)</f>
        <v>100</v>
      </c>
      <c r="AN22" s="7">
        <f>ROUND((E22*'[1]01_Parametros'!$B$8+(1-L22/3)*'[1]01_Parametros'!$B$9+IF(OR(AA22="Alta",AA22="Media"),1,0)*'[1]01_Parametros'!$B$10)*100,1)</f>
        <v>40</v>
      </c>
      <c r="AO22" s="7">
        <f>ROUND((IF(ISNUMBER(SEARCH("AC01",X22)),1,0)*'[1]01_Parametros'!$B$11+IF(OR(ISNUMBER(SEARCH("AC06",X22)),ISNUMBER(SEARCH("AC03",X22))),1,0)*'[1]01_Parametros'!$B$12+(1-ABS(E22-0.5))*'[1]01_Parametros'!$B$13+S22/3.2*'[1]01_Parametros'!$B$14)*100,1)</f>
        <v>96.8</v>
      </c>
      <c r="AP22" s="7">
        <f>ROUND((L22/3*'[1]01_Parametros'!$B$15+Q22/3*'[1]01_Parametros'!$B$16+P22/3*'[1]01_Parametros'!$B$17+IF(OR(AA22="Media-baja",AA22="Baja"),1,0)*'[1]01_Parametros'!$B$18+S22/3.2*'[1]01_Parametros'!$B$19)*100,1)</f>
        <v>77.7</v>
      </c>
      <c r="AQ22" s="7">
        <f>ROUND((P22/3*'[1]01_Parametros'!$B$20+IF(OR(ISNUMBER(SEARCH("JAC",Z22)),ISNUMBER(SEARCH("JAL",Z22)),ISNUMBER(SEARCH("lider",Z22))),1,0)*'[1]01_Parametros'!$B$21+IF(LEFT(B22,14)="Corregimiento",1,0)*'[1]01_Parametros'!$B$22+Q22/3*'[1]01_Parametros'!$B$23+S22/3.2*'[1]01_Parametros'!$B$24)*100,1)</f>
        <v>34.700000000000003</v>
      </c>
      <c r="AR22" s="3" t="str">
        <f>INDEX('[1]13_Listas'!$A$2:$A$6, MATCH(MAX(AM22:AQ22), AM22:AQ22, 0))</f>
        <v>Protección y orden cotidiano</v>
      </c>
      <c r="AS22" s="3" t="str">
        <f t="shared" si="0"/>
        <v>Protección y orden cotidiano</v>
      </c>
      <c r="AT22" s="3" t="str">
        <f t="shared" si="1"/>
        <v>Activista Causal</v>
      </c>
      <c r="AU22" s="3" t="str">
        <f t="shared" si="2"/>
        <v>Seguridad urbana y combos</v>
      </c>
      <c r="AV22" s="3" t="str">
        <f>IFERROR(VLOOKUP(AS22,'[1]02_Arquetipos_Miedo_Sesgo'!$A$4:$G$8,4,FALSE),"")</f>
        <v>Sesgo de disponibilidad + sesgo de negatividad + preferencia por autoridad.</v>
      </c>
      <c r="AW22" s="3" t="str">
        <f>IFERROR(VLOOKUP(AS22,'[1]02_Arquetipos_Miedo_Sesgo'!$A$4:$G$8,3,FALSE),"")</f>
        <v>Miedo a la inseguridad, al descontrol barrial y a perder la tranquilidad cotidiana.</v>
      </c>
      <c r="AX22" s="3" t="str">
        <f>IFERROR(VLOOKUP(AS22,'[1]02_Arquetipos_Miedo_Sesgo'!$A$4:$G$8,4,FALSE),"")</f>
        <v>Sesgo de disponibilidad + sesgo de negatividad + preferencia por autoridad.</v>
      </c>
      <c r="AY22" s="3" t="str">
        <f>IFERROR(VLOOKUP(AS22,'[1]02_Arquetipos_Miedo_Sesgo'!$A$4:$G$8,5,FALSE),"")</f>
        <v>Seguridad, convivencia, movilidad, alumbrado, reacción institucional rápida, presencia de autoridad.</v>
      </c>
      <c r="AZ22" s="3" t="str">
        <f>IFERROR(VLOOKUP(AS22,'[1]02_Arquetipos_Miedo_Sesgo'!$A$4:$G$8,6,FALSE),"")</f>
        <v>Mostrar capacidad verificable de resolver problemas concretos de seguridad y convivencia sin prometer acciones ilegales.</v>
      </c>
      <c r="BA22" s="3" t="s">
        <v>77</v>
      </c>
    </row>
    <row r="23" spans="1:53" ht="43.2">
      <c r="A23" s="3" t="s">
        <v>123</v>
      </c>
      <c r="B23" s="3" t="s">
        <v>96</v>
      </c>
      <c r="C23" s="3" t="s">
        <v>124</v>
      </c>
      <c r="D23" s="4">
        <v>6014</v>
      </c>
      <c r="E23" s="5">
        <v>0.45128034585966081</v>
      </c>
      <c r="F23" s="3" t="s">
        <v>82</v>
      </c>
      <c r="G23" s="3" t="s">
        <v>83</v>
      </c>
      <c r="H23" s="3">
        <v>2714</v>
      </c>
      <c r="I23" s="3">
        <v>45.1</v>
      </c>
      <c r="J23" s="3">
        <v>16</v>
      </c>
      <c r="K23" s="3" t="s">
        <v>98</v>
      </c>
      <c r="L23" s="3">
        <v>3</v>
      </c>
      <c r="M23" s="3">
        <v>3</v>
      </c>
      <c r="N23" s="3">
        <v>3</v>
      </c>
      <c r="O23" s="3">
        <v>3</v>
      </c>
      <c r="P23" s="3">
        <v>2</v>
      </c>
      <c r="Q23" s="3">
        <v>3</v>
      </c>
      <c r="R23" s="3" t="s">
        <v>60</v>
      </c>
      <c r="S23" s="3">
        <v>3</v>
      </c>
      <c r="T23" s="3" t="s">
        <v>61</v>
      </c>
      <c r="U23" s="3" t="s">
        <v>62</v>
      </c>
      <c r="V23" s="3" t="s">
        <v>99</v>
      </c>
      <c r="W23" s="3" t="s">
        <v>100</v>
      </c>
      <c r="X23" s="3" t="s">
        <v>101</v>
      </c>
      <c r="Y23" s="3" t="s">
        <v>102</v>
      </c>
      <c r="Z23" s="3" t="s">
        <v>103</v>
      </c>
      <c r="AA23" s="3" t="s">
        <v>61</v>
      </c>
      <c r="AB23" s="3" t="s">
        <v>69</v>
      </c>
      <c r="AC23" s="3" t="s">
        <v>70</v>
      </c>
      <c r="AD23" s="3" t="s">
        <v>71</v>
      </c>
      <c r="AE23" s="3" t="s">
        <v>84</v>
      </c>
      <c r="AF23" s="6">
        <v>0.73199999999999998</v>
      </c>
      <c r="AG23" s="3" t="s">
        <v>61</v>
      </c>
      <c r="AH23" s="3" t="s">
        <v>74</v>
      </c>
      <c r="AI23" s="6">
        <v>0.69099999999999995</v>
      </c>
      <c r="AJ23" s="3" t="s">
        <v>61</v>
      </c>
      <c r="AK23" s="3" t="s">
        <v>85</v>
      </c>
      <c r="AL23" s="6">
        <v>-0.50800000000000001</v>
      </c>
      <c r="AM23" s="7">
        <f>ROUND((L23/3*'[1]01_Parametros'!$B$3+M23/3*'[1]01_Parametros'!$B$4+N23/3*'[1]01_Parametros'!$B$5+O23/3*'[1]01_Parametros'!$B$6+IF(ISNUMBER(SEARCH("Fronteras",U23)),1,0)*'[1]01_Parametros'!$B$7)*100,1)</f>
        <v>100</v>
      </c>
      <c r="AN23" s="7">
        <f>ROUND((E23*'[1]01_Parametros'!$B$8+(1-L23/3)*'[1]01_Parametros'!$B$9+IF(OR(AA23="Alta",AA23="Media"),1,0)*'[1]01_Parametros'!$B$10)*100,1)</f>
        <v>42.6</v>
      </c>
      <c r="AO23" s="7">
        <f>ROUND((IF(ISNUMBER(SEARCH("AC01",X23)),1,0)*'[1]01_Parametros'!$B$11+IF(OR(ISNUMBER(SEARCH("AC06",X23)),ISNUMBER(SEARCH("AC03",X23))),1,0)*'[1]01_Parametros'!$B$12+(1-ABS(E23-0.5))*'[1]01_Parametros'!$B$13+S23/3.2*'[1]01_Parametros'!$B$14)*100,1)</f>
        <v>97.8</v>
      </c>
      <c r="AP23" s="7">
        <f>ROUND((L23/3*'[1]01_Parametros'!$B$15+Q23/3*'[1]01_Parametros'!$B$16+P23/3*'[1]01_Parametros'!$B$17+IF(OR(AA23="Media-baja",AA23="Baja"),1,0)*'[1]01_Parametros'!$B$18+S23/3.2*'[1]01_Parametros'!$B$19)*100,1)</f>
        <v>77.7</v>
      </c>
      <c r="AQ23" s="7">
        <f>ROUND((P23/3*'[1]01_Parametros'!$B$20+IF(OR(ISNUMBER(SEARCH("JAC",Z23)),ISNUMBER(SEARCH("JAL",Z23)),ISNUMBER(SEARCH("lider",Z23))),1,0)*'[1]01_Parametros'!$B$21+IF(LEFT(B23,14)="Corregimiento",1,0)*'[1]01_Parametros'!$B$22+Q23/3*'[1]01_Parametros'!$B$23+S23/3.2*'[1]01_Parametros'!$B$24)*100,1)</f>
        <v>34.700000000000003</v>
      </c>
      <c r="AR23" s="3" t="str">
        <f>INDEX('[1]13_Listas'!$A$2:$A$6, MATCH(MAX(AM23:AQ23), AM23:AQ23, 0))</f>
        <v>Protección y orden cotidiano</v>
      </c>
      <c r="AS23" s="3" t="str">
        <f t="shared" si="0"/>
        <v>Protección y orden cotidiano</v>
      </c>
      <c r="AT23" s="3" t="str">
        <f t="shared" si="1"/>
        <v>Activista Causal</v>
      </c>
      <c r="AU23" s="3" t="str">
        <f t="shared" si="2"/>
        <v>Seguridad urbana y combos</v>
      </c>
      <c r="AV23" s="3" t="str">
        <f>IFERROR(VLOOKUP(AS23,'[1]02_Arquetipos_Miedo_Sesgo'!$A$4:$G$8,4,FALSE),"")</f>
        <v>Sesgo de disponibilidad + sesgo de negatividad + preferencia por autoridad.</v>
      </c>
      <c r="AW23" s="3" t="str">
        <f>IFERROR(VLOOKUP(AS23,'[1]02_Arquetipos_Miedo_Sesgo'!$A$4:$G$8,3,FALSE),"")</f>
        <v>Miedo a la inseguridad, al descontrol barrial y a perder la tranquilidad cotidiana.</v>
      </c>
      <c r="AX23" s="3" t="str">
        <f>IFERROR(VLOOKUP(AS23,'[1]02_Arquetipos_Miedo_Sesgo'!$A$4:$G$8,4,FALSE),"")</f>
        <v>Sesgo de disponibilidad + sesgo de negatividad + preferencia por autoridad.</v>
      </c>
      <c r="AY23" s="3" t="str">
        <f>IFERROR(VLOOKUP(AS23,'[1]02_Arquetipos_Miedo_Sesgo'!$A$4:$G$8,5,FALSE),"")</f>
        <v>Seguridad, convivencia, movilidad, alumbrado, reacción institucional rápida, presencia de autoridad.</v>
      </c>
      <c r="AZ23" s="3" t="str">
        <f>IFERROR(VLOOKUP(AS23,'[1]02_Arquetipos_Miedo_Sesgo'!$A$4:$G$8,6,FALSE),"")</f>
        <v>Mostrar capacidad verificable de resolver problemas concretos de seguridad y convivencia sin prometer acciones ilegales.</v>
      </c>
      <c r="BA23" s="3" t="s">
        <v>77</v>
      </c>
    </row>
    <row r="24" spans="1:53" ht="43.2">
      <c r="A24" s="3" t="s">
        <v>125</v>
      </c>
      <c r="B24" s="3" t="s">
        <v>96</v>
      </c>
      <c r="C24" s="3" t="s">
        <v>126</v>
      </c>
      <c r="D24" s="4">
        <v>13090</v>
      </c>
      <c r="E24" s="5">
        <v>0.42635599694423226</v>
      </c>
      <c r="F24" s="3" t="s">
        <v>82</v>
      </c>
      <c r="G24" s="3" t="s">
        <v>83</v>
      </c>
      <c r="H24" s="3">
        <v>5581</v>
      </c>
      <c r="I24" s="3">
        <v>42.6</v>
      </c>
      <c r="J24" s="3">
        <v>16</v>
      </c>
      <c r="K24" s="3" t="s">
        <v>98</v>
      </c>
      <c r="L24" s="3">
        <v>3</v>
      </c>
      <c r="M24" s="3">
        <v>3</v>
      </c>
      <c r="N24" s="3">
        <v>3</v>
      </c>
      <c r="O24" s="3">
        <v>3</v>
      </c>
      <c r="P24" s="3">
        <v>2</v>
      </c>
      <c r="Q24" s="3">
        <v>3</v>
      </c>
      <c r="R24" s="3" t="s">
        <v>60</v>
      </c>
      <c r="S24" s="3">
        <v>3</v>
      </c>
      <c r="T24" s="3" t="s">
        <v>61</v>
      </c>
      <c r="U24" s="3" t="s">
        <v>62</v>
      </c>
      <c r="V24" s="3" t="s">
        <v>99</v>
      </c>
      <c r="W24" s="3" t="s">
        <v>100</v>
      </c>
      <c r="X24" s="3" t="s">
        <v>101</v>
      </c>
      <c r="Y24" s="3" t="s">
        <v>102</v>
      </c>
      <c r="Z24" s="3" t="s">
        <v>103</v>
      </c>
      <c r="AA24" s="3" t="s">
        <v>61</v>
      </c>
      <c r="AB24" s="3" t="s">
        <v>69</v>
      </c>
      <c r="AC24" s="3" t="s">
        <v>70</v>
      </c>
      <c r="AD24" s="3" t="s">
        <v>71</v>
      </c>
      <c r="AE24" s="3" t="s">
        <v>84</v>
      </c>
      <c r="AF24" s="6">
        <v>0.73199999999999998</v>
      </c>
      <c r="AG24" s="3" t="s">
        <v>61</v>
      </c>
      <c r="AH24" s="3" t="s">
        <v>74</v>
      </c>
      <c r="AI24" s="6">
        <v>0.69099999999999995</v>
      </c>
      <c r="AJ24" s="3" t="s">
        <v>61</v>
      </c>
      <c r="AK24" s="3" t="s">
        <v>85</v>
      </c>
      <c r="AL24" s="6">
        <v>-0.50800000000000001</v>
      </c>
      <c r="AM24" s="7">
        <f>ROUND((L24/3*'[1]01_Parametros'!$B$3+M24/3*'[1]01_Parametros'!$B$4+N24/3*'[1]01_Parametros'!$B$5+O24/3*'[1]01_Parametros'!$B$6+IF(ISNUMBER(SEARCH("Fronteras",U24)),1,0)*'[1]01_Parametros'!$B$7)*100,1)</f>
        <v>100</v>
      </c>
      <c r="AN24" s="7">
        <f>ROUND((E24*'[1]01_Parametros'!$B$8+(1-L24/3)*'[1]01_Parametros'!$B$9+IF(OR(AA24="Alta",AA24="Media"),1,0)*'[1]01_Parametros'!$B$10)*100,1)</f>
        <v>41.3</v>
      </c>
      <c r="AO24" s="7">
        <f>ROUND((IF(ISNUMBER(SEARCH("AC01",X24)),1,0)*'[1]01_Parametros'!$B$11+IF(OR(ISNUMBER(SEARCH("AC06",X24)),ISNUMBER(SEARCH("AC03",X24))),1,0)*'[1]01_Parametros'!$B$12+(1-ABS(E24-0.5))*'[1]01_Parametros'!$B$13+S24/3.2*'[1]01_Parametros'!$B$14)*100,1)</f>
        <v>97.3</v>
      </c>
      <c r="AP24" s="7">
        <f>ROUND((L24/3*'[1]01_Parametros'!$B$15+Q24/3*'[1]01_Parametros'!$B$16+P24/3*'[1]01_Parametros'!$B$17+IF(OR(AA24="Media-baja",AA24="Baja"),1,0)*'[1]01_Parametros'!$B$18+S24/3.2*'[1]01_Parametros'!$B$19)*100,1)</f>
        <v>77.7</v>
      </c>
      <c r="AQ24" s="7">
        <f>ROUND((P24/3*'[1]01_Parametros'!$B$20+IF(OR(ISNUMBER(SEARCH("JAC",Z24)),ISNUMBER(SEARCH("JAL",Z24)),ISNUMBER(SEARCH("lider",Z24))),1,0)*'[1]01_Parametros'!$B$21+IF(LEFT(B24,14)="Corregimiento",1,0)*'[1]01_Parametros'!$B$22+Q24/3*'[1]01_Parametros'!$B$23+S24/3.2*'[1]01_Parametros'!$B$24)*100,1)</f>
        <v>34.700000000000003</v>
      </c>
      <c r="AR24" s="3" t="str">
        <f>INDEX('[1]13_Listas'!$A$2:$A$6, MATCH(MAX(AM24:AQ24), AM24:AQ24, 0))</f>
        <v>Protección y orden cotidiano</v>
      </c>
      <c r="AS24" s="3" t="str">
        <f t="shared" si="0"/>
        <v>Protección y orden cotidiano</v>
      </c>
      <c r="AT24" s="3" t="str">
        <f t="shared" si="1"/>
        <v>Activista Causal</v>
      </c>
      <c r="AU24" s="3" t="str">
        <f t="shared" si="2"/>
        <v>Seguridad urbana y combos</v>
      </c>
      <c r="AV24" s="3" t="str">
        <f>IFERROR(VLOOKUP(AS24,'[1]02_Arquetipos_Miedo_Sesgo'!$A$4:$G$8,4,FALSE),"")</f>
        <v>Sesgo de disponibilidad + sesgo de negatividad + preferencia por autoridad.</v>
      </c>
      <c r="AW24" s="3" t="str">
        <f>IFERROR(VLOOKUP(AS24,'[1]02_Arquetipos_Miedo_Sesgo'!$A$4:$G$8,3,FALSE),"")</f>
        <v>Miedo a la inseguridad, al descontrol barrial y a perder la tranquilidad cotidiana.</v>
      </c>
      <c r="AX24" s="3" t="str">
        <f>IFERROR(VLOOKUP(AS24,'[1]02_Arquetipos_Miedo_Sesgo'!$A$4:$G$8,4,FALSE),"")</f>
        <v>Sesgo de disponibilidad + sesgo de negatividad + preferencia por autoridad.</v>
      </c>
      <c r="AY24" s="3" t="str">
        <f>IFERROR(VLOOKUP(AS24,'[1]02_Arquetipos_Miedo_Sesgo'!$A$4:$G$8,5,FALSE),"")</f>
        <v>Seguridad, convivencia, movilidad, alumbrado, reacción institucional rápida, presencia de autoridad.</v>
      </c>
      <c r="AZ24" s="3" t="str">
        <f>IFERROR(VLOOKUP(AS24,'[1]02_Arquetipos_Miedo_Sesgo'!$A$4:$G$8,6,FALSE),"")</f>
        <v>Mostrar capacidad verificable de resolver problemas concretos de seguridad y convivencia sin prometer acciones ilegales.</v>
      </c>
      <c r="BA24" s="3" t="s">
        <v>77</v>
      </c>
    </row>
    <row r="25" spans="1:53" ht="43.2">
      <c r="A25" s="3" t="s">
        <v>127</v>
      </c>
      <c r="B25" s="3" t="s">
        <v>128</v>
      </c>
      <c r="C25" s="3" t="s">
        <v>129</v>
      </c>
      <c r="D25" s="4">
        <v>4489</v>
      </c>
      <c r="E25" s="5">
        <v>0.3321452439296057</v>
      </c>
      <c r="F25" s="3" t="s">
        <v>57</v>
      </c>
      <c r="G25" s="3" t="s">
        <v>58</v>
      </c>
      <c r="H25" s="3">
        <v>1491</v>
      </c>
      <c r="I25" s="3">
        <v>33.200000000000003</v>
      </c>
      <c r="J25" s="3">
        <v>9</v>
      </c>
      <c r="K25" s="3" t="s">
        <v>130</v>
      </c>
      <c r="L25" s="3">
        <v>2</v>
      </c>
      <c r="M25" s="3">
        <v>2</v>
      </c>
      <c r="N25" s="3">
        <v>2</v>
      </c>
      <c r="O25" s="3">
        <v>2</v>
      </c>
      <c r="P25" s="3">
        <v>1</v>
      </c>
      <c r="Q25" s="3">
        <v>2</v>
      </c>
      <c r="R25" s="3" t="s">
        <v>131</v>
      </c>
      <c r="S25" s="3">
        <v>2</v>
      </c>
      <c r="T25" s="3" t="s">
        <v>75</v>
      </c>
      <c r="U25" s="3" t="s">
        <v>132</v>
      </c>
      <c r="V25" s="3" t="s">
        <v>133</v>
      </c>
      <c r="W25" s="3" t="s">
        <v>134</v>
      </c>
      <c r="X25" s="3" t="s">
        <v>65</v>
      </c>
      <c r="Y25" s="3" t="s">
        <v>135</v>
      </c>
      <c r="Z25" s="3" t="s">
        <v>136</v>
      </c>
      <c r="AA25" s="3" t="s">
        <v>137</v>
      </c>
      <c r="AB25" s="3" t="s">
        <v>69</v>
      </c>
      <c r="AC25" s="3" t="s">
        <v>70</v>
      </c>
      <c r="AD25" s="3" t="s">
        <v>71</v>
      </c>
      <c r="AE25" s="3" t="s">
        <v>72</v>
      </c>
      <c r="AF25" s="6">
        <v>0.36599999999999999</v>
      </c>
      <c r="AG25" s="3" t="s">
        <v>73</v>
      </c>
      <c r="AH25" s="3" t="s">
        <v>74</v>
      </c>
      <c r="AI25" s="6">
        <v>0.497</v>
      </c>
      <c r="AJ25" s="3" t="s">
        <v>75</v>
      </c>
      <c r="AK25" s="3" t="s">
        <v>76</v>
      </c>
      <c r="AL25" s="6">
        <v>-0.38900000000000001</v>
      </c>
      <c r="AM25" s="7">
        <f>ROUND((L25/3*'[1]01_Parametros'!$B$3+M25/3*'[1]01_Parametros'!$B$4+N25/3*'[1]01_Parametros'!$B$5+O25/3*'[1]01_Parametros'!$B$6+IF(ISNUMBER(SEARCH("Fronteras",U25)),1,0)*'[1]01_Parametros'!$B$7)*100,1)</f>
        <v>60</v>
      </c>
      <c r="AN25" s="7">
        <f>ROUND((E25*'[1]01_Parametros'!$B$8+(1-L25/3)*'[1]01_Parametros'!$B$9+IF(OR(AA25="Alta",AA25="Media"),1,0)*'[1]01_Parametros'!$B$10)*100,1)</f>
        <v>26.6</v>
      </c>
      <c r="AO25" s="7">
        <f>ROUND((IF(ISNUMBER(SEARCH("AC01",X25)),1,0)*'[1]01_Parametros'!$B$11+IF(OR(ISNUMBER(SEARCH("AC06",X25)),ISNUMBER(SEARCH("AC03",X25))),1,0)*'[1]01_Parametros'!$B$12+(1-ABS(E25-0.5))*'[1]01_Parametros'!$B$13+S25/3.2*'[1]01_Parametros'!$B$14)*100,1)</f>
        <v>64.099999999999994</v>
      </c>
      <c r="AP25" s="7">
        <f>ROUND((L25/3*'[1]01_Parametros'!$B$15+Q25/3*'[1]01_Parametros'!$B$16+P25/3*'[1]01_Parametros'!$B$17+IF(OR(AA25="Media-baja",AA25="Baja"),1,0)*'[1]01_Parametros'!$B$18+S25/3.2*'[1]01_Parametros'!$B$19)*100,1)</f>
        <v>64.599999999999994</v>
      </c>
      <c r="AQ25" s="7">
        <f>ROUND((P25/3*'[1]01_Parametros'!$B$20+IF(OR(ISNUMBER(SEARCH("JAC",Z25)),ISNUMBER(SEARCH("JAL",Z25)),ISNUMBER(SEARCH("lider",Z25))),1,0)*'[1]01_Parametros'!$B$21+IF(LEFT(B25,14)="Corregimiento",1,0)*'[1]01_Parametros'!$B$22+Q25/3*'[1]01_Parametros'!$B$23+S25/3.2*'[1]01_Parametros'!$B$24)*100,1)</f>
        <v>24.8</v>
      </c>
      <c r="AR25" s="3" t="str">
        <f>INDEX('[1]13_Listas'!$A$2:$A$6, MATCH(MAX(AM25:AQ25), AM25:AQ25, 0))</f>
        <v>Desconfianza y castigo</v>
      </c>
      <c r="AS25" s="3" t="str">
        <f t="shared" si="0"/>
        <v>Desconfianza y castigo</v>
      </c>
      <c r="AT25" s="3" t="str">
        <f t="shared" si="1"/>
        <v>Traductor Digital</v>
      </c>
      <c r="AU25" s="3" t="str">
        <f t="shared" si="2"/>
        <v>Corrupción, EPM y grandes contratos</v>
      </c>
      <c r="AV25" s="3" t="str">
        <f>IFERROR(VLOOKUP(AS25,'[1]02_Arquetipos_Miedo_Sesgo'!$A$4:$G$8,4,FALSE),"")</f>
        <v>Sesgo de confirmación + cinismo político + efecto de indignación moral.</v>
      </c>
      <c r="AW25" s="3" t="str">
        <f>IFERROR(VLOOKUP(AS25,'[1]02_Arquetipos_Miedo_Sesgo'!$A$4:$G$8,3,FALSE),"")</f>
        <v>Miedo a ser engañado, robado, manipulado o usado electoralmente.</v>
      </c>
      <c r="AX25" s="3" t="str">
        <f>IFERROR(VLOOKUP(AS25,'[1]02_Arquetipos_Miedo_Sesgo'!$A$4:$G$8,4,FALSE),"")</f>
        <v>Sesgo de confirmación + cinismo político + efecto de indignación moral.</v>
      </c>
      <c r="AY25" s="3" t="str">
        <f>IFERROR(VLOOKUP(AS25,'[1]02_Arquetipos_Miedo_Sesgo'!$A$4:$G$8,5,FALSE),"")</f>
        <v>Transparencia, control político, lucha anticorrupción, vigilancia ciudadana, ejecución presupuestal y sanción a abusos.</v>
      </c>
      <c r="AZ25" s="3" t="str">
        <f>IFERROR(VLOOKUP(AS25,'[1]02_Arquetipos_Miedo_Sesgo'!$A$4:$G$8,6,FALSE),"")</f>
        <v>Aportar evidencia verificable, mecanismos de control y rendición de cuentas local.</v>
      </c>
      <c r="BA25" s="3" t="s">
        <v>77</v>
      </c>
    </row>
    <row r="26" spans="1:53" ht="43.2">
      <c r="A26" s="3" t="s">
        <v>138</v>
      </c>
      <c r="B26" s="3" t="s">
        <v>128</v>
      </c>
      <c r="C26" s="3" t="s">
        <v>139</v>
      </c>
      <c r="D26" s="4">
        <v>4380</v>
      </c>
      <c r="E26" s="5">
        <v>0.3321917808219178</v>
      </c>
      <c r="F26" s="3" t="s">
        <v>82</v>
      </c>
      <c r="G26" s="3" t="s">
        <v>83</v>
      </c>
      <c r="H26" s="3">
        <v>1455</v>
      </c>
      <c r="I26" s="3">
        <v>33.200000000000003</v>
      </c>
      <c r="J26" s="3">
        <v>9</v>
      </c>
      <c r="K26" s="3" t="s">
        <v>130</v>
      </c>
      <c r="L26" s="3">
        <v>2</v>
      </c>
      <c r="M26" s="3">
        <v>2</v>
      </c>
      <c r="N26" s="3">
        <v>2</v>
      </c>
      <c r="O26" s="3">
        <v>2</v>
      </c>
      <c r="P26" s="3">
        <v>1</v>
      </c>
      <c r="Q26" s="3">
        <v>2</v>
      </c>
      <c r="R26" s="3" t="s">
        <v>131</v>
      </c>
      <c r="S26" s="3">
        <v>2</v>
      </c>
      <c r="T26" s="3" t="s">
        <v>75</v>
      </c>
      <c r="U26" s="3" t="s">
        <v>132</v>
      </c>
      <c r="V26" s="3" t="s">
        <v>133</v>
      </c>
      <c r="W26" s="3" t="s">
        <v>134</v>
      </c>
      <c r="X26" s="3" t="s">
        <v>65</v>
      </c>
      <c r="Y26" s="3" t="s">
        <v>135</v>
      </c>
      <c r="Z26" s="3" t="s">
        <v>136</v>
      </c>
      <c r="AA26" s="3" t="s">
        <v>137</v>
      </c>
      <c r="AB26" s="3" t="s">
        <v>69</v>
      </c>
      <c r="AC26" s="3" t="s">
        <v>70</v>
      </c>
      <c r="AD26" s="3" t="s">
        <v>71</v>
      </c>
      <c r="AE26" s="3" t="s">
        <v>84</v>
      </c>
      <c r="AF26" s="6">
        <v>0.73199999999999998</v>
      </c>
      <c r="AG26" s="3" t="s">
        <v>61</v>
      </c>
      <c r="AH26" s="3" t="s">
        <v>74</v>
      </c>
      <c r="AI26" s="6">
        <v>0.69099999999999995</v>
      </c>
      <c r="AJ26" s="3" t="s">
        <v>61</v>
      </c>
      <c r="AK26" s="3" t="s">
        <v>85</v>
      </c>
      <c r="AL26" s="6">
        <v>-0.50800000000000001</v>
      </c>
      <c r="AM26" s="7">
        <f>ROUND((L26/3*'[1]01_Parametros'!$B$3+M26/3*'[1]01_Parametros'!$B$4+N26/3*'[1]01_Parametros'!$B$5+O26/3*'[1]01_Parametros'!$B$6+IF(ISNUMBER(SEARCH("Fronteras",U26)),1,0)*'[1]01_Parametros'!$B$7)*100,1)</f>
        <v>60</v>
      </c>
      <c r="AN26" s="7">
        <f>ROUND((E26*'[1]01_Parametros'!$B$8+(1-L26/3)*'[1]01_Parametros'!$B$9+IF(OR(AA26="Alta",AA26="Media"),1,0)*'[1]01_Parametros'!$B$10)*100,1)</f>
        <v>26.6</v>
      </c>
      <c r="AO26" s="7">
        <f>ROUND((IF(ISNUMBER(SEARCH("AC01",X26)),1,0)*'[1]01_Parametros'!$B$11+IF(OR(ISNUMBER(SEARCH("AC06",X26)),ISNUMBER(SEARCH("AC03",X26))),1,0)*'[1]01_Parametros'!$B$12+(1-ABS(E26-0.5))*'[1]01_Parametros'!$B$13+S26/3.2*'[1]01_Parametros'!$B$14)*100,1)</f>
        <v>64.099999999999994</v>
      </c>
      <c r="AP26" s="7">
        <f>ROUND((L26/3*'[1]01_Parametros'!$B$15+Q26/3*'[1]01_Parametros'!$B$16+P26/3*'[1]01_Parametros'!$B$17+IF(OR(AA26="Media-baja",AA26="Baja"),1,0)*'[1]01_Parametros'!$B$18+S26/3.2*'[1]01_Parametros'!$B$19)*100,1)</f>
        <v>64.599999999999994</v>
      </c>
      <c r="AQ26" s="7">
        <f>ROUND((P26/3*'[1]01_Parametros'!$B$20+IF(OR(ISNUMBER(SEARCH("JAC",Z26)),ISNUMBER(SEARCH("JAL",Z26)),ISNUMBER(SEARCH("lider",Z26))),1,0)*'[1]01_Parametros'!$B$21+IF(LEFT(B26,14)="Corregimiento",1,0)*'[1]01_Parametros'!$B$22+Q26/3*'[1]01_Parametros'!$B$23+S26/3.2*'[1]01_Parametros'!$B$24)*100,1)</f>
        <v>24.8</v>
      </c>
      <c r="AR26" s="3" t="str">
        <f>INDEX('[1]13_Listas'!$A$2:$A$6, MATCH(MAX(AM26:AQ26), AM26:AQ26, 0))</f>
        <v>Desconfianza y castigo</v>
      </c>
      <c r="AS26" s="3" t="str">
        <f t="shared" si="0"/>
        <v>Desconfianza y castigo</v>
      </c>
      <c r="AT26" s="3" t="str">
        <f t="shared" si="1"/>
        <v>Traductor Digital</v>
      </c>
      <c r="AU26" s="3" t="str">
        <f t="shared" si="2"/>
        <v>Corrupción, EPM y grandes contratos</v>
      </c>
      <c r="AV26" s="3" t="str">
        <f>IFERROR(VLOOKUP(AS26,'[1]02_Arquetipos_Miedo_Sesgo'!$A$4:$G$8,4,FALSE),"")</f>
        <v>Sesgo de confirmación + cinismo político + efecto de indignación moral.</v>
      </c>
      <c r="AW26" s="3" t="str">
        <f>IFERROR(VLOOKUP(AS26,'[1]02_Arquetipos_Miedo_Sesgo'!$A$4:$G$8,3,FALSE),"")</f>
        <v>Miedo a ser engañado, robado, manipulado o usado electoralmente.</v>
      </c>
      <c r="AX26" s="3" t="str">
        <f>IFERROR(VLOOKUP(AS26,'[1]02_Arquetipos_Miedo_Sesgo'!$A$4:$G$8,4,FALSE),"")</f>
        <v>Sesgo de confirmación + cinismo político + efecto de indignación moral.</v>
      </c>
      <c r="AY26" s="3" t="str">
        <f>IFERROR(VLOOKUP(AS26,'[1]02_Arquetipos_Miedo_Sesgo'!$A$4:$G$8,5,FALSE),"")</f>
        <v>Transparencia, control político, lucha anticorrupción, vigilancia ciudadana, ejecución presupuestal y sanción a abusos.</v>
      </c>
      <c r="AZ26" s="3" t="str">
        <f>IFERROR(VLOOKUP(AS26,'[1]02_Arquetipos_Miedo_Sesgo'!$A$4:$G$8,6,FALSE),"")</f>
        <v>Aportar evidencia verificable, mecanismos de control y rendición de cuentas local.</v>
      </c>
      <c r="BA26" s="3" t="s">
        <v>77</v>
      </c>
    </row>
    <row r="27" spans="1:53" ht="43.2">
      <c r="A27" s="3" t="s">
        <v>140</v>
      </c>
      <c r="B27" s="3" t="s">
        <v>128</v>
      </c>
      <c r="C27" s="3" t="s">
        <v>141</v>
      </c>
      <c r="D27" s="4">
        <v>2349</v>
      </c>
      <c r="E27" s="5">
        <v>0.37505321413367393</v>
      </c>
      <c r="F27" s="3" t="s">
        <v>57</v>
      </c>
      <c r="G27" s="3" t="s">
        <v>58</v>
      </c>
      <c r="H27" s="3">
        <v>881</v>
      </c>
      <c r="I27" s="3">
        <v>37.5</v>
      </c>
      <c r="J27" s="3">
        <v>9</v>
      </c>
      <c r="K27" s="3" t="s">
        <v>130</v>
      </c>
      <c r="L27" s="3">
        <v>2</v>
      </c>
      <c r="M27" s="3">
        <v>2</v>
      </c>
      <c r="N27" s="3">
        <v>2</v>
      </c>
      <c r="O27" s="3">
        <v>2</v>
      </c>
      <c r="P27" s="3">
        <v>1</v>
      </c>
      <c r="Q27" s="3">
        <v>2</v>
      </c>
      <c r="R27" s="3" t="s">
        <v>131</v>
      </c>
      <c r="S27" s="3">
        <v>2</v>
      </c>
      <c r="T27" s="3" t="s">
        <v>75</v>
      </c>
      <c r="U27" s="3" t="s">
        <v>132</v>
      </c>
      <c r="V27" s="3" t="s">
        <v>133</v>
      </c>
      <c r="W27" s="3" t="s">
        <v>134</v>
      </c>
      <c r="X27" s="3" t="s">
        <v>65</v>
      </c>
      <c r="Y27" s="3" t="s">
        <v>135</v>
      </c>
      <c r="Z27" s="3" t="s">
        <v>136</v>
      </c>
      <c r="AA27" s="3" t="s">
        <v>137</v>
      </c>
      <c r="AB27" s="3" t="s">
        <v>69</v>
      </c>
      <c r="AC27" s="3" t="s">
        <v>70</v>
      </c>
      <c r="AD27" s="3" t="s">
        <v>71</v>
      </c>
      <c r="AE27" s="3" t="s">
        <v>72</v>
      </c>
      <c r="AF27" s="6">
        <v>0.36599999999999999</v>
      </c>
      <c r="AG27" s="3" t="s">
        <v>73</v>
      </c>
      <c r="AH27" s="3" t="s">
        <v>74</v>
      </c>
      <c r="AI27" s="6">
        <v>0.497</v>
      </c>
      <c r="AJ27" s="3" t="s">
        <v>75</v>
      </c>
      <c r="AK27" s="3" t="s">
        <v>76</v>
      </c>
      <c r="AL27" s="6">
        <v>-0.38900000000000001</v>
      </c>
      <c r="AM27" s="7">
        <f>ROUND((L27/3*'[1]01_Parametros'!$B$3+M27/3*'[1]01_Parametros'!$B$4+N27/3*'[1]01_Parametros'!$B$5+O27/3*'[1]01_Parametros'!$B$6+IF(ISNUMBER(SEARCH("Fronteras",U27)),1,0)*'[1]01_Parametros'!$B$7)*100,1)</f>
        <v>60</v>
      </c>
      <c r="AN27" s="7">
        <f>ROUND((E27*'[1]01_Parametros'!$B$8+(1-L27/3)*'[1]01_Parametros'!$B$9+IF(OR(AA27="Alta",AA27="Media"),1,0)*'[1]01_Parametros'!$B$10)*100,1)</f>
        <v>28.8</v>
      </c>
      <c r="AO27" s="7">
        <f>ROUND((IF(ISNUMBER(SEARCH("AC01",X27)),1,0)*'[1]01_Parametros'!$B$11+IF(OR(ISNUMBER(SEARCH("AC06",X27)),ISNUMBER(SEARCH("AC03",X27))),1,0)*'[1]01_Parametros'!$B$12+(1-ABS(E27-0.5))*'[1]01_Parametros'!$B$13+S27/3.2*'[1]01_Parametros'!$B$14)*100,1)</f>
        <v>65</v>
      </c>
      <c r="AP27" s="7">
        <f>ROUND((L27/3*'[1]01_Parametros'!$B$15+Q27/3*'[1]01_Parametros'!$B$16+P27/3*'[1]01_Parametros'!$B$17+IF(OR(AA27="Media-baja",AA27="Baja"),1,0)*'[1]01_Parametros'!$B$18+S27/3.2*'[1]01_Parametros'!$B$19)*100,1)</f>
        <v>64.599999999999994</v>
      </c>
      <c r="AQ27" s="7">
        <f>ROUND((P27/3*'[1]01_Parametros'!$B$20+IF(OR(ISNUMBER(SEARCH("JAC",Z27)),ISNUMBER(SEARCH("JAL",Z27)),ISNUMBER(SEARCH("lider",Z27))),1,0)*'[1]01_Parametros'!$B$21+IF(LEFT(B27,14)="Corregimiento",1,0)*'[1]01_Parametros'!$B$22+Q27/3*'[1]01_Parametros'!$B$23+S27/3.2*'[1]01_Parametros'!$B$24)*100,1)</f>
        <v>24.8</v>
      </c>
      <c r="AR27" s="3" t="str">
        <f>INDEX('[1]13_Listas'!$A$2:$A$6, MATCH(MAX(AM27:AQ27), AM27:AQ27, 0))</f>
        <v>Supervivencia económica y servicios básicos</v>
      </c>
      <c r="AS27" s="3" t="str">
        <f t="shared" si="0"/>
        <v>Supervivencia económica y servicios básicos</v>
      </c>
      <c r="AT27" s="3" t="str">
        <f t="shared" si="1"/>
        <v>Traductor Digital</v>
      </c>
      <c r="AU27" s="3" t="str">
        <f t="shared" si="2"/>
        <v>Costo de vida, gentrificación y vivienda</v>
      </c>
      <c r="AV27" s="3" t="str">
        <f>IFERROR(VLOOKUP(AS27,'[1]02_Arquetipos_Miedo_Sesgo'!$A$4:$G$8,4,FALSE),"")</f>
        <v>Sesgo de escasez + presente dominante + aversión al riesgo económico.</v>
      </c>
      <c r="AW27" s="3" t="str">
        <f>IFERROR(VLOOKUP(AS27,'[1]02_Arquetipos_Miedo_Sesgo'!$A$4:$G$8,3,FALSE),"")</f>
        <v>Miedo a no llegar a fin de mes, perder ingresos, empleo, movilidad o acceso a servicios básicos.</v>
      </c>
      <c r="AX27" s="3" t="str">
        <f>IFERROR(VLOOKUP(AS27,'[1]02_Arquetipos_Miedo_Sesgo'!$A$4:$G$8,4,FALSE),"")</f>
        <v>Sesgo de escasez + presente dominante + aversión al riesgo económico.</v>
      </c>
      <c r="AY27" s="3" t="str">
        <f>IFERROR(VLOOKUP(AS27,'[1]02_Arquetipos_Miedo_Sesgo'!$A$4:$G$8,5,FALSE),"")</f>
        <v>Empleo, emprendimiento, economía popular, transporte, costo de vida, salud, educación técnica y subsidios focalizados.</v>
      </c>
      <c r="AZ27" s="3" t="str">
        <f>IFERROR(VLOOKUP(AS27,'[1]02_Arquetipos_Miedo_Sesgo'!$A$4:$G$8,6,FALSE),"")</f>
        <v>Traducir propuestas en alivios concretos, rutas de acceso y resultados medibles de corto plazo.</v>
      </c>
      <c r="BA27" s="3" t="s">
        <v>77</v>
      </c>
    </row>
    <row r="28" spans="1:53" ht="43.2">
      <c r="A28" s="3" t="s">
        <v>142</v>
      </c>
      <c r="B28" s="3" t="s">
        <v>128</v>
      </c>
      <c r="C28" s="3" t="s">
        <v>128</v>
      </c>
      <c r="D28" s="4">
        <v>10626</v>
      </c>
      <c r="E28" s="5">
        <v>0.37267080745341613</v>
      </c>
      <c r="F28" s="3" t="s">
        <v>57</v>
      </c>
      <c r="G28" s="3" t="s">
        <v>58</v>
      </c>
      <c r="H28" s="3">
        <v>3960</v>
      </c>
      <c r="I28" s="3">
        <v>37.299999999999997</v>
      </c>
      <c r="J28" s="3">
        <v>9</v>
      </c>
      <c r="K28" s="3" t="s">
        <v>130</v>
      </c>
      <c r="L28" s="3">
        <v>2</v>
      </c>
      <c r="M28" s="3">
        <v>2</v>
      </c>
      <c r="N28" s="3">
        <v>2</v>
      </c>
      <c r="O28" s="3">
        <v>2</v>
      </c>
      <c r="P28" s="3">
        <v>1</v>
      </c>
      <c r="Q28" s="3">
        <v>2</v>
      </c>
      <c r="R28" s="3" t="s">
        <v>131</v>
      </c>
      <c r="S28" s="3">
        <v>2</v>
      </c>
      <c r="T28" s="3" t="s">
        <v>75</v>
      </c>
      <c r="U28" s="3" t="s">
        <v>132</v>
      </c>
      <c r="V28" s="3" t="s">
        <v>133</v>
      </c>
      <c r="W28" s="3" t="s">
        <v>134</v>
      </c>
      <c r="X28" s="3" t="s">
        <v>65</v>
      </c>
      <c r="Y28" s="3" t="s">
        <v>135</v>
      </c>
      <c r="Z28" s="3" t="s">
        <v>136</v>
      </c>
      <c r="AA28" s="3" t="s">
        <v>137</v>
      </c>
      <c r="AB28" s="3" t="s">
        <v>69</v>
      </c>
      <c r="AC28" s="3" t="s">
        <v>70</v>
      </c>
      <c r="AD28" s="3" t="s">
        <v>71</v>
      </c>
      <c r="AE28" s="3" t="s">
        <v>72</v>
      </c>
      <c r="AF28" s="6">
        <v>0.36599999999999999</v>
      </c>
      <c r="AG28" s="3" t="s">
        <v>73</v>
      </c>
      <c r="AH28" s="3" t="s">
        <v>74</v>
      </c>
      <c r="AI28" s="6">
        <v>0.497</v>
      </c>
      <c r="AJ28" s="3" t="s">
        <v>75</v>
      </c>
      <c r="AK28" s="3" t="s">
        <v>76</v>
      </c>
      <c r="AL28" s="6">
        <v>-0.38900000000000001</v>
      </c>
      <c r="AM28" s="7">
        <f>ROUND((L28/3*'[1]01_Parametros'!$B$3+M28/3*'[1]01_Parametros'!$B$4+N28/3*'[1]01_Parametros'!$B$5+O28/3*'[1]01_Parametros'!$B$6+IF(ISNUMBER(SEARCH("Fronteras",U28)),1,0)*'[1]01_Parametros'!$B$7)*100,1)</f>
        <v>60</v>
      </c>
      <c r="AN28" s="7">
        <f>ROUND((E28*'[1]01_Parametros'!$B$8+(1-L28/3)*'[1]01_Parametros'!$B$9+IF(OR(AA28="Alta",AA28="Media"),1,0)*'[1]01_Parametros'!$B$10)*100,1)</f>
        <v>28.6</v>
      </c>
      <c r="AO28" s="7">
        <f>ROUND((IF(ISNUMBER(SEARCH("AC01",X28)),1,0)*'[1]01_Parametros'!$B$11+IF(OR(ISNUMBER(SEARCH("AC06",X28)),ISNUMBER(SEARCH("AC03",X28))),1,0)*'[1]01_Parametros'!$B$12+(1-ABS(E28-0.5))*'[1]01_Parametros'!$B$13+S28/3.2*'[1]01_Parametros'!$B$14)*100,1)</f>
        <v>65</v>
      </c>
      <c r="AP28" s="7">
        <f>ROUND((L28/3*'[1]01_Parametros'!$B$15+Q28/3*'[1]01_Parametros'!$B$16+P28/3*'[1]01_Parametros'!$B$17+IF(OR(AA28="Media-baja",AA28="Baja"),1,0)*'[1]01_Parametros'!$B$18+S28/3.2*'[1]01_Parametros'!$B$19)*100,1)</f>
        <v>64.599999999999994</v>
      </c>
      <c r="AQ28" s="7">
        <f>ROUND((P28/3*'[1]01_Parametros'!$B$20+IF(OR(ISNUMBER(SEARCH("JAC",Z28)),ISNUMBER(SEARCH("JAL",Z28)),ISNUMBER(SEARCH("lider",Z28))),1,0)*'[1]01_Parametros'!$B$21+IF(LEFT(B28,14)="Corregimiento",1,0)*'[1]01_Parametros'!$B$22+Q28/3*'[1]01_Parametros'!$B$23+S28/3.2*'[1]01_Parametros'!$B$24)*100,1)</f>
        <v>24.8</v>
      </c>
      <c r="AR28" s="3" t="str">
        <f>INDEX('[1]13_Listas'!$A$2:$A$6, MATCH(MAX(AM28:AQ28), AM28:AQ28, 0))</f>
        <v>Supervivencia económica y servicios básicos</v>
      </c>
      <c r="AS28" s="3" t="str">
        <f t="shared" si="0"/>
        <v>Supervivencia económica y servicios básicos</v>
      </c>
      <c r="AT28" s="3" t="str">
        <f t="shared" si="1"/>
        <v>Traductor Digital</v>
      </c>
      <c r="AU28" s="3" t="str">
        <f t="shared" si="2"/>
        <v>Costo de vida, gentrificación y vivienda</v>
      </c>
      <c r="AV28" s="3" t="str">
        <f>IFERROR(VLOOKUP(AS28,'[1]02_Arquetipos_Miedo_Sesgo'!$A$4:$G$8,4,FALSE),"")</f>
        <v>Sesgo de escasez + presente dominante + aversión al riesgo económico.</v>
      </c>
      <c r="AW28" s="3" t="str">
        <f>IFERROR(VLOOKUP(AS28,'[1]02_Arquetipos_Miedo_Sesgo'!$A$4:$G$8,3,FALSE),"")</f>
        <v>Miedo a no llegar a fin de mes, perder ingresos, empleo, movilidad o acceso a servicios básicos.</v>
      </c>
      <c r="AX28" s="3" t="str">
        <f>IFERROR(VLOOKUP(AS28,'[1]02_Arquetipos_Miedo_Sesgo'!$A$4:$G$8,4,FALSE),"")</f>
        <v>Sesgo de escasez + presente dominante + aversión al riesgo económico.</v>
      </c>
      <c r="AY28" s="3" t="str">
        <f>IFERROR(VLOOKUP(AS28,'[1]02_Arquetipos_Miedo_Sesgo'!$A$4:$G$8,5,FALSE),"")</f>
        <v>Empleo, emprendimiento, economía popular, transporte, costo de vida, salud, educación técnica y subsidios focalizados.</v>
      </c>
      <c r="AZ28" s="3" t="str">
        <f>IFERROR(VLOOKUP(AS28,'[1]02_Arquetipos_Miedo_Sesgo'!$A$4:$G$8,6,FALSE),"")</f>
        <v>Traducir propuestas en alivios concretos, rutas de acceso y resultados medibles de corto plazo.</v>
      </c>
      <c r="BA28" s="3" t="s">
        <v>77</v>
      </c>
    </row>
    <row r="29" spans="1:53" ht="43.2">
      <c r="A29" s="3" t="s">
        <v>143</v>
      </c>
      <c r="B29" s="3" t="s">
        <v>128</v>
      </c>
      <c r="C29" s="3" t="s">
        <v>144</v>
      </c>
      <c r="D29" s="4">
        <v>9508</v>
      </c>
      <c r="E29" s="5">
        <v>0.36653344551956246</v>
      </c>
      <c r="F29" s="3" t="s">
        <v>57</v>
      </c>
      <c r="G29" s="3" t="s">
        <v>58</v>
      </c>
      <c r="H29" s="3">
        <v>3485</v>
      </c>
      <c r="I29" s="3">
        <v>36.700000000000003</v>
      </c>
      <c r="J29" s="3">
        <v>9</v>
      </c>
      <c r="K29" s="3" t="s">
        <v>130</v>
      </c>
      <c r="L29" s="3">
        <v>2</v>
      </c>
      <c r="M29" s="3">
        <v>2</v>
      </c>
      <c r="N29" s="3">
        <v>2</v>
      </c>
      <c r="O29" s="3">
        <v>2</v>
      </c>
      <c r="P29" s="3">
        <v>1</v>
      </c>
      <c r="Q29" s="3">
        <v>2</v>
      </c>
      <c r="R29" s="3" t="s">
        <v>131</v>
      </c>
      <c r="S29" s="3">
        <v>2</v>
      </c>
      <c r="T29" s="3" t="s">
        <v>75</v>
      </c>
      <c r="U29" s="3" t="s">
        <v>132</v>
      </c>
      <c r="V29" s="3" t="s">
        <v>133</v>
      </c>
      <c r="W29" s="3" t="s">
        <v>134</v>
      </c>
      <c r="X29" s="3" t="s">
        <v>65</v>
      </c>
      <c r="Y29" s="3" t="s">
        <v>135</v>
      </c>
      <c r="Z29" s="3" t="s">
        <v>136</v>
      </c>
      <c r="AA29" s="3" t="s">
        <v>137</v>
      </c>
      <c r="AB29" s="3" t="s">
        <v>69</v>
      </c>
      <c r="AC29" s="3" t="s">
        <v>70</v>
      </c>
      <c r="AD29" s="3" t="s">
        <v>71</v>
      </c>
      <c r="AE29" s="3" t="s">
        <v>72</v>
      </c>
      <c r="AF29" s="6">
        <v>0.36599999999999999</v>
      </c>
      <c r="AG29" s="3" t="s">
        <v>73</v>
      </c>
      <c r="AH29" s="3" t="s">
        <v>74</v>
      </c>
      <c r="AI29" s="6">
        <v>0.497</v>
      </c>
      <c r="AJ29" s="3" t="s">
        <v>75</v>
      </c>
      <c r="AK29" s="3" t="s">
        <v>76</v>
      </c>
      <c r="AL29" s="6">
        <v>-0.38900000000000001</v>
      </c>
      <c r="AM29" s="7">
        <f>ROUND((L29/3*'[1]01_Parametros'!$B$3+M29/3*'[1]01_Parametros'!$B$4+N29/3*'[1]01_Parametros'!$B$5+O29/3*'[1]01_Parametros'!$B$6+IF(ISNUMBER(SEARCH("Fronteras",U29)),1,0)*'[1]01_Parametros'!$B$7)*100,1)</f>
        <v>60</v>
      </c>
      <c r="AN29" s="7">
        <f>ROUND((E29*'[1]01_Parametros'!$B$8+(1-L29/3)*'[1]01_Parametros'!$B$9+IF(OR(AA29="Alta",AA29="Media"),1,0)*'[1]01_Parametros'!$B$10)*100,1)</f>
        <v>28.3</v>
      </c>
      <c r="AO29" s="7">
        <f>ROUND((IF(ISNUMBER(SEARCH("AC01",X29)),1,0)*'[1]01_Parametros'!$B$11+IF(OR(ISNUMBER(SEARCH("AC06",X29)),ISNUMBER(SEARCH("AC03",X29))),1,0)*'[1]01_Parametros'!$B$12+(1-ABS(E29-0.5))*'[1]01_Parametros'!$B$13+S29/3.2*'[1]01_Parametros'!$B$14)*100,1)</f>
        <v>64.8</v>
      </c>
      <c r="AP29" s="7">
        <f>ROUND((L29/3*'[1]01_Parametros'!$B$15+Q29/3*'[1]01_Parametros'!$B$16+P29/3*'[1]01_Parametros'!$B$17+IF(OR(AA29="Media-baja",AA29="Baja"),1,0)*'[1]01_Parametros'!$B$18+S29/3.2*'[1]01_Parametros'!$B$19)*100,1)</f>
        <v>64.599999999999994</v>
      </c>
      <c r="AQ29" s="7">
        <f>ROUND((P29/3*'[1]01_Parametros'!$B$20+IF(OR(ISNUMBER(SEARCH("JAC",Z29)),ISNUMBER(SEARCH("JAL",Z29)),ISNUMBER(SEARCH("lider",Z29))),1,0)*'[1]01_Parametros'!$B$21+IF(LEFT(B29,14)="Corregimiento",1,0)*'[1]01_Parametros'!$B$22+Q29/3*'[1]01_Parametros'!$B$23+S29/3.2*'[1]01_Parametros'!$B$24)*100,1)</f>
        <v>24.8</v>
      </c>
      <c r="AR29" s="3" t="str">
        <f>INDEX('[1]13_Listas'!$A$2:$A$6, MATCH(MAX(AM29:AQ29), AM29:AQ29, 0))</f>
        <v>Supervivencia económica y servicios básicos</v>
      </c>
      <c r="AS29" s="3" t="str">
        <f t="shared" si="0"/>
        <v>Supervivencia económica y servicios básicos</v>
      </c>
      <c r="AT29" s="3" t="str">
        <f t="shared" si="1"/>
        <v>Traductor Digital</v>
      </c>
      <c r="AU29" s="3" t="str">
        <f t="shared" si="2"/>
        <v>Costo de vida, gentrificación y vivienda</v>
      </c>
      <c r="AV29" s="3" t="str">
        <f>IFERROR(VLOOKUP(AS29,'[1]02_Arquetipos_Miedo_Sesgo'!$A$4:$G$8,4,FALSE),"")</f>
        <v>Sesgo de escasez + presente dominante + aversión al riesgo económico.</v>
      </c>
      <c r="AW29" s="3" t="str">
        <f>IFERROR(VLOOKUP(AS29,'[1]02_Arquetipos_Miedo_Sesgo'!$A$4:$G$8,3,FALSE),"")</f>
        <v>Miedo a no llegar a fin de mes, perder ingresos, empleo, movilidad o acceso a servicios básicos.</v>
      </c>
      <c r="AX29" s="3" t="str">
        <f>IFERROR(VLOOKUP(AS29,'[1]02_Arquetipos_Miedo_Sesgo'!$A$4:$G$8,4,FALSE),"")</f>
        <v>Sesgo de escasez + presente dominante + aversión al riesgo económico.</v>
      </c>
      <c r="AY29" s="3" t="str">
        <f>IFERROR(VLOOKUP(AS29,'[1]02_Arquetipos_Miedo_Sesgo'!$A$4:$G$8,5,FALSE),"")</f>
        <v>Empleo, emprendimiento, economía popular, transporte, costo de vida, salud, educación técnica y subsidios focalizados.</v>
      </c>
      <c r="AZ29" s="3" t="str">
        <f>IFERROR(VLOOKUP(AS29,'[1]02_Arquetipos_Miedo_Sesgo'!$A$4:$G$8,6,FALSE),"")</f>
        <v>Traducir propuestas en alivios concretos, rutas de acceso y resultados medibles de corto plazo.</v>
      </c>
      <c r="BA29" s="3" t="s">
        <v>77</v>
      </c>
    </row>
    <row r="30" spans="1:53" ht="43.2">
      <c r="A30" s="3" t="s">
        <v>145</v>
      </c>
      <c r="B30" s="3" t="s">
        <v>128</v>
      </c>
      <c r="C30" s="3" t="s">
        <v>146</v>
      </c>
      <c r="D30" s="4">
        <v>4560</v>
      </c>
      <c r="E30" s="5">
        <v>0.33881578947368424</v>
      </c>
      <c r="F30" s="3" t="s">
        <v>82</v>
      </c>
      <c r="G30" s="3" t="s">
        <v>83</v>
      </c>
      <c r="H30" s="3">
        <v>1545</v>
      </c>
      <c r="I30" s="3">
        <v>33.9</v>
      </c>
      <c r="J30" s="3">
        <v>9</v>
      </c>
      <c r="K30" s="3" t="s">
        <v>130</v>
      </c>
      <c r="L30" s="3">
        <v>2</v>
      </c>
      <c r="M30" s="3">
        <v>2</v>
      </c>
      <c r="N30" s="3">
        <v>2</v>
      </c>
      <c r="O30" s="3">
        <v>2</v>
      </c>
      <c r="P30" s="3">
        <v>1</v>
      </c>
      <c r="Q30" s="3">
        <v>2</v>
      </c>
      <c r="R30" s="3" t="s">
        <v>131</v>
      </c>
      <c r="S30" s="3">
        <v>2</v>
      </c>
      <c r="T30" s="3" t="s">
        <v>75</v>
      </c>
      <c r="U30" s="3" t="s">
        <v>132</v>
      </c>
      <c r="V30" s="3" t="s">
        <v>133</v>
      </c>
      <c r="W30" s="3" t="s">
        <v>134</v>
      </c>
      <c r="X30" s="3" t="s">
        <v>65</v>
      </c>
      <c r="Y30" s="3" t="s">
        <v>135</v>
      </c>
      <c r="Z30" s="3" t="s">
        <v>136</v>
      </c>
      <c r="AA30" s="3" t="s">
        <v>137</v>
      </c>
      <c r="AB30" s="3" t="s">
        <v>69</v>
      </c>
      <c r="AC30" s="3" t="s">
        <v>70</v>
      </c>
      <c r="AD30" s="3" t="s">
        <v>71</v>
      </c>
      <c r="AE30" s="3" t="s">
        <v>84</v>
      </c>
      <c r="AF30" s="6">
        <v>0.73199999999999998</v>
      </c>
      <c r="AG30" s="3" t="s">
        <v>61</v>
      </c>
      <c r="AH30" s="3" t="s">
        <v>74</v>
      </c>
      <c r="AI30" s="6">
        <v>0.69099999999999995</v>
      </c>
      <c r="AJ30" s="3" t="s">
        <v>61</v>
      </c>
      <c r="AK30" s="3" t="s">
        <v>85</v>
      </c>
      <c r="AL30" s="6">
        <v>-0.50800000000000001</v>
      </c>
      <c r="AM30" s="7">
        <f>ROUND((L30/3*'[1]01_Parametros'!$B$3+M30/3*'[1]01_Parametros'!$B$4+N30/3*'[1]01_Parametros'!$B$5+O30/3*'[1]01_Parametros'!$B$6+IF(ISNUMBER(SEARCH("Fronteras",U30)),1,0)*'[1]01_Parametros'!$B$7)*100,1)</f>
        <v>60</v>
      </c>
      <c r="AN30" s="7">
        <f>ROUND((E30*'[1]01_Parametros'!$B$8+(1-L30/3)*'[1]01_Parametros'!$B$9+IF(OR(AA30="Alta",AA30="Media"),1,0)*'[1]01_Parametros'!$B$10)*100,1)</f>
        <v>26.9</v>
      </c>
      <c r="AO30" s="7">
        <f>ROUND((IF(ISNUMBER(SEARCH("AC01",X30)),1,0)*'[1]01_Parametros'!$B$11+IF(OR(ISNUMBER(SEARCH("AC06",X30)),ISNUMBER(SEARCH("AC03",X30))),1,0)*'[1]01_Parametros'!$B$12+(1-ABS(E30-0.5))*'[1]01_Parametros'!$B$13+S30/3.2*'[1]01_Parametros'!$B$14)*100,1)</f>
        <v>64.3</v>
      </c>
      <c r="AP30" s="7">
        <f>ROUND((L30/3*'[1]01_Parametros'!$B$15+Q30/3*'[1]01_Parametros'!$B$16+P30/3*'[1]01_Parametros'!$B$17+IF(OR(AA30="Media-baja",AA30="Baja"),1,0)*'[1]01_Parametros'!$B$18+S30/3.2*'[1]01_Parametros'!$B$19)*100,1)</f>
        <v>64.599999999999994</v>
      </c>
      <c r="AQ30" s="7">
        <f>ROUND((P30/3*'[1]01_Parametros'!$B$20+IF(OR(ISNUMBER(SEARCH("JAC",Z30)),ISNUMBER(SEARCH("JAL",Z30)),ISNUMBER(SEARCH("lider",Z30))),1,0)*'[1]01_Parametros'!$B$21+IF(LEFT(B30,14)="Corregimiento",1,0)*'[1]01_Parametros'!$B$22+Q30/3*'[1]01_Parametros'!$B$23+S30/3.2*'[1]01_Parametros'!$B$24)*100,1)</f>
        <v>24.8</v>
      </c>
      <c r="AR30" s="3" t="str">
        <f>INDEX('[1]13_Listas'!$A$2:$A$6, MATCH(MAX(AM30:AQ30), AM30:AQ30, 0))</f>
        <v>Desconfianza y castigo</v>
      </c>
      <c r="AS30" s="3" t="str">
        <f t="shared" si="0"/>
        <v>Desconfianza y castigo</v>
      </c>
      <c r="AT30" s="3" t="str">
        <f t="shared" si="1"/>
        <v>Traductor Digital</v>
      </c>
      <c r="AU30" s="3" t="str">
        <f t="shared" si="2"/>
        <v>Corrupción, EPM y grandes contratos</v>
      </c>
      <c r="AV30" s="3" t="str">
        <f>IFERROR(VLOOKUP(AS30,'[1]02_Arquetipos_Miedo_Sesgo'!$A$4:$G$8,4,FALSE),"")</f>
        <v>Sesgo de confirmación + cinismo político + efecto de indignación moral.</v>
      </c>
      <c r="AW30" s="3" t="str">
        <f>IFERROR(VLOOKUP(AS30,'[1]02_Arquetipos_Miedo_Sesgo'!$A$4:$G$8,3,FALSE),"")</f>
        <v>Miedo a ser engañado, robado, manipulado o usado electoralmente.</v>
      </c>
      <c r="AX30" s="3" t="str">
        <f>IFERROR(VLOOKUP(AS30,'[1]02_Arquetipos_Miedo_Sesgo'!$A$4:$G$8,4,FALSE),"")</f>
        <v>Sesgo de confirmación + cinismo político + efecto de indignación moral.</v>
      </c>
      <c r="AY30" s="3" t="str">
        <f>IFERROR(VLOOKUP(AS30,'[1]02_Arquetipos_Miedo_Sesgo'!$A$4:$G$8,5,FALSE),"")</f>
        <v>Transparencia, control político, lucha anticorrupción, vigilancia ciudadana, ejecución presupuestal y sanción a abusos.</v>
      </c>
      <c r="AZ30" s="3" t="str">
        <f>IFERROR(VLOOKUP(AS30,'[1]02_Arquetipos_Miedo_Sesgo'!$A$4:$G$8,6,FALSE),"")</f>
        <v>Aportar evidencia verificable, mecanismos de control y rendición de cuentas local.</v>
      </c>
      <c r="BA30" s="3" t="s">
        <v>77</v>
      </c>
    </row>
    <row r="31" spans="1:53" ht="43.2">
      <c r="A31" s="3" t="s">
        <v>147</v>
      </c>
      <c r="B31" s="3" t="s">
        <v>128</v>
      </c>
      <c r="C31" s="3" t="s">
        <v>148</v>
      </c>
      <c r="D31" s="4">
        <v>2656</v>
      </c>
      <c r="E31" s="5">
        <v>0.34450301204819278</v>
      </c>
      <c r="F31" s="3" t="s">
        <v>57</v>
      </c>
      <c r="G31" s="3" t="s">
        <v>58</v>
      </c>
      <c r="H31" s="3">
        <v>915</v>
      </c>
      <c r="I31" s="3">
        <v>34.5</v>
      </c>
      <c r="J31" s="3">
        <v>9</v>
      </c>
      <c r="K31" s="3" t="s">
        <v>130</v>
      </c>
      <c r="L31" s="3">
        <v>2</v>
      </c>
      <c r="M31" s="3">
        <v>2</v>
      </c>
      <c r="N31" s="3">
        <v>2</v>
      </c>
      <c r="O31" s="3">
        <v>2</v>
      </c>
      <c r="P31" s="3">
        <v>1</v>
      </c>
      <c r="Q31" s="3">
        <v>2</v>
      </c>
      <c r="R31" s="3" t="s">
        <v>131</v>
      </c>
      <c r="S31" s="3">
        <v>2</v>
      </c>
      <c r="T31" s="3" t="s">
        <v>75</v>
      </c>
      <c r="U31" s="3" t="s">
        <v>132</v>
      </c>
      <c r="V31" s="3" t="s">
        <v>133</v>
      </c>
      <c r="W31" s="3" t="s">
        <v>134</v>
      </c>
      <c r="X31" s="3" t="s">
        <v>65</v>
      </c>
      <c r="Y31" s="3" t="s">
        <v>135</v>
      </c>
      <c r="Z31" s="3" t="s">
        <v>136</v>
      </c>
      <c r="AA31" s="3" t="s">
        <v>137</v>
      </c>
      <c r="AB31" s="3" t="s">
        <v>69</v>
      </c>
      <c r="AC31" s="3" t="s">
        <v>70</v>
      </c>
      <c r="AD31" s="3" t="s">
        <v>71</v>
      </c>
      <c r="AE31" s="3" t="s">
        <v>72</v>
      </c>
      <c r="AF31" s="6">
        <v>0.36599999999999999</v>
      </c>
      <c r="AG31" s="3" t="s">
        <v>73</v>
      </c>
      <c r="AH31" s="3" t="s">
        <v>74</v>
      </c>
      <c r="AI31" s="6">
        <v>0.497</v>
      </c>
      <c r="AJ31" s="3" t="s">
        <v>75</v>
      </c>
      <c r="AK31" s="3" t="s">
        <v>76</v>
      </c>
      <c r="AL31" s="6">
        <v>-0.38900000000000001</v>
      </c>
      <c r="AM31" s="7">
        <f>ROUND((L31/3*'[1]01_Parametros'!$B$3+M31/3*'[1]01_Parametros'!$B$4+N31/3*'[1]01_Parametros'!$B$5+O31/3*'[1]01_Parametros'!$B$6+IF(ISNUMBER(SEARCH("Fronteras",U31)),1,0)*'[1]01_Parametros'!$B$7)*100,1)</f>
        <v>60</v>
      </c>
      <c r="AN31" s="7">
        <f>ROUND((E31*'[1]01_Parametros'!$B$8+(1-L31/3)*'[1]01_Parametros'!$B$9+IF(OR(AA31="Alta",AA31="Media"),1,0)*'[1]01_Parametros'!$B$10)*100,1)</f>
        <v>27.2</v>
      </c>
      <c r="AO31" s="7">
        <f>ROUND((IF(ISNUMBER(SEARCH("AC01",X31)),1,0)*'[1]01_Parametros'!$B$11+IF(OR(ISNUMBER(SEARCH("AC06",X31)),ISNUMBER(SEARCH("AC03",X31))),1,0)*'[1]01_Parametros'!$B$12+(1-ABS(E31-0.5))*'[1]01_Parametros'!$B$13+S31/3.2*'[1]01_Parametros'!$B$14)*100,1)</f>
        <v>64.400000000000006</v>
      </c>
      <c r="AP31" s="7">
        <f>ROUND((L31/3*'[1]01_Parametros'!$B$15+Q31/3*'[1]01_Parametros'!$B$16+P31/3*'[1]01_Parametros'!$B$17+IF(OR(AA31="Media-baja",AA31="Baja"),1,0)*'[1]01_Parametros'!$B$18+S31/3.2*'[1]01_Parametros'!$B$19)*100,1)</f>
        <v>64.599999999999994</v>
      </c>
      <c r="AQ31" s="7">
        <f>ROUND((P31/3*'[1]01_Parametros'!$B$20+IF(OR(ISNUMBER(SEARCH("JAC",Z31)),ISNUMBER(SEARCH("JAL",Z31)),ISNUMBER(SEARCH("lider",Z31))),1,0)*'[1]01_Parametros'!$B$21+IF(LEFT(B31,14)="Corregimiento",1,0)*'[1]01_Parametros'!$B$22+Q31/3*'[1]01_Parametros'!$B$23+S31/3.2*'[1]01_Parametros'!$B$24)*100,1)</f>
        <v>24.8</v>
      </c>
      <c r="AR31" s="3" t="str">
        <f>INDEX('[1]13_Listas'!$A$2:$A$6, MATCH(MAX(AM31:AQ31), AM31:AQ31, 0))</f>
        <v>Desconfianza y castigo</v>
      </c>
      <c r="AS31" s="3" t="str">
        <f t="shared" si="0"/>
        <v>Desconfianza y castigo</v>
      </c>
      <c r="AT31" s="3" t="str">
        <f t="shared" si="1"/>
        <v>Traductor Digital</v>
      </c>
      <c r="AU31" s="3" t="str">
        <f t="shared" si="2"/>
        <v>Corrupción, EPM y grandes contratos</v>
      </c>
      <c r="AV31" s="3" t="str">
        <f>IFERROR(VLOOKUP(AS31,'[1]02_Arquetipos_Miedo_Sesgo'!$A$4:$G$8,4,FALSE),"")</f>
        <v>Sesgo de confirmación + cinismo político + efecto de indignación moral.</v>
      </c>
      <c r="AW31" s="3" t="str">
        <f>IFERROR(VLOOKUP(AS31,'[1]02_Arquetipos_Miedo_Sesgo'!$A$4:$G$8,3,FALSE),"")</f>
        <v>Miedo a ser engañado, robado, manipulado o usado electoralmente.</v>
      </c>
      <c r="AX31" s="3" t="str">
        <f>IFERROR(VLOOKUP(AS31,'[1]02_Arquetipos_Miedo_Sesgo'!$A$4:$G$8,4,FALSE),"")</f>
        <v>Sesgo de confirmación + cinismo político + efecto de indignación moral.</v>
      </c>
      <c r="AY31" s="3" t="str">
        <f>IFERROR(VLOOKUP(AS31,'[1]02_Arquetipos_Miedo_Sesgo'!$A$4:$G$8,5,FALSE),"")</f>
        <v>Transparencia, control político, lucha anticorrupción, vigilancia ciudadana, ejecución presupuestal y sanción a abusos.</v>
      </c>
      <c r="AZ31" s="3" t="str">
        <f>IFERROR(VLOOKUP(AS31,'[1]02_Arquetipos_Miedo_Sesgo'!$A$4:$G$8,6,FALSE),"")</f>
        <v>Aportar evidencia verificable, mecanismos de control y rendición de cuentas local.</v>
      </c>
      <c r="BA31" s="3" t="s">
        <v>77</v>
      </c>
    </row>
    <row r="32" spans="1:53" ht="43.2">
      <c r="A32" s="3" t="s">
        <v>149</v>
      </c>
      <c r="B32" s="3" t="s">
        <v>150</v>
      </c>
      <c r="C32" s="3" t="s">
        <v>151</v>
      </c>
      <c r="D32" s="4">
        <v>5556</v>
      </c>
      <c r="E32" s="5">
        <v>0.37814974802015838</v>
      </c>
      <c r="F32" s="3" t="s">
        <v>57</v>
      </c>
      <c r="G32" s="3" t="s">
        <v>58</v>
      </c>
      <c r="H32" s="3">
        <v>2101</v>
      </c>
      <c r="I32" s="3">
        <v>37.799999999999997</v>
      </c>
      <c r="J32" s="3">
        <v>5</v>
      </c>
      <c r="K32" s="3" t="s">
        <v>152</v>
      </c>
      <c r="L32" s="3">
        <v>3</v>
      </c>
      <c r="M32" s="3">
        <v>3</v>
      </c>
      <c r="N32" s="3">
        <v>3</v>
      </c>
      <c r="O32" s="3">
        <v>3</v>
      </c>
      <c r="P32" s="3">
        <v>2</v>
      </c>
      <c r="Q32" s="3">
        <v>3</v>
      </c>
      <c r="R32" s="3" t="s">
        <v>60</v>
      </c>
      <c r="S32" s="3">
        <v>3</v>
      </c>
      <c r="T32" s="3" t="s">
        <v>61</v>
      </c>
      <c r="U32" s="3" t="s">
        <v>62</v>
      </c>
      <c r="V32" s="3" t="s">
        <v>153</v>
      </c>
      <c r="W32" s="3" t="s">
        <v>154</v>
      </c>
      <c r="X32" s="3" t="s">
        <v>155</v>
      </c>
      <c r="Y32" s="3" t="s">
        <v>156</v>
      </c>
      <c r="Z32" s="3" t="s">
        <v>157</v>
      </c>
      <c r="AA32" s="3" t="s">
        <v>68</v>
      </c>
      <c r="AB32" s="3" t="s">
        <v>69</v>
      </c>
      <c r="AC32" s="3" t="s">
        <v>70</v>
      </c>
      <c r="AD32" s="3" t="s">
        <v>71</v>
      </c>
      <c r="AE32" s="3" t="s">
        <v>72</v>
      </c>
      <c r="AF32" s="6">
        <v>0.36599999999999999</v>
      </c>
      <c r="AG32" s="3" t="s">
        <v>73</v>
      </c>
      <c r="AH32" s="3" t="s">
        <v>74</v>
      </c>
      <c r="AI32" s="6">
        <v>0.497</v>
      </c>
      <c r="AJ32" s="3" t="s">
        <v>75</v>
      </c>
      <c r="AK32" s="3" t="s">
        <v>76</v>
      </c>
      <c r="AL32" s="6">
        <v>-0.38900000000000001</v>
      </c>
      <c r="AM32" s="7">
        <f>ROUND((L32/3*'[1]01_Parametros'!$B$3+M32/3*'[1]01_Parametros'!$B$4+N32/3*'[1]01_Parametros'!$B$5+O32/3*'[1]01_Parametros'!$B$6+IF(ISNUMBER(SEARCH("Fronteras",U32)),1,0)*'[1]01_Parametros'!$B$7)*100,1)</f>
        <v>100</v>
      </c>
      <c r="AN32" s="7">
        <f>ROUND((E32*'[1]01_Parametros'!$B$8+(1-L32/3)*'[1]01_Parametros'!$B$9+IF(OR(AA32="Alta",AA32="Media"),1,0)*'[1]01_Parametros'!$B$10)*100,1)</f>
        <v>18.899999999999999</v>
      </c>
      <c r="AO32" s="7">
        <f>ROUND((IF(ISNUMBER(SEARCH("AC01",X32)),1,0)*'[1]01_Parametros'!$B$11+IF(OR(ISNUMBER(SEARCH("AC06",X32)),ISNUMBER(SEARCH("AC03",X32))),1,0)*'[1]01_Parametros'!$B$12+(1-ABS(E32-0.5))*'[1]01_Parametros'!$B$13+S32/3.2*'[1]01_Parametros'!$B$14)*100,1)</f>
        <v>96.3</v>
      </c>
      <c r="AP32" s="7">
        <f>ROUND((L32/3*'[1]01_Parametros'!$B$15+Q32/3*'[1]01_Parametros'!$B$16+P32/3*'[1]01_Parametros'!$B$17+IF(OR(AA32="Media-baja",AA32="Baja"),1,0)*'[1]01_Parametros'!$B$18+S32/3.2*'[1]01_Parametros'!$B$19)*100,1)</f>
        <v>77.7</v>
      </c>
      <c r="AQ32" s="7">
        <f>ROUND((P32/3*'[1]01_Parametros'!$B$20+IF(OR(ISNUMBER(SEARCH("JAC",Z32)),ISNUMBER(SEARCH("JAL",Z32)),ISNUMBER(SEARCH("lider",Z32))),1,0)*'[1]01_Parametros'!$B$21+IF(LEFT(B32,14)="Corregimiento",1,0)*'[1]01_Parametros'!$B$22+Q32/3*'[1]01_Parametros'!$B$23+S32/3.2*'[1]01_Parametros'!$B$24)*100,1)</f>
        <v>34.700000000000003</v>
      </c>
      <c r="AR32" s="3" t="str">
        <f>INDEX('[1]13_Listas'!$A$2:$A$6, MATCH(MAX(AM32:AQ32), AM32:AQ32, 0))</f>
        <v>Protección y orden cotidiano</v>
      </c>
      <c r="AS32" s="3" t="str">
        <f t="shared" si="0"/>
        <v>Protección y orden cotidiano</v>
      </c>
      <c r="AT32" s="3" t="str">
        <f t="shared" si="1"/>
        <v>Activista Causal</v>
      </c>
      <c r="AU32" s="3" t="str">
        <f t="shared" si="2"/>
        <v>Seguridad urbana y combos</v>
      </c>
      <c r="AV32" s="3" t="str">
        <f>IFERROR(VLOOKUP(AS32,'[1]02_Arquetipos_Miedo_Sesgo'!$A$4:$G$8,4,FALSE),"")</f>
        <v>Sesgo de disponibilidad + sesgo de negatividad + preferencia por autoridad.</v>
      </c>
      <c r="AW32" s="3" t="str">
        <f>IFERROR(VLOOKUP(AS32,'[1]02_Arquetipos_Miedo_Sesgo'!$A$4:$G$8,3,FALSE),"")</f>
        <v>Miedo a la inseguridad, al descontrol barrial y a perder la tranquilidad cotidiana.</v>
      </c>
      <c r="AX32" s="3" t="str">
        <f>IFERROR(VLOOKUP(AS32,'[1]02_Arquetipos_Miedo_Sesgo'!$A$4:$G$8,4,FALSE),"")</f>
        <v>Sesgo de disponibilidad + sesgo de negatividad + preferencia por autoridad.</v>
      </c>
      <c r="AY32" s="3" t="str">
        <f>IFERROR(VLOOKUP(AS32,'[1]02_Arquetipos_Miedo_Sesgo'!$A$4:$G$8,5,FALSE),"")</f>
        <v>Seguridad, convivencia, movilidad, alumbrado, reacción institucional rápida, presencia de autoridad.</v>
      </c>
      <c r="AZ32" s="3" t="str">
        <f>IFERROR(VLOOKUP(AS32,'[1]02_Arquetipos_Miedo_Sesgo'!$A$4:$G$8,6,FALSE),"")</f>
        <v>Mostrar capacidad verificable de resolver problemas concretos de seguridad y convivencia sin prometer acciones ilegales.</v>
      </c>
      <c r="BA32" s="3" t="s">
        <v>77</v>
      </c>
    </row>
    <row r="33" spans="1:53" ht="43.2">
      <c r="A33" s="3" t="s">
        <v>158</v>
      </c>
      <c r="B33" s="3" t="s">
        <v>150</v>
      </c>
      <c r="C33" s="3" t="s">
        <v>159</v>
      </c>
      <c r="D33" s="4">
        <v>5899</v>
      </c>
      <c r="E33" s="5">
        <v>0.37599593151381588</v>
      </c>
      <c r="F33" s="3" t="s">
        <v>57</v>
      </c>
      <c r="G33" s="3" t="s">
        <v>58</v>
      </c>
      <c r="H33" s="3">
        <v>2218</v>
      </c>
      <c r="I33" s="3">
        <v>37.6</v>
      </c>
      <c r="J33" s="3">
        <v>5</v>
      </c>
      <c r="K33" s="3" t="s">
        <v>152</v>
      </c>
      <c r="L33" s="3">
        <v>3</v>
      </c>
      <c r="M33" s="3">
        <v>3</v>
      </c>
      <c r="N33" s="3">
        <v>3</v>
      </c>
      <c r="O33" s="3">
        <v>3</v>
      </c>
      <c r="P33" s="3">
        <v>2</v>
      </c>
      <c r="Q33" s="3">
        <v>3</v>
      </c>
      <c r="R33" s="3" t="s">
        <v>60</v>
      </c>
      <c r="S33" s="3">
        <v>3</v>
      </c>
      <c r="T33" s="3" t="s">
        <v>61</v>
      </c>
      <c r="U33" s="3" t="s">
        <v>62</v>
      </c>
      <c r="V33" s="3" t="s">
        <v>153</v>
      </c>
      <c r="W33" s="3" t="s">
        <v>154</v>
      </c>
      <c r="X33" s="3" t="s">
        <v>155</v>
      </c>
      <c r="Y33" s="3" t="s">
        <v>156</v>
      </c>
      <c r="Z33" s="3" t="s">
        <v>157</v>
      </c>
      <c r="AA33" s="3" t="s">
        <v>68</v>
      </c>
      <c r="AB33" s="3" t="s">
        <v>69</v>
      </c>
      <c r="AC33" s="3" t="s">
        <v>70</v>
      </c>
      <c r="AD33" s="3" t="s">
        <v>71</v>
      </c>
      <c r="AE33" s="3" t="s">
        <v>72</v>
      </c>
      <c r="AF33" s="6">
        <v>0.36599999999999999</v>
      </c>
      <c r="AG33" s="3" t="s">
        <v>73</v>
      </c>
      <c r="AH33" s="3" t="s">
        <v>74</v>
      </c>
      <c r="AI33" s="6">
        <v>0.497</v>
      </c>
      <c r="AJ33" s="3" t="s">
        <v>75</v>
      </c>
      <c r="AK33" s="3" t="s">
        <v>76</v>
      </c>
      <c r="AL33" s="6">
        <v>-0.38900000000000001</v>
      </c>
      <c r="AM33" s="7">
        <f>ROUND((L33/3*'[1]01_Parametros'!$B$3+M33/3*'[1]01_Parametros'!$B$4+N33/3*'[1]01_Parametros'!$B$5+O33/3*'[1]01_Parametros'!$B$6+IF(ISNUMBER(SEARCH("Fronteras",U33)),1,0)*'[1]01_Parametros'!$B$7)*100,1)</f>
        <v>100</v>
      </c>
      <c r="AN33" s="7">
        <f>ROUND((E33*'[1]01_Parametros'!$B$8+(1-L33/3)*'[1]01_Parametros'!$B$9+IF(OR(AA33="Alta",AA33="Media"),1,0)*'[1]01_Parametros'!$B$10)*100,1)</f>
        <v>18.8</v>
      </c>
      <c r="AO33" s="7">
        <f>ROUND((IF(ISNUMBER(SEARCH("AC01",X33)),1,0)*'[1]01_Parametros'!$B$11+IF(OR(ISNUMBER(SEARCH("AC06",X33)),ISNUMBER(SEARCH("AC03",X33))),1,0)*'[1]01_Parametros'!$B$12+(1-ABS(E33-0.5))*'[1]01_Parametros'!$B$13+S33/3.2*'[1]01_Parametros'!$B$14)*100,1)</f>
        <v>96.3</v>
      </c>
      <c r="AP33" s="7">
        <f>ROUND((L33/3*'[1]01_Parametros'!$B$15+Q33/3*'[1]01_Parametros'!$B$16+P33/3*'[1]01_Parametros'!$B$17+IF(OR(AA33="Media-baja",AA33="Baja"),1,0)*'[1]01_Parametros'!$B$18+S33/3.2*'[1]01_Parametros'!$B$19)*100,1)</f>
        <v>77.7</v>
      </c>
      <c r="AQ33" s="7">
        <f>ROUND((P33/3*'[1]01_Parametros'!$B$20+IF(OR(ISNUMBER(SEARCH("JAC",Z33)),ISNUMBER(SEARCH("JAL",Z33)),ISNUMBER(SEARCH("lider",Z33))),1,0)*'[1]01_Parametros'!$B$21+IF(LEFT(B33,14)="Corregimiento",1,0)*'[1]01_Parametros'!$B$22+Q33/3*'[1]01_Parametros'!$B$23+S33/3.2*'[1]01_Parametros'!$B$24)*100,1)</f>
        <v>34.700000000000003</v>
      </c>
      <c r="AR33" s="3" t="str">
        <f>INDEX('[1]13_Listas'!$A$2:$A$6, MATCH(MAX(AM33:AQ33), AM33:AQ33, 0))</f>
        <v>Protección y orden cotidiano</v>
      </c>
      <c r="AS33" s="3" t="str">
        <f t="shared" si="0"/>
        <v>Protección y orden cotidiano</v>
      </c>
      <c r="AT33" s="3" t="str">
        <f t="shared" si="1"/>
        <v>Activista Causal</v>
      </c>
      <c r="AU33" s="3" t="str">
        <f t="shared" si="2"/>
        <v>Seguridad urbana y combos</v>
      </c>
      <c r="AV33" s="3" t="str">
        <f>IFERROR(VLOOKUP(AS33,'[1]02_Arquetipos_Miedo_Sesgo'!$A$4:$G$8,4,FALSE),"")</f>
        <v>Sesgo de disponibilidad + sesgo de negatividad + preferencia por autoridad.</v>
      </c>
      <c r="AW33" s="3" t="str">
        <f>IFERROR(VLOOKUP(AS33,'[1]02_Arquetipos_Miedo_Sesgo'!$A$4:$G$8,3,FALSE),"")</f>
        <v>Miedo a la inseguridad, al descontrol barrial y a perder la tranquilidad cotidiana.</v>
      </c>
      <c r="AX33" s="3" t="str">
        <f>IFERROR(VLOOKUP(AS33,'[1]02_Arquetipos_Miedo_Sesgo'!$A$4:$G$8,4,FALSE),"")</f>
        <v>Sesgo de disponibilidad + sesgo de negatividad + preferencia por autoridad.</v>
      </c>
      <c r="AY33" s="3" t="str">
        <f>IFERROR(VLOOKUP(AS33,'[1]02_Arquetipos_Miedo_Sesgo'!$A$4:$G$8,5,FALSE),"")</f>
        <v>Seguridad, convivencia, movilidad, alumbrado, reacción institucional rápida, presencia de autoridad.</v>
      </c>
      <c r="AZ33" s="3" t="str">
        <f>IFERROR(VLOOKUP(AS33,'[1]02_Arquetipos_Miedo_Sesgo'!$A$4:$G$8,6,FALSE),"")</f>
        <v>Mostrar capacidad verificable de resolver problemas concretos de seguridad y convivencia sin prometer acciones ilegales.</v>
      </c>
      <c r="BA33" s="3" t="s">
        <v>77</v>
      </c>
    </row>
    <row r="34" spans="1:53" ht="43.2">
      <c r="A34" s="3" t="s">
        <v>160</v>
      </c>
      <c r="B34" s="3" t="s">
        <v>150</v>
      </c>
      <c r="C34" s="3" t="s">
        <v>161</v>
      </c>
      <c r="D34" s="4">
        <v>5773</v>
      </c>
      <c r="E34" s="5">
        <v>0.36358912177377445</v>
      </c>
      <c r="F34" s="3" t="s">
        <v>57</v>
      </c>
      <c r="G34" s="3" t="s">
        <v>58</v>
      </c>
      <c r="H34" s="3">
        <v>2099</v>
      </c>
      <c r="I34" s="3">
        <v>36.4</v>
      </c>
      <c r="J34" s="3">
        <v>5</v>
      </c>
      <c r="K34" s="3" t="s">
        <v>152</v>
      </c>
      <c r="L34" s="3">
        <v>3</v>
      </c>
      <c r="M34" s="3">
        <v>3</v>
      </c>
      <c r="N34" s="3">
        <v>3</v>
      </c>
      <c r="O34" s="3">
        <v>3</v>
      </c>
      <c r="P34" s="3">
        <v>2</v>
      </c>
      <c r="Q34" s="3">
        <v>3</v>
      </c>
      <c r="R34" s="3" t="s">
        <v>60</v>
      </c>
      <c r="S34" s="3">
        <v>3</v>
      </c>
      <c r="T34" s="3" t="s">
        <v>61</v>
      </c>
      <c r="U34" s="3" t="s">
        <v>62</v>
      </c>
      <c r="V34" s="3" t="s">
        <v>153</v>
      </c>
      <c r="W34" s="3" t="s">
        <v>154</v>
      </c>
      <c r="X34" s="3" t="s">
        <v>155</v>
      </c>
      <c r="Y34" s="3" t="s">
        <v>156</v>
      </c>
      <c r="Z34" s="3" t="s">
        <v>157</v>
      </c>
      <c r="AA34" s="3" t="s">
        <v>68</v>
      </c>
      <c r="AB34" s="3" t="s">
        <v>69</v>
      </c>
      <c r="AC34" s="3" t="s">
        <v>70</v>
      </c>
      <c r="AD34" s="3" t="s">
        <v>71</v>
      </c>
      <c r="AE34" s="3" t="s">
        <v>72</v>
      </c>
      <c r="AF34" s="6">
        <v>0.36599999999999999</v>
      </c>
      <c r="AG34" s="3" t="s">
        <v>73</v>
      </c>
      <c r="AH34" s="3" t="s">
        <v>74</v>
      </c>
      <c r="AI34" s="6">
        <v>0.497</v>
      </c>
      <c r="AJ34" s="3" t="s">
        <v>75</v>
      </c>
      <c r="AK34" s="3" t="s">
        <v>76</v>
      </c>
      <c r="AL34" s="6">
        <v>-0.38900000000000001</v>
      </c>
      <c r="AM34" s="7">
        <f>ROUND((L34/3*'[1]01_Parametros'!$B$3+M34/3*'[1]01_Parametros'!$B$4+N34/3*'[1]01_Parametros'!$B$5+O34/3*'[1]01_Parametros'!$B$6+IF(ISNUMBER(SEARCH("Fronteras",U34)),1,0)*'[1]01_Parametros'!$B$7)*100,1)</f>
        <v>100</v>
      </c>
      <c r="AN34" s="7">
        <f>ROUND((E34*'[1]01_Parametros'!$B$8+(1-L34/3)*'[1]01_Parametros'!$B$9+IF(OR(AA34="Alta",AA34="Media"),1,0)*'[1]01_Parametros'!$B$10)*100,1)</f>
        <v>18.2</v>
      </c>
      <c r="AO34" s="7">
        <f>ROUND((IF(ISNUMBER(SEARCH("AC01",X34)),1,0)*'[1]01_Parametros'!$B$11+IF(OR(ISNUMBER(SEARCH("AC06",X34)),ISNUMBER(SEARCH("AC03",X34))),1,0)*'[1]01_Parametros'!$B$12+(1-ABS(E34-0.5))*'[1]01_Parametros'!$B$13+S34/3.2*'[1]01_Parametros'!$B$14)*100,1)</f>
        <v>96</v>
      </c>
      <c r="AP34" s="7">
        <f>ROUND((L34/3*'[1]01_Parametros'!$B$15+Q34/3*'[1]01_Parametros'!$B$16+P34/3*'[1]01_Parametros'!$B$17+IF(OR(AA34="Media-baja",AA34="Baja"),1,0)*'[1]01_Parametros'!$B$18+S34/3.2*'[1]01_Parametros'!$B$19)*100,1)</f>
        <v>77.7</v>
      </c>
      <c r="AQ34" s="7">
        <f>ROUND((P34/3*'[1]01_Parametros'!$B$20+IF(OR(ISNUMBER(SEARCH("JAC",Z34)),ISNUMBER(SEARCH("JAL",Z34)),ISNUMBER(SEARCH("lider",Z34))),1,0)*'[1]01_Parametros'!$B$21+IF(LEFT(B34,14)="Corregimiento",1,0)*'[1]01_Parametros'!$B$22+Q34/3*'[1]01_Parametros'!$B$23+S34/3.2*'[1]01_Parametros'!$B$24)*100,1)</f>
        <v>34.700000000000003</v>
      </c>
      <c r="AR34" s="3" t="str">
        <f>INDEX('[1]13_Listas'!$A$2:$A$6, MATCH(MAX(AM34:AQ34), AM34:AQ34, 0))</f>
        <v>Protección y orden cotidiano</v>
      </c>
      <c r="AS34" s="3" t="str">
        <f t="shared" si="0"/>
        <v>Protección y orden cotidiano</v>
      </c>
      <c r="AT34" s="3" t="str">
        <f t="shared" si="1"/>
        <v>Activista Causal</v>
      </c>
      <c r="AU34" s="3" t="str">
        <f t="shared" si="2"/>
        <v>Seguridad urbana y combos</v>
      </c>
      <c r="AV34" s="3" t="str">
        <f>IFERROR(VLOOKUP(AS34,'[1]02_Arquetipos_Miedo_Sesgo'!$A$4:$G$8,4,FALSE),"")</f>
        <v>Sesgo de disponibilidad + sesgo de negatividad + preferencia por autoridad.</v>
      </c>
      <c r="AW34" s="3" t="str">
        <f>IFERROR(VLOOKUP(AS34,'[1]02_Arquetipos_Miedo_Sesgo'!$A$4:$G$8,3,FALSE),"")</f>
        <v>Miedo a la inseguridad, al descontrol barrial y a perder la tranquilidad cotidiana.</v>
      </c>
      <c r="AX34" s="3" t="str">
        <f>IFERROR(VLOOKUP(AS34,'[1]02_Arquetipos_Miedo_Sesgo'!$A$4:$G$8,4,FALSE),"")</f>
        <v>Sesgo de disponibilidad + sesgo de negatividad + preferencia por autoridad.</v>
      </c>
      <c r="AY34" s="3" t="str">
        <f>IFERROR(VLOOKUP(AS34,'[1]02_Arquetipos_Miedo_Sesgo'!$A$4:$G$8,5,FALSE),"")</f>
        <v>Seguridad, convivencia, movilidad, alumbrado, reacción institucional rápida, presencia de autoridad.</v>
      </c>
      <c r="AZ34" s="3" t="str">
        <f>IFERROR(VLOOKUP(AS34,'[1]02_Arquetipos_Miedo_Sesgo'!$A$4:$G$8,6,FALSE),"")</f>
        <v>Mostrar capacidad verificable de resolver problemas concretos de seguridad y convivencia sin prometer acciones ilegales.</v>
      </c>
      <c r="BA34" s="3" t="s">
        <v>77</v>
      </c>
    </row>
    <row r="35" spans="1:53" ht="43.2">
      <c r="A35" s="3" t="s">
        <v>162</v>
      </c>
      <c r="B35" s="3" t="s">
        <v>150</v>
      </c>
      <c r="C35" s="3" t="s">
        <v>163</v>
      </c>
      <c r="D35" s="4">
        <v>4988</v>
      </c>
      <c r="E35" s="5">
        <v>0.38993584603047315</v>
      </c>
      <c r="F35" s="3" t="s">
        <v>57</v>
      </c>
      <c r="G35" s="3" t="s">
        <v>58</v>
      </c>
      <c r="H35" s="3">
        <v>1945</v>
      </c>
      <c r="I35" s="3">
        <v>39</v>
      </c>
      <c r="J35" s="3">
        <v>5</v>
      </c>
      <c r="K35" s="3" t="s">
        <v>152</v>
      </c>
      <c r="L35" s="3">
        <v>3</v>
      </c>
      <c r="M35" s="3">
        <v>3</v>
      </c>
      <c r="N35" s="3">
        <v>3</v>
      </c>
      <c r="O35" s="3">
        <v>3</v>
      </c>
      <c r="P35" s="3">
        <v>2</v>
      </c>
      <c r="Q35" s="3">
        <v>3</v>
      </c>
      <c r="R35" s="3" t="s">
        <v>60</v>
      </c>
      <c r="S35" s="3">
        <v>3</v>
      </c>
      <c r="T35" s="3" t="s">
        <v>61</v>
      </c>
      <c r="U35" s="3" t="s">
        <v>62</v>
      </c>
      <c r="V35" s="3" t="s">
        <v>153</v>
      </c>
      <c r="W35" s="3" t="s">
        <v>154</v>
      </c>
      <c r="X35" s="3" t="s">
        <v>155</v>
      </c>
      <c r="Y35" s="3" t="s">
        <v>156</v>
      </c>
      <c r="Z35" s="3" t="s">
        <v>157</v>
      </c>
      <c r="AA35" s="3" t="s">
        <v>68</v>
      </c>
      <c r="AB35" s="3" t="s">
        <v>69</v>
      </c>
      <c r="AC35" s="3" t="s">
        <v>70</v>
      </c>
      <c r="AD35" s="3" t="s">
        <v>71</v>
      </c>
      <c r="AE35" s="3" t="s">
        <v>72</v>
      </c>
      <c r="AF35" s="6">
        <v>0.36599999999999999</v>
      </c>
      <c r="AG35" s="3" t="s">
        <v>73</v>
      </c>
      <c r="AH35" s="3" t="s">
        <v>74</v>
      </c>
      <c r="AI35" s="6">
        <v>0.497</v>
      </c>
      <c r="AJ35" s="3" t="s">
        <v>75</v>
      </c>
      <c r="AK35" s="3" t="s">
        <v>76</v>
      </c>
      <c r="AL35" s="6">
        <v>-0.38900000000000001</v>
      </c>
      <c r="AM35" s="7">
        <f>ROUND((L35/3*'[1]01_Parametros'!$B$3+M35/3*'[1]01_Parametros'!$B$4+N35/3*'[1]01_Parametros'!$B$5+O35/3*'[1]01_Parametros'!$B$6+IF(ISNUMBER(SEARCH("Fronteras",U35)),1,0)*'[1]01_Parametros'!$B$7)*100,1)</f>
        <v>100</v>
      </c>
      <c r="AN35" s="7">
        <f>ROUND((E35*'[1]01_Parametros'!$B$8+(1-L35/3)*'[1]01_Parametros'!$B$9+IF(OR(AA35="Alta",AA35="Media"),1,0)*'[1]01_Parametros'!$B$10)*100,1)</f>
        <v>19.5</v>
      </c>
      <c r="AO35" s="7">
        <f>ROUND((IF(ISNUMBER(SEARCH("AC01",X35)),1,0)*'[1]01_Parametros'!$B$11+IF(OR(ISNUMBER(SEARCH("AC06",X35)),ISNUMBER(SEARCH("AC03",X35))),1,0)*'[1]01_Parametros'!$B$12+(1-ABS(E35-0.5))*'[1]01_Parametros'!$B$13+S35/3.2*'[1]01_Parametros'!$B$14)*100,1)</f>
        <v>96.5</v>
      </c>
      <c r="AP35" s="7">
        <f>ROUND((L35/3*'[1]01_Parametros'!$B$15+Q35/3*'[1]01_Parametros'!$B$16+P35/3*'[1]01_Parametros'!$B$17+IF(OR(AA35="Media-baja",AA35="Baja"),1,0)*'[1]01_Parametros'!$B$18+S35/3.2*'[1]01_Parametros'!$B$19)*100,1)</f>
        <v>77.7</v>
      </c>
      <c r="AQ35" s="7">
        <f>ROUND((P35/3*'[1]01_Parametros'!$B$20+IF(OR(ISNUMBER(SEARCH("JAC",Z35)),ISNUMBER(SEARCH("JAL",Z35)),ISNUMBER(SEARCH("lider",Z35))),1,0)*'[1]01_Parametros'!$B$21+IF(LEFT(B35,14)="Corregimiento",1,0)*'[1]01_Parametros'!$B$22+Q35/3*'[1]01_Parametros'!$B$23+S35/3.2*'[1]01_Parametros'!$B$24)*100,1)</f>
        <v>34.700000000000003</v>
      </c>
      <c r="AR35" s="3" t="str">
        <f>INDEX('[1]13_Listas'!$A$2:$A$6, MATCH(MAX(AM35:AQ35), AM35:AQ35, 0))</f>
        <v>Protección y orden cotidiano</v>
      </c>
      <c r="AS35" s="3" t="str">
        <f t="shared" si="0"/>
        <v>Protección y orden cotidiano</v>
      </c>
      <c r="AT35" s="3" t="str">
        <f t="shared" si="1"/>
        <v>Activista Causal</v>
      </c>
      <c r="AU35" s="3" t="str">
        <f t="shared" si="2"/>
        <v>Seguridad urbana y combos</v>
      </c>
      <c r="AV35" s="3" t="str">
        <f>IFERROR(VLOOKUP(AS35,'[1]02_Arquetipos_Miedo_Sesgo'!$A$4:$G$8,4,FALSE),"")</f>
        <v>Sesgo de disponibilidad + sesgo de negatividad + preferencia por autoridad.</v>
      </c>
      <c r="AW35" s="3" t="str">
        <f>IFERROR(VLOOKUP(AS35,'[1]02_Arquetipos_Miedo_Sesgo'!$A$4:$G$8,3,FALSE),"")</f>
        <v>Miedo a la inseguridad, al descontrol barrial y a perder la tranquilidad cotidiana.</v>
      </c>
      <c r="AX35" s="3" t="str">
        <f>IFERROR(VLOOKUP(AS35,'[1]02_Arquetipos_Miedo_Sesgo'!$A$4:$G$8,4,FALSE),"")</f>
        <v>Sesgo de disponibilidad + sesgo de negatividad + preferencia por autoridad.</v>
      </c>
      <c r="AY35" s="3" t="str">
        <f>IFERROR(VLOOKUP(AS35,'[1]02_Arquetipos_Miedo_Sesgo'!$A$4:$G$8,5,FALSE),"")</f>
        <v>Seguridad, convivencia, movilidad, alumbrado, reacción institucional rápida, presencia de autoridad.</v>
      </c>
      <c r="AZ35" s="3" t="str">
        <f>IFERROR(VLOOKUP(AS35,'[1]02_Arquetipos_Miedo_Sesgo'!$A$4:$G$8,6,FALSE),"")</f>
        <v>Mostrar capacidad verificable de resolver problemas concretos de seguridad y convivencia sin prometer acciones ilegales.</v>
      </c>
      <c r="BA35" s="3" t="s">
        <v>77</v>
      </c>
    </row>
    <row r="36" spans="1:53" ht="43.2">
      <c r="A36" s="3" t="s">
        <v>164</v>
      </c>
      <c r="B36" s="3" t="s">
        <v>150</v>
      </c>
      <c r="C36" s="3" t="s">
        <v>165</v>
      </c>
      <c r="D36" s="4">
        <v>3035</v>
      </c>
      <c r="E36" s="5">
        <v>0.42273476112026359</v>
      </c>
      <c r="F36" s="3" t="s">
        <v>57</v>
      </c>
      <c r="G36" s="3" t="s">
        <v>58</v>
      </c>
      <c r="H36" s="3">
        <v>1283</v>
      </c>
      <c r="I36" s="3">
        <v>42.3</v>
      </c>
      <c r="J36" s="3">
        <v>5</v>
      </c>
      <c r="K36" s="3" t="s">
        <v>152</v>
      </c>
      <c r="L36" s="3">
        <v>3</v>
      </c>
      <c r="M36" s="3">
        <v>3</v>
      </c>
      <c r="N36" s="3">
        <v>3</v>
      </c>
      <c r="O36" s="3">
        <v>3</v>
      </c>
      <c r="P36" s="3">
        <v>2</v>
      </c>
      <c r="Q36" s="3">
        <v>3</v>
      </c>
      <c r="R36" s="3" t="s">
        <v>60</v>
      </c>
      <c r="S36" s="3">
        <v>3</v>
      </c>
      <c r="T36" s="3" t="s">
        <v>61</v>
      </c>
      <c r="U36" s="3" t="s">
        <v>62</v>
      </c>
      <c r="V36" s="3" t="s">
        <v>153</v>
      </c>
      <c r="W36" s="3" t="s">
        <v>154</v>
      </c>
      <c r="X36" s="3" t="s">
        <v>155</v>
      </c>
      <c r="Y36" s="3" t="s">
        <v>156</v>
      </c>
      <c r="Z36" s="3" t="s">
        <v>157</v>
      </c>
      <c r="AA36" s="3" t="s">
        <v>68</v>
      </c>
      <c r="AB36" s="3" t="s">
        <v>69</v>
      </c>
      <c r="AC36" s="3" t="s">
        <v>70</v>
      </c>
      <c r="AD36" s="3" t="s">
        <v>71</v>
      </c>
      <c r="AE36" s="3" t="s">
        <v>72</v>
      </c>
      <c r="AF36" s="6">
        <v>0.36599999999999999</v>
      </c>
      <c r="AG36" s="3" t="s">
        <v>73</v>
      </c>
      <c r="AH36" s="3" t="s">
        <v>74</v>
      </c>
      <c r="AI36" s="6">
        <v>0.497</v>
      </c>
      <c r="AJ36" s="3" t="s">
        <v>75</v>
      </c>
      <c r="AK36" s="3" t="s">
        <v>76</v>
      </c>
      <c r="AL36" s="6">
        <v>-0.38900000000000001</v>
      </c>
      <c r="AM36" s="7">
        <f>ROUND((L36/3*'[1]01_Parametros'!$B$3+M36/3*'[1]01_Parametros'!$B$4+N36/3*'[1]01_Parametros'!$B$5+O36/3*'[1]01_Parametros'!$B$6+IF(ISNUMBER(SEARCH("Fronteras",U36)),1,0)*'[1]01_Parametros'!$B$7)*100,1)</f>
        <v>100</v>
      </c>
      <c r="AN36" s="7">
        <f>ROUND((E36*'[1]01_Parametros'!$B$8+(1-L36/3)*'[1]01_Parametros'!$B$9+IF(OR(AA36="Alta",AA36="Media"),1,0)*'[1]01_Parametros'!$B$10)*100,1)</f>
        <v>21.1</v>
      </c>
      <c r="AO36" s="7">
        <f>ROUND((IF(ISNUMBER(SEARCH("AC01",X36)),1,0)*'[1]01_Parametros'!$B$11+IF(OR(ISNUMBER(SEARCH("AC06",X36)),ISNUMBER(SEARCH("AC03",X36))),1,0)*'[1]01_Parametros'!$B$12+(1-ABS(E36-0.5))*'[1]01_Parametros'!$B$13+S36/3.2*'[1]01_Parametros'!$B$14)*100,1)</f>
        <v>97.2</v>
      </c>
      <c r="AP36" s="7">
        <f>ROUND((L36/3*'[1]01_Parametros'!$B$15+Q36/3*'[1]01_Parametros'!$B$16+P36/3*'[1]01_Parametros'!$B$17+IF(OR(AA36="Media-baja",AA36="Baja"),1,0)*'[1]01_Parametros'!$B$18+S36/3.2*'[1]01_Parametros'!$B$19)*100,1)</f>
        <v>77.7</v>
      </c>
      <c r="AQ36" s="7">
        <f>ROUND((P36/3*'[1]01_Parametros'!$B$20+IF(OR(ISNUMBER(SEARCH("JAC",Z36)),ISNUMBER(SEARCH("JAL",Z36)),ISNUMBER(SEARCH("lider",Z36))),1,0)*'[1]01_Parametros'!$B$21+IF(LEFT(B36,14)="Corregimiento",1,0)*'[1]01_Parametros'!$B$22+Q36/3*'[1]01_Parametros'!$B$23+S36/3.2*'[1]01_Parametros'!$B$24)*100,1)</f>
        <v>34.700000000000003</v>
      </c>
      <c r="AR36" s="3" t="str">
        <f>INDEX('[1]13_Listas'!$A$2:$A$6, MATCH(MAX(AM36:AQ36), AM36:AQ36, 0))</f>
        <v>Protección y orden cotidiano</v>
      </c>
      <c r="AS36" s="3" t="str">
        <f t="shared" si="0"/>
        <v>Protección y orden cotidiano</v>
      </c>
      <c r="AT36" s="3" t="str">
        <f t="shared" si="1"/>
        <v>Activista Causal</v>
      </c>
      <c r="AU36" s="3" t="str">
        <f t="shared" si="2"/>
        <v>Seguridad urbana y combos</v>
      </c>
      <c r="AV36" s="3" t="str">
        <f>IFERROR(VLOOKUP(AS36,'[1]02_Arquetipos_Miedo_Sesgo'!$A$4:$G$8,4,FALSE),"")</f>
        <v>Sesgo de disponibilidad + sesgo de negatividad + preferencia por autoridad.</v>
      </c>
      <c r="AW36" s="3" t="str">
        <f>IFERROR(VLOOKUP(AS36,'[1]02_Arquetipos_Miedo_Sesgo'!$A$4:$G$8,3,FALSE),"")</f>
        <v>Miedo a la inseguridad, al descontrol barrial y a perder la tranquilidad cotidiana.</v>
      </c>
      <c r="AX36" s="3" t="str">
        <f>IFERROR(VLOOKUP(AS36,'[1]02_Arquetipos_Miedo_Sesgo'!$A$4:$G$8,4,FALSE),"")</f>
        <v>Sesgo de disponibilidad + sesgo de negatividad + preferencia por autoridad.</v>
      </c>
      <c r="AY36" s="3" t="str">
        <f>IFERROR(VLOOKUP(AS36,'[1]02_Arquetipos_Miedo_Sesgo'!$A$4:$G$8,5,FALSE),"")</f>
        <v>Seguridad, convivencia, movilidad, alumbrado, reacción institucional rápida, presencia de autoridad.</v>
      </c>
      <c r="AZ36" s="3" t="str">
        <f>IFERROR(VLOOKUP(AS36,'[1]02_Arquetipos_Miedo_Sesgo'!$A$4:$G$8,6,FALSE),"")</f>
        <v>Mostrar capacidad verificable de resolver problemas concretos de seguridad y convivencia sin prometer acciones ilegales.</v>
      </c>
      <c r="BA36" s="3" t="s">
        <v>77</v>
      </c>
    </row>
    <row r="37" spans="1:53" ht="43.2">
      <c r="A37" s="3" t="s">
        <v>166</v>
      </c>
      <c r="B37" s="3" t="s">
        <v>150</v>
      </c>
      <c r="C37" s="3" t="s">
        <v>167</v>
      </c>
      <c r="D37" s="4">
        <v>10247</v>
      </c>
      <c r="E37" s="5">
        <v>0.39972674929247587</v>
      </c>
      <c r="F37" s="3" t="s">
        <v>57</v>
      </c>
      <c r="G37" s="3" t="s">
        <v>58</v>
      </c>
      <c r="H37" s="3">
        <v>4096</v>
      </c>
      <c r="I37" s="3">
        <v>40</v>
      </c>
      <c r="J37" s="3">
        <v>5</v>
      </c>
      <c r="K37" s="3" t="s">
        <v>152</v>
      </c>
      <c r="L37" s="3">
        <v>3</v>
      </c>
      <c r="M37" s="3">
        <v>3</v>
      </c>
      <c r="N37" s="3">
        <v>3</v>
      </c>
      <c r="O37" s="3">
        <v>3</v>
      </c>
      <c r="P37" s="3">
        <v>2</v>
      </c>
      <c r="Q37" s="3">
        <v>3</v>
      </c>
      <c r="R37" s="3" t="s">
        <v>60</v>
      </c>
      <c r="S37" s="3">
        <v>3</v>
      </c>
      <c r="T37" s="3" t="s">
        <v>61</v>
      </c>
      <c r="U37" s="3" t="s">
        <v>62</v>
      </c>
      <c r="V37" s="3" t="s">
        <v>153</v>
      </c>
      <c r="W37" s="3" t="s">
        <v>154</v>
      </c>
      <c r="X37" s="3" t="s">
        <v>155</v>
      </c>
      <c r="Y37" s="3" t="s">
        <v>156</v>
      </c>
      <c r="Z37" s="3" t="s">
        <v>157</v>
      </c>
      <c r="AA37" s="3" t="s">
        <v>68</v>
      </c>
      <c r="AB37" s="3" t="s">
        <v>69</v>
      </c>
      <c r="AC37" s="3" t="s">
        <v>70</v>
      </c>
      <c r="AD37" s="3" t="s">
        <v>71</v>
      </c>
      <c r="AE37" s="3" t="s">
        <v>72</v>
      </c>
      <c r="AF37" s="6">
        <v>0.36599999999999999</v>
      </c>
      <c r="AG37" s="3" t="s">
        <v>73</v>
      </c>
      <c r="AH37" s="3" t="s">
        <v>74</v>
      </c>
      <c r="AI37" s="6">
        <v>0.497</v>
      </c>
      <c r="AJ37" s="3" t="s">
        <v>75</v>
      </c>
      <c r="AK37" s="3" t="s">
        <v>76</v>
      </c>
      <c r="AL37" s="6">
        <v>-0.38900000000000001</v>
      </c>
      <c r="AM37" s="7">
        <f>ROUND((L37/3*'[1]01_Parametros'!$B$3+M37/3*'[1]01_Parametros'!$B$4+N37/3*'[1]01_Parametros'!$B$5+O37/3*'[1]01_Parametros'!$B$6+IF(ISNUMBER(SEARCH("Fronteras",U37)),1,0)*'[1]01_Parametros'!$B$7)*100,1)</f>
        <v>100</v>
      </c>
      <c r="AN37" s="7">
        <f>ROUND((E37*'[1]01_Parametros'!$B$8+(1-L37/3)*'[1]01_Parametros'!$B$9+IF(OR(AA37="Alta",AA37="Media"),1,0)*'[1]01_Parametros'!$B$10)*100,1)</f>
        <v>20</v>
      </c>
      <c r="AO37" s="7">
        <f>ROUND((IF(ISNUMBER(SEARCH("AC01",X37)),1,0)*'[1]01_Parametros'!$B$11+IF(OR(ISNUMBER(SEARCH("AC06",X37)),ISNUMBER(SEARCH("AC03",X37))),1,0)*'[1]01_Parametros'!$B$12+(1-ABS(E37-0.5))*'[1]01_Parametros'!$B$13+S37/3.2*'[1]01_Parametros'!$B$14)*100,1)</f>
        <v>96.7</v>
      </c>
      <c r="AP37" s="7">
        <f>ROUND((L37/3*'[1]01_Parametros'!$B$15+Q37/3*'[1]01_Parametros'!$B$16+P37/3*'[1]01_Parametros'!$B$17+IF(OR(AA37="Media-baja",AA37="Baja"),1,0)*'[1]01_Parametros'!$B$18+S37/3.2*'[1]01_Parametros'!$B$19)*100,1)</f>
        <v>77.7</v>
      </c>
      <c r="AQ37" s="7">
        <f>ROUND((P37/3*'[1]01_Parametros'!$B$20+IF(OR(ISNUMBER(SEARCH("JAC",Z37)),ISNUMBER(SEARCH("JAL",Z37)),ISNUMBER(SEARCH("lider",Z37))),1,0)*'[1]01_Parametros'!$B$21+IF(LEFT(B37,14)="Corregimiento",1,0)*'[1]01_Parametros'!$B$22+Q37/3*'[1]01_Parametros'!$B$23+S37/3.2*'[1]01_Parametros'!$B$24)*100,1)</f>
        <v>34.700000000000003</v>
      </c>
      <c r="AR37" s="3" t="str">
        <f>INDEX('[1]13_Listas'!$A$2:$A$6, MATCH(MAX(AM37:AQ37), AM37:AQ37, 0))</f>
        <v>Protección y orden cotidiano</v>
      </c>
      <c r="AS37" s="3" t="str">
        <f t="shared" si="0"/>
        <v>Protección y orden cotidiano</v>
      </c>
      <c r="AT37" s="3" t="str">
        <f t="shared" si="1"/>
        <v>Activista Causal</v>
      </c>
      <c r="AU37" s="3" t="str">
        <f t="shared" si="2"/>
        <v>Seguridad urbana y combos</v>
      </c>
      <c r="AV37" s="3" t="str">
        <f>IFERROR(VLOOKUP(AS37,'[1]02_Arquetipos_Miedo_Sesgo'!$A$4:$G$8,4,FALSE),"")</f>
        <v>Sesgo de disponibilidad + sesgo de negatividad + preferencia por autoridad.</v>
      </c>
      <c r="AW37" s="3" t="str">
        <f>IFERROR(VLOOKUP(AS37,'[1]02_Arquetipos_Miedo_Sesgo'!$A$4:$G$8,3,FALSE),"")</f>
        <v>Miedo a la inseguridad, al descontrol barrial y a perder la tranquilidad cotidiana.</v>
      </c>
      <c r="AX37" s="3" t="str">
        <f>IFERROR(VLOOKUP(AS37,'[1]02_Arquetipos_Miedo_Sesgo'!$A$4:$G$8,4,FALSE),"")</f>
        <v>Sesgo de disponibilidad + sesgo de negatividad + preferencia por autoridad.</v>
      </c>
      <c r="AY37" s="3" t="str">
        <f>IFERROR(VLOOKUP(AS37,'[1]02_Arquetipos_Miedo_Sesgo'!$A$4:$G$8,5,FALSE),"")</f>
        <v>Seguridad, convivencia, movilidad, alumbrado, reacción institucional rápida, presencia de autoridad.</v>
      </c>
      <c r="AZ37" s="3" t="str">
        <f>IFERROR(VLOOKUP(AS37,'[1]02_Arquetipos_Miedo_Sesgo'!$A$4:$G$8,6,FALSE),"")</f>
        <v>Mostrar capacidad verificable de resolver problemas concretos de seguridad y convivencia sin prometer acciones ilegales.</v>
      </c>
      <c r="BA37" s="3" t="s">
        <v>77</v>
      </c>
    </row>
    <row r="38" spans="1:53" ht="43.2">
      <c r="A38" s="3" t="s">
        <v>168</v>
      </c>
      <c r="B38" s="3" t="s">
        <v>150</v>
      </c>
      <c r="C38" s="3" t="s">
        <v>169</v>
      </c>
      <c r="D38" s="4">
        <v>468</v>
      </c>
      <c r="E38" s="5">
        <v>0.36752136752136755</v>
      </c>
      <c r="F38" s="3" t="s">
        <v>170</v>
      </c>
      <c r="G38" s="3" t="s">
        <v>83</v>
      </c>
      <c r="H38" s="3">
        <v>172</v>
      </c>
      <c r="I38" s="3">
        <v>36.799999999999997</v>
      </c>
      <c r="J38" s="3">
        <v>5</v>
      </c>
      <c r="K38" s="3" t="s">
        <v>152</v>
      </c>
      <c r="L38" s="3">
        <v>3</v>
      </c>
      <c r="M38" s="3">
        <v>3</v>
      </c>
      <c r="N38" s="3">
        <v>3</v>
      </c>
      <c r="O38" s="3">
        <v>3</v>
      </c>
      <c r="P38" s="3">
        <v>2</v>
      </c>
      <c r="Q38" s="3">
        <v>3</v>
      </c>
      <c r="R38" s="3" t="s">
        <v>60</v>
      </c>
      <c r="S38" s="3">
        <v>3</v>
      </c>
      <c r="T38" s="3" t="s">
        <v>61</v>
      </c>
      <c r="U38" s="3" t="s">
        <v>62</v>
      </c>
      <c r="V38" s="3" t="s">
        <v>153</v>
      </c>
      <c r="W38" s="3" t="s">
        <v>154</v>
      </c>
      <c r="X38" s="3" t="s">
        <v>155</v>
      </c>
      <c r="Y38" s="3" t="s">
        <v>156</v>
      </c>
      <c r="Z38" s="3" t="s">
        <v>157</v>
      </c>
      <c r="AA38" s="3" t="s">
        <v>68</v>
      </c>
      <c r="AB38" s="3" t="s">
        <v>69</v>
      </c>
      <c r="AC38" s="3" t="s">
        <v>70</v>
      </c>
      <c r="AD38" s="3" t="s">
        <v>71</v>
      </c>
      <c r="AE38" s="3" t="s">
        <v>85</v>
      </c>
      <c r="AF38" s="6">
        <v>0.42399999999999999</v>
      </c>
      <c r="AG38" s="3" t="s">
        <v>73</v>
      </c>
      <c r="AH38" s="3" t="s">
        <v>76</v>
      </c>
      <c r="AI38" s="6">
        <v>0.434</v>
      </c>
      <c r="AJ38" s="3" t="s">
        <v>73</v>
      </c>
      <c r="AK38" s="3" t="s">
        <v>74</v>
      </c>
      <c r="AL38" s="6">
        <v>-0.79600000000000004</v>
      </c>
      <c r="AM38" s="7">
        <f>ROUND((L38/3*'[1]01_Parametros'!$B$3+M38/3*'[1]01_Parametros'!$B$4+N38/3*'[1]01_Parametros'!$B$5+O38/3*'[1]01_Parametros'!$B$6+IF(ISNUMBER(SEARCH("Fronteras",U38)),1,0)*'[1]01_Parametros'!$B$7)*100,1)</f>
        <v>100</v>
      </c>
      <c r="AN38" s="7">
        <f>ROUND((E38*'[1]01_Parametros'!$B$8+(1-L38/3)*'[1]01_Parametros'!$B$9+IF(OR(AA38="Alta",AA38="Media"),1,0)*'[1]01_Parametros'!$B$10)*100,1)</f>
        <v>18.399999999999999</v>
      </c>
      <c r="AO38" s="7">
        <f>ROUND((IF(ISNUMBER(SEARCH("AC01",X38)),1,0)*'[1]01_Parametros'!$B$11+IF(OR(ISNUMBER(SEARCH("AC06",X38)),ISNUMBER(SEARCH("AC03",X38))),1,0)*'[1]01_Parametros'!$B$12+(1-ABS(E38-0.5))*'[1]01_Parametros'!$B$13+S38/3.2*'[1]01_Parametros'!$B$14)*100,1)</f>
        <v>96.1</v>
      </c>
      <c r="AP38" s="7">
        <f>ROUND((L38/3*'[1]01_Parametros'!$B$15+Q38/3*'[1]01_Parametros'!$B$16+P38/3*'[1]01_Parametros'!$B$17+IF(OR(AA38="Media-baja",AA38="Baja"),1,0)*'[1]01_Parametros'!$B$18+S38/3.2*'[1]01_Parametros'!$B$19)*100,1)</f>
        <v>77.7</v>
      </c>
      <c r="AQ38" s="7">
        <f>ROUND((P38/3*'[1]01_Parametros'!$B$20+IF(OR(ISNUMBER(SEARCH("JAC",Z38)),ISNUMBER(SEARCH("JAL",Z38)),ISNUMBER(SEARCH("lider",Z38))),1,0)*'[1]01_Parametros'!$B$21+IF(LEFT(B38,14)="Corregimiento",1,0)*'[1]01_Parametros'!$B$22+Q38/3*'[1]01_Parametros'!$B$23+S38/3.2*'[1]01_Parametros'!$B$24)*100,1)</f>
        <v>34.700000000000003</v>
      </c>
      <c r="AR38" s="3" t="str">
        <f>INDEX('[1]13_Listas'!$A$2:$A$6, MATCH(MAX(AM38:AQ38), AM38:AQ38, 0))</f>
        <v>Protección y orden cotidiano</v>
      </c>
      <c r="AS38" s="3" t="str">
        <f t="shared" si="0"/>
        <v>Protección y orden cotidiano</v>
      </c>
      <c r="AT38" s="3" t="str">
        <f t="shared" si="1"/>
        <v>Activista Causal</v>
      </c>
      <c r="AU38" s="3" t="str">
        <f t="shared" si="2"/>
        <v>Seguridad urbana y combos</v>
      </c>
      <c r="AV38" s="3" t="str">
        <f>IFERROR(VLOOKUP(AS38,'[1]02_Arquetipos_Miedo_Sesgo'!$A$4:$G$8,4,FALSE),"")</f>
        <v>Sesgo de disponibilidad + sesgo de negatividad + preferencia por autoridad.</v>
      </c>
      <c r="AW38" s="3" t="str">
        <f>IFERROR(VLOOKUP(AS38,'[1]02_Arquetipos_Miedo_Sesgo'!$A$4:$G$8,3,FALSE),"")</f>
        <v>Miedo a la inseguridad, al descontrol barrial y a perder la tranquilidad cotidiana.</v>
      </c>
      <c r="AX38" s="3" t="str">
        <f>IFERROR(VLOOKUP(AS38,'[1]02_Arquetipos_Miedo_Sesgo'!$A$4:$G$8,4,FALSE),"")</f>
        <v>Sesgo de disponibilidad + sesgo de negatividad + preferencia por autoridad.</v>
      </c>
      <c r="AY38" s="3" t="str">
        <f>IFERROR(VLOOKUP(AS38,'[1]02_Arquetipos_Miedo_Sesgo'!$A$4:$G$8,5,FALSE),"")</f>
        <v>Seguridad, convivencia, movilidad, alumbrado, reacción institucional rápida, presencia de autoridad.</v>
      </c>
      <c r="AZ38" s="3" t="str">
        <f>IFERROR(VLOOKUP(AS38,'[1]02_Arquetipos_Miedo_Sesgo'!$A$4:$G$8,6,FALSE),"")</f>
        <v>Mostrar capacidad verificable de resolver problemas concretos de seguridad y convivencia sin prometer acciones ilegales.</v>
      </c>
      <c r="BA38" s="3" t="s">
        <v>77</v>
      </c>
    </row>
    <row r="39" spans="1:53" ht="43.2">
      <c r="A39" s="3" t="s">
        <v>171</v>
      </c>
      <c r="B39" s="3" t="s">
        <v>172</v>
      </c>
      <c r="C39" s="3" t="s">
        <v>173</v>
      </c>
      <c r="D39" s="4">
        <v>2450</v>
      </c>
      <c r="E39" s="5">
        <v>0.32122448979591839</v>
      </c>
      <c r="F39" s="3" t="s">
        <v>82</v>
      </c>
      <c r="G39" s="3" t="s">
        <v>83</v>
      </c>
      <c r="H39" s="3">
        <v>787</v>
      </c>
      <c r="I39" s="3">
        <v>32.1</v>
      </c>
      <c r="J39" s="3">
        <v>0</v>
      </c>
      <c r="K39" s="3"/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 t="s">
        <v>174</v>
      </c>
      <c r="S39" s="3">
        <v>0</v>
      </c>
      <c r="T39" s="3" t="s">
        <v>174</v>
      </c>
      <c r="U39" s="3"/>
      <c r="V39" s="3"/>
      <c r="W39" s="3"/>
      <c r="X39" s="3"/>
      <c r="Y39" s="3"/>
      <c r="Z39" s="3"/>
      <c r="AA39" s="3" t="s">
        <v>175</v>
      </c>
      <c r="AB39" s="3" t="s">
        <v>176</v>
      </c>
      <c r="AC39" s="3" t="s">
        <v>176</v>
      </c>
      <c r="AD39" s="3" t="s">
        <v>177</v>
      </c>
      <c r="AE39" s="3" t="s">
        <v>84</v>
      </c>
      <c r="AF39" s="6">
        <v>0.73199999999999998</v>
      </c>
      <c r="AG39" s="3" t="s">
        <v>61</v>
      </c>
      <c r="AH39" s="3" t="s">
        <v>74</v>
      </c>
      <c r="AI39" s="6">
        <v>0.69099999999999995</v>
      </c>
      <c r="AJ39" s="3" t="s">
        <v>61</v>
      </c>
      <c r="AK39" s="3" t="s">
        <v>85</v>
      </c>
      <c r="AL39" s="6">
        <v>-0.50800000000000001</v>
      </c>
      <c r="AM39" s="7">
        <f>ROUND((L39/3*'[1]01_Parametros'!$B$3+M39/3*'[1]01_Parametros'!$B$4+N39/3*'[1]01_Parametros'!$B$5+O39/3*'[1]01_Parametros'!$B$6+IF(ISNUMBER(SEARCH("Fronteras",U39)),1,0)*'[1]01_Parametros'!$B$7)*100,1)</f>
        <v>0</v>
      </c>
      <c r="AN39" s="7">
        <f>ROUND((E39*'[1]01_Parametros'!$B$8+(1-L39/3)*'[1]01_Parametros'!$B$9+IF(OR(AA39="Alta",AA39="Media"),1,0)*'[1]01_Parametros'!$B$10)*100,1)</f>
        <v>46.1</v>
      </c>
      <c r="AO39" s="7">
        <f>ROUND((IF(ISNUMBER(SEARCH("AC01",X39)),1,0)*'[1]01_Parametros'!$B$11+IF(OR(ISNUMBER(SEARCH("AC06",X39)),ISNUMBER(SEARCH("AC03",X39))),1,0)*'[1]01_Parametros'!$B$12+(1-ABS(E39-0.5))*'[1]01_Parametros'!$B$13+S39/3.2*'[1]01_Parametros'!$B$14)*100,1)</f>
        <v>16.399999999999999</v>
      </c>
      <c r="AP39" s="7">
        <f>ROUND((L39/3*'[1]01_Parametros'!$B$15+Q39/3*'[1]01_Parametros'!$B$16+P39/3*'[1]01_Parametros'!$B$17+IF(OR(AA39="Media-baja",AA39="Baja"),1,0)*'[1]01_Parametros'!$B$18+S39/3.2*'[1]01_Parametros'!$B$19)*100,1)</f>
        <v>0</v>
      </c>
      <c r="AQ39" s="7">
        <f>ROUND((P39/3*'[1]01_Parametros'!$B$20+IF(OR(ISNUMBER(SEARCH("JAC",Z39)),ISNUMBER(SEARCH("JAL",Z39)),ISNUMBER(SEARCH("lider",Z39))),1,0)*'[1]01_Parametros'!$B$21+IF(LEFT(B39,14)="Corregimiento",1,0)*'[1]01_Parametros'!$B$22+Q39/3*'[1]01_Parametros'!$B$23+S39/3.2*'[1]01_Parametros'!$B$24)*100,1)</f>
        <v>0</v>
      </c>
      <c r="AR39" s="3" t="str">
        <f>INDEX('[1]13_Listas'!$A$2:$A$6, MATCH(MAX(AM39:AQ39), AM39:AQ39, 0))</f>
        <v>Estabilidad y continuidad</v>
      </c>
      <c r="AS39" s="3" t="str">
        <f t="shared" si="0"/>
        <v>Estabilidad y continuidad</v>
      </c>
      <c r="AT39" s="3" t="str">
        <f t="shared" si="1"/>
        <v>Confirmador Silencioso</v>
      </c>
      <c r="AU39" s="3" t="str">
        <f t="shared" si="2"/>
        <v>Encuestas y caballo ganador / menos malo</v>
      </c>
      <c r="AV39" s="3" t="str">
        <f>IFERROR(VLOOKUP(AS39,'[1]02_Arquetipos_Miedo_Sesgo'!$A$4:$G$8,4,FALSE),"")</f>
        <v>Aversión a la pérdida + sesgo de statu quo + confirmación.</v>
      </c>
      <c r="AW39" s="3" t="str">
        <f>IFERROR(VLOOKUP(AS39,'[1]02_Arquetipos_Miedo_Sesgo'!$A$4:$G$8,3,FALSE),"")</f>
        <v>Miedo a perder beneficios, subsidios, estabilidad institucional o condiciones de vida ya alcanzadas.</v>
      </c>
      <c r="AX39" s="3" t="str">
        <f>IFERROR(VLOOKUP(AS39,'[1]02_Arquetipos_Miedo_Sesgo'!$A$4:$G$8,4,FALSE),"")</f>
        <v>Aversión a la pérdida + sesgo de statu quo + confirmación.</v>
      </c>
      <c r="AY39" s="3" t="str">
        <f>IFERROR(VLOOKUP(AS39,'[1]02_Arquetipos_Miedo_Sesgo'!$A$4:$G$8,5,FALSE),"")</f>
        <v>Continuidad administrativa, servicios públicos, infraestructura, salud, educación y programas sociales.</v>
      </c>
      <c r="AZ39" s="3" t="str">
        <f>IFERROR(VLOOKUP(AS39,'[1]02_Arquetipos_Miedo_Sesgo'!$A$4:$G$8,6,FALSE),"")</f>
        <v>Explicar qué se mantiene, qué se mejora y cómo se reducen riesgos de cambio brusco.</v>
      </c>
      <c r="BA39" s="3" t="s">
        <v>77</v>
      </c>
    </row>
    <row r="40" spans="1:53" ht="43.2">
      <c r="A40" s="3" t="s">
        <v>178</v>
      </c>
      <c r="B40" s="3" t="s">
        <v>179</v>
      </c>
      <c r="C40" s="3" t="s">
        <v>180</v>
      </c>
      <c r="D40" s="4">
        <v>2137</v>
      </c>
      <c r="E40" s="5">
        <v>0.31352363125877397</v>
      </c>
      <c r="F40" s="3" t="s">
        <v>170</v>
      </c>
      <c r="G40" s="3" t="s">
        <v>83</v>
      </c>
      <c r="H40" s="3">
        <v>670</v>
      </c>
      <c r="I40" s="3">
        <v>31.4</v>
      </c>
      <c r="J40" s="3">
        <v>0</v>
      </c>
      <c r="K40" s="3"/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 t="s">
        <v>174</v>
      </c>
      <c r="S40" s="3">
        <v>0</v>
      </c>
      <c r="T40" s="3" t="s">
        <v>174</v>
      </c>
      <c r="U40" s="3"/>
      <c r="V40" s="3"/>
      <c r="W40" s="3"/>
      <c r="X40" s="3"/>
      <c r="Y40" s="3"/>
      <c r="Z40" s="3"/>
      <c r="AA40" s="3" t="s">
        <v>175</v>
      </c>
      <c r="AB40" s="3" t="s">
        <v>176</v>
      </c>
      <c r="AC40" s="3" t="s">
        <v>176</v>
      </c>
      <c r="AD40" s="3" t="s">
        <v>177</v>
      </c>
      <c r="AE40" s="3" t="s">
        <v>85</v>
      </c>
      <c r="AF40" s="6">
        <v>0.42399999999999999</v>
      </c>
      <c r="AG40" s="3" t="s">
        <v>73</v>
      </c>
      <c r="AH40" s="3" t="s">
        <v>76</v>
      </c>
      <c r="AI40" s="6">
        <v>0.434</v>
      </c>
      <c r="AJ40" s="3" t="s">
        <v>73</v>
      </c>
      <c r="AK40" s="3" t="s">
        <v>74</v>
      </c>
      <c r="AL40" s="6">
        <v>-0.79600000000000004</v>
      </c>
      <c r="AM40" s="7">
        <f>ROUND((L40/3*'[1]01_Parametros'!$B$3+M40/3*'[1]01_Parametros'!$B$4+N40/3*'[1]01_Parametros'!$B$5+O40/3*'[1]01_Parametros'!$B$6+IF(ISNUMBER(SEARCH("Fronteras",U40)),1,0)*'[1]01_Parametros'!$B$7)*100,1)</f>
        <v>0</v>
      </c>
      <c r="AN40" s="7">
        <f>ROUND((E40*'[1]01_Parametros'!$B$8+(1-L40/3)*'[1]01_Parametros'!$B$9+IF(OR(AA40="Alta",AA40="Media"),1,0)*'[1]01_Parametros'!$B$10)*100,1)</f>
        <v>45.7</v>
      </c>
      <c r="AO40" s="7">
        <f>ROUND((IF(ISNUMBER(SEARCH("AC01",X40)),1,0)*'[1]01_Parametros'!$B$11+IF(OR(ISNUMBER(SEARCH("AC06",X40)),ISNUMBER(SEARCH("AC03",X40))),1,0)*'[1]01_Parametros'!$B$12+(1-ABS(E40-0.5))*'[1]01_Parametros'!$B$13+S40/3.2*'[1]01_Parametros'!$B$14)*100,1)</f>
        <v>16.3</v>
      </c>
      <c r="AP40" s="7">
        <f>ROUND((L40/3*'[1]01_Parametros'!$B$15+Q40/3*'[1]01_Parametros'!$B$16+P40/3*'[1]01_Parametros'!$B$17+IF(OR(AA40="Media-baja",AA40="Baja"),1,0)*'[1]01_Parametros'!$B$18+S40/3.2*'[1]01_Parametros'!$B$19)*100,1)</f>
        <v>0</v>
      </c>
      <c r="AQ40" s="7">
        <f>ROUND((P40/3*'[1]01_Parametros'!$B$20+IF(OR(ISNUMBER(SEARCH("JAC",Z40)),ISNUMBER(SEARCH("JAL",Z40)),ISNUMBER(SEARCH("lider",Z40))),1,0)*'[1]01_Parametros'!$B$21+IF(LEFT(B40,14)="Corregimiento",1,0)*'[1]01_Parametros'!$B$22+Q40/3*'[1]01_Parametros'!$B$23+S40/3.2*'[1]01_Parametros'!$B$24)*100,1)</f>
        <v>0</v>
      </c>
      <c r="AR40" s="3" t="str">
        <f>INDEX('[1]13_Listas'!$A$2:$A$6, MATCH(MAX(AM40:AQ40), AM40:AQ40, 0))</f>
        <v>Estabilidad y continuidad</v>
      </c>
      <c r="AS40" s="3" t="str">
        <f t="shared" si="0"/>
        <v>Estabilidad y continuidad</v>
      </c>
      <c r="AT40" s="3" t="str">
        <f t="shared" si="1"/>
        <v>Confirmador Silencioso</v>
      </c>
      <c r="AU40" s="3" t="str">
        <f t="shared" si="2"/>
        <v>Encuestas y caballo ganador / menos malo</v>
      </c>
      <c r="AV40" s="3" t="str">
        <f>IFERROR(VLOOKUP(AS40,'[1]02_Arquetipos_Miedo_Sesgo'!$A$4:$G$8,4,FALSE),"")</f>
        <v>Aversión a la pérdida + sesgo de statu quo + confirmación.</v>
      </c>
      <c r="AW40" s="3" t="str">
        <f>IFERROR(VLOOKUP(AS40,'[1]02_Arquetipos_Miedo_Sesgo'!$A$4:$G$8,3,FALSE),"")</f>
        <v>Miedo a perder beneficios, subsidios, estabilidad institucional o condiciones de vida ya alcanzadas.</v>
      </c>
      <c r="AX40" s="3" t="str">
        <f>IFERROR(VLOOKUP(AS40,'[1]02_Arquetipos_Miedo_Sesgo'!$A$4:$G$8,4,FALSE),"")</f>
        <v>Aversión a la pérdida + sesgo de statu quo + confirmación.</v>
      </c>
      <c r="AY40" s="3" t="str">
        <f>IFERROR(VLOOKUP(AS40,'[1]02_Arquetipos_Miedo_Sesgo'!$A$4:$G$8,5,FALSE),"")</f>
        <v>Continuidad administrativa, servicios públicos, infraestructura, salud, educación y programas sociales.</v>
      </c>
      <c r="AZ40" s="3" t="str">
        <f>IFERROR(VLOOKUP(AS40,'[1]02_Arquetipos_Miedo_Sesgo'!$A$4:$G$8,6,FALSE),"")</f>
        <v>Explicar qué se mantiene, qué se mejora y cómo se reducen riesgos de cambio brusco.</v>
      </c>
      <c r="BA40" s="3" t="s">
        <v>77</v>
      </c>
    </row>
    <row r="41" spans="1:53" ht="43.2">
      <c r="A41" s="3" t="s">
        <v>181</v>
      </c>
      <c r="B41" s="3" t="s">
        <v>182</v>
      </c>
      <c r="C41" s="3" t="s">
        <v>183</v>
      </c>
      <c r="D41" s="4">
        <v>115</v>
      </c>
      <c r="E41" s="5">
        <v>0.55652173913043479</v>
      </c>
      <c r="F41" s="3" t="s">
        <v>170</v>
      </c>
      <c r="G41" s="3" t="s">
        <v>83</v>
      </c>
      <c r="H41" s="3">
        <v>64</v>
      </c>
      <c r="I41" s="3">
        <v>55.7</v>
      </c>
      <c r="J41" s="3">
        <v>0</v>
      </c>
      <c r="K41" s="3"/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 t="s">
        <v>174</v>
      </c>
      <c r="S41" s="3">
        <v>0</v>
      </c>
      <c r="T41" s="3" t="s">
        <v>174</v>
      </c>
      <c r="U41" s="3"/>
      <c r="V41" s="3"/>
      <c r="W41" s="3"/>
      <c r="X41" s="3"/>
      <c r="Y41" s="3"/>
      <c r="Z41" s="3"/>
      <c r="AA41" s="3" t="s">
        <v>175</v>
      </c>
      <c r="AB41" s="3" t="s">
        <v>176</v>
      </c>
      <c r="AC41" s="3" t="s">
        <v>176</v>
      </c>
      <c r="AD41" s="3" t="s">
        <v>177</v>
      </c>
      <c r="AE41" s="3" t="s">
        <v>85</v>
      </c>
      <c r="AF41" s="6">
        <v>0.42399999999999999</v>
      </c>
      <c r="AG41" s="3" t="s">
        <v>73</v>
      </c>
      <c r="AH41" s="3" t="s">
        <v>76</v>
      </c>
      <c r="AI41" s="6">
        <v>0.434</v>
      </c>
      <c r="AJ41" s="3" t="s">
        <v>73</v>
      </c>
      <c r="AK41" s="3" t="s">
        <v>74</v>
      </c>
      <c r="AL41" s="6">
        <v>-0.79600000000000004</v>
      </c>
      <c r="AM41" s="7">
        <f>ROUND((L41/3*'[1]01_Parametros'!$B$3+M41/3*'[1]01_Parametros'!$B$4+N41/3*'[1]01_Parametros'!$B$5+O41/3*'[1]01_Parametros'!$B$6+IF(ISNUMBER(SEARCH("Fronteras",U41)),1,0)*'[1]01_Parametros'!$B$7)*100,1)</f>
        <v>0</v>
      </c>
      <c r="AN41" s="7">
        <f>ROUND((E41*'[1]01_Parametros'!$B$8+(1-L41/3)*'[1]01_Parametros'!$B$9+IF(OR(AA41="Alta",AA41="Media"),1,0)*'[1]01_Parametros'!$B$10)*100,1)</f>
        <v>57.8</v>
      </c>
      <c r="AO41" s="7">
        <f>ROUND((IF(ISNUMBER(SEARCH("AC01",X41)),1,0)*'[1]01_Parametros'!$B$11+IF(OR(ISNUMBER(SEARCH("AC06",X41)),ISNUMBER(SEARCH("AC03",X41))),1,0)*'[1]01_Parametros'!$B$12+(1-ABS(E41-0.5))*'[1]01_Parametros'!$B$13+S41/3.2*'[1]01_Parametros'!$B$14)*100,1)</f>
        <v>18.899999999999999</v>
      </c>
      <c r="AP41" s="7">
        <f>ROUND((L41/3*'[1]01_Parametros'!$B$15+Q41/3*'[1]01_Parametros'!$B$16+P41/3*'[1]01_Parametros'!$B$17+IF(OR(AA41="Media-baja",AA41="Baja"),1,0)*'[1]01_Parametros'!$B$18+S41/3.2*'[1]01_Parametros'!$B$19)*100,1)</f>
        <v>0</v>
      </c>
      <c r="AQ41" s="7">
        <f>ROUND((P41/3*'[1]01_Parametros'!$B$20+IF(OR(ISNUMBER(SEARCH("JAC",Z41)),ISNUMBER(SEARCH("JAL",Z41)),ISNUMBER(SEARCH("lider",Z41))),1,0)*'[1]01_Parametros'!$B$21+IF(LEFT(B41,14)="Corregimiento",1,0)*'[1]01_Parametros'!$B$22+Q41/3*'[1]01_Parametros'!$B$23+S41/3.2*'[1]01_Parametros'!$B$24)*100,1)</f>
        <v>0</v>
      </c>
      <c r="AR41" s="3" t="str">
        <f>INDEX('[1]13_Listas'!$A$2:$A$6, MATCH(MAX(AM41:AQ41), AM41:AQ41, 0))</f>
        <v>Estabilidad y continuidad</v>
      </c>
      <c r="AS41" s="3" t="str">
        <f t="shared" si="0"/>
        <v>Estabilidad y continuidad</v>
      </c>
      <c r="AT41" s="3" t="str">
        <f t="shared" si="1"/>
        <v>Confirmador Silencioso</v>
      </c>
      <c r="AU41" s="3" t="str">
        <f t="shared" si="2"/>
        <v>Encuestas y caballo ganador / menos malo</v>
      </c>
      <c r="AV41" s="3" t="str">
        <f>IFERROR(VLOOKUP(AS41,'[1]02_Arquetipos_Miedo_Sesgo'!$A$4:$G$8,4,FALSE),"")</f>
        <v>Aversión a la pérdida + sesgo de statu quo + confirmación.</v>
      </c>
      <c r="AW41" s="3" t="str">
        <f>IFERROR(VLOOKUP(AS41,'[1]02_Arquetipos_Miedo_Sesgo'!$A$4:$G$8,3,FALSE),"")</f>
        <v>Miedo a perder beneficios, subsidios, estabilidad institucional o condiciones de vida ya alcanzadas.</v>
      </c>
      <c r="AX41" s="3" t="str">
        <f>IFERROR(VLOOKUP(AS41,'[1]02_Arquetipos_Miedo_Sesgo'!$A$4:$G$8,4,FALSE),"")</f>
        <v>Aversión a la pérdida + sesgo de statu quo + confirmación.</v>
      </c>
      <c r="AY41" s="3" t="str">
        <f>IFERROR(VLOOKUP(AS41,'[1]02_Arquetipos_Miedo_Sesgo'!$A$4:$G$8,5,FALSE),"")</f>
        <v>Continuidad administrativa, servicios públicos, infraestructura, salud, educación y programas sociales.</v>
      </c>
      <c r="AZ41" s="3" t="str">
        <f>IFERROR(VLOOKUP(AS41,'[1]02_Arquetipos_Miedo_Sesgo'!$A$4:$G$8,6,FALSE),"")</f>
        <v>Explicar qué se mantiene, qué se mejora y cómo se reducen riesgos de cambio brusco.</v>
      </c>
      <c r="BA41" s="3" t="s">
        <v>77</v>
      </c>
    </row>
    <row r="42" spans="1:53" ht="43.2">
      <c r="A42" s="3" t="s">
        <v>184</v>
      </c>
      <c r="B42" s="3" t="s">
        <v>185</v>
      </c>
      <c r="C42" s="3" t="s">
        <v>186</v>
      </c>
      <c r="D42" s="4">
        <v>953</v>
      </c>
      <c r="E42" s="5">
        <v>0.36306400839454356</v>
      </c>
      <c r="F42" s="3" t="s">
        <v>57</v>
      </c>
      <c r="G42" s="3" t="s">
        <v>58</v>
      </c>
      <c r="H42" s="3">
        <v>346</v>
      </c>
      <c r="I42" s="3">
        <v>36.299999999999997</v>
      </c>
      <c r="J42" s="3">
        <v>0</v>
      </c>
      <c r="K42" s="3"/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 t="s">
        <v>174</v>
      </c>
      <c r="S42" s="3">
        <v>0</v>
      </c>
      <c r="T42" s="3" t="s">
        <v>174</v>
      </c>
      <c r="U42" s="3"/>
      <c r="V42" s="3"/>
      <c r="W42" s="3"/>
      <c r="X42" s="3"/>
      <c r="Y42" s="3"/>
      <c r="Z42" s="3"/>
      <c r="AA42" s="3" t="s">
        <v>175</v>
      </c>
      <c r="AB42" s="3" t="s">
        <v>176</v>
      </c>
      <c r="AC42" s="3" t="s">
        <v>176</v>
      </c>
      <c r="AD42" s="3" t="s">
        <v>177</v>
      </c>
      <c r="AE42" s="3" t="s">
        <v>72</v>
      </c>
      <c r="AF42" s="6">
        <v>0.36599999999999999</v>
      </c>
      <c r="AG42" s="3" t="s">
        <v>73</v>
      </c>
      <c r="AH42" s="3" t="s">
        <v>74</v>
      </c>
      <c r="AI42" s="6">
        <v>0.497</v>
      </c>
      <c r="AJ42" s="3" t="s">
        <v>75</v>
      </c>
      <c r="AK42" s="3" t="s">
        <v>76</v>
      </c>
      <c r="AL42" s="6">
        <v>-0.38900000000000001</v>
      </c>
      <c r="AM42" s="7">
        <f>ROUND((L42/3*'[1]01_Parametros'!$B$3+M42/3*'[1]01_Parametros'!$B$4+N42/3*'[1]01_Parametros'!$B$5+O42/3*'[1]01_Parametros'!$B$6+IF(ISNUMBER(SEARCH("Fronteras",U42)),1,0)*'[1]01_Parametros'!$B$7)*100,1)</f>
        <v>0</v>
      </c>
      <c r="AN42" s="7">
        <f>ROUND((E42*'[1]01_Parametros'!$B$8+(1-L42/3)*'[1]01_Parametros'!$B$9+IF(OR(AA42="Alta",AA42="Media"),1,0)*'[1]01_Parametros'!$B$10)*100,1)</f>
        <v>48.2</v>
      </c>
      <c r="AO42" s="7">
        <f>ROUND((IF(ISNUMBER(SEARCH("AC01",X42)),1,0)*'[1]01_Parametros'!$B$11+IF(OR(ISNUMBER(SEARCH("AC06",X42)),ISNUMBER(SEARCH("AC03",X42))),1,0)*'[1]01_Parametros'!$B$12+(1-ABS(E42-0.5))*'[1]01_Parametros'!$B$13+S42/3.2*'[1]01_Parametros'!$B$14)*100,1)</f>
        <v>17.3</v>
      </c>
      <c r="AP42" s="7">
        <f>ROUND((L42/3*'[1]01_Parametros'!$B$15+Q42/3*'[1]01_Parametros'!$B$16+P42/3*'[1]01_Parametros'!$B$17+IF(OR(AA42="Media-baja",AA42="Baja"),1,0)*'[1]01_Parametros'!$B$18+S42/3.2*'[1]01_Parametros'!$B$19)*100,1)</f>
        <v>0</v>
      </c>
      <c r="AQ42" s="7">
        <f>ROUND((P42/3*'[1]01_Parametros'!$B$20+IF(OR(ISNUMBER(SEARCH("JAC",Z42)),ISNUMBER(SEARCH("JAL",Z42)),ISNUMBER(SEARCH("lider",Z42))),1,0)*'[1]01_Parametros'!$B$21+IF(LEFT(B42,14)="Corregimiento",1,0)*'[1]01_Parametros'!$B$22+Q42/3*'[1]01_Parametros'!$B$23+S42/3.2*'[1]01_Parametros'!$B$24)*100,1)</f>
        <v>0</v>
      </c>
      <c r="AR42" s="3" t="str">
        <f>INDEX('[1]13_Listas'!$A$2:$A$6, MATCH(MAX(AM42:AQ42), AM42:AQ42, 0))</f>
        <v>Estabilidad y continuidad</v>
      </c>
      <c r="AS42" s="3" t="str">
        <f t="shared" si="0"/>
        <v>Estabilidad y continuidad</v>
      </c>
      <c r="AT42" s="3" t="str">
        <f t="shared" si="1"/>
        <v>Confirmador Silencioso</v>
      </c>
      <c r="AU42" s="3" t="str">
        <f t="shared" si="2"/>
        <v>Encuestas y caballo ganador / menos malo</v>
      </c>
      <c r="AV42" s="3" t="str">
        <f>IFERROR(VLOOKUP(AS42,'[1]02_Arquetipos_Miedo_Sesgo'!$A$4:$G$8,4,FALSE),"")</f>
        <v>Aversión a la pérdida + sesgo de statu quo + confirmación.</v>
      </c>
      <c r="AW42" s="3" t="str">
        <f>IFERROR(VLOOKUP(AS42,'[1]02_Arquetipos_Miedo_Sesgo'!$A$4:$G$8,3,FALSE),"")</f>
        <v>Miedo a perder beneficios, subsidios, estabilidad institucional o condiciones de vida ya alcanzadas.</v>
      </c>
      <c r="AX42" s="3" t="str">
        <f>IFERROR(VLOOKUP(AS42,'[1]02_Arquetipos_Miedo_Sesgo'!$A$4:$G$8,4,FALSE),"")</f>
        <v>Aversión a la pérdida + sesgo de statu quo + confirmación.</v>
      </c>
      <c r="AY42" s="3" t="str">
        <f>IFERROR(VLOOKUP(AS42,'[1]02_Arquetipos_Miedo_Sesgo'!$A$4:$G$8,5,FALSE),"")</f>
        <v>Continuidad administrativa, servicios públicos, infraestructura, salud, educación y programas sociales.</v>
      </c>
      <c r="AZ42" s="3" t="str">
        <f>IFERROR(VLOOKUP(AS42,'[1]02_Arquetipos_Miedo_Sesgo'!$A$4:$G$8,6,FALSE),"")</f>
        <v>Explicar qué se mantiene, qué se mejora y cómo se reducen riesgos de cambio brusco.</v>
      </c>
      <c r="BA42" s="3" t="s">
        <v>77</v>
      </c>
    </row>
    <row r="43" spans="1:53" ht="43.2">
      <c r="A43" s="3" t="s">
        <v>187</v>
      </c>
      <c r="B43" s="3" t="s">
        <v>188</v>
      </c>
      <c r="C43" s="3" t="s">
        <v>189</v>
      </c>
      <c r="D43" s="4">
        <v>2463</v>
      </c>
      <c r="E43" s="5">
        <v>0.41737718229801057</v>
      </c>
      <c r="F43" s="3" t="s">
        <v>57</v>
      </c>
      <c r="G43" s="3" t="s">
        <v>58</v>
      </c>
      <c r="H43" s="3">
        <v>1028</v>
      </c>
      <c r="I43" s="3">
        <v>41.7</v>
      </c>
      <c r="J43" s="3">
        <v>0</v>
      </c>
      <c r="K43" s="3"/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 t="s">
        <v>174</v>
      </c>
      <c r="S43" s="3">
        <v>0</v>
      </c>
      <c r="T43" s="3" t="s">
        <v>174</v>
      </c>
      <c r="U43" s="3"/>
      <c r="V43" s="3"/>
      <c r="W43" s="3"/>
      <c r="X43" s="3"/>
      <c r="Y43" s="3"/>
      <c r="Z43" s="3"/>
      <c r="AA43" s="3" t="s">
        <v>175</v>
      </c>
      <c r="AB43" s="3" t="s">
        <v>176</v>
      </c>
      <c r="AC43" s="3" t="s">
        <v>176</v>
      </c>
      <c r="AD43" s="3" t="s">
        <v>177</v>
      </c>
      <c r="AE43" s="3" t="s">
        <v>72</v>
      </c>
      <c r="AF43" s="6">
        <v>0.36599999999999999</v>
      </c>
      <c r="AG43" s="3" t="s">
        <v>73</v>
      </c>
      <c r="AH43" s="3" t="s">
        <v>74</v>
      </c>
      <c r="AI43" s="6">
        <v>0.497</v>
      </c>
      <c r="AJ43" s="3" t="s">
        <v>75</v>
      </c>
      <c r="AK43" s="3" t="s">
        <v>76</v>
      </c>
      <c r="AL43" s="6">
        <v>-0.38900000000000001</v>
      </c>
      <c r="AM43" s="7">
        <f>ROUND((L43/3*'[1]01_Parametros'!$B$3+M43/3*'[1]01_Parametros'!$B$4+N43/3*'[1]01_Parametros'!$B$5+O43/3*'[1]01_Parametros'!$B$6+IF(ISNUMBER(SEARCH("Fronteras",U43)),1,0)*'[1]01_Parametros'!$B$7)*100,1)</f>
        <v>0</v>
      </c>
      <c r="AN43" s="7">
        <f>ROUND((E43*'[1]01_Parametros'!$B$8+(1-L43/3)*'[1]01_Parametros'!$B$9+IF(OR(AA43="Alta",AA43="Media"),1,0)*'[1]01_Parametros'!$B$10)*100,1)</f>
        <v>50.9</v>
      </c>
      <c r="AO43" s="7">
        <f>ROUND((IF(ISNUMBER(SEARCH("AC01",X43)),1,0)*'[1]01_Parametros'!$B$11+IF(OR(ISNUMBER(SEARCH("AC06",X43)),ISNUMBER(SEARCH("AC03",X43))),1,0)*'[1]01_Parametros'!$B$12+(1-ABS(E43-0.5))*'[1]01_Parametros'!$B$13+S43/3.2*'[1]01_Parametros'!$B$14)*100,1)</f>
        <v>18.3</v>
      </c>
      <c r="AP43" s="7">
        <f>ROUND((L43/3*'[1]01_Parametros'!$B$15+Q43/3*'[1]01_Parametros'!$B$16+P43/3*'[1]01_Parametros'!$B$17+IF(OR(AA43="Media-baja",AA43="Baja"),1,0)*'[1]01_Parametros'!$B$18+S43/3.2*'[1]01_Parametros'!$B$19)*100,1)</f>
        <v>0</v>
      </c>
      <c r="AQ43" s="7">
        <f>ROUND((P43/3*'[1]01_Parametros'!$B$20+IF(OR(ISNUMBER(SEARCH("JAC",Z43)),ISNUMBER(SEARCH("JAL",Z43)),ISNUMBER(SEARCH("lider",Z43))),1,0)*'[1]01_Parametros'!$B$21+IF(LEFT(B43,14)="Corregimiento",1,0)*'[1]01_Parametros'!$B$22+Q43/3*'[1]01_Parametros'!$B$23+S43/3.2*'[1]01_Parametros'!$B$24)*100,1)</f>
        <v>0</v>
      </c>
      <c r="AR43" s="3" t="str">
        <f>INDEX('[1]13_Listas'!$A$2:$A$6, MATCH(MAX(AM43:AQ43), AM43:AQ43, 0))</f>
        <v>Estabilidad y continuidad</v>
      </c>
      <c r="AS43" s="3" t="str">
        <f t="shared" si="0"/>
        <v>Estabilidad y continuidad</v>
      </c>
      <c r="AT43" s="3" t="str">
        <f t="shared" si="1"/>
        <v>Confirmador Silencioso</v>
      </c>
      <c r="AU43" s="3" t="str">
        <f t="shared" si="2"/>
        <v>Encuestas y caballo ganador / menos malo</v>
      </c>
      <c r="AV43" s="3" t="str">
        <f>IFERROR(VLOOKUP(AS43,'[1]02_Arquetipos_Miedo_Sesgo'!$A$4:$G$8,4,FALSE),"")</f>
        <v>Aversión a la pérdida + sesgo de statu quo + confirmación.</v>
      </c>
      <c r="AW43" s="3" t="str">
        <f>IFERROR(VLOOKUP(AS43,'[1]02_Arquetipos_Miedo_Sesgo'!$A$4:$G$8,3,FALSE),"")</f>
        <v>Miedo a perder beneficios, subsidios, estabilidad institucional o condiciones de vida ya alcanzadas.</v>
      </c>
      <c r="AX43" s="3" t="str">
        <f>IFERROR(VLOOKUP(AS43,'[1]02_Arquetipos_Miedo_Sesgo'!$A$4:$G$8,4,FALSE),"")</f>
        <v>Aversión a la pérdida + sesgo de statu quo + confirmación.</v>
      </c>
      <c r="AY43" s="3" t="str">
        <f>IFERROR(VLOOKUP(AS43,'[1]02_Arquetipos_Miedo_Sesgo'!$A$4:$G$8,5,FALSE),"")</f>
        <v>Continuidad administrativa, servicios públicos, infraestructura, salud, educación y programas sociales.</v>
      </c>
      <c r="AZ43" s="3" t="str">
        <f>IFERROR(VLOOKUP(AS43,'[1]02_Arquetipos_Miedo_Sesgo'!$A$4:$G$8,6,FALSE),"")</f>
        <v>Explicar qué se mantiene, qué se mejora y cómo se reducen riesgos de cambio brusco.</v>
      </c>
      <c r="BA43" s="3" t="s">
        <v>77</v>
      </c>
    </row>
    <row r="44" spans="1:53" ht="43.2">
      <c r="A44" s="3" t="s">
        <v>190</v>
      </c>
      <c r="B44" s="3" t="s">
        <v>191</v>
      </c>
      <c r="C44" s="3" t="s">
        <v>192</v>
      </c>
      <c r="D44" s="4">
        <v>8917</v>
      </c>
      <c r="E44" s="5">
        <v>0.38095772120668386</v>
      </c>
      <c r="F44" s="3" t="s">
        <v>57</v>
      </c>
      <c r="G44" s="3" t="s">
        <v>58</v>
      </c>
      <c r="H44" s="3">
        <v>3397</v>
      </c>
      <c r="I44" s="3">
        <v>38.1</v>
      </c>
      <c r="J44" s="3">
        <v>6</v>
      </c>
      <c r="K44" s="3" t="s">
        <v>152</v>
      </c>
      <c r="L44" s="3">
        <v>3</v>
      </c>
      <c r="M44" s="3">
        <v>3</v>
      </c>
      <c r="N44" s="3">
        <v>2</v>
      </c>
      <c r="O44" s="3">
        <v>3</v>
      </c>
      <c r="P44" s="3">
        <v>2</v>
      </c>
      <c r="Q44" s="3">
        <v>3</v>
      </c>
      <c r="R44" s="3" t="s">
        <v>60</v>
      </c>
      <c r="S44" s="3">
        <v>3</v>
      </c>
      <c r="T44" s="3" t="s">
        <v>61</v>
      </c>
      <c r="U44" s="3" t="s">
        <v>62</v>
      </c>
      <c r="V44" s="3" t="s">
        <v>193</v>
      </c>
      <c r="W44" s="3" t="s">
        <v>64</v>
      </c>
      <c r="X44" s="3" t="s">
        <v>65</v>
      </c>
      <c r="Y44" s="3" t="s">
        <v>66</v>
      </c>
      <c r="Z44" s="3" t="s">
        <v>194</v>
      </c>
      <c r="AA44" s="3" t="s">
        <v>68</v>
      </c>
      <c r="AB44" s="3" t="s">
        <v>69</v>
      </c>
      <c r="AC44" s="3" t="s">
        <v>70</v>
      </c>
      <c r="AD44" s="3" t="s">
        <v>71</v>
      </c>
      <c r="AE44" s="3" t="s">
        <v>72</v>
      </c>
      <c r="AF44" s="6">
        <v>0.36599999999999999</v>
      </c>
      <c r="AG44" s="3" t="s">
        <v>73</v>
      </c>
      <c r="AH44" s="3" t="s">
        <v>74</v>
      </c>
      <c r="AI44" s="6">
        <v>0.497</v>
      </c>
      <c r="AJ44" s="3" t="s">
        <v>75</v>
      </c>
      <c r="AK44" s="3" t="s">
        <v>76</v>
      </c>
      <c r="AL44" s="6">
        <v>-0.38900000000000001</v>
      </c>
      <c r="AM44" s="7">
        <f>ROUND((L44/3*'[1]01_Parametros'!$B$3+M44/3*'[1]01_Parametros'!$B$4+N44/3*'[1]01_Parametros'!$B$5+O44/3*'[1]01_Parametros'!$B$6+IF(ISNUMBER(SEARCH("Fronteras",U44)),1,0)*'[1]01_Parametros'!$B$7)*100,1)</f>
        <v>93.3</v>
      </c>
      <c r="AN44" s="7">
        <f>ROUND((E44*'[1]01_Parametros'!$B$8+(1-L44/3)*'[1]01_Parametros'!$B$9+IF(OR(AA44="Alta",AA44="Media"),1,0)*'[1]01_Parametros'!$B$10)*100,1)</f>
        <v>19</v>
      </c>
      <c r="AO44" s="7">
        <f>ROUND((IF(ISNUMBER(SEARCH("AC01",X44)),1,0)*'[1]01_Parametros'!$B$11+IF(OR(ISNUMBER(SEARCH("AC06",X44)),ISNUMBER(SEARCH("AC03",X44))),1,0)*'[1]01_Parametros'!$B$12+(1-ABS(E44-0.5))*'[1]01_Parametros'!$B$13+S44/3.2*'[1]01_Parametros'!$B$14)*100,1)</f>
        <v>71.400000000000006</v>
      </c>
      <c r="AP44" s="7">
        <f>ROUND((L44/3*'[1]01_Parametros'!$B$15+Q44/3*'[1]01_Parametros'!$B$16+P44/3*'[1]01_Parametros'!$B$17+IF(OR(AA44="Media-baja",AA44="Baja"),1,0)*'[1]01_Parametros'!$B$18+S44/3.2*'[1]01_Parametros'!$B$19)*100,1)</f>
        <v>77.7</v>
      </c>
      <c r="AQ44" s="7">
        <f>ROUND((P44/3*'[1]01_Parametros'!$B$20+IF(OR(ISNUMBER(SEARCH("JAC",Z44)),ISNUMBER(SEARCH("JAL",Z44)),ISNUMBER(SEARCH("lider",Z44))),1,0)*'[1]01_Parametros'!$B$21+IF(LEFT(B44,14)="Corregimiento",1,0)*'[1]01_Parametros'!$B$22+Q44/3*'[1]01_Parametros'!$B$23+S44/3.2*'[1]01_Parametros'!$B$24)*100,1)</f>
        <v>34.700000000000003</v>
      </c>
      <c r="AR44" s="3" t="str">
        <f>INDEX('[1]13_Listas'!$A$2:$A$6, MATCH(MAX(AM44:AQ44), AM44:AQ44, 0))</f>
        <v>Protección y orden cotidiano</v>
      </c>
      <c r="AS44" s="3" t="str">
        <f t="shared" si="0"/>
        <v>Protección y orden cotidiano</v>
      </c>
      <c r="AT44" s="3" t="str">
        <f t="shared" si="1"/>
        <v>Activista Causal</v>
      </c>
      <c r="AU44" s="3" t="str">
        <f t="shared" si="2"/>
        <v>Seguridad urbana y combos</v>
      </c>
      <c r="AV44" s="3" t="str">
        <f>IFERROR(VLOOKUP(AS44,'[1]02_Arquetipos_Miedo_Sesgo'!$A$4:$G$8,4,FALSE),"")</f>
        <v>Sesgo de disponibilidad + sesgo de negatividad + preferencia por autoridad.</v>
      </c>
      <c r="AW44" s="3" t="str">
        <f>IFERROR(VLOOKUP(AS44,'[1]02_Arquetipos_Miedo_Sesgo'!$A$4:$G$8,3,FALSE),"")</f>
        <v>Miedo a la inseguridad, al descontrol barrial y a perder la tranquilidad cotidiana.</v>
      </c>
      <c r="AX44" s="3" t="str">
        <f>IFERROR(VLOOKUP(AS44,'[1]02_Arquetipos_Miedo_Sesgo'!$A$4:$G$8,4,FALSE),"")</f>
        <v>Sesgo de disponibilidad + sesgo de negatividad + preferencia por autoridad.</v>
      </c>
      <c r="AY44" s="3" t="str">
        <f>IFERROR(VLOOKUP(AS44,'[1]02_Arquetipos_Miedo_Sesgo'!$A$4:$G$8,5,FALSE),"")</f>
        <v>Seguridad, convivencia, movilidad, alumbrado, reacción institucional rápida, presencia de autoridad.</v>
      </c>
      <c r="AZ44" s="3" t="str">
        <f>IFERROR(VLOOKUP(AS44,'[1]02_Arquetipos_Miedo_Sesgo'!$A$4:$G$8,6,FALSE),"")</f>
        <v>Mostrar capacidad verificable de resolver problemas concretos de seguridad y convivencia sin prometer acciones ilegales.</v>
      </c>
      <c r="BA44" s="3" t="s">
        <v>77</v>
      </c>
    </row>
    <row r="45" spans="1:53" ht="43.2">
      <c r="A45" s="3" t="s">
        <v>195</v>
      </c>
      <c r="B45" s="3" t="s">
        <v>191</v>
      </c>
      <c r="C45" s="3" t="s">
        <v>196</v>
      </c>
      <c r="D45" s="4">
        <v>2784</v>
      </c>
      <c r="E45" s="5">
        <v>0.3947557471264368</v>
      </c>
      <c r="F45" s="3" t="s">
        <v>82</v>
      </c>
      <c r="G45" s="3" t="s">
        <v>83</v>
      </c>
      <c r="H45" s="3">
        <v>1099</v>
      </c>
      <c r="I45" s="3">
        <v>39.5</v>
      </c>
      <c r="J45" s="3">
        <v>6</v>
      </c>
      <c r="K45" s="3" t="s">
        <v>152</v>
      </c>
      <c r="L45" s="3">
        <v>3</v>
      </c>
      <c r="M45" s="3">
        <v>3</v>
      </c>
      <c r="N45" s="3">
        <v>2</v>
      </c>
      <c r="O45" s="3">
        <v>3</v>
      </c>
      <c r="P45" s="3">
        <v>2</v>
      </c>
      <c r="Q45" s="3">
        <v>3</v>
      </c>
      <c r="R45" s="3" t="s">
        <v>60</v>
      </c>
      <c r="S45" s="3">
        <v>3</v>
      </c>
      <c r="T45" s="3" t="s">
        <v>61</v>
      </c>
      <c r="U45" s="3" t="s">
        <v>62</v>
      </c>
      <c r="V45" s="3" t="s">
        <v>193</v>
      </c>
      <c r="W45" s="3" t="s">
        <v>64</v>
      </c>
      <c r="X45" s="3" t="s">
        <v>65</v>
      </c>
      <c r="Y45" s="3" t="s">
        <v>66</v>
      </c>
      <c r="Z45" s="3" t="s">
        <v>194</v>
      </c>
      <c r="AA45" s="3" t="s">
        <v>68</v>
      </c>
      <c r="AB45" s="3" t="s">
        <v>69</v>
      </c>
      <c r="AC45" s="3" t="s">
        <v>70</v>
      </c>
      <c r="AD45" s="3" t="s">
        <v>71</v>
      </c>
      <c r="AE45" s="3" t="s">
        <v>84</v>
      </c>
      <c r="AF45" s="6">
        <v>0.73199999999999998</v>
      </c>
      <c r="AG45" s="3" t="s">
        <v>61</v>
      </c>
      <c r="AH45" s="3" t="s">
        <v>74</v>
      </c>
      <c r="AI45" s="6">
        <v>0.69099999999999995</v>
      </c>
      <c r="AJ45" s="3" t="s">
        <v>61</v>
      </c>
      <c r="AK45" s="3" t="s">
        <v>85</v>
      </c>
      <c r="AL45" s="6">
        <v>-0.50800000000000001</v>
      </c>
      <c r="AM45" s="7">
        <f>ROUND((L45/3*'[1]01_Parametros'!$B$3+M45/3*'[1]01_Parametros'!$B$4+N45/3*'[1]01_Parametros'!$B$5+O45/3*'[1]01_Parametros'!$B$6+IF(ISNUMBER(SEARCH("Fronteras",U45)),1,0)*'[1]01_Parametros'!$B$7)*100,1)</f>
        <v>93.3</v>
      </c>
      <c r="AN45" s="7">
        <f>ROUND((E45*'[1]01_Parametros'!$B$8+(1-L45/3)*'[1]01_Parametros'!$B$9+IF(OR(AA45="Alta",AA45="Media"),1,0)*'[1]01_Parametros'!$B$10)*100,1)</f>
        <v>19.7</v>
      </c>
      <c r="AO45" s="7">
        <f>ROUND((IF(ISNUMBER(SEARCH("AC01",X45)),1,0)*'[1]01_Parametros'!$B$11+IF(OR(ISNUMBER(SEARCH("AC06",X45)),ISNUMBER(SEARCH("AC03",X45))),1,0)*'[1]01_Parametros'!$B$12+(1-ABS(E45-0.5))*'[1]01_Parametros'!$B$13+S45/3.2*'[1]01_Parametros'!$B$14)*100,1)</f>
        <v>71.599999999999994</v>
      </c>
      <c r="AP45" s="7">
        <f>ROUND((L45/3*'[1]01_Parametros'!$B$15+Q45/3*'[1]01_Parametros'!$B$16+P45/3*'[1]01_Parametros'!$B$17+IF(OR(AA45="Media-baja",AA45="Baja"),1,0)*'[1]01_Parametros'!$B$18+S45/3.2*'[1]01_Parametros'!$B$19)*100,1)</f>
        <v>77.7</v>
      </c>
      <c r="AQ45" s="7">
        <f>ROUND((P45/3*'[1]01_Parametros'!$B$20+IF(OR(ISNUMBER(SEARCH("JAC",Z45)),ISNUMBER(SEARCH("JAL",Z45)),ISNUMBER(SEARCH("lider",Z45))),1,0)*'[1]01_Parametros'!$B$21+IF(LEFT(B45,14)="Corregimiento",1,0)*'[1]01_Parametros'!$B$22+Q45/3*'[1]01_Parametros'!$B$23+S45/3.2*'[1]01_Parametros'!$B$24)*100,1)</f>
        <v>34.700000000000003</v>
      </c>
      <c r="AR45" s="3" t="str">
        <f>INDEX('[1]13_Listas'!$A$2:$A$6, MATCH(MAX(AM45:AQ45), AM45:AQ45, 0))</f>
        <v>Protección y orden cotidiano</v>
      </c>
      <c r="AS45" s="3" t="str">
        <f t="shared" si="0"/>
        <v>Protección y orden cotidiano</v>
      </c>
      <c r="AT45" s="3" t="str">
        <f t="shared" si="1"/>
        <v>Activista Causal</v>
      </c>
      <c r="AU45" s="3" t="str">
        <f t="shared" si="2"/>
        <v>Seguridad urbana y combos</v>
      </c>
      <c r="AV45" s="3" t="str">
        <f>IFERROR(VLOOKUP(AS45,'[1]02_Arquetipos_Miedo_Sesgo'!$A$4:$G$8,4,FALSE),"")</f>
        <v>Sesgo de disponibilidad + sesgo de negatividad + preferencia por autoridad.</v>
      </c>
      <c r="AW45" s="3" t="str">
        <f>IFERROR(VLOOKUP(AS45,'[1]02_Arquetipos_Miedo_Sesgo'!$A$4:$G$8,3,FALSE),"")</f>
        <v>Miedo a la inseguridad, al descontrol barrial y a perder la tranquilidad cotidiana.</v>
      </c>
      <c r="AX45" s="3" t="str">
        <f>IFERROR(VLOOKUP(AS45,'[1]02_Arquetipos_Miedo_Sesgo'!$A$4:$G$8,4,FALSE),"")</f>
        <v>Sesgo de disponibilidad + sesgo de negatividad + preferencia por autoridad.</v>
      </c>
      <c r="AY45" s="3" t="str">
        <f>IFERROR(VLOOKUP(AS45,'[1]02_Arquetipos_Miedo_Sesgo'!$A$4:$G$8,5,FALSE),"")</f>
        <v>Seguridad, convivencia, movilidad, alumbrado, reacción institucional rápida, presencia de autoridad.</v>
      </c>
      <c r="AZ45" s="3" t="str">
        <f>IFERROR(VLOOKUP(AS45,'[1]02_Arquetipos_Miedo_Sesgo'!$A$4:$G$8,6,FALSE),"")</f>
        <v>Mostrar capacidad verificable de resolver problemas concretos de seguridad y convivencia sin prometer acciones ilegales.</v>
      </c>
      <c r="BA45" s="3" t="s">
        <v>77</v>
      </c>
    </row>
    <row r="46" spans="1:53" ht="43.2">
      <c r="A46" s="3" t="s">
        <v>197</v>
      </c>
      <c r="B46" s="3" t="s">
        <v>191</v>
      </c>
      <c r="C46" s="3" t="s">
        <v>198</v>
      </c>
      <c r="D46" s="4">
        <v>3274</v>
      </c>
      <c r="E46" s="5">
        <v>0.37813072693952354</v>
      </c>
      <c r="F46" s="3" t="s">
        <v>82</v>
      </c>
      <c r="G46" s="3" t="s">
        <v>83</v>
      </c>
      <c r="H46" s="3">
        <v>1238</v>
      </c>
      <c r="I46" s="3">
        <v>37.799999999999997</v>
      </c>
      <c r="J46" s="3">
        <v>6</v>
      </c>
      <c r="K46" s="3" t="s">
        <v>152</v>
      </c>
      <c r="L46" s="3">
        <v>3</v>
      </c>
      <c r="M46" s="3">
        <v>3</v>
      </c>
      <c r="N46" s="3">
        <v>2</v>
      </c>
      <c r="O46" s="3">
        <v>3</v>
      </c>
      <c r="P46" s="3">
        <v>2</v>
      </c>
      <c r="Q46" s="3">
        <v>3</v>
      </c>
      <c r="R46" s="3" t="s">
        <v>60</v>
      </c>
      <c r="S46" s="3">
        <v>3</v>
      </c>
      <c r="T46" s="3" t="s">
        <v>61</v>
      </c>
      <c r="U46" s="3" t="s">
        <v>62</v>
      </c>
      <c r="V46" s="3" t="s">
        <v>193</v>
      </c>
      <c r="W46" s="3" t="s">
        <v>64</v>
      </c>
      <c r="X46" s="3" t="s">
        <v>65</v>
      </c>
      <c r="Y46" s="3" t="s">
        <v>66</v>
      </c>
      <c r="Z46" s="3" t="s">
        <v>194</v>
      </c>
      <c r="AA46" s="3" t="s">
        <v>68</v>
      </c>
      <c r="AB46" s="3" t="s">
        <v>69</v>
      </c>
      <c r="AC46" s="3" t="s">
        <v>70</v>
      </c>
      <c r="AD46" s="3" t="s">
        <v>71</v>
      </c>
      <c r="AE46" s="3" t="s">
        <v>84</v>
      </c>
      <c r="AF46" s="6">
        <v>0.73199999999999998</v>
      </c>
      <c r="AG46" s="3" t="s">
        <v>61</v>
      </c>
      <c r="AH46" s="3" t="s">
        <v>74</v>
      </c>
      <c r="AI46" s="6">
        <v>0.69099999999999995</v>
      </c>
      <c r="AJ46" s="3" t="s">
        <v>61</v>
      </c>
      <c r="AK46" s="3" t="s">
        <v>85</v>
      </c>
      <c r="AL46" s="6">
        <v>-0.50800000000000001</v>
      </c>
      <c r="AM46" s="7">
        <f>ROUND((L46/3*'[1]01_Parametros'!$B$3+M46/3*'[1]01_Parametros'!$B$4+N46/3*'[1]01_Parametros'!$B$5+O46/3*'[1]01_Parametros'!$B$6+IF(ISNUMBER(SEARCH("Fronteras",U46)),1,0)*'[1]01_Parametros'!$B$7)*100,1)</f>
        <v>93.3</v>
      </c>
      <c r="AN46" s="7">
        <f>ROUND((E46*'[1]01_Parametros'!$B$8+(1-L46/3)*'[1]01_Parametros'!$B$9+IF(OR(AA46="Alta",AA46="Media"),1,0)*'[1]01_Parametros'!$B$10)*100,1)</f>
        <v>18.899999999999999</v>
      </c>
      <c r="AO46" s="7">
        <f>ROUND((IF(ISNUMBER(SEARCH("AC01",X46)),1,0)*'[1]01_Parametros'!$B$11+IF(OR(ISNUMBER(SEARCH("AC06",X46)),ISNUMBER(SEARCH("AC03",X46))),1,0)*'[1]01_Parametros'!$B$12+(1-ABS(E46-0.5))*'[1]01_Parametros'!$B$13+S46/3.2*'[1]01_Parametros'!$B$14)*100,1)</f>
        <v>71.3</v>
      </c>
      <c r="AP46" s="7">
        <f>ROUND((L46/3*'[1]01_Parametros'!$B$15+Q46/3*'[1]01_Parametros'!$B$16+P46/3*'[1]01_Parametros'!$B$17+IF(OR(AA46="Media-baja",AA46="Baja"),1,0)*'[1]01_Parametros'!$B$18+S46/3.2*'[1]01_Parametros'!$B$19)*100,1)</f>
        <v>77.7</v>
      </c>
      <c r="AQ46" s="7">
        <f>ROUND((P46/3*'[1]01_Parametros'!$B$20+IF(OR(ISNUMBER(SEARCH("JAC",Z46)),ISNUMBER(SEARCH("JAL",Z46)),ISNUMBER(SEARCH("lider",Z46))),1,0)*'[1]01_Parametros'!$B$21+IF(LEFT(B46,14)="Corregimiento",1,0)*'[1]01_Parametros'!$B$22+Q46/3*'[1]01_Parametros'!$B$23+S46/3.2*'[1]01_Parametros'!$B$24)*100,1)</f>
        <v>34.700000000000003</v>
      </c>
      <c r="AR46" s="3" t="str">
        <f>INDEX('[1]13_Listas'!$A$2:$A$6, MATCH(MAX(AM46:AQ46), AM46:AQ46, 0))</f>
        <v>Protección y orden cotidiano</v>
      </c>
      <c r="AS46" s="3" t="str">
        <f t="shared" si="0"/>
        <v>Protección y orden cotidiano</v>
      </c>
      <c r="AT46" s="3" t="str">
        <f t="shared" si="1"/>
        <v>Activista Causal</v>
      </c>
      <c r="AU46" s="3" t="str">
        <f t="shared" si="2"/>
        <v>Seguridad urbana y combos</v>
      </c>
      <c r="AV46" s="3" t="str">
        <f>IFERROR(VLOOKUP(AS46,'[1]02_Arquetipos_Miedo_Sesgo'!$A$4:$G$8,4,FALSE),"")</f>
        <v>Sesgo de disponibilidad + sesgo de negatividad + preferencia por autoridad.</v>
      </c>
      <c r="AW46" s="3" t="str">
        <f>IFERROR(VLOOKUP(AS46,'[1]02_Arquetipos_Miedo_Sesgo'!$A$4:$G$8,3,FALSE),"")</f>
        <v>Miedo a la inseguridad, al descontrol barrial y a perder la tranquilidad cotidiana.</v>
      </c>
      <c r="AX46" s="3" t="str">
        <f>IFERROR(VLOOKUP(AS46,'[1]02_Arquetipos_Miedo_Sesgo'!$A$4:$G$8,4,FALSE),"")</f>
        <v>Sesgo de disponibilidad + sesgo de negatividad + preferencia por autoridad.</v>
      </c>
      <c r="AY46" s="3" t="str">
        <f>IFERROR(VLOOKUP(AS46,'[1]02_Arquetipos_Miedo_Sesgo'!$A$4:$G$8,5,FALSE),"")</f>
        <v>Seguridad, convivencia, movilidad, alumbrado, reacción institucional rápida, presencia de autoridad.</v>
      </c>
      <c r="AZ46" s="3" t="str">
        <f>IFERROR(VLOOKUP(AS46,'[1]02_Arquetipos_Miedo_Sesgo'!$A$4:$G$8,6,FALSE),"")</f>
        <v>Mostrar capacidad verificable de resolver problemas concretos de seguridad y convivencia sin prometer acciones ilegales.</v>
      </c>
      <c r="BA46" s="3" t="s">
        <v>77</v>
      </c>
    </row>
    <row r="47" spans="1:53" ht="43.2">
      <c r="A47" s="3" t="s">
        <v>199</v>
      </c>
      <c r="B47" s="3" t="s">
        <v>191</v>
      </c>
      <c r="C47" s="3" t="s">
        <v>200</v>
      </c>
      <c r="D47" s="4">
        <v>11130</v>
      </c>
      <c r="E47" s="5">
        <v>0.39694519317160826</v>
      </c>
      <c r="F47" s="3" t="s">
        <v>57</v>
      </c>
      <c r="G47" s="3" t="s">
        <v>58</v>
      </c>
      <c r="H47" s="3">
        <v>4418</v>
      </c>
      <c r="I47" s="3">
        <v>39.700000000000003</v>
      </c>
      <c r="J47" s="3">
        <v>6</v>
      </c>
      <c r="K47" s="3" t="s">
        <v>152</v>
      </c>
      <c r="L47" s="3">
        <v>3</v>
      </c>
      <c r="M47" s="3">
        <v>3</v>
      </c>
      <c r="N47" s="3">
        <v>2</v>
      </c>
      <c r="O47" s="3">
        <v>3</v>
      </c>
      <c r="P47" s="3">
        <v>2</v>
      </c>
      <c r="Q47" s="3">
        <v>3</v>
      </c>
      <c r="R47" s="3" t="s">
        <v>60</v>
      </c>
      <c r="S47" s="3">
        <v>3</v>
      </c>
      <c r="T47" s="3" t="s">
        <v>61</v>
      </c>
      <c r="U47" s="3" t="s">
        <v>62</v>
      </c>
      <c r="V47" s="3" t="s">
        <v>193</v>
      </c>
      <c r="W47" s="3" t="s">
        <v>64</v>
      </c>
      <c r="X47" s="3" t="s">
        <v>65</v>
      </c>
      <c r="Y47" s="3" t="s">
        <v>66</v>
      </c>
      <c r="Z47" s="3" t="s">
        <v>194</v>
      </c>
      <c r="AA47" s="3" t="s">
        <v>68</v>
      </c>
      <c r="AB47" s="3" t="s">
        <v>69</v>
      </c>
      <c r="AC47" s="3" t="s">
        <v>70</v>
      </c>
      <c r="AD47" s="3" t="s">
        <v>71</v>
      </c>
      <c r="AE47" s="3" t="s">
        <v>72</v>
      </c>
      <c r="AF47" s="6">
        <v>0.36599999999999999</v>
      </c>
      <c r="AG47" s="3" t="s">
        <v>73</v>
      </c>
      <c r="AH47" s="3" t="s">
        <v>74</v>
      </c>
      <c r="AI47" s="6">
        <v>0.497</v>
      </c>
      <c r="AJ47" s="3" t="s">
        <v>75</v>
      </c>
      <c r="AK47" s="3" t="s">
        <v>76</v>
      </c>
      <c r="AL47" s="6">
        <v>-0.38900000000000001</v>
      </c>
      <c r="AM47" s="7">
        <f>ROUND((L47/3*'[1]01_Parametros'!$B$3+M47/3*'[1]01_Parametros'!$B$4+N47/3*'[1]01_Parametros'!$B$5+O47/3*'[1]01_Parametros'!$B$6+IF(ISNUMBER(SEARCH("Fronteras",U47)),1,0)*'[1]01_Parametros'!$B$7)*100,1)</f>
        <v>93.3</v>
      </c>
      <c r="AN47" s="7">
        <f>ROUND((E47*'[1]01_Parametros'!$B$8+(1-L47/3)*'[1]01_Parametros'!$B$9+IF(OR(AA47="Alta",AA47="Media"),1,0)*'[1]01_Parametros'!$B$10)*100,1)</f>
        <v>19.8</v>
      </c>
      <c r="AO47" s="7">
        <f>ROUND((IF(ISNUMBER(SEARCH("AC01",X47)),1,0)*'[1]01_Parametros'!$B$11+IF(OR(ISNUMBER(SEARCH("AC06",X47)),ISNUMBER(SEARCH("AC03",X47))),1,0)*'[1]01_Parametros'!$B$12+(1-ABS(E47-0.5))*'[1]01_Parametros'!$B$13+S47/3.2*'[1]01_Parametros'!$B$14)*100,1)</f>
        <v>71.7</v>
      </c>
      <c r="AP47" s="7">
        <f>ROUND((L47/3*'[1]01_Parametros'!$B$15+Q47/3*'[1]01_Parametros'!$B$16+P47/3*'[1]01_Parametros'!$B$17+IF(OR(AA47="Media-baja",AA47="Baja"),1,0)*'[1]01_Parametros'!$B$18+S47/3.2*'[1]01_Parametros'!$B$19)*100,1)</f>
        <v>77.7</v>
      </c>
      <c r="AQ47" s="7">
        <f>ROUND((P47/3*'[1]01_Parametros'!$B$20+IF(OR(ISNUMBER(SEARCH("JAC",Z47)),ISNUMBER(SEARCH("JAL",Z47)),ISNUMBER(SEARCH("lider",Z47))),1,0)*'[1]01_Parametros'!$B$21+IF(LEFT(B47,14)="Corregimiento",1,0)*'[1]01_Parametros'!$B$22+Q47/3*'[1]01_Parametros'!$B$23+S47/3.2*'[1]01_Parametros'!$B$24)*100,1)</f>
        <v>34.700000000000003</v>
      </c>
      <c r="AR47" s="3" t="str">
        <f>INDEX('[1]13_Listas'!$A$2:$A$6, MATCH(MAX(AM47:AQ47), AM47:AQ47, 0))</f>
        <v>Protección y orden cotidiano</v>
      </c>
      <c r="AS47" s="3" t="str">
        <f t="shared" si="0"/>
        <v>Protección y orden cotidiano</v>
      </c>
      <c r="AT47" s="3" t="str">
        <f t="shared" si="1"/>
        <v>Activista Causal</v>
      </c>
      <c r="AU47" s="3" t="str">
        <f t="shared" si="2"/>
        <v>Seguridad urbana y combos</v>
      </c>
      <c r="AV47" s="3" t="str">
        <f>IFERROR(VLOOKUP(AS47,'[1]02_Arquetipos_Miedo_Sesgo'!$A$4:$G$8,4,FALSE),"")</f>
        <v>Sesgo de disponibilidad + sesgo de negatividad + preferencia por autoridad.</v>
      </c>
      <c r="AW47" s="3" t="str">
        <f>IFERROR(VLOOKUP(AS47,'[1]02_Arquetipos_Miedo_Sesgo'!$A$4:$G$8,3,FALSE),"")</f>
        <v>Miedo a la inseguridad, al descontrol barrial y a perder la tranquilidad cotidiana.</v>
      </c>
      <c r="AX47" s="3" t="str">
        <f>IFERROR(VLOOKUP(AS47,'[1]02_Arquetipos_Miedo_Sesgo'!$A$4:$G$8,4,FALSE),"")</f>
        <v>Sesgo de disponibilidad + sesgo de negatividad + preferencia por autoridad.</v>
      </c>
      <c r="AY47" s="3" t="str">
        <f>IFERROR(VLOOKUP(AS47,'[1]02_Arquetipos_Miedo_Sesgo'!$A$4:$G$8,5,FALSE),"")</f>
        <v>Seguridad, convivencia, movilidad, alumbrado, reacción institucional rápida, presencia de autoridad.</v>
      </c>
      <c r="AZ47" s="3" t="str">
        <f>IFERROR(VLOOKUP(AS47,'[1]02_Arquetipos_Miedo_Sesgo'!$A$4:$G$8,6,FALSE),"")</f>
        <v>Mostrar capacidad verificable de resolver problemas concretos de seguridad y convivencia sin prometer acciones ilegales.</v>
      </c>
      <c r="BA47" s="3" t="s">
        <v>77</v>
      </c>
    </row>
    <row r="48" spans="1:53" ht="43.2">
      <c r="A48" s="3" t="s">
        <v>201</v>
      </c>
      <c r="B48" s="3" t="s">
        <v>191</v>
      </c>
      <c r="C48" s="3" t="s">
        <v>202</v>
      </c>
      <c r="D48" s="4">
        <v>2814</v>
      </c>
      <c r="E48" s="5">
        <v>0.38450604122245913</v>
      </c>
      <c r="F48" s="3" t="s">
        <v>57</v>
      </c>
      <c r="G48" s="3" t="s">
        <v>58</v>
      </c>
      <c r="H48" s="3">
        <v>1082</v>
      </c>
      <c r="I48" s="3">
        <v>38.5</v>
      </c>
      <c r="J48" s="3">
        <v>6</v>
      </c>
      <c r="K48" s="3" t="s">
        <v>152</v>
      </c>
      <c r="L48" s="3">
        <v>3</v>
      </c>
      <c r="M48" s="3">
        <v>3</v>
      </c>
      <c r="N48" s="3">
        <v>2</v>
      </c>
      <c r="O48" s="3">
        <v>3</v>
      </c>
      <c r="P48" s="3">
        <v>2</v>
      </c>
      <c r="Q48" s="3">
        <v>3</v>
      </c>
      <c r="R48" s="3" t="s">
        <v>60</v>
      </c>
      <c r="S48" s="3">
        <v>3</v>
      </c>
      <c r="T48" s="3" t="s">
        <v>61</v>
      </c>
      <c r="U48" s="3" t="s">
        <v>62</v>
      </c>
      <c r="V48" s="3" t="s">
        <v>193</v>
      </c>
      <c r="W48" s="3" t="s">
        <v>64</v>
      </c>
      <c r="X48" s="3" t="s">
        <v>65</v>
      </c>
      <c r="Y48" s="3" t="s">
        <v>66</v>
      </c>
      <c r="Z48" s="3" t="s">
        <v>194</v>
      </c>
      <c r="AA48" s="3" t="s">
        <v>68</v>
      </c>
      <c r="AB48" s="3" t="s">
        <v>69</v>
      </c>
      <c r="AC48" s="3" t="s">
        <v>70</v>
      </c>
      <c r="AD48" s="3" t="s">
        <v>71</v>
      </c>
      <c r="AE48" s="3" t="s">
        <v>72</v>
      </c>
      <c r="AF48" s="6">
        <v>0.36599999999999999</v>
      </c>
      <c r="AG48" s="3" t="s">
        <v>73</v>
      </c>
      <c r="AH48" s="3" t="s">
        <v>74</v>
      </c>
      <c r="AI48" s="6">
        <v>0.497</v>
      </c>
      <c r="AJ48" s="3" t="s">
        <v>75</v>
      </c>
      <c r="AK48" s="3" t="s">
        <v>76</v>
      </c>
      <c r="AL48" s="6">
        <v>-0.38900000000000001</v>
      </c>
      <c r="AM48" s="7">
        <f>ROUND((L48/3*'[1]01_Parametros'!$B$3+M48/3*'[1]01_Parametros'!$B$4+N48/3*'[1]01_Parametros'!$B$5+O48/3*'[1]01_Parametros'!$B$6+IF(ISNUMBER(SEARCH("Fronteras",U48)),1,0)*'[1]01_Parametros'!$B$7)*100,1)</f>
        <v>93.3</v>
      </c>
      <c r="AN48" s="7">
        <f>ROUND((E48*'[1]01_Parametros'!$B$8+(1-L48/3)*'[1]01_Parametros'!$B$9+IF(OR(AA48="Alta",AA48="Media"),1,0)*'[1]01_Parametros'!$B$10)*100,1)</f>
        <v>19.2</v>
      </c>
      <c r="AO48" s="7">
        <f>ROUND((IF(ISNUMBER(SEARCH("AC01",X48)),1,0)*'[1]01_Parametros'!$B$11+IF(OR(ISNUMBER(SEARCH("AC06",X48)),ISNUMBER(SEARCH("AC03",X48))),1,0)*'[1]01_Parametros'!$B$12+(1-ABS(E48-0.5))*'[1]01_Parametros'!$B$13+S48/3.2*'[1]01_Parametros'!$B$14)*100,1)</f>
        <v>71.400000000000006</v>
      </c>
      <c r="AP48" s="7">
        <f>ROUND((L48/3*'[1]01_Parametros'!$B$15+Q48/3*'[1]01_Parametros'!$B$16+P48/3*'[1]01_Parametros'!$B$17+IF(OR(AA48="Media-baja",AA48="Baja"),1,0)*'[1]01_Parametros'!$B$18+S48/3.2*'[1]01_Parametros'!$B$19)*100,1)</f>
        <v>77.7</v>
      </c>
      <c r="AQ48" s="7">
        <f>ROUND((P48/3*'[1]01_Parametros'!$B$20+IF(OR(ISNUMBER(SEARCH("JAC",Z48)),ISNUMBER(SEARCH("JAL",Z48)),ISNUMBER(SEARCH("lider",Z48))),1,0)*'[1]01_Parametros'!$B$21+IF(LEFT(B48,14)="Corregimiento",1,0)*'[1]01_Parametros'!$B$22+Q48/3*'[1]01_Parametros'!$B$23+S48/3.2*'[1]01_Parametros'!$B$24)*100,1)</f>
        <v>34.700000000000003</v>
      </c>
      <c r="AR48" s="3" t="str">
        <f>INDEX('[1]13_Listas'!$A$2:$A$6, MATCH(MAX(AM48:AQ48), AM48:AQ48, 0))</f>
        <v>Protección y orden cotidiano</v>
      </c>
      <c r="AS48" s="3" t="str">
        <f t="shared" si="0"/>
        <v>Protección y orden cotidiano</v>
      </c>
      <c r="AT48" s="3" t="str">
        <f t="shared" si="1"/>
        <v>Activista Causal</v>
      </c>
      <c r="AU48" s="3" t="str">
        <f t="shared" si="2"/>
        <v>Seguridad urbana y combos</v>
      </c>
      <c r="AV48" s="3" t="str">
        <f>IFERROR(VLOOKUP(AS48,'[1]02_Arquetipos_Miedo_Sesgo'!$A$4:$G$8,4,FALSE),"")</f>
        <v>Sesgo de disponibilidad + sesgo de negatividad + preferencia por autoridad.</v>
      </c>
      <c r="AW48" s="3" t="str">
        <f>IFERROR(VLOOKUP(AS48,'[1]02_Arquetipos_Miedo_Sesgo'!$A$4:$G$8,3,FALSE),"")</f>
        <v>Miedo a la inseguridad, al descontrol barrial y a perder la tranquilidad cotidiana.</v>
      </c>
      <c r="AX48" s="3" t="str">
        <f>IFERROR(VLOOKUP(AS48,'[1]02_Arquetipos_Miedo_Sesgo'!$A$4:$G$8,4,FALSE),"")</f>
        <v>Sesgo de disponibilidad + sesgo de negatividad + preferencia por autoridad.</v>
      </c>
      <c r="AY48" s="3" t="str">
        <f>IFERROR(VLOOKUP(AS48,'[1]02_Arquetipos_Miedo_Sesgo'!$A$4:$G$8,5,FALSE),"")</f>
        <v>Seguridad, convivencia, movilidad, alumbrado, reacción institucional rápida, presencia de autoridad.</v>
      </c>
      <c r="AZ48" s="3" t="str">
        <f>IFERROR(VLOOKUP(AS48,'[1]02_Arquetipos_Miedo_Sesgo'!$A$4:$G$8,6,FALSE),"")</f>
        <v>Mostrar capacidad verificable de resolver problemas concretos de seguridad y convivencia sin prometer acciones ilegales.</v>
      </c>
      <c r="BA48" s="3" t="s">
        <v>77</v>
      </c>
    </row>
    <row r="49" spans="1:53" ht="43.2">
      <c r="A49" s="3" t="s">
        <v>203</v>
      </c>
      <c r="B49" s="3" t="s">
        <v>191</v>
      </c>
      <c r="C49" s="3" t="s">
        <v>204</v>
      </c>
      <c r="D49" s="4">
        <v>8097</v>
      </c>
      <c r="E49" s="5">
        <v>0.37618871186859332</v>
      </c>
      <c r="F49" s="3" t="s">
        <v>57</v>
      </c>
      <c r="G49" s="3" t="s">
        <v>58</v>
      </c>
      <c r="H49" s="3">
        <v>3046</v>
      </c>
      <c r="I49" s="3">
        <v>37.6</v>
      </c>
      <c r="J49" s="3">
        <v>6</v>
      </c>
      <c r="K49" s="3" t="s">
        <v>152</v>
      </c>
      <c r="L49" s="3">
        <v>3</v>
      </c>
      <c r="M49" s="3">
        <v>3</v>
      </c>
      <c r="N49" s="3">
        <v>2</v>
      </c>
      <c r="O49" s="3">
        <v>3</v>
      </c>
      <c r="P49" s="3">
        <v>2</v>
      </c>
      <c r="Q49" s="3">
        <v>3</v>
      </c>
      <c r="R49" s="3" t="s">
        <v>60</v>
      </c>
      <c r="S49" s="3">
        <v>3</v>
      </c>
      <c r="T49" s="3" t="s">
        <v>61</v>
      </c>
      <c r="U49" s="3" t="s">
        <v>62</v>
      </c>
      <c r="V49" s="3" t="s">
        <v>193</v>
      </c>
      <c r="W49" s="3" t="s">
        <v>64</v>
      </c>
      <c r="X49" s="3" t="s">
        <v>65</v>
      </c>
      <c r="Y49" s="3" t="s">
        <v>66</v>
      </c>
      <c r="Z49" s="3" t="s">
        <v>194</v>
      </c>
      <c r="AA49" s="3" t="s">
        <v>68</v>
      </c>
      <c r="AB49" s="3" t="s">
        <v>69</v>
      </c>
      <c r="AC49" s="3" t="s">
        <v>70</v>
      </c>
      <c r="AD49" s="3" t="s">
        <v>71</v>
      </c>
      <c r="AE49" s="3" t="s">
        <v>72</v>
      </c>
      <c r="AF49" s="6">
        <v>0.36599999999999999</v>
      </c>
      <c r="AG49" s="3" t="s">
        <v>73</v>
      </c>
      <c r="AH49" s="3" t="s">
        <v>74</v>
      </c>
      <c r="AI49" s="6">
        <v>0.497</v>
      </c>
      <c r="AJ49" s="3" t="s">
        <v>75</v>
      </c>
      <c r="AK49" s="3" t="s">
        <v>76</v>
      </c>
      <c r="AL49" s="6">
        <v>-0.38900000000000001</v>
      </c>
      <c r="AM49" s="7">
        <f>ROUND((L49/3*'[1]01_Parametros'!$B$3+M49/3*'[1]01_Parametros'!$B$4+N49/3*'[1]01_Parametros'!$B$5+O49/3*'[1]01_Parametros'!$B$6+IF(ISNUMBER(SEARCH("Fronteras",U49)),1,0)*'[1]01_Parametros'!$B$7)*100,1)</f>
        <v>93.3</v>
      </c>
      <c r="AN49" s="7">
        <f>ROUND((E49*'[1]01_Parametros'!$B$8+(1-L49/3)*'[1]01_Parametros'!$B$9+IF(OR(AA49="Alta",AA49="Media"),1,0)*'[1]01_Parametros'!$B$10)*100,1)</f>
        <v>18.8</v>
      </c>
      <c r="AO49" s="7">
        <f>ROUND((IF(ISNUMBER(SEARCH("AC01",X49)),1,0)*'[1]01_Parametros'!$B$11+IF(OR(ISNUMBER(SEARCH("AC06",X49)),ISNUMBER(SEARCH("AC03",X49))),1,0)*'[1]01_Parametros'!$B$12+(1-ABS(E49-0.5))*'[1]01_Parametros'!$B$13+S49/3.2*'[1]01_Parametros'!$B$14)*100,1)</f>
        <v>71.3</v>
      </c>
      <c r="AP49" s="7">
        <f>ROUND((L49/3*'[1]01_Parametros'!$B$15+Q49/3*'[1]01_Parametros'!$B$16+P49/3*'[1]01_Parametros'!$B$17+IF(OR(AA49="Media-baja",AA49="Baja"),1,0)*'[1]01_Parametros'!$B$18+S49/3.2*'[1]01_Parametros'!$B$19)*100,1)</f>
        <v>77.7</v>
      </c>
      <c r="AQ49" s="7">
        <f>ROUND((P49/3*'[1]01_Parametros'!$B$20+IF(OR(ISNUMBER(SEARCH("JAC",Z49)),ISNUMBER(SEARCH("JAL",Z49)),ISNUMBER(SEARCH("lider",Z49))),1,0)*'[1]01_Parametros'!$B$21+IF(LEFT(B49,14)="Corregimiento",1,0)*'[1]01_Parametros'!$B$22+Q49/3*'[1]01_Parametros'!$B$23+S49/3.2*'[1]01_Parametros'!$B$24)*100,1)</f>
        <v>34.700000000000003</v>
      </c>
      <c r="AR49" s="3" t="str">
        <f>INDEX('[1]13_Listas'!$A$2:$A$6, MATCH(MAX(AM49:AQ49), AM49:AQ49, 0))</f>
        <v>Protección y orden cotidiano</v>
      </c>
      <c r="AS49" s="3" t="str">
        <f t="shared" si="0"/>
        <v>Protección y orden cotidiano</v>
      </c>
      <c r="AT49" s="3" t="str">
        <f t="shared" si="1"/>
        <v>Activista Causal</v>
      </c>
      <c r="AU49" s="3" t="str">
        <f t="shared" si="2"/>
        <v>Seguridad urbana y combos</v>
      </c>
      <c r="AV49" s="3" t="str">
        <f>IFERROR(VLOOKUP(AS49,'[1]02_Arquetipos_Miedo_Sesgo'!$A$4:$G$8,4,FALSE),"")</f>
        <v>Sesgo de disponibilidad + sesgo de negatividad + preferencia por autoridad.</v>
      </c>
      <c r="AW49" s="3" t="str">
        <f>IFERROR(VLOOKUP(AS49,'[1]02_Arquetipos_Miedo_Sesgo'!$A$4:$G$8,3,FALSE),"")</f>
        <v>Miedo a la inseguridad, al descontrol barrial y a perder la tranquilidad cotidiana.</v>
      </c>
      <c r="AX49" s="3" t="str">
        <f>IFERROR(VLOOKUP(AS49,'[1]02_Arquetipos_Miedo_Sesgo'!$A$4:$G$8,4,FALSE),"")</f>
        <v>Sesgo de disponibilidad + sesgo de negatividad + preferencia por autoridad.</v>
      </c>
      <c r="AY49" s="3" t="str">
        <f>IFERROR(VLOOKUP(AS49,'[1]02_Arquetipos_Miedo_Sesgo'!$A$4:$G$8,5,FALSE),"")</f>
        <v>Seguridad, convivencia, movilidad, alumbrado, reacción institucional rápida, presencia de autoridad.</v>
      </c>
      <c r="AZ49" s="3" t="str">
        <f>IFERROR(VLOOKUP(AS49,'[1]02_Arquetipos_Miedo_Sesgo'!$A$4:$G$8,6,FALSE),"")</f>
        <v>Mostrar capacidad verificable de resolver problemas concretos de seguridad y convivencia sin prometer acciones ilegales.</v>
      </c>
      <c r="BA49" s="3" t="s">
        <v>77</v>
      </c>
    </row>
    <row r="50" spans="1:53" ht="43.2">
      <c r="A50" s="3" t="s">
        <v>205</v>
      </c>
      <c r="B50" s="3" t="s">
        <v>206</v>
      </c>
      <c r="C50" s="3" t="s">
        <v>207</v>
      </c>
      <c r="D50" s="4">
        <v>1406</v>
      </c>
      <c r="E50" s="5">
        <v>0.54480796586059743</v>
      </c>
      <c r="F50" s="3" t="s">
        <v>57</v>
      </c>
      <c r="G50" s="3" t="s">
        <v>58</v>
      </c>
      <c r="H50" s="3">
        <v>766</v>
      </c>
      <c r="I50" s="3">
        <v>54.5</v>
      </c>
      <c r="J50" s="3">
        <v>14</v>
      </c>
      <c r="K50" s="3" t="s">
        <v>208</v>
      </c>
      <c r="L50" s="3">
        <v>0</v>
      </c>
      <c r="M50" s="3">
        <v>0</v>
      </c>
      <c r="N50" s="3">
        <v>1</v>
      </c>
      <c r="O50" s="3">
        <v>0</v>
      </c>
      <c r="P50" s="3">
        <v>0</v>
      </c>
      <c r="Q50" s="3">
        <v>0</v>
      </c>
      <c r="R50" s="3" t="s">
        <v>209</v>
      </c>
      <c r="S50" s="3">
        <v>0.2</v>
      </c>
      <c r="T50" s="3" t="s">
        <v>73</v>
      </c>
      <c r="U50" s="3" t="s">
        <v>210</v>
      </c>
      <c r="V50" s="3" t="s">
        <v>211</v>
      </c>
      <c r="W50" s="3"/>
      <c r="X50" s="3" t="s">
        <v>212</v>
      </c>
      <c r="Y50" s="3"/>
      <c r="Z50" s="3" t="s">
        <v>213</v>
      </c>
      <c r="AA50" s="3" t="s">
        <v>61</v>
      </c>
      <c r="AB50" s="3" t="s">
        <v>69</v>
      </c>
      <c r="AC50" s="3" t="s">
        <v>70</v>
      </c>
      <c r="AD50" s="3" t="s">
        <v>71</v>
      </c>
      <c r="AE50" s="3" t="s">
        <v>72</v>
      </c>
      <c r="AF50" s="6">
        <v>0.36599999999999999</v>
      </c>
      <c r="AG50" s="3" t="s">
        <v>73</v>
      </c>
      <c r="AH50" s="3" t="s">
        <v>74</v>
      </c>
      <c r="AI50" s="6">
        <v>0.497</v>
      </c>
      <c r="AJ50" s="3" t="s">
        <v>75</v>
      </c>
      <c r="AK50" s="3" t="s">
        <v>76</v>
      </c>
      <c r="AL50" s="6">
        <v>-0.38900000000000001</v>
      </c>
      <c r="AM50" s="7">
        <f>ROUND((L50/3*'[1]01_Parametros'!$B$3+M50/3*'[1]01_Parametros'!$B$4+N50/3*'[1]01_Parametros'!$B$5+O50/3*'[1]01_Parametros'!$B$6+IF(ISNUMBER(SEARCH("Fronteras",U50)),1,0)*'[1]01_Parametros'!$B$7)*100,1)</f>
        <v>6.7</v>
      </c>
      <c r="AN50" s="7">
        <f>ROUND((E50*'[1]01_Parametros'!$B$8+(1-L50/3)*'[1]01_Parametros'!$B$9+IF(OR(AA50="Alta",AA50="Media"),1,0)*'[1]01_Parametros'!$B$10)*100,1)</f>
        <v>77.2</v>
      </c>
      <c r="AO50" s="7">
        <f>ROUND((IF(ISNUMBER(SEARCH("AC01",X50)),1,0)*'[1]01_Parametros'!$B$11+IF(OR(ISNUMBER(SEARCH("AC06",X50)),ISNUMBER(SEARCH("AC03",X50))),1,0)*'[1]01_Parametros'!$B$12+(1-ABS(E50-0.5))*'[1]01_Parametros'!$B$13+S50/3.2*'[1]01_Parametros'!$B$14)*100,1)</f>
        <v>20.399999999999999</v>
      </c>
      <c r="AP50" s="7">
        <f>ROUND((L50/3*'[1]01_Parametros'!$B$15+Q50/3*'[1]01_Parametros'!$B$16+P50/3*'[1]01_Parametros'!$B$17+IF(OR(AA50="Media-baja",AA50="Baja"),1,0)*'[1]01_Parametros'!$B$18+S50/3.2*'[1]01_Parametros'!$B$19)*100,1)</f>
        <v>0.6</v>
      </c>
      <c r="AQ50" s="7">
        <f>ROUND((P50/3*'[1]01_Parametros'!$B$20+IF(OR(ISNUMBER(SEARCH("JAC",Z50)),ISNUMBER(SEARCH("JAL",Z50)),ISNUMBER(SEARCH("lider",Z50))),1,0)*'[1]01_Parametros'!$B$21+IF(LEFT(B50,14)="Corregimiento",1,0)*'[1]01_Parametros'!$B$22+Q50/3*'[1]01_Parametros'!$B$23+S50/3.2*'[1]01_Parametros'!$B$24)*100,1)</f>
        <v>0.3</v>
      </c>
      <c r="AR50" s="3" t="str">
        <f>INDEX('[1]13_Listas'!$A$2:$A$6, MATCH(MAX(AM50:AQ50), AM50:AQ50, 0))</f>
        <v>Estabilidad y continuidad</v>
      </c>
      <c r="AS50" s="3" t="str">
        <f t="shared" si="0"/>
        <v>Estabilidad y continuidad</v>
      </c>
      <c r="AT50" s="3" t="str">
        <f t="shared" si="1"/>
        <v>Traductor Digital</v>
      </c>
      <c r="AU50" s="3" t="str">
        <f t="shared" si="2"/>
        <v>Encuestas y caballo ganador / menos malo</v>
      </c>
      <c r="AV50" s="3" t="str">
        <f>IFERROR(VLOOKUP(AS50,'[1]02_Arquetipos_Miedo_Sesgo'!$A$4:$G$8,4,FALSE),"")</f>
        <v>Aversión a la pérdida + sesgo de statu quo + confirmación.</v>
      </c>
      <c r="AW50" s="3" t="str">
        <f>IFERROR(VLOOKUP(AS50,'[1]02_Arquetipos_Miedo_Sesgo'!$A$4:$G$8,3,FALSE),"")</f>
        <v>Miedo a perder beneficios, subsidios, estabilidad institucional o condiciones de vida ya alcanzadas.</v>
      </c>
      <c r="AX50" s="3" t="str">
        <f>IFERROR(VLOOKUP(AS50,'[1]02_Arquetipos_Miedo_Sesgo'!$A$4:$G$8,4,FALSE),"")</f>
        <v>Aversión a la pérdida + sesgo de statu quo + confirmación.</v>
      </c>
      <c r="AY50" s="3" t="str">
        <f>IFERROR(VLOOKUP(AS50,'[1]02_Arquetipos_Miedo_Sesgo'!$A$4:$G$8,5,FALSE),"")</f>
        <v>Continuidad administrativa, servicios públicos, infraestructura, salud, educación y programas sociales.</v>
      </c>
      <c r="AZ50" s="3" t="str">
        <f>IFERROR(VLOOKUP(AS50,'[1]02_Arquetipos_Miedo_Sesgo'!$A$4:$G$8,6,FALSE),"")</f>
        <v>Explicar qué se mantiene, qué se mejora y cómo se reducen riesgos de cambio brusco.</v>
      </c>
      <c r="BA50" s="3" t="s">
        <v>77</v>
      </c>
    </row>
    <row r="51" spans="1:53" ht="43.2">
      <c r="A51" s="3" t="s">
        <v>214</v>
      </c>
      <c r="B51" s="3" t="s">
        <v>206</v>
      </c>
      <c r="C51" s="3" t="s">
        <v>215</v>
      </c>
      <c r="D51" s="4">
        <v>10189</v>
      </c>
      <c r="E51" s="5">
        <v>0.50358229463146531</v>
      </c>
      <c r="F51" s="3" t="s">
        <v>82</v>
      </c>
      <c r="G51" s="3" t="s">
        <v>83</v>
      </c>
      <c r="H51" s="3">
        <v>5131</v>
      </c>
      <c r="I51" s="3">
        <v>50.4</v>
      </c>
      <c r="J51" s="3">
        <v>14</v>
      </c>
      <c r="K51" s="3" t="s">
        <v>208</v>
      </c>
      <c r="L51" s="3">
        <v>0</v>
      </c>
      <c r="M51" s="3">
        <v>0</v>
      </c>
      <c r="N51" s="3">
        <v>1</v>
      </c>
      <c r="O51" s="3">
        <v>0</v>
      </c>
      <c r="P51" s="3">
        <v>0</v>
      </c>
      <c r="Q51" s="3">
        <v>0</v>
      </c>
      <c r="R51" s="3" t="s">
        <v>209</v>
      </c>
      <c r="S51" s="3">
        <v>0.2</v>
      </c>
      <c r="T51" s="3" t="s">
        <v>73</v>
      </c>
      <c r="U51" s="3" t="s">
        <v>210</v>
      </c>
      <c r="V51" s="3" t="s">
        <v>211</v>
      </c>
      <c r="W51" s="3"/>
      <c r="X51" s="3" t="s">
        <v>212</v>
      </c>
      <c r="Y51" s="3"/>
      <c r="Z51" s="3" t="s">
        <v>213</v>
      </c>
      <c r="AA51" s="3" t="s">
        <v>61</v>
      </c>
      <c r="AB51" s="3" t="s">
        <v>69</v>
      </c>
      <c r="AC51" s="3" t="s">
        <v>70</v>
      </c>
      <c r="AD51" s="3" t="s">
        <v>71</v>
      </c>
      <c r="AE51" s="3" t="s">
        <v>84</v>
      </c>
      <c r="AF51" s="6">
        <v>0.73199999999999998</v>
      </c>
      <c r="AG51" s="3" t="s">
        <v>61</v>
      </c>
      <c r="AH51" s="3" t="s">
        <v>74</v>
      </c>
      <c r="AI51" s="6">
        <v>0.69099999999999995</v>
      </c>
      <c r="AJ51" s="3" t="s">
        <v>61</v>
      </c>
      <c r="AK51" s="3" t="s">
        <v>85</v>
      </c>
      <c r="AL51" s="6">
        <v>-0.50800000000000001</v>
      </c>
      <c r="AM51" s="7">
        <f>ROUND((L51/3*'[1]01_Parametros'!$B$3+M51/3*'[1]01_Parametros'!$B$4+N51/3*'[1]01_Parametros'!$B$5+O51/3*'[1]01_Parametros'!$B$6+IF(ISNUMBER(SEARCH("Fronteras",U51)),1,0)*'[1]01_Parametros'!$B$7)*100,1)</f>
        <v>6.7</v>
      </c>
      <c r="AN51" s="7">
        <f>ROUND((E51*'[1]01_Parametros'!$B$8+(1-L51/3)*'[1]01_Parametros'!$B$9+IF(OR(AA51="Alta",AA51="Media"),1,0)*'[1]01_Parametros'!$B$10)*100,1)</f>
        <v>75.2</v>
      </c>
      <c r="AO51" s="7">
        <f>ROUND((IF(ISNUMBER(SEARCH("AC01",X51)),1,0)*'[1]01_Parametros'!$B$11+IF(OR(ISNUMBER(SEARCH("AC06",X51)),ISNUMBER(SEARCH("AC03",X51))),1,0)*'[1]01_Parametros'!$B$12+(1-ABS(E51-0.5))*'[1]01_Parametros'!$B$13+S51/3.2*'[1]01_Parametros'!$B$14)*100,1)</f>
        <v>21.2</v>
      </c>
      <c r="AP51" s="7">
        <f>ROUND((L51/3*'[1]01_Parametros'!$B$15+Q51/3*'[1]01_Parametros'!$B$16+P51/3*'[1]01_Parametros'!$B$17+IF(OR(AA51="Media-baja",AA51="Baja"),1,0)*'[1]01_Parametros'!$B$18+S51/3.2*'[1]01_Parametros'!$B$19)*100,1)</f>
        <v>0.6</v>
      </c>
      <c r="AQ51" s="7">
        <f>ROUND((P51/3*'[1]01_Parametros'!$B$20+IF(OR(ISNUMBER(SEARCH("JAC",Z51)),ISNUMBER(SEARCH("JAL",Z51)),ISNUMBER(SEARCH("lider",Z51))),1,0)*'[1]01_Parametros'!$B$21+IF(LEFT(B51,14)="Corregimiento",1,0)*'[1]01_Parametros'!$B$22+Q51/3*'[1]01_Parametros'!$B$23+S51/3.2*'[1]01_Parametros'!$B$24)*100,1)</f>
        <v>0.3</v>
      </c>
      <c r="AR51" s="3" t="str">
        <f>INDEX('[1]13_Listas'!$A$2:$A$6, MATCH(MAX(AM51:AQ51), AM51:AQ51, 0))</f>
        <v>Estabilidad y continuidad</v>
      </c>
      <c r="AS51" s="3" t="str">
        <f t="shared" si="0"/>
        <v>Estabilidad y continuidad</v>
      </c>
      <c r="AT51" s="3" t="str">
        <f t="shared" si="1"/>
        <v>Traductor Digital</v>
      </c>
      <c r="AU51" s="3" t="str">
        <f t="shared" si="2"/>
        <v>Encuestas y caballo ganador / menos malo</v>
      </c>
      <c r="AV51" s="3" t="str">
        <f>IFERROR(VLOOKUP(AS51,'[1]02_Arquetipos_Miedo_Sesgo'!$A$4:$G$8,4,FALSE),"")</f>
        <v>Aversión a la pérdida + sesgo de statu quo + confirmación.</v>
      </c>
      <c r="AW51" s="3" t="str">
        <f>IFERROR(VLOOKUP(AS51,'[1]02_Arquetipos_Miedo_Sesgo'!$A$4:$G$8,3,FALSE),"")</f>
        <v>Miedo a perder beneficios, subsidios, estabilidad institucional o condiciones de vida ya alcanzadas.</v>
      </c>
      <c r="AX51" s="3" t="str">
        <f>IFERROR(VLOOKUP(AS51,'[1]02_Arquetipos_Miedo_Sesgo'!$A$4:$G$8,4,FALSE),"")</f>
        <v>Aversión a la pérdida + sesgo de statu quo + confirmación.</v>
      </c>
      <c r="AY51" s="3" t="str">
        <f>IFERROR(VLOOKUP(AS51,'[1]02_Arquetipos_Miedo_Sesgo'!$A$4:$G$8,5,FALSE),"")</f>
        <v>Continuidad administrativa, servicios públicos, infraestructura, salud, educación y programas sociales.</v>
      </c>
      <c r="AZ51" s="3" t="str">
        <f>IFERROR(VLOOKUP(AS51,'[1]02_Arquetipos_Miedo_Sesgo'!$A$4:$G$8,6,FALSE),"")</f>
        <v>Explicar qué se mantiene, qué se mejora y cómo se reducen riesgos de cambio brusco.</v>
      </c>
      <c r="BA51" s="3" t="s">
        <v>77</v>
      </c>
    </row>
    <row r="52" spans="1:53" ht="43.2">
      <c r="A52" s="3" t="s">
        <v>216</v>
      </c>
      <c r="B52" s="3" t="s">
        <v>206</v>
      </c>
      <c r="C52" s="3" t="s">
        <v>217</v>
      </c>
      <c r="D52" s="4">
        <v>12675</v>
      </c>
      <c r="E52" s="5">
        <v>0.51684418145956612</v>
      </c>
      <c r="F52" s="3" t="s">
        <v>57</v>
      </c>
      <c r="G52" s="3" t="s">
        <v>58</v>
      </c>
      <c r="H52" s="3">
        <v>6551</v>
      </c>
      <c r="I52" s="3">
        <v>51.7</v>
      </c>
      <c r="J52" s="3">
        <v>14</v>
      </c>
      <c r="K52" s="3" t="s">
        <v>208</v>
      </c>
      <c r="L52" s="3">
        <v>0</v>
      </c>
      <c r="M52" s="3">
        <v>0</v>
      </c>
      <c r="N52" s="3">
        <v>1</v>
      </c>
      <c r="O52" s="3">
        <v>0</v>
      </c>
      <c r="P52" s="3">
        <v>0</v>
      </c>
      <c r="Q52" s="3">
        <v>0</v>
      </c>
      <c r="R52" s="3" t="s">
        <v>209</v>
      </c>
      <c r="S52" s="3">
        <v>0.2</v>
      </c>
      <c r="T52" s="3" t="s">
        <v>73</v>
      </c>
      <c r="U52" s="3" t="s">
        <v>210</v>
      </c>
      <c r="V52" s="3" t="s">
        <v>211</v>
      </c>
      <c r="W52" s="3"/>
      <c r="X52" s="3" t="s">
        <v>212</v>
      </c>
      <c r="Y52" s="3"/>
      <c r="Z52" s="3" t="s">
        <v>213</v>
      </c>
      <c r="AA52" s="3" t="s">
        <v>61</v>
      </c>
      <c r="AB52" s="3" t="s">
        <v>69</v>
      </c>
      <c r="AC52" s="3" t="s">
        <v>70</v>
      </c>
      <c r="AD52" s="3" t="s">
        <v>71</v>
      </c>
      <c r="AE52" s="3" t="s">
        <v>72</v>
      </c>
      <c r="AF52" s="6">
        <v>0.36599999999999999</v>
      </c>
      <c r="AG52" s="3" t="s">
        <v>73</v>
      </c>
      <c r="AH52" s="3" t="s">
        <v>74</v>
      </c>
      <c r="AI52" s="6">
        <v>0.497</v>
      </c>
      <c r="AJ52" s="3" t="s">
        <v>75</v>
      </c>
      <c r="AK52" s="3" t="s">
        <v>76</v>
      </c>
      <c r="AL52" s="6">
        <v>-0.38900000000000001</v>
      </c>
      <c r="AM52" s="7">
        <f>ROUND((L52/3*'[1]01_Parametros'!$B$3+M52/3*'[1]01_Parametros'!$B$4+N52/3*'[1]01_Parametros'!$B$5+O52/3*'[1]01_Parametros'!$B$6+IF(ISNUMBER(SEARCH("Fronteras",U52)),1,0)*'[1]01_Parametros'!$B$7)*100,1)</f>
        <v>6.7</v>
      </c>
      <c r="AN52" s="7">
        <f>ROUND((E52*'[1]01_Parametros'!$B$8+(1-L52/3)*'[1]01_Parametros'!$B$9+IF(OR(AA52="Alta",AA52="Media"),1,0)*'[1]01_Parametros'!$B$10)*100,1)</f>
        <v>75.8</v>
      </c>
      <c r="AO52" s="7">
        <f>ROUND((IF(ISNUMBER(SEARCH("AC01",X52)),1,0)*'[1]01_Parametros'!$B$11+IF(OR(ISNUMBER(SEARCH("AC06",X52)),ISNUMBER(SEARCH("AC03",X52))),1,0)*'[1]01_Parametros'!$B$12+(1-ABS(E52-0.5))*'[1]01_Parametros'!$B$13+S52/3.2*'[1]01_Parametros'!$B$14)*100,1)</f>
        <v>20.9</v>
      </c>
      <c r="AP52" s="7">
        <f>ROUND((L52/3*'[1]01_Parametros'!$B$15+Q52/3*'[1]01_Parametros'!$B$16+P52/3*'[1]01_Parametros'!$B$17+IF(OR(AA52="Media-baja",AA52="Baja"),1,0)*'[1]01_Parametros'!$B$18+S52/3.2*'[1]01_Parametros'!$B$19)*100,1)</f>
        <v>0.6</v>
      </c>
      <c r="AQ52" s="7">
        <f>ROUND((P52/3*'[1]01_Parametros'!$B$20+IF(OR(ISNUMBER(SEARCH("JAC",Z52)),ISNUMBER(SEARCH("JAL",Z52)),ISNUMBER(SEARCH("lider",Z52))),1,0)*'[1]01_Parametros'!$B$21+IF(LEFT(B52,14)="Corregimiento",1,0)*'[1]01_Parametros'!$B$22+Q52/3*'[1]01_Parametros'!$B$23+S52/3.2*'[1]01_Parametros'!$B$24)*100,1)</f>
        <v>0.3</v>
      </c>
      <c r="AR52" s="3" t="str">
        <f>INDEX('[1]13_Listas'!$A$2:$A$6, MATCH(MAX(AM52:AQ52), AM52:AQ52, 0))</f>
        <v>Estabilidad y continuidad</v>
      </c>
      <c r="AS52" s="3" t="str">
        <f t="shared" si="0"/>
        <v>Estabilidad y continuidad</v>
      </c>
      <c r="AT52" s="3" t="str">
        <f t="shared" si="1"/>
        <v>Traductor Digital</v>
      </c>
      <c r="AU52" s="3" t="str">
        <f t="shared" si="2"/>
        <v>Encuestas y caballo ganador / menos malo</v>
      </c>
      <c r="AV52" s="3" t="str">
        <f>IFERROR(VLOOKUP(AS52,'[1]02_Arquetipos_Miedo_Sesgo'!$A$4:$G$8,4,FALSE),"")</f>
        <v>Aversión a la pérdida + sesgo de statu quo + confirmación.</v>
      </c>
      <c r="AW52" s="3" t="str">
        <f>IFERROR(VLOOKUP(AS52,'[1]02_Arquetipos_Miedo_Sesgo'!$A$4:$G$8,3,FALSE),"")</f>
        <v>Miedo a perder beneficios, subsidios, estabilidad institucional o condiciones de vida ya alcanzadas.</v>
      </c>
      <c r="AX52" s="3" t="str">
        <f>IFERROR(VLOOKUP(AS52,'[1]02_Arquetipos_Miedo_Sesgo'!$A$4:$G$8,4,FALSE),"")</f>
        <v>Aversión a la pérdida + sesgo de statu quo + confirmación.</v>
      </c>
      <c r="AY52" s="3" t="str">
        <f>IFERROR(VLOOKUP(AS52,'[1]02_Arquetipos_Miedo_Sesgo'!$A$4:$G$8,5,FALSE),"")</f>
        <v>Continuidad administrativa, servicios públicos, infraestructura, salud, educación y programas sociales.</v>
      </c>
      <c r="AZ52" s="3" t="str">
        <f>IFERROR(VLOOKUP(AS52,'[1]02_Arquetipos_Miedo_Sesgo'!$A$4:$G$8,6,FALSE),"")</f>
        <v>Explicar qué se mantiene, qué se mejora y cómo se reducen riesgos de cambio brusco.</v>
      </c>
      <c r="BA52" s="3" t="s">
        <v>77</v>
      </c>
    </row>
    <row r="53" spans="1:53" ht="43.2">
      <c r="A53" s="3" t="s">
        <v>218</v>
      </c>
      <c r="B53" s="3" t="s">
        <v>206</v>
      </c>
      <c r="C53" s="3" t="s">
        <v>219</v>
      </c>
      <c r="D53" s="4">
        <v>11054</v>
      </c>
      <c r="E53" s="5">
        <v>0.49339605572643386</v>
      </c>
      <c r="F53" s="3" t="s">
        <v>82</v>
      </c>
      <c r="G53" s="3" t="s">
        <v>83</v>
      </c>
      <c r="H53" s="3">
        <v>5454</v>
      </c>
      <c r="I53" s="3">
        <v>49.3</v>
      </c>
      <c r="J53" s="3">
        <v>14</v>
      </c>
      <c r="K53" s="3" t="s">
        <v>208</v>
      </c>
      <c r="L53" s="3">
        <v>0</v>
      </c>
      <c r="M53" s="3">
        <v>0</v>
      </c>
      <c r="N53" s="3">
        <v>1</v>
      </c>
      <c r="O53" s="3">
        <v>0</v>
      </c>
      <c r="P53" s="3">
        <v>0</v>
      </c>
      <c r="Q53" s="3">
        <v>0</v>
      </c>
      <c r="R53" s="3" t="s">
        <v>209</v>
      </c>
      <c r="S53" s="3">
        <v>0.2</v>
      </c>
      <c r="T53" s="3" t="s">
        <v>73</v>
      </c>
      <c r="U53" s="3" t="s">
        <v>210</v>
      </c>
      <c r="V53" s="3" t="s">
        <v>211</v>
      </c>
      <c r="W53" s="3"/>
      <c r="X53" s="3" t="s">
        <v>212</v>
      </c>
      <c r="Y53" s="3"/>
      <c r="Z53" s="3" t="s">
        <v>213</v>
      </c>
      <c r="AA53" s="3" t="s">
        <v>61</v>
      </c>
      <c r="AB53" s="3" t="s">
        <v>69</v>
      </c>
      <c r="AC53" s="3" t="s">
        <v>70</v>
      </c>
      <c r="AD53" s="3" t="s">
        <v>71</v>
      </c>
      <c r="AE53" s="3" t="s">
        <v>84</v>
      </c>
      <c r="AF53" s="6">
        <v>0.73199999999999998</v>
      </c>
      <c r="AG53" s="3" t="s">
        <v>61</v>
      </c>
      <c r="AH53" s="3" t="s">
        <v>74</v>
      </c>
      <c r="AI53" s="6">
        <v>0.69099999999999995</v>
      </c>
      <c r="AJ53" s="3" t="s">
        <v>61</v>
      </c>
      <c r="AK53" s="3" t="s">
        <v>85</v>
      </c>
      <c r="AL53" s="6">
        <v>-0.50800000000000001</v>
      </c>
      <c r="AM53" s="7">
        <f>ROUND((L53/3*'[1]01_Parametros'!$B$3+M53/3*'[1]01_Parametros'!$B$4+N53/3*'[1]01_Parametros'!$B$5+O53/3*'[1]01_Parametros'!$B$6+IF(ISNUMBER(SEARCH("Fronteras",U53)),1,0)*'[1]01_Parametros'!$B$7)*100,1)</f>
        <v>6.7</v>
      </c>
      <c r="AN53" s="7">
        <f>ROUND((E53*'[1]01_Parametros'!$B$8+(1-L53/3)*'[1]01_Parametros'!$B$9+IF(OR(AA53="Alta",AA53="Media"),1,0)*'[1]01_Parametros'!$B$10)*100,1)</f>
        <v>74.7</v>
      </c>
      <c r="AO53" s="7">
        <f>ROUND((IF(ISNUMBER(SEARCH("AC01",X53)),1,0)*'[1]01_Parametros'!$B$11+IF(OR(ISNUMBER(SEARCH("AC06",X53)),ISNUMBER(SEARCH("AC03",X53))),1,0)*'[1]01_Parametros'!$B$12+(1-ABS(E53-0.5))*'[1]01_Parametros'!$B$13+S53/3.2*'[1]01_Parametros'!$B$14)*100,1)</f>
        <v>21.1</v>
      </c>
      <c r="AP53" s="7">
        <f>ROUND((L53/3*'[1]01_Parametros'!$B$15+Q53/3*'[1]01_Parametros'!$B$16+P53/3*'[1]01_Parametros'!$B$17+IF(OR(AA53="Media-baja",AA53="Baja"),1,0)*'[1]01_Parametros'!$B$18+S53/3.2*'[1]01_Parametros'!$B$19)*100,1)</f>
        <v>0.6</v>
      </c>
      <c r="AQ53" s="7">
        <f>ROUND((P53/3*'[1]01_Parametros'!$B$20+IF(OR(ISNUMBER(SEARCH("JAC",Z53)),ISNUMBER(SEARCH("JAL",Z53)),ISNUMBER(SEARCH("lider",Z53))),1,0)*'[1]01_Parametros'!$B$21+IF(LEFT(B53,14)="Corregimiento",1,0)*'[1]01_Parametros'!$B$22+Q53/3*'[1]01_Parametros'!$B$23+S53/3.2*'[1]01_Parametros'!$B$24)*100,1)</f>
        <v>0.3</v>
      </c>
      <c r="AR53" s="3" t="str">
        <f>INDEX('[1]13_Listas'!$A$2:$A$6, MATCH(MAX(AM53:AQ53), AM53:AQ53, 0))</f>
        <v>Estabilidad y continuidad</v>
      </c>
      <c r="AS53" s="3" t="str">
        <f t="shared" si="0"/>
        <v>Estabilidad y continuidad</v>
      </c>
      <c r="AT53" s="3" t="str">
        <f t="shared" si="1"/>
        <v>Traductor Digital</v>
      </c>
      <c r="AU53" s="3" t="str">
        <f t="shared" si="2"/>
        <v>Encuestas y caballo ganador / menos malo</v>
      </c>
      <c r="AV53" s="3" t="str">
        <f>IFERROR(VLOOKUP(AS53,'[1]02_Arquetipos_Miedo_Sesgo'!$A$4:$G$8,4,FALSE),"")</f>
        <v>Aversión a la pérdida + sesgo de statu quo + confirmación.</v>
      </c>
      <c r="AW53" s="3" t="str">
        <f>IFERROR(VLOOKUP(AS53,'[1]02_Arquetipos_Miedo_Sesgo'!$A$4:$G$8,3,FALSE),"")</f>
        <v>Miedo a perder beneficios, subsidios, estabilidad institucional o condiciones de vida ya alcanzadas.</v>
      </c>
      <c r="AX53" s="3" t="str">
        <f>IFERROR(VLOOKUP(AS53,'[1]02_Arquetipos_Miedo_Sesgo'!$A$4:$G$8,4,FALSE),"")</f>
        <v>Aversión a la pérdida + sesgo de statu quo + confirmación.</v>
      </c>
      <c r="AY53" s="3" t="str">
        <f>IFERROR(VLOOKUP(AS53,'[1]02_Arquetipos_Miedo_Sesgo'!$A$4:$G$8,5,FALSE),"")</f>
        <v>Continuidad administrativa, servicios públicos, infraestructura, salud, educación y programas sociales.</v>
      </c>
      <c r="AZ53" s="3" t="str">
        <f>IFERROR(VLOOKUP(AS53,'[1]02_Arquetipos_Miedo_Sesgo'!$A$4:$G$8,6,FALSE),"")</f>
        <v>Explicar qué se mantiene, qué se mejora y cómo se reducen riesgos de cambio brusco.</v>
      </c>
      <c r="BA53" s="3" t="s">
        <v>77</v>
      </c>
    </row>
    <row r="54" spans="1:53" ht="43.2">
      <c r="A54" s="3" t="s">
        <v>220</v>
      </c>
      <c r="B54" s="3" t="s">
        <v>221</v>
      </c>
      <c r="C54" s="3" t="s">
        <v>222</v>
      </c>
      <c r="D54" s="4">
        <v>6645</v>
      </c>
      <c r="E54" s="5">
        <v>0.42904439428141461</v>
      </c>
      <c r="F54" s="3" t="s">
        <v>82</v>
      </c>
      <c r="G54" s="3" t="s">
        <v>83</v>
      </c>
      <c r="H54" s="3">
        <v>2851</v>
      </c>
      <c r="I54" s="3">
        <v>42.9</v>
      </c>
      <c r="J54" s="3">
        <v>15</v>
      </c>
      <c r="K54" s="3" t="s">
        <v>98</v>
      </c>
      <c r="L54" s="3">
        <v>1</v>
      </c>
      <c r="M54" s="3">
        <v>1</v>
      </c>
      <c r="N54" s="3">
        <v>1</v>
      </c>
      <c r="O54" s="3">
        <v>1</v>
      </c>
      <c r="P54" s="3">
        <v>0</v>
      </c>
      <c r="Q54" s="3">
        <v>1</v>
      </c>
      <c r="R54" s="3" t="s">
        <v>131</v>
      </c>
      <c r="S54" s="3">
        <v>1.2</v>
      </c>
      <c r="T54" s="3" t="s">
        <v>73</v>
      </c>
      <c r="U54" s="3" t="s">
        <v>223</v>
      </c>
      <c r="V54" s="3" t="s">
        <v>224</v>
      </c>
      <c r="W54" s="3" t="s">
        <v>225</v>
      </c>
      <c r="X54" s="3" t="s">
        <v>226</v>
      </c>
      <c r="Y54" s="3" t="s">
        <v>227</v>
      </c>
      <c r="Z54" s="3" t="s">
        <v>228</v>
      </c>
      <c r="AA54" s="3" t="s">
        <v>137</v>
      </c>
      <c r="AB54" s="3" t="s">
        <v>69</v>
      </c>
      <c r="AC54" s="3" t="s">
        <v>70</v>
      </c>
      <c r="AD54" s="3" t="s">
        <v>71</v>
      </c>
      <c r="AE54" s="3" t="s">
        <v>84</v>
      </c>
      <c r="AF54" s="6">
        <v>0.73199999999999998</v>
      </c>
      <c r="AG54" s="3" t="s">
        <v>61</v>
      </c>
      <c r="AH54" s="3" t="s">
        <v>74</v>
      </c>
      <c r="AI54" s="6">
        <v>0.69099999999999995</v>
      </c>
      <c r="AJ54" s="3" t="s">
        <v>61</v>
      </c>
      <c r="AK54" s="3" t="s">
        <v>85</v>
      </c>
      <c r="AL54" s="6">
        <v>-0.50800000000000001</v>
      </c>
      <c r="AM54" s="7">
        <f>ROUND((L54/3*'[1]01_Parametros'!$B$3+M54/3*'[1]01_Parametros'!$B$4+N54/3*'[1]01_Parametros'!$B$5+O54/3*'[1]01_Parametros'!$B$6+IF(ISNUMBER(SEARCH("Fronteras",U54)),1,0)*'[1]01_Parametros'!$B$7)*100,1)</f>
        <v>30</v>
      </c>
      <c r="AN54" s="7">
        <f>ROUND((E54*'[1]01_Parametros'!$B$8+(1-L54/3)*'[1]01_Parametros'!$B$9+IF(OR(AA54="Alta",AA54="Media"),1,0)*'[1]01_Parametros'!$B$10)*100,1)</f>
        <v>41.5</v>
      </c>
      <c r="AO54" s="7">
        <f>ROUND((IF(ISNUMBER(SEARCH("AC01",X54)),1,0)*'[1]01_Parametros'!$B$11+IF(OR(ISNUMBER(SEARCH("AC06",X54)),ISNUMBER(SEARCH("AC03",X54))),1,0)*'[1]01_Parametros'!$B$12+(1-ABS(E54-0.5))*'[1]01_Parametros'!$B$13+S54/3.2*'[1]01_Parametros'!$B$14)*100,1)</f>
        <v>61.1</v>
      </c>
      <c r="AP54" s="7">
        <f>ROUND((L54/3*'[1]01_Parametros'!$B$15+Q54/3*'[1]01_Parametros'!$B$16+P54/3*'[1]01_Parametros'!$B$17+IF(OR(AA54="Media-baja",AA54="Baja"),1,0)*'[1]01_Parametros'!$B$18+S54/3.2*'[1]01_Parametros'!$B$19)*100,1)</f>
        <v>37.1</v>
      </c>
      <c r="AQ54" s="7">
        <f>ROUND((P54/3*'[1]01_Parametros'!$B$20+IF(OR(ISNUMBER(SEARCH("JAC",Z54)),ISNUMBER(SEARCH("JAL",Z54)),ISNUMBER(SEARCH("lider",Z54))),1,0)*'[1]01_Parametros'!$B$21+IF(LEFT(B54,14)="Corregimiento",1,0)*'[1]01_Parametros'!$B$22+Q54/3*'[1]01_Parametros'!$B$23+S54/3.2*'[1]01_Parametros'!$B$24)*100,1)</f>
        <v>5.2</v>
      </c>
      <c r="AR54" s="3" t="str">
        <f>INDEX('[1]13_Listas'!$A$2:$A$6, MATCH(MAX(AM54:AQ54), AM54:AQ54, 0))</f>
        <v>Supervivencia económica y servicios básicos</v>
      </c>
      <c r="AS54" s="3" t="str">
        <f t="shared" si="0"/>
        <v>Supervivencia económica y servicios básicos</v>
      </c>
      <c r="AT54" s="3" t="str">
        <f t="shared" si="1"/>
        <v>Traductor Digital</v>
      </c>
      <c r="AU54" s="3" t="str">
        <f t="shared" si="2"/>
        <v>Costo de vida, gentrificación y vivienda</v>
      </c>
      <c r="AV54" s="3" t="str">
        <f>IFERROR(VLOOKUP(AS54,'[1]02_Arquetipos_Miedo_Sesgo'!$A$4:$G$8,4,FALSE),"")</f>
        <v>Sesgo de escasez + presente dominante + aversión al riesgo económico.</v>
      </c>
      <c r="AW54" s="3" t="str">
        <f>IFERROR(VLOOKUP(AS54,'[1]02_Arquetipos_Miedo_Sesgo'!$A$4:$G$8,3,FALSE),"")</f>
        <v>Miedo a no llegar a fin de mes, perder ingresos, empleo, movilidad o acceso a servicios básicos.</v>
      </c>
      <c r="AX54" s="3" t="str">
        <f>IFERROR(VLOOKUP(AS54,'[1]02_Arquetipos_Miedo_Sesgo'!$A$4:$G$8,4,FALSE),"")</f>
        <v>Sesgo de escasez + presente dominante + aversión al riesgo económico.</v>
      </c>
      <c r="AY54" s="3" t="str">
        <f>IFERROR(VLOOKUP(AS54,'[1]02_Arquetipos_Miedo_Sesgo'!$A$4:$G$8,5,FALSE),"")</f>
        <v>Empleo, emprendimiento, economía popular, transporte, costo de vida, salud, educación técnica y subsidios focalizados.</v>
      </c>
      <c r="AZ54" s="3" t="str">
        <f>IFERROR(VLOOKUP(AS54,'[1]02_Arquetipos_Miedo_Sesgo'!$A$4:$G$8,6,FALSE),"")</f>
        <v>Traducir propuestas en alivios concretos, rutas de acceso y resultados medibles de corto plazo.</v>
      </c>
      <c r="BA54" s="3" t="s">
        <v>77</v>
      </c>
    </row>
    <row r="55" spans="1:53" ht="43.2">
      <c r="A55" s="3" t="s">
        <v>229</v>
      </c>
      <c r="B55" s="3" t="s">
        <v>221</v>
      </c>
      <c r="C55" s="3" t="s">
        <v>230</v>
      </c>
      <c r="D55" s="4">
        <v>1142</v>
      </c>
      <c r="E55" s="5">
        <v>0.40718038528896672</v>
      </c>
      <c r="F55" s="3" t="s">
        <v>82</v>
      </c>
      <c r="G55" s="3" t="s">
        <v>83</v>
      </c>
      <c r="H55" s="3">
        <v>465</v>
      </c>
      <c r="I55" s="3">
        <v>40.700000000000003</v>
      </c>
      <c r="J55" s="3">
        <v>15</v>
      </c>
      <c r="K55" s="3" t="s">
        <v>98</v>
      </c>
      <c r="L55" s="3">
        <v>1</v>
      </c>
      <c r="M55" s="3">
        <v>1</v>
      </c>
      <c r="N55" s="3">
        <v>1</v>
      </c>
      <c r="O55" s="3">
        <v>1</v>
      </c>
      <c r="P55" s="3">
        <v>0</v>
      </c>
      <c r="Q55" s="3">
        <v>1</v>
      </c>
      <c r="R55" s="3" t="s">
        <v>131</v>
      </c>
      <c r="S55" s="3">
        <v>1.2</v>
      </c>
      <c r="T55" s="3" t="s">
        <v>73</v>
      </c>
      <c r="U55" s="3" t="s">
        <v>223</v>
      </c>
      <c r="V55" s="3" t="s">
        <v>224</v>
      </c>
      <c r="W55" s="3" t="s">
        <v>225</v>
      </c>
      <c r="X55" s="3" t="s">
        <v>226</v>
      </c>
      <c r="Y55" s="3" t="s">
        <v>227</v>
      </c>
      <c r="Z55" s="3" t="s">
        <v>228</v>
      </c>
      <c r="AA55" s="3" t="s">
        <v>137</v>
      </c>
      <c r="AB55" s="3" t="s">
        <v>69</v>
      </c>
      <c r="AC55" s="3" t="s">
        <v>70</v>
      </c>
      <c r="AD55" s="3" t="s">
        <v>71</v>
      </c>
      <c r="AE55" s="3" t="s">
        <v>84</v>
      </c>
      <c r="AF55" s="6">
        <v>0.73199999999999998</v>
      </c>
      <c r="AG55" s="3" t="s">
        <v>61</v>
      </c>
      <c r="AH55" s="3" t="s">
        <v>74</v>
      </c>
      <c r="AI55" s="6">
        <v>0.69099999999999995</v>
      </c>
      <c r="AJ55" s="3" t="s">
        <v>61</v>
      </c>
      <c r="AK55" s="3" t="s">
        <v>85</v>
      </c>
      <c r="AL55" s="6">
        <v>-0.50800000000000001</v>
      </c>
      <c r="AM55" s="7">
        <f>ROUND((L55/3*'[1]01_Parametros'!$B$3+M55/3*'[1]01_Parametros'!$B$4+N55/3*'[1]01_Parametros'!$B$5+O55/3*'[1]01_Parametros'!$B$6+IF(ISNUMBER(SEARCH("Fronteras",U55)),1,0)*'[1]01_Parametros'!$B$7)*100,1)</f>
        <v>30</v>
      </c>
      <c r="AN55" s="7">
        <f>ROUND((E55*'[1]01_Parametros'!$B$8+(1-L55/3)*'[1]01_Parametros'!$B$9+IF(OR(AA55="Alta",AA55="Media"),1,0)*'[1]01_Parametros'!$B$10)*100,1)</f>
        <v>40.4</v>
      </c>
      <c r="AO55" s="7">
        <f>ROUND((IF(ISNUMBER(SEARCH("AC01",X55)),1,0)*'[1]01_Parametros'!$B$11+IF(OR(ISNUMBER(SEARCH("AC06",X55)),ISNUMBER(SEARCH("AC03",X55))),1,0)*'[1]01_Parametros'!$B$12+(1-ABS(E55-0.5))*'[1]01_Parametros'!$B$13+S55/3.2*'[1]01_Parametros'!$B$14)*100,1)</f>
        <v>60.6</v>
      </c>
      <c r="AP55" s="7">
        <f>ROUND((L55/3*'[1]01_Parametros'!$B$15+Q55/3*'[1]01_Parametros'!$B$16+P55/3*'[1]01_Parametros'!$B$17+IF(OR(AA55="Media-baja",AA55="Baja"),1,0)*'[1]01_Parametros'!$B$18+S55/3.2*'[1]01_Parametros'!$B$19)*100,1)</f>
        <v>37.1</v>
      </c>
      <c r="AQ55" s="7">
        <f>ROUND((P55/3*'[1]01_Parametros'!$B$20+IF(OR(ISNUMBER(SEARCH("JAC",Z55)),ISNUMBER(SEARCH("JAL",Z55)),ISNUMBER(SEARCH("lider",Z55))),1,0)*'[1]01_Parametros'!$B$21+IF(LEFT(B55,14)="Corregimiento",1,0)*'[1]01_Parametros'!$B$22+Q55/3*'[1]01_Parametros'!$B$23+S55/3.2*'[1]01_Parametros'!$B$24)*100,1)</f>
        <v>5.2</v>
      </c>
      <c r="AR55" s="3" t="str">
        <f>INDEX('[1]13_Listas'!$A$2:$A$6, MATCH(MAX(AM55:AQ55), AM55:AQ55, 0))</f>
        <v>Supervivencia económica y servicios básicos</v>
      </c>
      <c r="AS55" s="3" t="str">
        <f t="shared" si="0"/>
        <v>Supervivencia económica y servicios básicos</v>
      </c>
      <c r="AT55" s="3" t="str">
        <f t="shared" si="1"/>
        <v>Traductor Digital</v>
      </c>
      <c r="AU55" s="3" t="str">
        <f t="shared" si="2"/>
        <v>Costo de vida, gentrificación y vivienda</v>
      </c>
      <c r="AV55" s="3" t="str">
        <f>IFERROR(VLOOKUP(AS55,'[1]02_Arquetipos_Miedo_Sesgo'!$A$4:$G$8,4,FALSE),"")</f>
        <v>Sesgo de escasez + presente dominante + aversión al riesgo económico.</v>
      </c>
      <c r="AW55" s="3" t="str">
        <f>IFERROR(VLOOKUP(AS55,'[1]02_Arquetipos_Miedo_Sesgo'!$A$4:$G$8,3,FALSE),"")</f>
        <v>Miedo a no llegar a fin de mes, perder ingresos, empleo, movilidad o acceso a servicios básicos.</v>
      </c>
      <c r="AX55" s="3" t="str">
        <f>IFERROR(VLOOKUP(AS55,'[1]02_Arquetipos_Miedo_Sesgo'!$A$4:$G$8,4,FALSE),"")</f>
        <v>Sesgo de escasez + presente dominante + aversión al riesgo económico.</v>
      </c>
      <c r="AY55" s="3" t="str">
        <f>IFERROR(VLOOKUP(AS55,'[1]02_Arquetipos_Miedo_Sesgo'!$A$4:$G$8,5,FALSE),"")</f>
        <v>Empleo, emprendimiento, economía popular, transporte, costo de vida, salud, educación técnica y subsidios focalizados.</v>
      </c>
      <c r="AZ55" s="3" t="str">
        <f>IFERROR(VLOOKUP(AS55,'[1]02_Arquetipos_Miedo_Sesgo'!$A$4:$G$8,6,FALSE),"")</f>
        <v>Traducir propuestas en alivios concretos, rutas de acceso y resultados medibles de corto plazo.</v>
      </c>
      <c r="BA55" s="3" t="s">
        <v>77</v>
      </c>
    </row>
    <row r="56" spans="1:53" ht="43.2">
      <c r="A56" s="3" t="s">
        <v>231</v>
      </c>
      <c r="B56" s="3" t="s">
        <v>221</v>
      </c>
      <c r="C56" s="3" t="s">
        <v>232</v>
      </c>
      <c r="D56" s="4">
        <v>7187</v>
      </c>
      <c r="E56" s="5">
        <v>0.4016975093919577</v>
      </c>
      <c r="F56" s="3" t="s">
        <v>57</v>
      </c>
      <c r="G56" s="3" t="s">
        <v>58</v>
      </c>
      <c r="H56" s="3">
        <v>2887</v>
      </c>
      <c r="I56" s="3">
        <v>40.200000000000003</v>
      </c>
      <c r="J56" s="3">
        <v>15</v>
      </c>
      <c r="K56" s="3" t="s">
        <v>98</v>
      </c>
      <c r="L56" s="3">
        <v>1</v>
      </c>
      <c r="M56" s="3">
        <v>1</v>
      </c>
      <c r="N56" s="3">
        <v>1</v>
      </c>
      <c r="O56" s="3">
        <v>1</v>
      </c>
      <c r="P56" s="3">
        <v>0</v>
      </c>
      <c r="Q56" s="3">
        <v>1</v>
      </c>
      <c r="R56" s="3" t="s">
        <v>131</v>
      </c>
      <c r="S56" s="3">
        <v>1.2</v>
      </c>
      <c r="T56" s="3" t="s">
        <v>73</v>
      </c>
      <c r="U56" s="3" t="s">
        <v>223</v>
      </c>
      <c r="V56" s="3" t="s">
        <v>224</v>
      </c>
      <c r="W56" s="3" t="s">
        <v>225</v>
      </c>
      <c r="X56" s="3" t="s">
        <v>226</v>
      </c>
      <c r="Y56" s="3" t="s">
        <v>227</v>
      </c>
      <c r="Z56" s="3" t="s">
        <v>228</v>
      </c>
      <c r="AA56" s="3" t="s">
        <v>137</v>
      </c>
      <c r="AB56" s="3" t="s">
        <v>69</v>
      </c>
      <c r="AC56" s="3" t="s">
        <v>70</v>
      </c>
      <c r="AD56" s="3" t="s">
        <v>71</v>
      </c>
      <c r="AE56" s="3" t="s">
        <v>72</v>
      </c>
      <c r="AF56" s="6">
        <v>0.36599999999999999</v>
      </c>
      <c r="AG56" s="3" t="s">
        <v>73</v>
      </c>
      <c r="AH56" s="3" t="s">
        <v>74</v>
      </c>
      <c r="AI56" s="6">
        <v>0.497</v>
      </c>
      <c r="AJ56" s="3" t="s">
        <v>75</v>
      </c>
      <c r="AK56" s="3" t="s">
        <v>76</v>
      </c>
      <c r="AL56" s="6">
        <v>-0.38900000000000001</v>
      </c>
      <c r="AM56" s="7">
        <f>ROUND((L56/3*'[1]01_Parametros'!$B$3+M56/3*'[1]01_Parametros'!$B$4+N56/3*'[1]01_Parametros'!$B$5+O56/3*'[1]01_Parametros'!$B$6+IF(ISNUMBER(SEARCH("Fronteras",U56)),1,0)*'[1]01_Parametros'!$B$7)*100,1)</f>
        <v>30</v>
      </c>
      <c r="AN56" s="7">
        <f>ROUND((E56*'[1]01_Parametros'!$B$8+(1-L56/3)*'[1]01_Parametros'!$B$9+IF(OR(AA56="Alta",AA56="Media"),1,0)*'[1]01_Parametros'!$B$10)*100,1)</f>
        <v>40.1</v>
      </c>
      <c r="AO56" s="7">
        <f>ROUND((IF(ISNUMBER(SEARCH("AC01",X56)),1,0)*'[1]01_Parametros'!$B$11+IF(OR(ISNUMBER(SEARCH("AC06",X56)),ISNUMBER(SEARCH("AC03",X56))),1,0)*'[1]01_Parametros'!$B$12+(1-ABS(E56-0.5))*'[1]01_Parametros'!$B$13+S56/3.2*'[1]01_Parametros'!$B$14)*100,1)</f>
        <v>60.5</v>
      </c>
      <c r="AP56" s="7">
        <f>ROUND((L56/3*'[1]01_Parametros'!$B$15+Q56/3*'[1]01_Parametros'!$B$16+P56/3*'[1]01_Parametros'!$B$17+IF(OR(AA56="Media-baja",AA56="Baja"),1,0)*'[1]01_Parametros'!$B$18+S56/3.2*'[1]01_Parametros'!$B$19)*100,1)</f>
        <v>37.1</v>
      </c>
      <c r="AQ56" s="7">
        <f>ROUND((P56/3*'[1]01_Parametros'!$B$20+IF(OR(ISNUMBER(SEARCH("JAC",Z56)),ISNUMBER(SEARCH("JAL",Z56)),ISNUMBER(SEARCH("lider",Z56))),1,0)*'[1]01_Parametros'!$B$21+IF(LEFT(B56,14)="Corregimiento",1,0)*'[1]01_Parametros'!$B$22+Q56/3*'[1]01_Parametros'!$B$23+S56/3.2*'[1]01_Parametros'!$B$24)*100,1)</f>
        <v>5.2</v>
      </c>
      <c r="AR56" s="3" t="str">
        <f>INDEX('[1]13_Listas'!$A$2:$A$6, MATCH(MAX(AM56:AQ56), AM56:AQ56, 0))</f>
        <v>Supervivencia económica y servicios básicos</v>
      </c>
      <c r="AS56" s="3" t="str">
        <f t="shared" si="0"/>
        <v>Supervivencia económica y servicios básicos</v>
      </c>
      <c r="AT56" s="3" t="str">
        <f t="shared" si="1"/>
        <v>Traductor Digital</v>
      </c>
      <c r="AU56" s="3" t="str">
        <f t="shared" si="2"/>
        <v>Costo de vida, gentrificación y vivienda</v>
      </c>
      <c r="AV56" s="3" t="str">
        <f>IFERROR(VLOOKUP(AS56,'[1]02_Arquetipos_Miedo_Sesgo'!$A$4:$G$8,4,FALSE),"")</f>
        <v>Sesgo de escasez + presente dominante + aversión al riesgo económico.</v>
      </c>
      <c r="AW56" s="3" t="str">
        <f>IFERROR(VLOOKUP(AS56,'[1]02_Arquetipos_Miedo_Sesgo'!$A$4:$G$8,3,FALSE),"")</f>
        <v>Miedo a no llegar a fin de mes, perder ingresos, empleo, movilidad o acceso a servicios básicos.</v>
      </c>
      <c r="AX56" s="3" t="str">
        <f>IFERROR(VLOOKUP(AS56,'[1]02_Arquetipos_Miedo_Sesgo'!$A$4:$G$8,4,FALSE),"")</f>
        <v>Sesgo de escasez + presente dominante + aversión al riesgo económico.</v>
      </c>
      <c r="AY56" s="3" t="str">
        <f>IFERROR(VLOOKUP(AS56,'[1]02_Arquetipos_Miedo_Sesgo'!$A$4:$G$8,5,FALSE),"")</f>
        <v>Empleo, emprendimiento, economía popular, transporte, costo de vida, salud, educación técnica y subsidios focalizados.</v>
      </c>
      <c r="AZ56" s="3" t="str">
        <f>IFERROR(VLOOKUP(AS56,'[1]02_Arquetipos_Miedo_Sesgo'!$A$4:$G$8,6,FALSE),"")</f>
        <v>Traducir propuestas en alivios concretos, rutas de acceso y resultados medibles de corto plazo.</v>
      </c>
      <c r="BA56" s="3" t="s">
        <v>77</v>
      </c>
    </row>
    <row r="57" spans="1:53" ht="43.2">
      <c r="A57" s="3" t="s">
        <v>233</v>
      </c>
      <c r="B57" s="3" t="s">
        <v>221</v>
      </c>
      <c r="C57" s="3" t="s">
        <v>234</v>
      </c>
      <c r="D57" s="4">
        <v>6610</v>
      </c>
      <c r="E57" s="5">
        <v>0.39984871406959155</v>
      </c>
      <c r="F57" s="3" t="s">
        <v>57</v>
      </c>
      <c r="G57" s="3" t="s">
        <v>58</v>
      </c>
      <c r="H57" s="3">
        <v>2643</v>
      </c>
      <c r="I57" s="3">
        <v>40</v>
      </c>
      <c r="J57" s="3">
        <v>15</v>
      </c>
      <c r="K57" s="3" t="s">
        <v>98</v>
      </c>
      <c r="L57" s="3">
        <v>1</v>
      </c>
      <c r="M57" s="3">
        <v>1</v>
      </c>
      <c r="N57" s="3">
        <v>1</v>
      </c>
      <c r="O57" s="3">
        <v>1</v>
      </c>
      <c r="P57" s="3">
        <v>0</v>
      </c>
      <c r="Q57" s="3">
        <v>1</v>
      </c>
      <c r="R57" s="3" t="s">
        <v>131</v>
      </c>
      <c r="S57" s="3">
        <v>1.2</v>
      </c>
      <c r="T57" s="3" t="s">
        <v>73</v>
      </c>
      <c r="U57" s="3" t="s">
        <v>223</v>
      </c>
      <c r="V57" s="3" t="s">
        <v>224</v>
      </c>
      <c r="W57" s="3" t="s">
        <v>225</v>
      </c>
      <c r="X57" s="3" t="s">
        <v>226</v>
      </c>
      <c r="Y57" s="3" t="s">
        <v>227</v>
      </c>
      <c r="Z57" s="3" t="s">
        <v>228</v>
      </c>
      <c r="AA57" s="3" t="s">
        <v>137</v>
      </c>
      <c r="AB57" s="3" t="s">
        <v>69</v>
      </c>
      <c r="AC57" s="3" t="s">
        <v>70</v>
      </c>
      <c r="AD57" s="3" t="s">
        <v>71</v>
      </c>
      <c r="AE57" s="3" t="s">
        <v>72</v>
      </c>
      <c r="AF57" s="6">
        <v>0.36599999999999999</v>
      </c>
      <c r="AG57" s="3" t="s">
        <v>73</v>
      </c>
      <c r="AH57" s="3" t="s">
        <v>74</v>
      </c>
      <c r="AI57" s="6">
        <v>0.497</v>
      </c>
      <c r="AJ57" s="3" t="s">
        <v>75</v>
      </c>
      <c r="AK57" s="3" t="s">
        <v>76</v>
      </c>
      <c r="AL57" s="6">
        <v>-0.38900000000000001</v>
      </c>
      <c r="AM57" s="7">
        <f>ROUND((L57/3*'[1]01_Parametros'!$B$3+M57/3*'[1]01_Parametros'!$B$4+N57/3*'[1]01_Parametros'!$B$5+O57/3*'[1]01_Parametros'!$B$6+IF(ISNUMBER(SEARCH("Fronteras",U57)),1,0)*'[1]01_Parametros'!$B$7)*100,1)</f>
        <v>30</v>
      </c>
      <c r="AN57" s="7">
        <f>ROUND((E57*'[1]01_Parametros'!$B$8+(1-L57/3)*'[1]01_Parametros'!$B$9+IF(OR(AA57="Alta",AA57="Media"),1,0)*'[1]01_Parametros'!$B$10)*100,1)</f>
        <v>40</v>
      </c>
      <c r="AO57" s="7">
        <f>ROUND((IF(ISNUMBER(SEARCH("AC01",X57)),1,0)*'[1]01_Parametros'!$B$11+IF(OR(ISNUMBER(SEARCH("AC06",X57)),ISNUMBER(SEARCH("AC03",X57))),1,0)*'[1]01_Parametros'!$B$12+(1-ABS(E57-0.5))*'[1]01_Parametros'!$B$13+S57/3.2*'[1]01_Parametros'!$B$14)*100,1)</f>
        <v>60.5</v>
      </c>
      <c r="AP57" s="7">
        <f>ROUND((L57/3*'[1]01_Parametros'!$B$15+Q57/3*'[1]01_Parametros'!$B$16+P57/3*'[1]01_Parametros'!$B$17+IF(OR(AA57="Media-baja",AA57="Baja"),1,0)*'[1]01_Parametros'!$B$18+S57/3.2*'[1]01_Parametros'!$B$19)*100,1)</f>
        <v>37.1</v>
      </c>
      <c r="AQ57" s="7">
        <f>ROUND((P57/3*'[1]01_Parametros'!$B$20+IF(OR(ISNUMBER(SEARCH("JAC",Z57)),ISNUMBER(SEARCH("JAL",Z57)),ISNUMBER(SEARCH("lider",Z57))),1,0)*'[1]01_Parametros'!$B$21+IF(LEFT(B57,14)="Corregimiento",1,0)*'[1]01_Parametros'!$B$22+Q57/3*'[1]01_Parametros'!$B$23+S57/3.2*'[1]01_Parametros'!$B$24)*100,1)</f>
        <v>5.2</v>
      </c>
      <c r="AR57" s="3" t="str">
        <f>INDEX('[1]13_Listas'!$A$2:$A$6, MATCH(MAX(AM57:AQ57), AM57:AQ57, 0))</f>
        <v>Supervivencia económica y servicios básicos</v>
      </c>
      <c r="AS57" s="3" t="str">
        <f t="shared" si="0"/>
        <v>Supervivencia económica y servicios básicos</v>
      </c>
      <c r="AT57" s="3" t="str">
        <f t="shared" si="1"/>
        <v>Traductor Digital</v>
      </c>
      <c r="AU57" s="3" t="str">
        <f t="shared" si="2"/>
        <v>Costo de vida, gentrificación y vivienda</v>
      </c>
      <c r="AV57" s="3" t="str">
        <f>IFERROR(VLOOKUP(AS57,'[1]02_Arquetipos_Miedo_Sesgo'!$A$4:$G$8,4,FALSE),"")</f>
        <v>Sesgo de escasez + presente dominante + aversión al riesgo económico.</v>
      </c>
      <c r="AW57" s="3" t="str">
        <f>IFERROR(VLOOKUP(AS57,'[1]02_Arquetipos_Miedo_Sesgo'!$A$4:$G$8,3,FALSE),"")</f>
        <v>Miedo a no llegar a fin de mes, perder ingresos, empleo, movilidad o acceso a servicios básicos.</v>
      </c>
      <c r="AX57" s="3" t="str">
        <f>IFERROR(VLOOKUP(AS57,'[1]02_Arquetipos_Miedo_Sesgo'!$A$4:$G$8,4,FALSE),"")</f>
        <v>Sesgo de escasez + presente dominante + aversión al riesgo económico.</v>
      </c>
      <c r="AY57" s="3" t="str">
        <f>IFERROR(VLOOKUP(AS57,'[1]02_Arquetipos_Miedo_Sesgo'!$A$4:$G$8,5,FALSE),"")</f>
        <v>Empleo, emprendimiento, economía popular, transporte, costo de vida, salud, educación técnica y subsidios focalizados.</v>
      </c>
      <c r="AZ57" s="3" t="str">
        <f>IFERROR(VLOOKUP(AS57,'[1]02_Arquetipos_Miedo_Sesgo'!$A$4:$G$8,6,FALSE),"")</f>
        <v>Traducir propuestas en alivios concretos, rutas de acceso y resultados medibles de corto plazo.</v>
      </c>
      <c r="BA57" s="3" t="s">
        <v>77</v>
      </c>
    </row>
    <row r="58" spans="1:53" ht="43.2">
      <c r="A58" s="3" t="s">
        <v>235</v>
      </c>
      <c r="B58" s="3" t="s">
        <v>236</v>
      </c>
      <c r="C58" s="3" t="s">
        <v>237</v>
      </c>
      <c r="D58" s="4">
        <v>4264</v>
      </c>
      <c r="E58" s="5">
        <v>0.39094746716697937</v>
      </c>
      <c r="F58" s="3" t="s">
        <v>57</v>
      </c>
      <c r="G58" s="3" t="s">
        <v>58</v>
      </c>
      <c r="H58" s="3">
        <v>1667</v>
      </c>
      <c r="I58" s="3">
        <v>39.1</v>
      </c>
      <c r="J58" s="3">
        <v>12</v>
      </c>
      <c r="K58" s="3" t="s">
        <v>238</v>
      </c>
      <c r="L58" s="3">
        <v>1</v>
      </c>
      <c r="M58" s="3">
        <v>1</v>
      </c>
      <c r="N58" s="3">
        <v>2</v>
      </c>
      <c r="O58" s="3">
        <v>1</v>
      </c>
      <c r="P58" s="3">
        <v>0</v>
      </c>
      <c r="Q58" s="3">
        <v>1</v>
      </c>
      <c r="R58" s="3" t="s">
        <v>131</v>
      </c>
      <c r="S58" s="3">
        <v>1.2</v>
      </c>
      <c r="T58" s="3" t="s">
        <v>73</v>
      </c>
      <c r="U58" s="3" t="s">
        <v>132</v>
      </c>
      <c r="V58" s="3" t="s">
        <v>239</v>
      </c>
      <c r="W58" s="3" t="s">
        <v>240</v>
      </c>
      <c r="X58" s="3" t="s">
        <v>65</v>
      </c>
      <c r="Y58" s="3" t="s">
        <v>227</v>
      </c>
      <c r="Z58" s="3" t="s">
        <v>241</v>
      </c>
      <c r="AA58" s="3" t="s">
        <v>75</v>
      </c>
      <c r="AB58" s="3" t="s">
        <v>69</v>
      </c>
      <c r="AC58" s="3" t="s">
        <v>70</v>
      </c>
      <c r="AD58" s="3" t="s">
        <v>71</v>
      </c>
      <c r="AE58" s="3" t="s">
        <v>72</v>
      </c>
      <c r="AF58" s="6">
        <v>0.36599999999999999</v>
      </c>
      <c r="AG58" s="3" t="s">
        <v>73</v>
      </c>
      <c r="AH58" s="3" t="s">
        <v>74</v>
      </c>
      <c r="AI58" s="6">
        <v>0.497</v>
      </c>
      <c r="AJ58" s="3" t="s">
        <v>75</v>
      </c>
      <c r="AK58" s="3" t="s">
        <v>76</v>
      </c>
      <c r="AL58" s="6">
        <v>-0.38900000000000001</v>
      </c>
      <c r="AM58" s="7">
        <f>ROUND((L58/3*'[1]01_Parametros'!$B$3+M58/3*'[1]01_Parametros'!$B$4+N58/3*'[1]01_Parametros'!$B$5+O58/3*'[1]01_Parametros'!$B$6+IF(ISNUMBER(SEARCH("Fronteras",U58)),1,0)*'[1]01_Parametros'!$B$7)*100,1)</f>
        <v>36.700000000000003</v>
      </c>
      <c r="AN58" s="7">
        <f>ROUND((E58*'[1]01_Parametros'!$B$8+(1-L58/3)*'[1]01_Parametros'!$B$9+IF(OR(AA58="Alta",AA58="Media"),1,0)*'[1]01_Parametros'!$B$10)*100,1)</f>
        <v>59.5</v>
      </c>
      <c r="AO58" s="7">
        <f>ROUND((IF(ISNUMBER(SEARCH("AC01",X58)),1,0)*'[1]01_Parametros'!$B$11+IF(OR(ISNUMBER(SEARCH("AC06",X58)),ISNUMBER(SEARCH("AC03",X58))),1,0)*'[1]01_Parametros'!$B$12+(1-ABS(E58-0.5))*'[1]01_Parametros'!$B$13+S58/3.2*'[1]01_Parametros'!$B$14)*100,1)</f>
        <v>60.3</v>
      </c>
      <c r="AP58" s="7">
        <f>ROUND((L58/3*'[1]01_Parametros'!$B$15+Q58/3*'[1]01_Parametros'!$B$16+P58/3*'[1]01_Parametros'!$B$17+IF(OR(AA58="Media-baja",AA58="Baja"),1,0)*'[1]01_Parametros'!$B$18+S58/3.2*'[1]01_Parametros'!$B$19)*100,1)</f>
        <v>22.1</v>
      </c>
      <c r="AQ58" s="7">
        <f>ROUND((P58/3*'[1]01_Parametros'!$B$20+IF(OR(ISNUMBER(SEARCH("JAC",Z58)),ISNUMBER(SEARCH("JAL",Z58)),ISNUMBER(SEARCH("lider",Z58))),1,0)*'[1]01_Parametros'!$B$21+IF(LEFT(B58,14)="Corregimiento",1,0)*'[1]01_Parametros'!$B$22+Q58/3*'[1]01_Parametros'!$B$23+S58/3.2*'[1]01_Parametros'!$B$24)*100,1)</f>
        <v>15.2</v>
      </c>
      <c r="AR58" s="3" t="str">
        <f>INDEX('[1]13_Listas'!$A$2:$A$6, MATCH(MAX(AM58:AQ58), AM58:AQ58, 0))</f>
        <v>Supervivencia económica y servicios básicos</v>
      </c>
      <c r="AS58" s="3" t="str">
        <f t="shared" si="0"/>
        <v>Supervivencia económica y servicios básicos</v>
      </c>
      <c r="AT58" s="3" t="str">
        <f t="shared" si="1"/>
        <v>Traductor Digital</v>
      </c>
      <c r="AU58" s="3" t="str">
        <f t="shared" si="2"/>
        <v>Costo de vida, gentrificación y vivienda</v>
      </c>
      <c r="AV58" s="3" t="str">
        <f>IFERROR(VLOOKUP(AS58,'[1]02_Arquetipos_Miedo_Sesgo'!$A$4:$G$8,4,FALSE),"")</f>
        <v>Sesgo de escasez + presente dominante + aversión al riesgo económico.</v>
      </c>
      <c r="AW58" s="3" t="str">
        <f>IFERROR(VLOOKUP(AS58,'[1]02_Arquetipos_Miedo_Sesgo'!$A$4:$G$8,3,FALSE),"")</f>
        <v>Miedo a no llegar a fin de mes, perder ingresos, empleo, movilidad o acceso a servicios básicos.</v>
      </c>
      <c r="AX58" s="3" t="str">
        <f>IFERROR(VLOOKUP(AS58,'[1]02_Arquetipos_Miedo_Sesgo'!$A$4:$G$8,4,FALSE),"")</f>
        <v>Sesgo de escasez + presente dominante + aversión al riesgo económico.</v>
      </c>
      <c r="AY58" s="3" t="str">
        <f>IFERROR(VLOOKUP(AS58,'[1]02_Arquetipos_Miedo_Sesgo'!$A$4:$G$8,5,FALSE),"")</f>
        <v>Empleo, emprendimiento, economía popular, transporte, costo de vida, salud, educación técnica y subsidios focalizados.</v>
      </c>
      <c r="AZ58" s="3" t="str">
        <f>IFERROR(VLOOKUP(AS58,'[1]02_Arquetipos_Miedo_Sesgo'!$A$4:$G$8,6,FALSE),"")</f>
        <v>Traducir propuestas en alivios concretos, rutas de acceso y resultados medibles de corto plazo.</v>
      </c>
      <c r="BA58" s="3" t="s">
        <v>77</v>
      </c>
    </row>
    <row r="59" spans="1:53" ht="43.2">
      <c r="A59" s="3" t="s">
        <v>242</v>
      </c>
      <c r="B59" s="3" t="s">
        <v>236</v>
      </c>
      <c r="C59" s="3" t="s">
        <v>236</v>
      </c>
      <c r="D59" s="4">
        <v>1995</v>
      </c>
      <c r="E59" s="5">
        <v>0.56240601503759402</v>
      </c>
      <c r="F59" s="3" t="s">
        <v>57</v>
      </c>
      <c r="G59" s="3" t="s">
        <v>58</v>
      </c>
      <c r="H59" s="3">
        <v>1122</v>
      </c>
      <c r="I59" s="3">
        <v>56.2</v>
      </c>
      <c r="J59" s="3">
        <v>12</v>
      </c>
      <c r="K59" s="3" t="s">
        <v>238</v>
      </c>
      <c r="L59" s="3">
        <v>1</v>
      </c>
      <c r="M59" s="3">
        <v>1</v>
      </c>
      <c r="N59" s="3">
        <v>2</v>
      </c>
      <c r="O59" s="3">
        <v>1</v>
      </c>
      <c r="P59" s="3">
        <v>0</v>
      </c>
      <c r="Q59" s="3">
        <v>1</v>
      </c>
      <c r="R59" s="3" t="s">
        <v>131</v>
      </c>
      <c r="S59" s="3">
        <v>1.2</v>
      </c>
      <c r="T59" s="3" t="s">
        <v>73</v>
      </c>
      <c r="U59" s="3" t="s">
        <v>132</v>
      </c>
      <c r="V59" s="3" t="s">
        <v>239</v>
      </c>
      <c r="W59" s="3" t="s">
        <v>240</v>
      </c>
      <c r="X59" s="3" t="s">
        <v>65</v>
      </c>
      <c r="Y59" s="3" t="s">
        <v>227</v>
      </c>
      <c r="Z59" s="3" t="s">
        <v>241</v>
      </c>
      <c r="AA59" s="3" t="s">
        <v>75</v>
      </c>
      <c r="AB59" s="3" t="s">
        <v>69</v>
      </c>
      <c r="AC59" s="3" t="s">
        <v>70</v>
      </c>
      <c r="AD59" s="3" t="s">
        <v>71</v>
      </c>
      <c r="AE59" s="3" t="s">
        <v>72</v>
      </c>
      <c r="AF59" s="6">
        <v>0.36599999999999999</v>
      </c>
      <c r="AG59" s="3" t="s">
        <v>73</v>
      </c>
      <c r="AH59" s="3" t="s">
        <v>74</v>
      </c>
      <c r="AI59" s="6">
        <v>0.497</v>
      </c>
      <c r="AJ59" s="3" t="s">
        <v>75</v>
      </c>
      <c r="AK59" s="3" t="s">
        <v>76</v>
      </c>
      <c r="AL59" s="6">
        <v>-0.38900000000000001</v>
      </c>
      <c r="AM59" s="7">
        <f>ROUND((L59/3*'[1]01_Parametros'!$B$3+M59/3*'[1]01_Parametros'!$B$4+N59/3*'[1]01_Parametros'!$B$5+O59/3*'[1]01_Parametros'!$B$6+IF(ISNUMBER(SEARCH("Fronteras",U59)),1,0)*'[1]01_Parametros'!$B$7)*100,1)</f>
        <v>36.700000000000003</v>
      </c>
      <c r="AN59" s="7">
        <f>ROUND((E59*'[1]01_Parametros'!$B$8+(1-L59/3)*'[1]01_Parametros'!$B$9+IF(OR(AA59="Alta",AA59="Media"),1,0)*'[1]01_Parametros'!$B$10)*100,1)</f>
        <v>68.099999999999994</v>
      </c>
      <c r="AO59" s="7">
        <f>ROUND((IF(ISNUMBER(SEARCH("AC01",X59)),1,0)*'[1]01_Parametros'!$B$11+IF(OR(ISNUMBER(SEARCH("AC06",X59)),ISNUMBER(SEARCH("AC03",X59))),1,0)*'[1]01_Parametros'!$B$12+(1-ABS(E59-0.5))*'[1]01_Parametros'!$B$13+S59/3.2*'[1]01_Parametros'!$B$14)*100,1)</f>
        <v>61.3</v>
      </c>
      <c r="AP59" s="7">
        <f>ROUND((L59/3*'[1]01_Parametros'!$B$15+Q59/3*'[1]01_Parametros'!$B$16+P59/3*'[1]01_Parametros'!$B$17+IF(OR(AA59="Media-baja",AA59="Baja"),1,0)*'[1]01_Parametros'!$B$18+S59/3.2*'[1]01_Parametros'!$B$19)*100,1)</f>
        <v>22.1</v>
      </c>
      <c r="AQ59" s="7">
        <f>ROUND((P59/3*'[1]01_Parametros'!$B$20+IF(OR(ISNUMBER(SEARCH("JAC",Z59)),ISNUMBER(SEARCH("JAL",Z59)),ISNUMBER(SEARCH("lider",Z59))),1,0)*'[1]01_Parametros'!$B$21+IF(LEFT(B59,14)="Corregimiento",1,0)*'[1]01_Parametros'!$B$22+Q59/3*'[1]01_Parametros'!$B$23+S59/3.2*'[1]01_Parametros'!$B$24)*100,1)</f>
        <v>15.2</v>
      </c>
      <c r="AR59" s="3" t="str">
        <f>INDEX('[1]13_Listas'!$A$2:$A$6, MATCH(MAX(AM59:AQ59), AM59:AQ59, 0))</f>
        <v>Estabilidad y continuidad</v>
      </c>
      <c r="AS59" s="3" t="str">
        <f t="shared" si="0"/>
        <v>Estabilidad y continuidad</v>
      </c>
      <c r="AT59" s="3" t="str">
        <f t="shared" si="1"/>
        <v>Traductor Digital</v>
      </c>
      <c r="AU59" s="3" t="str">
        <f t="shared" si="2"/>
        <v>Encuestas y caballo ganador / menos malo</v>
      </c>
      <c r="AV59" s="3" t="str">
        <f>IFERROR(VLOOKUP(AS59,'[1]02_Arquetipos_Miedo_Sesgo'!$A$4:$G$8,4,FALSE),"")</f>
        <v>Aversión a la pérdida + sesgo de statu quo + confirmación.</v>
      </c>
      <c r="AW59" s="3" t="str">
        <f>IFERROR(VLOOKUP(AS59,'[1]02_Arquetipos_Miedo_Sesgo'!$A$4:$G$8,3,FALSE),"")</f>
        <v>Miedo a perder beneficios, subsidios, estabilidad institucional o condiciones de vida ya alcanzadas.</v>
      </c>
      <c r="AX59" s="3" t="str">
        <f>IFERROR(VLOOKUP(AS59,'[1]02_Arquetipos_Miedo_Sesgo'!$A$4:$G$8,4,FALSE),"")</f>
        <v>Aversión a la pérdida + sesgo de statu quo + confirmación.</v>
      </c>
      <c r="AY59" s="3" t="str">
        <f>IFERROR(VLOOKUP(AS59,'[1]02_Arquetipos_Miedo_Sesgo'!$A$4:$G$8,5,FALSE),"")</f>
        <v>Continuidad administrativa, servicios públicos, infraestructura, salud, educación y programas sociales.</v>
      </c>
      <c r="AZ59" s="3" t="str">
        <f>IFERROR(VLOOKUP(AS59,'[1]02_Arquetipos_Miedo_Sesgo'!$A$4:$G$8,6,FALSE),"")</f>
        <v>Explicar qué se mantiene, qué se mejora y cómo se reducen riesgos de cambio brusco.</v>
      </c>
      <c r="BA59" s="3" t="s">
        <v>77</v>
      </c>
    </row>
    <row r="60" spans="1:53" ht="43.2">
      <c r="A60" s="3" t="s">
        <v>243</v>
      </c>
      <c r="B60" s="3" t="s">
        <v>236</v>
      </c>
      <c r="C60" s="3" t="s">
        <v>244</v>
      </c>
      <c r="D60" s="4">
        <v>14214</v>
      </c>
      <c r="E60" s="5">
        <v>0.43879273955255382</v>
      </c>
      <c r="F60" s="3" t="s">
        <v>57</v>
      </c>
      <c r="G60" s="3" t="s">
        <v>58</v>
      </c>
      <c r="H60" s="3">
        <v>6237</v>
      </c>
      <c r="I60" s="3">
        <v>43.9</v>
      </c>
      <c r="J60" s="3">
        <v>12</v>
      </c>
      <c r="K60" s="3" t="s">
        <v>238</v>
      </c>
      <c r="L60" s="3">
        <v>1</v>
      </c>
      <c r="M60" s="3">
        <v>1</v>
      </c>
      <c r="N60" s="3">
        <v>2</v>
      </c>
      <c r="O60" s="3">
        <v>1</v>
      </c>
      <c r="P60" s="3">
        <v>0</v>
      </c>
      <c r="Q60" s="3">
        <v>1</v>
      </c>
      <c r="R60" s="3" t="s">
        <v>131</v>
      </c>
      <c r="S60" s="3">
        <v>1.2</v>
      </c>
      <c r="T60" s="3" t="s">
        <v>73</v>
      </c>
      <c r="U60" s="3" t="s">
        <v>132</v>
      </c>
      <c r="V60" s="3" t="s">
        <v>239</v>
      </c>
      <c r="W60" s="3" t="s">
        <v>240</v>
      </c>
      <c r="X60" s="3" t="s">
        <v>65</v>
      </c>
      <c r="Y60" s="3" t="s">
        <v>227</v>
      </c>
      <c r="Z60" s="3" t="s">
        <v>241</v>
      </c>
      <c r="AA60" s="3" t="s">
        <v>75</v>
      </c>
      <c r="AB60" s="3" t="s">
        <v>69</v>
      </c>
      <c r="AC60" s="3" t="s">
        <v>70</v>
      </c>
      <c r="AD60" s="3" t="s">
        <v>71</v>
      </c>
      <c r="AE60" s="3" t="s">
        <v>72</v>
      </c>
      <c r="AF60" s="6">
        <v>0.36599999999999999</v>
      </c>
      <c r="AG60" s="3" t="s">
        <v>73</v>
      </c>
      <c r="AH60" s="3" t="s">
        <v>74</v>
      </c>
      <c r="AI60" s="6">
        <v>0.497</v>
      </c>
      <c r="AJ60" s="3" t="s">
        <v>75</v>
      </c>
      <c r="AK60" s="3" t="s">
        <v>76</v>
      </c>
      <c r="AL60" s="6">
        <v>-0.38900000000000001</v>
      </c>
      <c r="AM60" s="7">
        <f>ROUND((L60/3*'[1]01_Parametros'!$B$3+M60/3*'[1]01_Parametros'!$B$4+N60/3*'[1]01_Parametros'!$B$5+O60/3*'[1]01_Parametros'!$B$6+IF(ISNUMBER(SEARCH("Fronteras",U60)),1,0)*'[1]01_Parametros'!$B$7)*100,1)</f>
        <v>36.700000000000003</v>
      </c>
      <c r="AN60" s="7">
        <f>ROUND((E60*'[1]01_Parametros'!$B$8+(1-L60/3)*'[1]01_Parametros'!$B$9+IF(OR(AA60="Alta",AA60="Media"),1,0)*'[1]01_Parametros'!$B$10)*100,1)</f>
        <v>61.9</v>
      </c>
      <c r="AO60" s="7">
        <f>ROUND((IF(ISNUMBER(SEARCH("AC01",X60)),1,0)*'[1]01_Parametros'!$B$11+IF(OR(ISNUMBER(SEARCH("AC06",X60)),ISNUMBER(SEARCH("AC03",X60))),1,0)*'[1]01_Parametros'!$B$12+(1-ABS(E60-0.5))*'[1]01_Parametros'!$B$13+S60/3.2*'[1]01_Parametros'!$B$14)*100,1)</f>
        <v>61.3</v>
      </c>
      <c r="AP60" s="7">
        <f>ROUND((L60/3*'[1]01_Parametros'!$B$15+Q60/3*'[1]01_Parametros'!$B$16+P60/3*'[1]01_Parametros'!$B$17+IF(OR(AA60="Media-baja",AA60="Baja"),1,0)*'[1]01_Parametros'!$B$18+S60/3.2*'[1]01_Parametros'!$B$19)*100,1)</f>
        <v>22.1</v>
      </c>
      <c r="AQ60" s="7">
        <f>ROUND((P60/3*'[1]01_Parametros'!$B$20+IF(OR(ISNUMBER(SEARCH("JAC",Z60)),ISNUMBER(SEARCH("JAL",Z60)),ISNUMBER(SEARCH("lider",Z60))),1,0)*'[1]01_Parametros'!$B$21+IF(LEFT(B60,14)="Corregimiento",1,0)*'[1]01_Parametros'!$B$22+Q60/3*'[1]01_Parametros'!$B$23+S60/3.2*'[1]01_Parametros'!$B$24)*100,1)</f>
        <v>15.2</v>
      </c>
      <c r="AR60" s="3" t="str">
        <f>INDEX('[1]13_Listas'!$A$2:$A$6, MATCH(MAX(AM60:AQ60), AM60:AQ60, 0))</f>
        <v>Estabilidad y continuidad</v>
      </c>
      <c r="AS60" s="3" t="str">
        <f t="shared" si="0"/>
        <v>Estabilidad y continuidad</v>
      </c>
      <c r="AT60" s="3" t="str">
        <f t="shared" si="1"/>
        <v>Traductor Digital</v>
      </c>
      <c r="AU60" s="3" t="str">
        <f t="shared" si="2"/>
        <v>Encuestas y caballo ganador / menos malo</v>
      </c>
      <c r="AV60" s="3" t="str">
        <f>IFERROR(VLOOKUP(AS60,'[1]02_Arquetipos_Miedo_Sesgo'!$A$4:$G$8,4,FALSE),"")</f>
        <v>Aversión a la pérdida + sesgo de statu quo + confirmación.</v>
      </c>
      <c r="AW60" s="3" t="str">
        <f>IFERROR(VLOOKUP(AS60,'[1]02_Arquetipos_Miedo_Sesgo'!$A$4:$G$8,3,FALSE),"")</f>
        <v>Miedo a perder beneficios, subsidios, estabilidad institucional o condiciones de vida ya alcanzadas.</v>
      </c>
      <c r="AX60" s="3" t="str">
        <f>IFERROR(VLOOKUP(AS60,'[1]02_Arquetipos_Miedo_Sesgo'!$A$4:$G$8,4,FALSE),"")</f>
        <v>Aversión a la pérdida + sesgo de statu quo + confirmación.</v>
      </c>
      <c r="AY60" s="3" t="str">
        <f>IFERROR(VLOOKUP(AS60,'[1]02_Arquetipos_Miedo_Sesgo'!$A$4:$G$8,5,FALSE),"")</f>
        <v>Continuidad administrativa, servicios públicos, infraestructura, salud, educación y programas sociales.</v>
      </c>
      <c r="AZ60" s="3" t="str">
        <f>IFERROR(VLOOKUP(AS60,'[1]02_Arquetipos_Miedo_Sesgo'!$A$4:$G$8,6,FALSE),"")</f>
        <v>Explicar qué se mantiene, qué se mejora y cómo se reducen riesgos de cambio brusco.</v>
      </c>
      <c r="BA60" s="3" t="s">
        <v>77</v>
      </c>
    </row>
    <row r="61" spans="1:53" ht="43.2">
      <c r="A61" s="3" t="s">
        <v>245</v>
      </c>
      <c r="B61" s="3" t="s">
        <v>236</v>
      </c>
      <c r="C61" s="3" t="s">
        <v>246</v>
      </c>
      <c r="D61" s="4">
        <v>7026</v>
      </c>
      <c r="E61" s="5">
        <v>0.40691716481639623</v>
      </c>
      <c r="F61" s="3" t="s">
        <v>57</v>
      </c>
      <c r="G61" s="3" t="s">
        <v>58</v>
      </c>
      <c r="H61" s="3">
        <v>2859</v>
      </c>
      <c r="I61" s="3">
        <v>40.700000000000003</v>
      </c>
      <c r="J61" s="3">
        <v>12</v>
      </c>
      <c r="K61" s="3" t="s">
        <v>238</v>
      </c>
      <c r="L61" s="3">
        <v>1</v>
      </c>
      <c r="M61" s="3">
        <v>1</v>
      </c>
      <c r="N61" s="3">
        <v>2</v>
      </c>
      <c r="O61" s="3">
        <v>1</v>
      </c>
      <c r="P61" s="3">
        <v>0</v>
      </c>
      <c r="Q61" s="3">
        <v>1</v>
      </c>
      <c r="R61" s="3" t="s">
        <v>131</v>
      </c>
      <c r="S61" s="3">
        <v>1.2</v>
      </c>
      <c r="T61" s="3" t="s">
        <v>73</v>
      </c>
      <c r="U61" s="3" t="s">
        <v>132</v>
      </c>
      <c r="V61" s="3" t="s">
        <v>239</v>
      </c>
      <c r="W61" s="3" t="s">
        <v>240</v>
      </c>
      <c r="X61" s="3" t="s">
        <v>65</v>
      </c>
      <c r="Y61" s="3" t="s">
        <v>227</v>
      </c>
      <c r="Z61" s="3" t="s">
        <v>241</v>
      </c>
      <c r="AA61" s="3" t="s">
        <v>75</v>
      </c>
      <c r="AB61" s="3" t="s">
        <v>69</v>
      </c>
      <c r="AC61" s="3" t="s">
        <v>70</v>
      </c>
      <c r="AD61" s="3" t="s">
        <v>71</v>
      </c>
      <c r="AE61" s="3" t="s">
        <v>72</v>
      </c>
      <c r="AF61" s="6">
        <v>0.36599999999999999</v>
      </c>
      <c r="AG61" s="3" t="s">
        <v>73</v>
      </c>
      <c r="AH61" s="3" t="s">
        <v>74</v>
      </c>
      <c r="AI61" s="6">
        <v>0.497</v>
      </c>
      <c r="AJ61" s="3" t="s">
        <v>75</v>
      </c>
      <c r="AK61" s="3" t="s">
        <v>76</v>
      </c>
      <c r="AL61" s="6">
        <v>-0.38900000000000001</v>
      </c>
      <c r="AM61" s="7">
        <f>ROUND((L61/3*'[1]01_Parametros'!$B$3+M61/3*'[1]01_Parametros'!$B$4+N61/3*'[1]01_Parametros'!$B$5+O61/3*'[1]01_Parametros'!$B$6+IF(ISNUMBER(SEARCH("Fronteras",U61)),1,0)*'[1]01_Parametros'!$B$7)*100,1)</f>
        <v>36.700000000000003</v>
      </c>
      <c r="AN61" s="7">
        <f>ROUND((E61*'[1]01_Parametros'!$B$8+(1-L61/3)*'[1]01_Parametros'!$B$9+IF(OR(AA61="Alta",AA61="Media"),1,0)*'[1]01_Parametros'!$B$10)*100,1)</f>
        <v>60.3</v>
      </c>
      <c r="AO61" s="7">
        <f>ROUND((IF(ISNUMBER(SEARCH("AC01",X61)),1,0)*'[1]01_Parametros'!$B$11+IF(OR(ISNUMBER(SEARCH("AC06",X61)),ISNUMBER(SEARCH("AC03",X61))),1,0)*'[1]01_Parametros'!$B$12+(1-ABS(E61-0.5))*'[1]01_Parametros'!$B$13+S61/3.2*'[1]01_Parametros'!$B$14)*100,1)</f>
        <v>60.6</v>
      </c>
      <c r="AP61" s="7">
        <f>ROUND((L61/3*'[1]01_Parametros'!$B$15+Q61/3*'[1]01_Parametros'!$B$16+P61/3*'[1]01_Parametros'!$B$17+IF(OR(AA61="Media-baja",AA61="Baja"),1,0)*'[1]01_Parametros'!$B$18+S61/3.2*'[1]01_Parametros'!$B$19)*100,1)</f>
        <v>22.1</v>
      </c>
      <c r="AQ61" s="7">
        <f>ROUND((P61/3*'[1]01_Parametros'!$B$20+IF(OR(ISNUMBER(SEARCH("JAC",Z61)),ISNUMBER(SEARCH("JAL",Z61)),ISNUMBER(SEARCH("lider",Z61))),1,0)*'[1]01_Parametros'!$B$21+IF(LEFT(B61,14)="Corregimiento",1,0)*'[1]01_Parametros'!$B$22+Q61/3*'[1]01_Parametros'!$B$23+S61/3.2*'[1]01_Parametros'!$B$24)*100,1)</f>
        <v>15.2</v>
      </c>
      <c r="AR61" s="3" t="str">
        <f>INDEX('[1]13_Listas'!$A$2:$A$6, MATCH(MAX(AM61:AQ61), AM61:AQ61, 0))</f>
        <v>Supervivencia económica y servicios básicos</v>
      </c>
      <c r="AS61" s="3" t="str">
        <f t="shared" si="0"/>
        <v>Supervivencia económica y servicios básicos</v>
      </c>
      <c r="AT61" s="3" t="str">
        <f t="shared" si="1"/>
        <v>Traductor Digital</v>
      </c>
      <c r="AU61" s="3" t="str">
        <f t="shared" si="2"/>
        <v>Costo de vida, gentrificación y vivienda</v>
      </c>
      <c r="AV61" s="3" t="str">
        <f>IFERROR(VLOOKUP(AS61,'[1]02_Arquetipos_Miedo_Sesgo'!$A$4:$G$8,4,FALSE),"")</f>
        <v>Sesgo de escasez + presente dominante + aversión al riesgo económico.</v>
      </c>
      <c r="AW61" s="3" t="str">
        <f>IFERROR(VLOOKUP(AS61,'[1]02_Arquetipos_Miedo_Sesgo'!$A$4:$G$8,3,FALSE),"")</f>
        <v>Miedo a no llegar a fin de mes, perder ingresos, empleo, movilidad o acceso a servicios básicos.</v>
      </c>
      <c r="AX61" s="3" t="str">
        <f>IFERROR(VLOOKUP(AS61,'[1]02_Arquetipos_Miedo_Sesgo'!$A$4:$G$8,4,FALSE),"")</f>
        <v>Sesgo de escasez + presente dominante + aversión al riesgo económico.</v>
      </c>
      <c r="AY61" s="3" t="str">
        <f>IFERROR(VLOOKUP(AS61,'[1]02_Arquetipos_Miedo_Sesgo'!$A$4:$G$8,5,FALSE),"")</f>
        <v>Empleo, emprendimiento, economía popular, transporte, costo de vida, salud, educación técnica y subsidios focalizados.</v>
      </c>
      <c r="AZ61" s="3" t="str">
        <f>IFERROR(VLOOKUP(AS61,'[1]02_Arquetipos_Miedo_Sesgo'!$A$4:$G$8,6,FALSE),"")</f>
        <v>Traducir propuestas en alivios concretos, rutas de acceso y resultados medibles de corto plazo.</v>
      </c>
      <c r="BA61" s="3" t="s">
        <v>77</v>
      </c>
    </row>
    <row r="62" spans="1:53" ht="43.2">
      <c r="A62" s="3" t="s">
        <v>247</v>
      </c>
      <c r="B62" s="3" t="s">
        <v>236</v>
      </c>
      <c r="C62" s="3" t="s">
        <v>248</v>
      </c>
      <c r="D62" s="4">
        <v>97</v>
      </c>
      <c r="E62" s="5">
        <v>0.52577319587628868</v>
      </c>
      <c r="F62" s="3" t="s">
        <v>57</v>
      </c>
      <c r="G62" s="3" t="s">
        <v>58</v>
      </c>
      <c r="H62" s="3">
        <v>51</v>
      </c>
      <c r="I62" s="3">
        <v>52.6</v>
      </c>
      <c r="J62" s="3">
        <v>12</v>
      </c>
      <c r="K62" s="3" t="s">
        <v>238</v>
      </c>
      <c r="L62" s="3">
        <v>1</v>
      </c>
      <c r="M62" s="3">
        <v>1</v>
      </c>
      <c r="N62" s="3">
        <v>2</v>
      </c>
      <c r="O62" s="3">
        <v>1</v>
      </c>
      <c r="P62" s="3">
        <v>0</v>
      </c>
      <c r="Q62" s="3">
        <v>1</v>
      </c>
      <c r="R62" s="3" t="s">
        <v>131</v>
      </c>
      <c r="S62" s="3">
        <v>1.2</v>
      </c>
      <c r="T62" s="3" t="s">
        <v>73</v>
      </c>
      <c r="U62" s="3" t="s">
        <v>132</v>
      </c>
      <c r="V62" s="3" t="s">
        <v>239</v>
      </c>
      <c r="W62" s="3" t="s">
        <v>240</v>
      </c>
      <c r="X62" s="3" t="s">
        <v>65</v>
      </c>
      <c r="Y62" s="3" t="s">
        <v>227</v>
      </c>
      <c r="Z62" s="3" t="s">
        <v>241</v>
      </c>
      <c r="AA62" s="3" t="s">
        <v>75</v>
      </c>
      <c r="AB62" s="3" t="s">
        <v>69</v>
      </c>
      <c r="AC62" s="3" t="s">
        <v>70</v>
      </c>
      <c r="AD62" s="3" t="s">
        <v>71</v>
      </c>
      <c r="AE62" s="3" t="s">
        <v>72</v>
      </c>
      <c r="AF62" s="6">
        <v>0.36599999999999999</v>
      </c>
      <c r="AG62" s="3" t="s">
        <v>73</v>
      </c>
      <c r="AH62" s="3" t="s">
        <v>74</v>
      </c>
      <c r="AI62" s="6">
        <v>0.497</v>
      </c>
      <c r="AJ62" s="3" t="s">
        <v>75</v>
      </c>
      <c r="AK62" s="3" t="s">
        <v>76</v>
      </c>
      <c r="AL62" s="6">
        <v>-0.38900000000000001</v>
      </c>
      <c r="AM62" s="7">
        <f>ROUND((L62/3*'[1]01_Parametros'!$B$3+M62/3*'[1]01_Parametros'!$B$4+N62/3*'[1]01_Parametros'!$B$5+O62/3*'[1]01_Parametros'!$B$6+IF(ISNUMBER(SEARCH("Fronteras",U62)),1,0)*'[1]01_Parametros'!$B$7)*100,1)</f>
        <v>36.700000000000003</v>
      </c>
      <c r="AN62" s="7">
        <f>ROUND((E62*'[1]01_Parametros'!$B$8+(1-L62/3)*'[1]01_Parametros'!$B$9+IF(OR(AA62="Alta",AA62="Media"),1,0)*'[1]01_Parametros'!$B$10)*100,1)</f>
        <v>66.3</v>
      </c>
      <c r="AO62" s="7">
        <f>ROUND((IF(ISNUMBER(SEARCH("AC01",X62)),1,0)*'[1]01_Parametros'!$B$11+IF(OR(ISNUMBER(SEARCH("AC06",X62)),ISNUMBER(SEARCH("AC03",X62))),1,0)*'[1]01_Parametros'!$B$12+(1-ABS(E62-0.5))*'[1]01_Parametros'!$B$13+S62/3.2*'[1]01_Parametros'!$B$14)*100,1)</f>
        <v>62</v>
      </c>
      <c r="AP62" s="7">
        <f>ROUND((L62/3*'[1]01_Parametros'!$B$15+Q62/3*'[1]01_Parametros'!$B$16+P62/3*'[1]01_Parametros'!$B$17+IF(OR(AA62="Media-baja",AA62="Baja"),1,0)*'[1]01_Parametros'!$B$18+S62/3.2*'[1]01_Parametros'!$B$19)*100,1)</f>
        <v>22.1</v>
      </c>
      <c r="AQ62" s="7">
        <f>ROUND((P62/3*'[1]01_Parametros'!$B$20+IF(OR(ISNUMBER(SEARCH("JAC",Z62)),ISNUMBER(SEARCH("JAL",Z62)),ISNUMBER(SEARCH("lider",Z62))),1,0)*'[1]01_Parametros'!$B$21+IF(LEFT(B62,14)="Corregimiento",1,0)*'[1]01_Parametros'!$B$22+Q62/3*'[1]01_Parametros'!$B$23+S62/3.2*'[1]01_Parametros'!$B$24)*100,1)</f>
        <v>15.2</v>
      </c>
      <c r="AR62" s="3" t="str">
        <f>INDEX('[1]13_Listas'!$A$2:$A$6, MATCH(MAX(AM62:AQ62), AM62:AQ62, 0))</f>
        <v>Estabilidad y continuidad</v>
      </c>
      <c r="AS62" s="3" t="str">
        <f t="shared" si="0"/>
        <v>Estabilidad y continuidad</v>
      </c>
      <c r="AT62" s="3" t="str">
        <f t="shared" si="1"/>
        <v>Traductor Digital</v>
      </c>
      <c r="AU62" s="3" t="str">
        <f t="shared" si="2"/>
        <v>Encuestas y caballo ganador / menos malo</v>
      </c>
      <c r="AV62" s="3" t="str">
        <f>IFERROR(VLOOKUP(AS62,'[1]02_Arquetipos_Miedo_Sesgo'!$A$4:$G$8,4,FALSE),"")</f>
        <v>Aversión a la pérdida + sesgo de statu quo + confirmación.</v>
      </c>
      <c r="AW62" s="3" t="str">
        <f>IFERROR(VLOOKUP(AS62,'[1]02_Arquetipos_Miedo_Sesgo'!$A$4:$G$8,3,FALSE),"")</f>
        <v>Miedo a perder beneficios, subsidios, estabilidad institucional o condiciones de vida ya alcanzadas.</v>
      </c>
      <c r="AX62" s="3" t="str">
        <f>IFERROR(VLOOKUP(AS62,'[1]02_Arquetipos_Miedo_Sesgo'!$A$4:$G$8,4,FALSE),"")</f>
        <v>Aversión a la pérdida + sesgo de statu quo + confirmación.</v>
      </c>
      <c r="AY62" s="3" t="str">
        <f>IFERROR(VLOOKUP(AS62,'[1]02_Arquetipos_Miedo_Sesgo'!$A$4:$G$8,5,FALSE),"")</f>
        <v>Continuidad administrativa, servicios públicos, infraestructura, salud, educación y programas sociales.</v>
      </c>
      <c r="AZ62" s="3" t="str">
        <f>IFERROR(VLOOKUP(AS62,'[1]02_Arquetipos_Miedo_Sesgo'!$A$4:$G$8,6,FALSE),"")</f>
        <v>Explicar qué se mantiene, qué se mejora y cómo se reducen riesgos de cambio brusco.</v>
      </c>
      <c r="BA62" s="3" t="s">
        <v>77</v>
      </c>
    </row>
    <row r="63" spans="1:53" ht="43.2">
      <c r="A63" s="3" t="s">
        <v>249</v>
      </c>
      <c r="B63" s="3" t="s">
        <v>236</v>
      </c>
      <c r="C63" s="3" t="s">
        <v>250</v>
      </c>
      <c r="D63" s="4">
        <v>203</v>
      </c>
      <c r="E63" s="5">
        <v>0.43842364532019706</v>
      </c>
      <c r="F63" s="3" t="s">
        <v>82</v>
      </c>
      <c r="G63" s="3" t="s">
        <v>83</v>
      </c>
      <c r="H63" s="3">
        <v>89</v>
      </c>
      <c r="I63" s="3">
        <v>43.8</v>
      </c>
      <c r="J63" s="3">
        <v>12</v>
      </c>
      <c r="K63" s="3" t="s">
        <v>238</v>
      </c>
      <c r="L63" s="3">
        <v>1</v>
      </c>
      <c r="M63" s="3">
        <v>1</v>
      </c>
      <c r="N63" s="3">
        <v>2</v>
      </c>
      <c r="O63" s="3">
        <v>1</v>
      </c>
      <c r="P63" s="3">
        <v>0</v>
      </c>
      <c r="Q63" s="3">
        <v>1</v>
      </c>
      <c r="R63" s="3" t="s">
        <v>131</v>
      </c>
      <c r="S63" s="3">
        <v>1.2</v>
      </c>
      <c r="T63" s="3" t="s">
        <v>73</v>
      </c>
      <c r="U63" s="3" t="s">
        <v>132</v>
      </c>
      <c r="V63" s="3" t="s">
        <v>239</v>
      </c>
      <c r="W63" s="3" t="s">
        <v>240</v>
      </c>
      <c r="X63" s="3" t="s">
        <v>65</v>
      </c>
      <c r="Y63" s="3" t="s">
        <v>227</v>
      </c>
      <c r="Z63" s="3" t="s">
        <v>241</v>
      </c>
      <c r="AA63" s="3" t="s">
        <v>75</v>
      </c>
      <c r="AB63" s="3" t="s">
        <v>69</v>
      </c>
      <c r="AC63" s="3" t="s">
        <v>70</v>
      </c>
      <c r="AD63" s="3" t="s">
        <v>71</v>
      </c>
      <c r="AE63" s="3" t="s">
        <v>84</v>
      </c>
      <c r="AF63" s="6">
        <v>0.73199999999999998</v>
      </c>
      <c r="AG63" s="3" t="s">
        <v>61</v>
      </c>
      <c r="AH63" s="3" t="s">
        <v>74</v>
      </c>
      <c r="AI63" s="6">
        <v>0.69099999999999995</v>
      </c>
      <c r="AJ63" s="3" t="s">
        <v>61</v>
      </c>
      <c r="AK63" s="3" t="s">
        <v>85</v>
      </c>
      <c r="AL63" s="6">
        <v>-0.50800000000000001</v>
      </c>
      <c r="AM63" s="7">
        <f>ROUND((L63/3*'[1]01_Parametros'!$B$3+M63/3*'[1]01_Parametros'!$B$4+N63/3*'[1]01_Parametros'!$B$5+O63/3*'[1]01_Parametros'!$B$6+IF(ISNUMBER(SEARCH("Fronteras",U63)),1,0)*'[1]01_Parametros'!$B$7)*100,1)</f>
        <v>36.700000000000003</v>
      </c>
      <c r="AN63" s="7">
        <f>ROUND((E63*'[1]01_Parametros'!$B$8+(1-L63/3)*'[1]01_Parametros'!$B$9+IF(OR(AA63="Alta",AA63="Media"),1,0)*'[1]01_Parametros'!$B$10)*100,1)</f>
        <v>61.9</v>
      </c>
      <c r="AO63" s="7">
        <f>ROUND((IF(ISNUMBER(SEARCH("AC01",X63)),1,0)*'[1]01_Parametros'!$B$11+IF(OR(ISNUMBER(SEARCH("AC06",X63)),ISNUMBER(SEARCH("AC03",X63))),1,0)*'[1]01_Parametros'!$B$12+(1-ABS(E63-0.5))*'[1]01_Parametros'!$B$13+S63/3.2*'[1]01_Parametros'!$B$14)*100,1)</f>
        <v>61.3</v>
      </c>
      <c r="AP63" s="7">
        <f>ROUND((L63/3*'[1]01_Parametros'!$B$15+Q63/3*'[1]01_Parametros'!$B$16+P63/3*'[1]01_Parametros'!$B$17+IF(OR(AA63="Media-baja",AA63="Baja"),1,0)*'[1]01_Parametros'!$B$18+S63/3.2*'[1]01_Parametros'!$B$19)*100,1)</f>
        <v>22.1</v>
      </c>
      <c r="AQ63" s="7">
        <f>ROUND((P63/3*'[1]01_Parametros'!$B$20+IF(OR(ISNUMBER(SEARCH("JAC",Z63)),ISNUMBER(SEARCH("JAL",Z63)),ISNUMBER(SEARCH("lider",Z63))),1,0)*'[1]01_Parametros'!$B$21+IF(LEFT(B63,14)="Corregimiento",1,0)*'[1]01_Parametros'!$B$22+Q63/3*'[1]01_Parametros'!$B$23+S63/3.2*'[1]01_Parametros'!$B$24)*100,1)</f>
        <v>15.2</v>
      </c>
      <c r="AR63" s="3" t="str">
        <f>INDEX('[1]13_Listas'!$A$2:$A$6, MATCH(MAX(AM63:AQ63), AM63:AQ63, 0))</f>
        <v>Estabilidad y continuidad</v>
      </c>
      <c r="AS63" s="3" t="str">
        <f t="shared" si="0"/>
        <v>Estabilidad y continuidad</v>
      </c>
      <c r="AT63" s="3" t="str">
        <f t="shared" si="1"/>
        <v>Traductor Digital</v>
      </c>
      <c r="AU63" s="3" t="str">
        <f t="shared" si="2"/>
        <v>Encuestas y caballo ganador / menos malo</v>
      </c>
      <c r="AV63" s="3" t="str">
        <f>IFERROR(VLOOKUP(AS63,'[1]02_Arquetipos_Miedo_Sesgo'!$A$4:$G$8,4,FALSE),"")</f>
        <v>Aversión a la pérdida + sesgo de statu quo + confirmación.</v>
      </c>
      <c r="AW63" s="3" t="str">
        <f>IFERROR(VLOOKUP(AS63,'[1]02_Arquetipos_Miedo_Sesgo'!$A$4:$G$8,3,FALSE),"")</f>
        <v>Miedo a perder beneficios, subsidios, estabilidad institucional o condiciones de vida ya alcanzadas.</v>
      </c>
      <c r="AX63" s="3" t="str">
        <f>IFERROR(VLOOKUP(AS63,'[1]02_Arquetipos_Miedo_Sesgo'!$A$4:$G$8,4,FALSE),"")</f>
        <v>Aversión a la pérdida + sesgo de statu quo + confirmación.</v>
      </c>
      <c r="AY63" s="3" t="str">
        <f>IFERROR(VLOOKUP(AS63,'[1]02_Arquetipos_Miedo_Sesgo'!$A$4:$G$8,5,FALSE),"")</f>
        <v>Continuidad administrativa, servicios públicos, infraestructura, salud, educación y programas sociales.</v>
      </c>
      <c r="AZ63" s="3" t="str">
        <f>IFERROR(VLOOKUP(AS63,'[1]02_Arquetipos_Miedo_Sesgo'!$A$4:$G$8,6,FALSE),"")</f>
        <v>Explicar qué se mantiene, qué se mejora y cómo se reducen riesgos de cambio brusco.</v>
      </c>
      <c r="BA63" s="3" t="s">
        <v>77</v>
      </c>
    </row>
    <row r="64" spans="1:53" ht="43.2">
      <c r="A64" s="3" t="s">
        <v>251</v>
      </c>
      <c r="B64" s="3" t="s">
        <v>236</v>
      </c>
      <c r="C64" s="3" t="s">
        <v>252</v>
      </c>
      <c r="D64" s="4">
        <v>9520</v>
      </c>
      <c r="E64" s="5">
        <v>0.42878151260504199</v>
      </c>
      <c r="F64" s="3" t="s">
        <v>82</v>
      </c>
      <c r="G64" s="3" t="s">
        <v>83</v>
      </c>
      <c r="H64" s="3">
        <v>4082</v>
      </c>
      <c r="I64" s="3">
        <v>42.9</v>
      </c>
      <c r="J64" s="3">
        <v>12</v>
      </c>
      <c r="K64" s="3" t="s">
        <v>238</v>
      </c>
      <c r="L64" s="3">
        <v>1</v>
      </c>
      <c r="M64" s="3">
        <v>1</v>
      </c>
      <c r="N64" s="3">
        <v>2</v>
      </c>
      <c r="O64" s="3">
        <v>1</v>
      </c>
      <c r="P64" s="3">
        <v>0</v>
      </c>
      <c r="Q64" s="3">
        <v>1</v>
      </c>
      <c r="R64" s="3" t="s">
        <v>131</v>
      </c>
      <c r="S64" s="3">
        <v>1.2</v>
      </c>
      <c r="T64" s="3" t="s">
        <v>73</v>
      </c>
      <c r="U64" s="3" t="s">
        <v>132</v>
      </c>
      <c r="V64" s="3" t="s">
        <v>239</v>
      </c>
      <c r="W64" s="3" t="s">
        <v>240</v>
      </c>
      <c r="X64" s="3" t="s">
        <v>65</v>
      </c>
      <c r="Y64" s="3" t="s">
        <v>227</v>
      </c>
      <c r="Z64" s="3" t="s">
        <v>241</v>
      </c>
      <c r="AA64" s="3" t="s">
        <v>75</v>
      </c>
      <c r="AB64" s="3" t="s">
        <v>69</v>
      </c>
      <c r="AC64" s="3" t="s">
        <v>70</v>
      </c>
      <c r="AD64" s="3" t="s">
        <v>71</v>
      </c>
      <c r="AE64" s="3" t="s">
        <v>84</v>
      </c>
      <c r="AF64" s="6">
        <v>0.73199999999999998</v>
      </c>
      <c r="AG64" s="3" t="s">
        <v>61</v>
      </c>
      <c r="AH64" s="3" t="s">
        <v>74</v>
      </c>
      <c r="AI64" s="6">
        <v>0.69099999999999995</v>
      </c>
      <c r="AJ64" s="3" t="s">
        <v>61</v>
      </c>
      <c r="AK64" s="3" t="s">
        <v>85</v>
      </c>
      <c r="AL64" s="6">
        <v>-0.50800000000000001</v>
      </c>
      <c r="AM64" s="7">
        <f>ROUND((L64/3*'[1]01_Parametros'!$B$3+M64/3*'[1]01_Parametros'!$B$4+N64/3*'[1]01_Parametros'!$B$5+O64/3*'[1]01_Parametros'!$B$6+IF(ISNUMBER(SEARCH("Fronteras",U64)),1,0)*'[1]01_Parametros'!$B$7)*100,1)</f>
        <v>36.700000000000003</v>
      </c>
      <c r="AN64" s="7">
        <f>ROUND((E64*'[1]01_Parametros'!$B$8+(1-L64/3)*'[1]01_Parametros'!$B$9+IF(OR(AA64="Alta",AA64="Media"),1,0)*'[1]01_Parametros'!$B$10)*100,1)</f>
        <v>61.4</v>
      </c>
      <c r="AO64" s="7">
        <f>ROUND((IF(ISNUMBER(SEARCH("AC01",X64)),1,0)*'[1]01_Parametros'!$B$11+IF(OR(ISNUMBER(SEARCH("AC06",X64)),ISNUMBER(SEARCH("AC03",X64))),1,0)*'[1]01_Parametros'!$B$12+(1-ABS(E64-0.5))*'[1]01_Parametros'!$B$13+S64/3.2*'[1]01_Parametros'!$B$14)*100,1)</f>
        <v>61.1</v>
      </c>
      <c r="AP64" s="7">
        <f>ROUND((L64/3*'[1]01_Parametros'!$B$15+Q64/3*'[1]01_Parametros'!$B$16+P64/3*'[1]01_Parametros'!$B$17+IF(OR(AA64="Media-baja",AA64="Baja"),1,0)*'[1]01_Parametros'!$B$18+S64/3.2*'[1]01_Parametros'!$B$19)*100,1)</f>
        <v>22.1</v>
      </c>
      <c r="AQ64" s="7">
        <f>ROUND((P64/3*'[1]01_Parametros'!$B$20+IF(OR(ISNUMBER(SEARCH("JAC",Z64)),ISNUMBER(SEARCH("JAL",Z64)),ISNUMBER(SEARCH("lider",Z64))),1,0)*'[1]01_Parametros'!$B$21+IF(LEFT(B64,14)="Corregimiento",1,0)*'[1]01_Parametros'!$B$22+Q64/3*'[1]01_Parametros'!$B$23+S64/3.2*'[1]01_Parametros'!$B$24)*100,1)</f>
        <v>15.2</v>
      </c>
      <c r="AR64" s="3" t="str">
        <f>INDEX('[1]13_Listas'!$A$2:$A$6, MATCH(MAX(AM64:AQ64), AM64:AQ64, 0))</f>
        <v>Estabilidad y continuidad</v>
      </c>
      <c r="AS64" s="3" t="str">
        <f t="shared" si="0"/>
        <v>Estabilidad y continuidad</v>
      </c>
      <c r="AT64" s="3" t="str">
        <f t="shared" si="1"/>
        <v>Traductor Digital</v>
      </c>
      <c r="AU64" s="3" t="str">
        <f t="shared" si="2"/>
        <v>Encuestas y caballo ganador / menos malo</v>
      </c>
      <c r="AV64" s="3" t="str">
        <f>IFERROR(VLOOKUP(AS64,'[1]02_Arquetipos_Miedo_Sesgo'!$A$4:$G$8,4,FALSE),"")</f>
        <v>Aversión a la pérdida + sesgo de statu quo + confirmación.</v>
      </c>
      <c r="AW64" s="3" t="str">
        <f>IFERROR(VLOOKUP(AS64,'[1]02_Arquetipos_Miedo_Sesgo'!$A$4:$G$8,3,FALSE),"")</f>
        <v>Miedo a perder beneficios, subsidios, estabilidad institucional o condiciones de vida ya alcanzadas.</v>
      </c>
      <c r="AX64" s="3" t="str">
        <f>IFERROR(VLOOKUP(AS64,'[1]02_Arquetipos_Miedo_Sesgo'!$A$4:$G$8,4,FALSE),"")</f>
        <v>Aversión a la pérdida + sesgo de statu quo + confirmación.</v>
      </c>
      <c r="AY64" s="3" t="str">
        <f>IFERROR(VLOOKUP(AS64,'[1]02_Arquetipos_Miedo_Sesgo'!$A$4:$G$8,5,FALSE),"")</f>
        <v>Continuidad administrativa, servicios públicos, infraestructura, salud, educación y programas sociales.</v>
      </c>
      <c r="AZ64" s="3" t="str">
        <f>IFERROR(VLOOKUP(AS64,'[1]02_Arquetipos_Miedo_Sesgo'!$A$4:$G$8,6,FALSE),"")</f>
        <v>Explicar qué se mantiene, qué se mejora y cómo se reducen riesgos de cambio brusco.</v>
      </c>
      <c r="BA64" s="3" t="s">
        <v>77</v>
      </c>
    </row>
    <row r="65" spans="1:53" ht="43.2">
      <c r="A65" s="3" t="s">
        <v>253</v>
      </c>
      <c r="B65" s="3" t="s">
        <v>236</v>
      </c>
      <c r="C65" s="3" t="s">
        <v>254</v>
      </c>
      <c r="D65" s="4">
        <v>1051</v>
      </c>
      <c r="E65" s="5">
        <v>0.43196955280685062</v>
      </c>
      <c r="F65" s="3" t="s">
        <v>82</v>
      </c>
      <c r="G65" s="3" t="s">
        <v>83</v>
      </c>
      <c r="H65" s="3">
        <v>454</v>
      </c>
      <c r="I65" s="3">
        <v>43.2</v>
      </c>
      <c r="J65" s="3">
        <v>12</v>
      </c>
      <c r="K65" s="3" t="s">
        <v>238</v>
      </c>
      <c r="L65" s="3">
        <v>1</v>
      </c>
      <c r="M65" s="3">
        <v>1</v>
      </c>
      <c r="N65" s="3">
        <v>2</v>
      </c>
      <c r="O65" s="3">
        <v>1</v>
      </c>
      <c r="P65" s="3">
        <v>0</v>
      </c>
      <c r="Q65" s="3">
        <v>1</v>
      </c>
      <c r="R65" s="3" t="s">
        <v>131</v>
      </c>
      <c r="S65" s="3">
        <v>1.2</v>
      </c>
      <c r="T65" s="3" t="s">
        <v>73</v>
      </c>
      <c r="U65" s="3" t="s">
        <v>132</v>
      </c>
      <c r="V65" s="3" t="s">
        <v>239</v>
      </c>
      <c r="W65" s="3" t="s">
        <v>240</v>
      </c>
      <c r="X65" s="3" t="s">
        <v>65</v>
      </c>
      <c r="Y65" s="3" t="s">
        <v>227</v>
      </c>
      <c r="Z65" s="3" t="s">
        <v>241</v>
      </c>
      <c r="AA65" s="3" t="s">
        <v>75</v>
      </c>
      <c r="AB65" s="3" t="s">
        <v>69</v>
      </c>
      <c r="AC65" s="3" t="s">
        <v>70</v>
      </c>
      <c r="AD65" s="3" t="s">
        <v>71</v>
      </c>
      <c r="AE65" s="3" t="s">
        <v>84</v>
      </c>
      <c r="AF65" s="6">
        <v>0.73199999999999998</v>
      </c>
      <c r="AG65" s="3" t="s">
        <v>61</v>
      </c>
      <c r="AH65" s="3" t="s">
        <v>74</v>
      </c>
      <c r="AI65" s="6">
        <v>0.69099999999999995</v>
      </c>
      <c r="AJ65" s="3" t="s">
        <v>61</v>
      </c>
      <c r="AK65" s="3" t="s">
        <v>85</v>
      </c>
      <c r="AL65" s="6">
        <v>-0.50800000000000001</v>
      </c>
      <c r="AM65" s="7">
        <f>ROUND((L65/3*'[1]01_Parametros'!$B$3+M65/3*'[1]01_Parametros'!$B$4+N65/3*'[1]01_Parametros'!$B$5+O65/3*'[1]01_Parametros'!$B$6+IF(ISNUMBER(SEARCH("Fronteras",U65)),1,0)*'[1]01_Parametros'!$B$7)*100,1)</f>
        <v>36.700000000000003</v>
      </c>
      <c r="AN65" s="7">
        <f>ROUND((E65*'[1]01_Parametros'!$B$8+(1-L65/3)*'[1]01_Parametros'!$B$9+IF(OR(AA65="Alta",AA65="Media"),1,0)*'[1]01_Parametros'!$B$10)*100,1)</f>
        <v>61.6</v>
      </c>
      <c r="AO65" s="7">
        <f>ROUND((IF(ISNUMBER(SEARCH("AC01",X65)),1,0)*'[1]01_Parametros'!$B$11+IF(OR(ISNUMBER(SEARCH("AC06",X65)),ISNUMBER(SEARCH("AC03",X65))),1,0)*'[1]01_Parametros'!$B$12+(1-ABS(E65-0.5))*'[1]01_Parametros'!$B$13+S65/3.2*'[1]01_Parametros'!$B$14)*100,1)</f>
        <v>61.1</v>
      </c>
      <c r="AP65" s="7">
        <f>ROUND((L65/3*'[1]01_Parametros'!$B$15+Q65/3*'[1]01_Parametros'!$B$16+P65/3*'[1]01_Parametros'!$B$17+IF(OR(AA65="Media-baja",AA65="Baja"),1,0)*'[1]01_Parametros'!$B$18+S65/3.2*'[1]01_Parametros'!$B$19)*100,1)</f>
        <v>22.1</v>
      </c>
      <c r="AQ65" s="7">
        <f>ROUND((P65/3*'[1]01_Parametros'!$B$20+IF(OR(ISNUMBER(SEARCH("JAC",Z65)),ISNUMBER(SEARCH("JAL",Z65)),ISNUMBER(SEARCH("lider",Z65))),1,0)*'[1]01_Parametros'!$B$21+IF(LEFT(B65,14)="Corregimiento",1,0)*'[1]01_Parametros'!$B$22+Q65/3*'[1]01_Parametros'!$B$23+S65/3.2*'[1]01_Parametros'!$B$24)*100,1)</f>
        <v>15.2</v>
      </c>
      <c r="AR65" s="3" t="str">
        <f>INDEX('[1]13_Listas'!$A$2:$A$6, MATCH(MAX(AM65:AQ65), AM65:AQ65, 0))</f>
        <v>Estabilidad y continuidad</v>
      </c>
      <c r="AS65" s="3" t="str">
        <f t="shared" si="0"/>
        <v>Estabilidad y continuidad</v>
      </c>
      <c r="AT65" s="3" t="str">
        <f t="shared" si="1"/>
        <v>Traductor Digital</v>
      </c>
      <c r="AU65" s="3" t="str">
        <f t="shared" si="2"/>
        <v>Encuestas y caballo ganador / menos malo</v>
      </c>
      <c r="AV65" s="3" t="str">
        <f>IFERROR(VLOOKUP(AS65,'[1]02_Arquetipos_Miedo_Sesgo'!$A$4:$G$8,4,FALSE),"")</f>
        <v>Aversión a la pérdida + sesgo de statu quo + confirmación.</v>
      </c>
      <c r="AW65" s="3" t="str">
        <f>IFERROR(VLOOKUP(AS65,'[1]02_Arquetipos_Miedo_Sesgo'!$A$4:$G$8,3,FALSE),"")</f>
        <v>Miedo a perder beneficios, subsidios, estabilidad institucional o condiciones de vida ya alcanzadas.</v>
      </c>
      <c r="AX65" s="3" t="str">
        <f>IFERROR(VLOOKUP(AS65,'[1]02_Arquetipos_Miedo_Sesgo'!$A$4:$G$8,4,FALSE),"")</f>
        <v>Aversión a la pérdida + sesgo de statu quo + confirmación.</v>
      </c>
      <c r="AY65" s="3" t="str">
        <f>IFERROR(VLOOKUP(AS65,'[1]02_Arquetipos_Miedo_Sesgo'!$A$4:$G$8,5,FALSE),"")</f>
        <v>Continuidad administrativa, servicios públicos, infraestructura, salud, educación y programas sociales.</v>
      </c>
      <c r="AZ65" s="3" t="str">
        <f>IFERROR(VLOOKUP(AS65,'[1]02_Arquetipos_Miedo_Sesgo'!$A$4:$G$8,6,FALSE),"")</f>
        <v>Explicar qué se mantiene, qué se mejora y cómo se reducen riesgos de cambio brusco.</v>
      </c>
      <c r="BA65" s="3" t="s">
        <v>77</v>
      </c>
    </row>
    <row r="66" spans="1:53" ht="43.2">
      <c r="A66" s="3" t="s">
        <v>255</v>
      </c>
      <c r="B66" s="3" t="s">
        <v>236</v>
      </c>
      <c r="C66" s="3" t="s">
        <v>256</v>
      </c>
      <c r="D66" s="4">
        <v>6710</v>
      </c>
      <c r="E66" s="5">
        <v>0.45782414307004471</v>
      </c>
      <c r="F66" s="3" t="s">
        <v>82</v>
      </c>
      <c r="G66" s="3" t="s">
        <v>83</v>
      </c>
      <c r="H66" s="3">
        <v>3072</v>
      </c>
      <c r="I66" s="3">
        <v>45.8</v>
      </c>
      <c r="J66" s="3">
        <v>12</v>
      </c>
      <c r="K66" s="3" t="s">
        <v>238</v>
      </c>
      <c r="L66" s="3">
        <v>1</v>
      </c>
      <c r="M66" s="3">
        <v>1</v>
      </c>
      <c r="N66" s="3">
        <v>2</v>
      </c>
      <c r="O66" s="3">
        <v>1</v>
      </c>
      <c r="P66" s="3">
        <v>0</v>
      </c>
      <c r="Q66" s="3">
        <v>1</v>
      </c>
      <c r="R66" s="3" t="s">
        <v>131</v>
      </c>
      <c r="S66" s="3">
        <v>1.2</v>
      </c>
      <c r="T66" s="3" t="s">
        <v>73</v>
      </c>
      <c r="U66" s="3" t="s">
        <v>132</v>
      </c>
      <c r="V66" s="3" t="s">
        <v>239</v>
      </c>
      <c r="W66" s="3" t="s">
        <v>240</v>
      </c>
      <c r="X66" s="3" t="s">
        <v>65</v>
      </c>
      <c r="Y66" s="3" t="s">
        <v>227</v>
      </c>
      <c r="Z66" s="3" t="s">
        <v>241</v>
      </c>
      <c r="AA66" s="3" t="s">
        <v>75</v>
      </c>
      <c r="AB66" s="3" t="s">
        <v>69</v>
      </c>
      <c r="AC66" s="3" t="s">
        <v>70</v>
      </c>
      <c r="AD66" s="3" t="s">
        <v>71</v>
      </c>
      <c r="AE66" s="3" t="s">
        <v>84</v>
      </c>
      <c r="AF66" s="6">
        <v>0.73199999999999998</v>
      </c>
      <c r="AG66" s="3" t="s">
        <v>61</v>
      </c>
      <c r="AH66" s="3" t="s">
        <v>74</v>
      </c>
      <c r="AI66" s="6">
        <v>0.69099999999999995</v>
      </c>
      <c r="AJ66" s="3" t="s">
        <v>61</v>
      </c>
      <c r="AK66" s="3" t="s">
        <v>85</v>
      </c>
      <c r="AL66" s="6">
        <v>-0.50800000000000001</v>
      </c>
      <c r="AM66" s="7">
        <f>ROUND((L66/3*'[1]01_Parametros'!$B$3+M66/3*'[1]01_Parametros'!$B$4+N66/3*'[1]01_Parametros'!$B$5+O66/3*'[1]01_Parametros'!$B$6+IF(ISNUMBER(SEARCH("Fronteras",U66)),1,0)*'[1]01_Parametros'!$B$7)*100,1)</f>
        <v>36.700000000000003</v>
      </c>
      <c r="AN66" s="7">
        <f>ROUND((E66*'[1]01_Parametros'!$B$8+(1-L66/3)*'[1]01_Parametros'!$B$9+IF(OR(AA66="Alta",AA66="Media"),1,0)*'[1]01_Parametros'!$B$10)*100,1)</f>
        <v>62.9</v>
      </c>
      <c r="AO66" s="7">
        <f>ROUND((IF(ISNUMBER(SEARCH("AC01",X66)),1,0)*'[1]01_Parametros'!$B$11+IF(OR(ISNUMBER(SEARCH("AC06",X66)),ISNUMBER(SEARCH("AC03",X66))),1,0)*'[1]01_Parametros'!$B$12+(1-ABS(E66-0.5))*'[1]01_Parametros'!$B$13+S66/3.2*'[1]01_Parametros'!$B$14)*100,1)</f>
        <v>61.7</v>
      </c>
      <c r="AP66" s="7">
        <f>ROUND((L66/3*'[1]01_Parametros'!$B$15+Q66/3*'[1]01_Parametros'!$B$16+P66/3*'[1]01_Parametros'!$B$17+IF(OR(AA66="Media-baja",AA66="Baja"),1,0)*'[1]01_Parametros'!$B$18+S66/3.2*'[1]01_Parametros'!$B$19)*100,1)</f>
        <v>22.1</v>
      </c>
      <c r="AQ66" s="7">
        <f>ROUND((P66/3*'[1]01_Parametros'!$B$20+IF(OR(ISNUMBER(SEARCH("JAC",Z66)),ISNUMBER(SEARCH("JAL",Z66)),ISNUMBER(SEARCH("lider",Z66))),1,0)*'[1]01_Parametros'!$B$21+IF(LEFT(B66,14)="Corregimiento",1,0)*'[1]01_Parametros'!$B$22+Q66/3*'[1]01_Parametros'!$B$23+S66/3.2*'[1]01_Parametros'!$B$24)*100,1)</f>
        <v>15.2</v>
      </c>
      <c r="AR66" s="3" t="str">
        <f>INDEX('[1]13_Listas'!$A$2:$A$6, MATCH(MAX(AM66:AQ66), AM66:AQ66, 0))</f>
        <v>Estabilidad y continuidad</v>
      </c>
      <c r="AS66" s="3" t="str">
        <f t="shared" si="0"/>
        <v>Estabilidad y continuidad</v>
      </c>
      <c r="AT66" s="3" t="str">
        <f t="shared" si="1"/>
        <v>Traductor Digital</v>
      </c>
      <c r="AU66" s="3" t="str">
        <f t="shared" si="2"/>
        <v>Encuestas y caballo ganador / menos malo</v>
      </c>
      <c r="AV66" s="3" t="str">
        <f>IFERROR(VLOOKUP(AS66,'[1]02_Arquetipos_Miedo_Sesgo'!$A$4:$G$8,4,FALSE),"")</f>
        <v>Aversión a la pérdida + sesgo de statu quo + confirmación.</v>
      </c>
      <c r="AW66" s="3" t="str">
        <f>IFERROR(VLOOKUP(AS66,'[1]02_Arquetipos_Miedo_Sesgo'!$A$4:$G$8,3,FALSE),"")</f>
        <v>Miedo a perder beneficios, subsidios, estabilidad institucional o condiciones de vida ya alcanzadas.</v>
      </c>
      <c r="AX66" s="3" t="str">
        <f>IFERROR(VLOOKUP(AS66,'[1]02_Arquetipos_Miedo_Sesgo'!$A$4:$G$8,4,FALSE),"")</f>
        <v>Aversión a la pérdida + sesgo de statu quo + confirmación.</v>
      </c>
      <c r="AY66" s="3" t="str">
        <f>IFERROR(VLOOKUP(AS66,'[1]02_Arquetipos_Miedo_Sesgo'!$A$4:$G$8,5,FALSE),"")</f>
        <v>Continuidad administrativa, servicios públicos, infraestructura, salud, educación y programas sociales.</v>
      </c>
      <c r="AZ66" s="3" t="str">
        <f>IFERROR(VLOOKUP(AS66,'[1]02_Arquetipos_Miedo_Sesgo'!$A$4:$G$8,6,FALSE),"")</f>
        <v>Explicar qué se mantiene, qué se mejora y cómo se reducen riesgos de cambio brusco.</v>
      </c>
      <c r="BA66" s="3" t="s">
        <v>77</v>
      </c>
    </row>
    <row r="67" spans="1:53" ht="43.2">
      <c r="A67" s="3" t="s">
        <v>257</v>
      </c>
      <c r="B67" s="3" t="s">
        <v>258</v>
      </c>
      <c r="C67" s="3" t="s">
        <v>259</v>
      </c>
      <c r="D67" s="4">
        <v>6512</v>
      </c>
      <c r="E67" s="5">
        <v>0.3981879606879607</v>
      </c>
      <c r="F67" s="3" t="s">
        <v>82</v>
      </c>
      <c r="G67" s="3" t="s">
        <v>83</v>
      </c>
      <c r="H67" s="3">
        <v>2593</v>
      </c>
      <c r="I67" s="3">
        <v>39.799999999999997</v>
      </c>
      <c r="J67" s="3">
        <v>10</v>
      </c>
      <c r="K67" s="3" t="s">
        <v>130</v>
      </c>
      <c r="L67" s="3">
        <v>3</v>
      </c>
      <c r="M67" s="3">
        <v>3</v>
      </c>
      <c r="N67" s="3">
        <v>3</v>
      </c>
      <c r="O67" s="3">
        <v>2</v>
      </c>
      <c r="P67" s="3">
        <v>2</v>
      </c>
      <c r="Q67" s="3">
        <v>2</v>
      </c>
      <c r="R67" s="3" t="s">
        <v>260</v>
      </c>
      <c r="S67" s="3">
        <v>2.95</v>
      </c>
      <c r="T67" s="3" t="s">
        <v>61</v>
      </c>
      <c r="U67" s="3" t="s">
        <v>132</v>
      </c>
      <c r="V67" s="3" t="s">
        <v>261</v>
      </c>
      <c r="W67" s="3" t="s">
        <v>134</v>
      </c>
      <c r="X67" s="3" t="s">
        <v>262</v>
      </c>
      <c r="Y67" s="3" t="s">
        <v>156</v>
      </c>
      <c r="Z67" s="3" t="s">
        <v>263</v>
      </c>
      <c r="AA67" s="3" t="s">
        <v>68</v>
      </c>
      <c r="AB67" s="3" t="s">
        <v>69</v>
      </c>
      <c r="AC67" s="3" t="s">
        <v>70</v>
      </c>
      <c r="AD67" s="3" t="s">
        <v>71</v>
      </c>
      <c r="AE67" s="3" t="s">
        <v>84</v>
      </c>
      <c r="AF67" s="6">
        <v>0.73199999999999998</v>
      </c>
      <c r="AG67" s="3" t="s">
        <v>61</v>
      </c>
      <c r="AH67" s="3" t="s">
        <v>74</v>
      </c>
      <c r="AI67" s="6">
        <v>0.69099999999999995</v>
      </c>
      <c r="AJ67" s="3" t="s">
        <v>61</v>
      </c>
      <c r="AK67" s="3" t="s">
        <v>85</v>
      </c>
      <c r="AL67" s="6">
        <v>-0.50800000000000001</v>
      </c>
      <c r="AM67" s="7">
        <f>ROUND((L67/3*'[1]01_Parametros'!$B$3+M67/3*'[1]01_Parametros'!$B$4+N67/3*'[1]01_Parametros'!$B$5+O67/3*'[1]01_Parametros'!$B$6+IF(ISNUMBER(SEARCH("Fronteras",U67)),1,0)*'[1]01_Parametros'!$B$7)*100,1)</f>
        <v>85</v>
      </c>
      <c r="AN67" s="7">
        <f>ROUND((E67*'[1]01_Parametros'!$B$8+(1-L67/3)*'[1]01_Parametros'!$B$9+IF(OR(AA67="Alta",AA67="Media"),1,0)*'[1]01_Parametros'!$B$10)*100,1)</f>
        <v>19.899999999999999</v>
      </c>
      <c r="AO67" s="7">
        <f>ROUND((IF(ISNUMBER(SEARCH("AC01",X67)),1,0)*'[1]01_Parametros'!$B$11+IF(OR(ISNUMBER(SEARCH("AC06",X67)),ISNUMBER(SEARCH("AC03",X67))),1,0)*'[1]01_Parametros'!$B$12+(1-ABS(E67-0.5))*'[1]01_Parametros'!$B$13+S67/3.2*'[1]01_Parametros'!$B$14)*100,1)</f>
        <v>96.4</v>
      </c>
      <c r="AP67" s="7">
        <f>ROUND((L67/3*'[1]01_Parametros'!$B$15+Q67/3*'[1]01_Parametros'!$B$16+P67/3*'[1]01_Parametros'!$B$17+IF(OR(AA67="Media-baja",AA67="Baja"),1,0)*'[1]01_Parametros'!$B$18+S67/3.2*'[1]01_Parametros'!$B$19)*100,1)</f>
        <v>69.2</v>
      </c>
      <c r="AQ67" s="7">
        <f>ROUND((P67/3*'[1]01_Parametros'!$B$20+IF(OR(ISNUMBER(SEARCH("JAC",Z67)),ISNUMBER(SEARCH("JAL",Z67)),ISNUMBER(SEARCH("lider",Z67))),1,0)*'[1]01_Parametros'!$B$21+IF(LEFT(B67,14)="Corregimiento",1,0)*'[1]01_Parametros'!$B$22+Q67/3*'[1]01_Parametros'!$B$23+S67/3.2*'[1]01_Parametros'!$B$24)*100,1)</f>
        <v>31.3</v>
      </c>
      <c r="AR67" s="3" t="str">
        <f>INDEX('[1]13_Listas'!$A$2:$A$6, MATCH(MAX(AM67:AQ67), AM67:AQ67, 0))</f>
        <v>Supervivencia económica y servicios básicos</v>
      </c>
      <c r="AS67" s="3" t="str">
        <f t="shared" si="0"/>
        <v>Supervivencia económica y servicios básicos</v>
      </c>
      <c r="AT67" s="3" t="str">
        <f t="shared" si="1"/>
        <v>Traductor Digital</v>
      </c>
      <c r="AU67" s="3" t="str">
        <f t="shared" si="2"/>
        <v>Costo de vida, gentrificación y vivienda</v>
      </c>
      <c r="AV67" s="3" t="str">
        <f>IFERROR(VLOOKUP(AS67,'[1]02_Arquetipos_Miedo_Sesgo'!$A$4:$G$8,4,FALSE),"")</f>
        <v>Sesgo de escasez + presente dominante + aversión al riesgo económico.</v>
      </c>
      <c r="AW67" s="3" t="str">
        <f>IFERROR(VLOOKUP(AS67,'[1]02_Arquetipos_Miedo_Sesgo'!$A$4:$G$8,3,FALSE),"")</f>
        <v>Miedo a no llegar a fin de mes, perder ingresos, empleo, movilidad o acceso a servicios básicos.</v>
      </c>
      <c r="AX67" s="3" t="str">
        <f>IFERROR(VLOOKUP(AS67,'[1]02_Arquetipos_Miedo_Sesgo'!$A$4:$G$8,4,FALSE),"")</f>
        <v>Sesgo de escasez + presente dominante + aversión al riesgo económico.</v>
      </c>
      <c r="AY67" s="3" t="str">
        <f>IFERROR(VLOOKUP(AS67,'[1]02_Arquetipos_Miedo_Sesgo'!$A$4:$G$8,5,FALSE),"")</f>
        <v>Empleo, emprendimiento, economía popular, transporte, costo de vida, salud, educación técnica y subsidios focalizados.</v>
      </c>
      <c r="AZ67" s="3" t="str">
        <f>IFERROR(VLOOKUP(AS67,'[1]02_Arquetipos_Miedo_Sesgo'!$A$4:$G$8,6,FALSE),"")</f>
        <v>Traducir propuestas en alivios concretos, rutas de acceso y resultados medibles de corto plazo.</v>
      </c>
      <c r="BA67" s="3" t="s">
        <v>77</v>
      </c>
    </row>
    <row r="68" spans="1:53" ht="43.2">
      <c r="A68" s="3" t="s">
        <v>264</v>
      </c>
      <c r="B68" s="3" t="s">
        <v>258</v>
      </c>
      <c r="C68" s="3" t="s">
        <v>265</v>
      </c>
      <c r="D68" s="4">
        <v>2366</v>
      </c>
      <c r="E68" s="5">
        <v>0.40152155536770923</v>
      </c>
      <c r="F68" s="3" t="s">
        <v>82</v>
      </c>
      <c r="G68" s="3" t="s">
        <v>83</v>
      </c>
      <c r="H68" s="3">
        <v>950</v>
      </c>
      <c r="I68" s="3">
        <v>40.200000000000003</v>
      </c>
      <c r="J68" s="3">
        <v>10</v>
      </c>
      <c r="K68" s="3" t="s">
        <v>130</v>
      </c>
      <c r="L68" s="3">
        <v>3</v>
      </c>
      <c r="M68" s="3">
        <v>3</v>
      </c>
      <c r="N68" s="3">
        <v>3</v>
      </c>
      <c r="O68" s="3">
        <v>2</v>
      </c>
      <c r="P68" s="3">
        <v>2</v>
      </c>
      <c r="Q68" s="3">
        <v>2</v>
      </c>
      <c r="R68" s="3" t="s">
        <v>260</v>
      </c>
      <c r="S68" s="3">
        <v>2.95</v>
      </c>
      <c r="T68" s="3" t="s">
        <v>61</v>
      </c>
      <c r="U68" s="3" t="s">
        <v>132</v>
      </c>
      <c r="V68" s="3" t="s">
        <v>261</v>
      </c>
      <c r="W68" s="3" t="s">
        <v>134</v>
      </c>
      <c r="X68" s="3" t="s">
        <v>262</v>
      </c>
      <c r="Y68" s="3" t="s">
        <v>156</v>
      </c>
      <c r="Z68" s="3" t="s">
        <v>263</v>
      </c>
      <c r="AA68" s="3" t="s">
        <v>68</v>
      </c>
      <c r="AB68" s="3" t="s">
        <v>69</v>
      </c>
      <c r="AC68" s="3" t="s">
        <v>70</v>
      </c>
      <c r="AD68" s="3" t="s">
        <v>71</v>
      </c>
      <c r="AE68" s="3" t="s">
        <v>84</v>
      </c>
      <c r="AF68" s="6">
        <v>0.73199999999999998</v>
      </c>
      <c r="AG68" s="3" t="s">
        <v>61</v>
      </c>
      <c r="AH68" s="3" t="s">
        <v>74</v>
      </c>
      <c r="AI68" s="6">
        <v>0.69099999999999995</v>
      </c>
      <c r="AJ68" s="3" t="s">
        <v>61</v>
      </c>
      <c r="AK68" s="3" t="s">
        <v>85</v>
      </c>
      <c r="AL68" s="6">
        <v>-0.50800000000000001</v>
      </c>
      <c r="AM68" s="7">
        <f>ROUND((L68/3*'[1]01_Parametros'!$B$3+M68/3*'[1]01_Parametros'!$B$4+N68/3*'[1]01_Parametros'!$B$5+O68/3*'[1]01_Parametros'!$B$6+IF(ISNUMBER(SEARCH("Fronteras",U68)),1,0)*'[1]01_Parametros'!$B$7)*100,1)</f>
        <v>85</v>
      </c>
      <c r="AN68" s="7">
        <f>ROUND((E68*'[1]01_Parametros'!$B$8+(1-L68/3)*'[1]01_Parametros'!$B$9+IF(OR(AA68="Alta",AA68="Media"),1,0)*'[1]01_Parametros'!$B$10)*100,1)</f>
        <v>20.100000000000001</v>
      </c>
      <c r="AO68" s="7">
        <f>ROUND((IF(ISNUMBER(SEARCH("AC01",X68)),1,0)*'[1]01_Parametros'!$B$11+IF(OR(ISNUMBER(SEARCH("AC06",X68)),ISNUMBER(SEARCH("AC03",X68))),1,0)*'[1]01_Parametros'!$B$12+(1-ABS(E68-0.5))*'[1]01_Parametros'!$B$13+S68/3.2*'[1]01_Parametros'!$B$14)*100,1)</f>
        <v>96.5</v>
      </c>
      <c r="AP68" s="7">
        <f>ROUND((L68/3*'[1]01_Parametros'!$B$15+Q68/3*'[1]01_Parametros'!$B$16+P68/3*'[1]01_Parametros'!$B$17+IF(OR(AA68="Media-baja",AA68="Baja"),1,0)*'[1]01_Parametros'!$B$18+S68/3.2*'[1]01_Parametros'!$B$19)*100,1)</f>
        <v>69.2</v>
      </c>
      <c r="AQ68" s="7">
        <f>ROUND((P68/3*'[1]01_Parametros'!$B$20+IF(OR(ISNUMBER(SEARCH("JAC",Z68)),ISNUMBER(SEARCH("JAL",Z68)),ISNUMBER(SEARCH("lider",Z68))),1,0)*'[1]01_Parametros'!$B$21+IF(LEFT(B68,14)="Corregimiento",1,0)*'[1]01_Parametros'!$B$22+Q68/3*'[1]01_Parametros'!$B$23+S68/3.2*'[1]01_Parametros'!$B$24)*100,1)</f>
        <v>31.3</v>
      </c>
      <c r="AR68" s="3" t="str">
        <f>INDEX('[1]13_Listas'!$A$2:$A$6, MATCH(MAX(AM68:AQ68), AM68:AQ68, 0))</f>
        <v>Supervivencia económica y servicios básicos</v>
      </c>
      <c r="AS68" s="3" t="str">
        <f t="shared" ref="AS68:AS128" si="3">AR68</f>
        <v>Supervivencia económica y servicios básicos</v>
      </c>
      <c r="AT68" s="3" t="str">
        <f t="shared" ref="AT68:AT128" si="4">IF(AND(AP68=MAX(AM68:AQ68),AP68&gt;=75),"Contestatario Estructural",IF(OR(S68&gt;=3,O68&gt;=3,AQ68&gt;=75),"Activista Causal",IF(MAX(AM68:AQ68)&gt;=60,"Traductor Digital","Confirmador Silencioso")))</f>
        <v>Traductor Digital</v>
      </c>
      <c r="AU68" s="3" t="str">
        <f t="shared" ref="AU68:AU128" si="5">IF(AS68="Protección y orden cotidiano","Seguridad urbana y combos",IF(AS68="Estabilidad y continuidad","Encuestas y caballo ganador / menos malo",IF(AS68="Supervivencia económica y servicios básicos","Costo de vida, gentrificación y vivienda",IF(AS68="Desconfianza y castigo","Corrupción, EPM y grandes contratos","Relación ciudad–gobierno nacional"))))</f>
        <v>Costo de vida, gentrificación y vivienda</v>
      </c>
      <c r="AV68" s="3" t="str">
        <f>IFERROR(VLOOKUP(AS68,'[1]02_Arquetipos_Miedo_Sesgo'!$A$4:$G$8,4,FALSE),"")</f>
        <v>Sesgo de escasez + presente dominante + aversión al riesgo económico.</v>
      </c>
      <c r="AW68" s="3" t="str">
        <f>IFERROR(VLOOKUP(AS68,'[1]02_Arquetipos_Miedo_Sesgo'!$A$4:$G$8,3,FALSE),"")</f>
        <v>Miedo a no llegar a fin de mes, perder ingresos, empleo, movilidad o acceso a servicios básicos.</v>
      </c>
      <c r="AX68" s="3" t="str">
        <f>IFERROR(VLOOKUP(AS68,'[1]02_Arquetipos_Miedo_Sesgo'!$A$4:$G$8,4,FALSE),"")</f>
        <v>Sesgo de escasez + presente dominante + aversión al riesgo económico.</v>
      </c>
      <c r="AY68" s="3" t="str">
        <f>IFERROR(VLOOKUP(AS68,'[1]02_Arquetipos_Miedo_Sesgo'!$A$4:$G$8,5,FALSE),"")</f>
        <v>Empleo, emprendimiento, economía popular, transporte, costo de vida, salud, educación técnica y subsidios focalizados.</v>
      </c>
      <c r="AZ68" s="3" t="str">
        <f>IFERROR(VLOOKUP(AS68,'[1]02_Arquetipos_Miedo_Sesgo'!$A$4:$G$8,6,FALSE),"")</f>
        <v>Traducir propuestas en alivios concretos, rutas de acceso y resultados medibles de corto plazo.</v>
      </c>
      <c r="BA68" s="3" t="s">
        <v>77</v>
      </c>
    </row>
    <row r="69" spans="1:53" ht="43.2">
      <c r="A69" s="3" t="s">
        <v>266</v>
      </c>
      <c r="B69" s="3" t="s">
        <v>258</v>
      </c>
      <c r="C69" s="3" t="s">
        <v>267</v>
      </c>
      <c r="D69" s="4">
        <v>20229</v>
      </c>
      <c r="E69" s="5">
        <v>0.37653863265608778</v>
      </c>
      <c r="F69" s="3" t="s">
        <v>82</v>
      </c>
      <c r="G69" s="3" t="s">
        <v>83</v>
      </c>
      <c r="H69" s="3">
        <v>7617</v>
      </c>
      <c r="I69" s="3">
        <v>37.700000000000003</v>
      </c>
      <c r="J69" s="3">
        <v>10</v>
      </c>
      <c r="K69" s="3" t="s">
        <v>130</v>
      </c>
      <c r="L69" s="3">
        <v>3</v>
      </c>
      <c r="M69" s="3">
        <v>3</v>
      </c>
      <c r="N69" s="3">
        <v>3</v>
      </c>
      <c r="O69" s="3">
        <v>2</v>
      </c>
      <c r="P69" s="3">
        <v>2</v>
      </c>
      <c r="Q69" s="3">
        <v>2</v>
      </c>
      <c r="R69" s="3" t="s">
        <v>260</v>
      </c>
      <c r="S69" s="3">
        <v>2.95</v>
      </c>
      <c r="T69" s="3" t="s">
        <v>61</v>
      </c>
      <c r="U69" s="3" t="s">
        <v>132</v>
      </c>
      <c r="V69" s="3" t="s">
        <v>261</v>
      </c>
      <c r="W69" s="3" t="s">
        <v>134</v>
      </c>
      <c r="X69" s="3" t="s">
        <v>262</v>
      </c>
      <c r="Y69" s="3" t="s">
        <v>156</v>
      </c>
      <c r="Z69" s="3" t="s">
        <v>263</v>
      </c>
      <c r="AA69" s="3" t="s">
        <v>68</v>
      </c>
      <c r="AB69" s="3" t="s">
        <v>69</v>
      </c>
      <c r="AC69" s="3" t="s">
        <v>70</v>
      </c>
      <c r="AD69" s="3" t="s">
        <v>71</v>
      </c>
      <c r="AE69" s="3" t="s">
        <v>84</v>
      </c>
      <c r="AF69" s="6">
        <v>0.73199999999999998</v>
      </c>
      <c r="AG69" s="3" t="s">
        <v>61</v>
      </c>
      <c r="AH69" s="3" t="s">
        <v>74</v>
      </c>
      <c r="AI69" s="6">
        <v>0.69099999999999995</v>
      </c>
      <c r="AJ69" s="3" t="s">
        <v>61</v>
      </c>
      <c r="AK69" s="3" t="s">
        <v>85</v>
      </c>
      <c r="AL69" s="6">
        <v>-0.50800000000000001</v>
      </c>
      <c r="AM69" s="7">
        <f>ROUND((L69/3*'[1]01_Parametros'!$B$3+M69/3*'[1]01_Parametros'!$B$4+N69/3*'[1]01_Parametros'!$B$5+O69/3*'[1]01_Parametros'!$B$6+IF(ISNUMBER(SEARCH("Fronteras",U69)),1,0)*'[1]01_Parametros'!$B$7)*100,1)</f>
        <v>85</v>
      </c>
      <c r="AN69" s="7">
        <f>ROUND((E69*'[1]01_Parametros'!$B$8+(1-L69/3)*'[1]01_Parametros'!$B$9+IF(OR(AA69="Alta",AA69="Media"),1,0)*'[1]01_Parametros'!$B$10)*100,1)</f>
        <v>18.8</v>
      </c>
      <c r="AO69" s="7">
        <f>ROUND((IF(ISNUMBER(SEARCH("AC01",X69)),1,0)*'[1]01_Parametros'!$B$11+IF(OR(ISNUMBER(SEARCH("AC06",X69)),ISNUMBER(SEARCH("AC03",X69))),1,0)*'[1]01_Parametros'!$B$12+(1-ABS(E69-0.5))*'[1]01_Parametros'!$B$13+S69/3.2*'[1]01_Parametros'!$B$14)*100,1)</f>
        <v>96</v>
      </c>
      <c r="AP69" s="7">
        <f>ROUND((L69/3*'[1]01_Parametros'!$B$15+Q69/3*'[1]01_Parametros'!$B$16+P69/3*'[1]01_Parametros'!$B$17+IF(OR(AA69="Media-baja",AA69="Baja"),1,0)*'[1]01_Parametros'!$B$18+S69/3.2*'[1]01_Parametros'!$B$19)*100,1)</f>
        <v>69.2</v>
      </c>
      <c r="AQ69" s="7">
        <f>ROUND((P69/3*'[1]01_Parametros'!$B$20+IF(OR(ISNUMBER(SEARCH("JAC",Z69)),ISNUMBER(SEARCH("JAL",Z69)),ISNUMBER(SEARCH("lider",Z69))),1,0)*'[1]01_Parametros'!$B$21+IF(LEFT(B69,14)="Corregimiento",1,0)*'[1]01_Parametros'!$B$22+Q69/3*'[1]01_Parametros'!$B$23+S69/3.2*'[1]01_Parametros'!$B$24)*100,1)</f>
        <v>31.3</v>
      </c>
      <c r="AR69" s="3" t="str">
        <f>INDEX('[1]13_Listas'!$A$2:$A$6, MATCH(MAX(AM69:AQ69), AM69:AQ69, 0))</f>
        <v>Supervivencia económica y servicios básicos</v>
      </c>
      <c r="AS69" s="3" t="str">
        <f t="shared" si="3"/>
        <v>Supervivencia económica y servicios básicos</v>
      </c>
      <c r="AT69" s="3" t="str">
        <f t="shared" si="4"/>
        <v>Traductor Digital</v>
      </c>
      <c r="AU69" s="3" t="str">
        <f t="shared" si="5"/>
        <v>Costo de vida, gentrificación y vivienda</v>
      </c>
      <c r="AV69" s="3" t="str">
        <f>IFERROR(VLOOKUP(AS69,'[1]02_Arquetipos_Miedo_Sesgo'!$A$4:$G$8,4,FALSE),"")</f>
        <v>Sesgo de escasez + presente dominante + aversión al riesgo económico.</v>
      </c>
      <c r="AW69" s="3" t="str">
        <f>IFERROR(VLOOKUP(AS69,'[1]02_Arquetipos_Miedo_Sesgo'!$A$4:$G$8,3,FALSE),"")</f>
        <v>Miedo a no llegar a fin de mes, perder ingresos, empleo, movilidad o acceso a servicios básicos.</v>
      </c>
      <c r="AX69" s="3" t="str">
        <f>IFERROR(VLOOKUP(AS69,'[1]02_Arquetipos_Miedo_Sesgo'!$A$4:$G$8,4,FALSE),"")</f>
        <v>Sesgo de escasez + presente dominante + aversión al riesgo económico.</v>
      </c>
      <c r="AY69" s="3" t="str">
        <f>IFERROR(VLOOKUP(AS69,'[1]02_Arquetipos_Miedo_Sesgo'!$A$4:$G$8,5,FALSE),"")</f>
        <v>Empleo, emprendimiento, economía popular, transporte, costo de vida, salud, educación técnica y subsidios focalizados.</v>
      </c>
      <c r="AZ69" s="3" t="str">
        <f>IFERROR(VLOOKUP(AS69,'[1]02_Arquetipos_Miedo_Sesgo'!$A$4:$G$8,6,FALSE),"")</f>
        <v>Traducir propuestas en alivios concretos, rutas de acceso y resultados medibles de corto plazo.</v>
      </c>
      <c r="BA69" s="3" t="s">
        <v>77</v>
      </c>
    </row>
    <row r="70" spans="1:53" ht="43.2">
      <c r="A70" s="3" t="s">
        <v>268</v>
      </c>
      <c r="B70" s="3" t="s">
        <v>258</v>
      </c>
      <c r="C70" s="3" t="s">
        <v>269</v>
      </c>
      <c r="D70" s="4">
        <v>1557</v>
      </c>
      <c r="E70" s="5">
        <v>0.41939627488760439</v>
      </c>
      <c r="F70" s="3" t="s">
        <v>82</v>
      </c>
      <c r="G70" s="3" t="s">
        <v>83</v>
      </c>
      <c r="H70" s="3">
        <v>653</v>
      </c>
      <c r="I70" s="3">
        <v>41.9</v>
      </c>
      <c r="J70" s="3">
        <v>10</v>
      </c>
      <c r="K70" s="3" t="s">
        <v>130</v>
      </c>
      <c r="L70" s="3">
        <v>3</v>
      </c>
      <c r="M70" s="3">
        <v>3</v>
      </c>
      <c r="N70" s="3">
        <v>3</v>
      </c>
      <c r="O70" s="3">
        <v>2</v>
      </c>
      <c r="P70" s="3">
        <v>2</v>
      </c>
      <c r="Q70" s="3">
        <v>2</v>
      </c>
      <c r="R70" s="3" t="s">
        <v>260</v>
      </c>
      <c r="S70" s="3">
        <v>2.95</v>
      </c>
      <c r="T70" s="3" t="s">
        <v>61</v>
      </c>
      <c r="U70" s="3" t="s">
        <v>132</v>
      </c>
      <c r="V70" s="3" t="s">
        <v>261</v>
      </c>
      <c r="W70" s="3" t="s">
        <v>134</v>
      </c>
      <c r="X70" s="3" t="s">
        <v>262</v>
      </c>
      <c r="Y70" s="3" t="s">
        <v>156</v>
      </c>
      <c r="Z70" s="3" t="s">
        <v>263</v>
      </c>
      <c r="AA70" s="3" t="s">
        <v>68</v>
      </c>
      <c r="AB70" s="3" t="s">
        <v>69</v>
      </c>
      <c r="AC70" s="3" t="s">
        <v>70</v>
      </c>
      <c r="AD70" s="3" t="s">
        <v>71</v>
      </c>
      <c r="AE70" s="3" t="s">
        <v>84</v>
      </c>
      <c r="AF70" s="6">
        <v>0.73199999999999998</v>
      </c>
      <c r="AG70" s="3" t="s">
        <v>61</v>
      </c>
      <c r="AH70" s="3" t="s">
        <v>74</v>
      </c>
      <c r="AI70" s="6">
        <v>0.69099999999999995</v>
      </c>
      <c r="AJ70" s="3" t="s">
        <v>61</v>
      </c>
      <c r="AK70" s="3" t="s">
        <v>85</v>
      </c>
      <c r="AL70" s="6">
        <v>-0.50800000000000001</v>
      </c>
      <c r="AM70" s="7">
        <f>ROUND((L70/3*'[1]01_Parametros'!$B$3+M70/3*'[1]01_Parametros'!$B$4+N70/3*'[1]01_Parametros'!$B$5+O70/3*'[1]01_Parametros'!$B$6+IF(ISNUMBER(SEARCH("Fronteras",U70)),1,0)*'[1]01_Parametros'!$B$7)*100,1)</f>
        <v>85</v>
      </c>
      <c r="AN70" s="7">
        <f>ROUND((E70*'[1]01_Parametros'!$B$8+(1-L70/3)*'[1]01_Parametros'!$B$9+IF(OR(AA70="Alta",AA70="Media"),1,0)*'[1]01_Parametros'!$B$10)*100,1)</f>
        <v>21</v>
      </c>
      <c r="AO70" s="7">
        <f>ROUND((IF(ISNUMBER(SEARCH("AC01",X70)),1,0)*'[1]01_Parametros'!$B$11+IF(OR(ISNUMBER(SEARCH("AC06",X70)),ISNUMBER(SEARCH("AC03",X70))),1,0)*'[1]01_Parametros'!$B$12+(1-ABS(E70-0.5))*'[1]01_Parametros'!$B$13+S70/3.2*'[1]01_Parametros'!$B$14)*100,1)</f>
        <v>96.8</v>
      </c>
      <c r="AP70" s="7">
        <f>ROUND((L70/3*'[1]01_Parametros'!$B$15+Q70/3*'[1]01_Parametros'!$B$16+P70/3*'[1]01_Parametros'!$B$17+IF(OR(AA70="Media-baja",AA70="Baja"),1,0)*'[1]01_Parametros'!$B$18+S70/3.2*'[1]01_Parametros'!$B$19)*100,1)</f>
        <v>69.2</v>
      </c>
      <c r="AQ70" s="7">
        <f>ROUND((P70/3*'[1]01_Parametros'!$B$20+IF(OR(ISNUMBER(SEARCH("JAC",Z70)),ISNUMBER(SEARCH("JAL",Z70)),ISNUMBER(SEARCH("lider",Z70))),1,0)*'[1]01_Parametros'!$B$21+IF(LEFT(B70,14)="Corregimiento",1,0)*'[1]01_Parametros'!$B$22+Q70/3*'[1]01_Parametros'!$B$23+S70/3.2*'[1]01_Parametros'!$B$24)*100,1)</f>
        <v>31.3</v>
      </c>
      <c r="AR70" s="3" t="str">
        <f>INDEX('[1]13_Listas'!$A$2:$A$6, MATCH(MAX(AM70:AQ70), AM70:AQ70, 0))</f>
        <v>Supervivencia económica y servicios básicos</v>
      </c>
      <c r="AS70" s="3" t="str">
        <f t="shared" si="3"/>
        <v>Supervivencia económica y servicios básicos</v>
      </c>
      <c r="AT70" s="3" t="str">
        <f t="shared" si="4"/>
        <v>Traductor Digital</v>
      </c>
      <c r="AU70" s="3" t="str">
        <f t="shared" si="5"/>
        <v>Costo de vida, gentrificación y vivienda</v>
      </c>
      <c r="AV70" s="3" t="str">
        <f>IFERROR(VLOOKUP(AS70,'[1]02_Arquetipos_Miedo_Sesgo'!$A$4:$G$8,4,FALSE),"")</f>
        <v>Sesgo de escasez + presente dominante + aversión al riesgo económico.</v>
      </c>
      <c r="AW70" s="3" t="str">
        <f>IFERROR(VLOOKUP(AS70,'[1]02_Arquetipos_Miedo_Sesgo'!$A$4:$G$8,3,FALSE),"")</f>
        <v>Miedo a no llegar a fin de mes, perder ingresos, empleo, movilidad o acceso a servicios básicos.</v>
      </c>
      <c r="AX70" s="3" t="str">
        <f>IFERROR(VLOOKUP(AS70,'[1]02_Arquetipos_Miedo_Sesgo'!$A$4:$G$8,4,FALSE),"")</f>
        <v>Sesgo de escasez + presente dominante + aversión al riesgo económico.</v>
      </c>
      <c r="AY70" s="3" t="str">
        <f>IFERROR(VLOOKUP(AS70,'[1]02_Arquetipos_Miedo_Sesgo'!$A$4:$G$8,5,FALSE),"")</f>
        <v>Empleo, emprendimiento, economía popular, transporte, costo de vida, salud, educación técnica y subsidios focalizados.</v>
      </c>
      <c r="AZ70" s="3" t="str">
        <f>IFERROR(VLOOKUP(AS70,'[1]02_Arquetipos_Miedo_Sesgo'!$A$4:$G$8,6,FALSE),"")</f>
        <v>Traducir propuestas en alivios concretos, rutas de acceso y resultados medibles de corto plazo.</v>
      </c>
      <c r="BA70" s="3" t="s">
        <v>77</v>
      </c>
    </row>
    <row r="71" spans="1:53" ht="43.2">
      <c r="A71" s="3" t="s">
        <v>270</v>
      </c>
      <c r="B71" s="3" t="s">
        <v>258</v>
      </c>
      <c r="C71" s="3" t="s">
        <v>271</v>
      </c>
      <c r="D71" s="4">
        <v>11001</v>
      </c>
      <c r="E71" s="5">
        <v>0.43832378874647759</v>
      </c>
      <c r="F71" s="3" t="s">
        <v>57</v>
      </c>
      <c r="G71" s="3" t="s">
        <v>58</v>
      </c>
      <c r="H71" s="3">
        <v>4822</v>
      </c>
      <c r="I71" s="3">
        <v>43.8</v>
      </c>
      <c r="J71" s="3">
        <v>10</v>
      </c>
      <c r="K71" s="3" t="s">
        <v>130</v>
      </c>
      <c r="L71" s="3">
        <v>3</v>
      </c>
      <c r="M71" s="3">
        <v>3</v>
      </c>
      <c r="N71" s="3">
        <v>3</v>
      </c>
      <c r="O71" s="3">
        <v>2</v>
      </c>
      <c r="P71" s="3">
        <v>2</v>
      </c>
      <c r="Q71" s="3">
        <v>2</v>
      </c>
      <c r="R71" s="3" t="s">
        <v>260</v>
      </c>
      <c r="S71" s="3">
        <v>2.95</v>
      </c>
      <c r="T71" s="3" t="s">
        <v>61</v>
      </c>
      <c r="U71" s="3" t="s">
        <v>132</v>
      </c>
      <c r="V71" s="3" t="s">
        <v>261</v>
      </c>
      <c r="W71" s="3" t="s">
        <v>134</v>
      </c>
      <c r="X71" s="3" t="s">
        <v>262</v>
      </c>
      <c r="Y71" s="3" t="s">
        <v>156</v>
      </c>
      <c r="Z71" s="3" t="s">
        <v>263</v>
      </c>
      <c r="AA71" s="3" t="s">
        <v>68</v>
      </c>
      <c r="AB71" s="3" t="s">
        <v>69</v>
      </c>
      <c r="AC71" s="3" t="s">
        <v>70</v>
      </c>
      <c r="AD71" s="3" t="s">
        <v>71</v>
      </c>
      <c r="AE71" s="3" t="s">
        <v>72</v>
      </c>
      <c r="AF71" s="6">
        <v>0.36599999999999999</v>
      </c>
      <c r="AG71" s="3" t="s">
        <v>73</v>
      </c>
      <c r="AH71" s="3" t="s">
        <v>74</v>
      </c>
      <c r="AI71" s="6">
        <v>0.497</v>
      </c>
      <c r="AJ71" s="3" t="s">
        <v>75</v>
      </c>
      <c r="AK71" s="3" t="s">
        <v>76</v>
      </c>
      <c r="AL71" s="6">
        <v>-0.38900000000000001</v>
      </c>
      <c r="AM71" s="7">
        <f>ROUND((L71/3*'[1]01_Parametros'!$B$3+M71/3*'[1]01_Parametros'!$B$4+N71/3*'[1]01_Parametros'!$B$5+O71/3*'[1]01_Parametros'!$B$6+IF(ISNUMBER(SEARCH("Fronteras",U71)),1,0)*'[1]01_Parametros'!$B$7)*100,1)</f>
        <v>85</v>
      </c>
      <c r="AN71" s="7">
        <f>ROUND((E71*'[1]01_Parametros'!$B$8+(1-L71/3)*'[1]01_Parametros'!$B$9+IF(OR(AA71="Alta",AA71="Media"),1,0)*'[1]01_Parametros'!$B$10)*100,1)</f>
        <v>21.9</v>
      </c>
      <c r="AO71" s="7">
        <f>ROUND((IF(ISNUMBER(SEARCH("AC01",X71)),1,0)*'[1]01_Parametros'!$B$11+IF(OR(ISNUMBER(SEARCH("AC06",X71)),ISNUMBER(SEARCH("AC03",X71))),1,0)*'[1]01_Parametros'!$B$12+(1-ABS(E71-0.5))*'[1]01_Parametros'!$B$13+S71/3.2*'[1]01_Parametros'!$B$14)*100,1)</f>
        <v>97.2</v>
      </c>
      <c r="AP71" s="7">
        <f>ROUND((L71/3*'[1]01_Parametros'!$B$15+Q71/3*'[1]01_Parametros'!$B$16+P71/3*'[1]01_Parametros'!$B$17+IF(OR(AA71="Media-baja",AA71="Baja"),1,0)*'[1]01_Parametros'!$B$18+S71/3.2*'[1]01_Parametros'!$B$19)*100,1)</f>
        <v>69.2</v>
      </c>
      <c r="AQ71" s="7">
        <f>ROUND((P71/3*'[1]01_Parametros'!$B$20+IF(OR(ISNUMBER(SEARCH("JAC",Z71)),ISNUMBER(SEARCH("JAL",Z71)),ISNUMBER(SEARCH("lider",Z71))),1,0)*'[1]01_Parametros'!$B$21+IF(LEFT(B71,14)="Corregimiento",1,0)*'[1]01_Parametros'!$B$22+Q71/3*'[1]01_Parametros'!$B$23+S71/3.2*'[1]01_Parametros'!$B$24)*100,1)</f>
        <v>31.3</v>
      </c>
      <c r="AR71" s="3" t="str">
        <f>INDEX('[1]13_Listas'!$A$2:$A$6, MATCH(MAX(AM71:AQ71), AM71:AQ71, 0))</f>
        <v>Supervivencia económica y servicios básicos</v>
      </c>
      <c r="AS71" s="3" t="str">
        <f t="shared" si="3"/>
        <v>Supervivencia económica y servicios básicos</v>
      </c>
      <c r="AT71" s="3" t="str">
        <f t="shared" si="4"/>
        <v>Traductor Digital</v>
      </c>
      <c r="AU71" s="3" t="str">
        <f t="shared" si="5"/>
        <v>Costo de vida, gentrificación y vivienda</v>
      </c>
      <c r="AV71" s="3" t="str">
        <f>IFERROR(VLOOKUP(AS71,'[1]02_Arquetipos_Miedo_Sesgo'!$A$4:$G$8,4,FALSE),"")</f>
        <v>Sesgo de escasez + presente dominante + aversión al riesgo económico.</v>
      </c>
      <c r="AW71" s="3" t="str">
        <f>IFERROR(VLOOKUP(AS71,'[1]02_Arquetipos_Miedo_Sesgo'!$A$4:$G$8,3,FALSE),"")</f>
        <v>Miedo a no llegar a fin de mes, perder ingresos, empleo, movilidad o acceso a servicios básicos.</v>
      </c>
      <c r="AX71" s="3" t="str">
        <f>IFERROR(VLOOKUP(AS71,'[1]02_Arquetipos_Miedo_Sesgo'!$A$4:$G$8,4,FALSE),"")</f>
        <v>Sesgo de escasez + presente dominante + aversión al riesgo económico.</v>
      </c>
      <c r="AY71" s="3" t="str">
        <f>IFERROR(VLOOKUP(AS71,'[1]02_Arquetipos_Miedo_Sesgo'!$A$4:$G$8,5,FALSE),"")</f>
        <v>Empleo, emprendimiento, economía popular, transporte, costo de vida, salud, educación técnica y subsidios focalizados.</v>
      </c>
      <c r="AZ71" s="3" t="str">
        <f>IFERROR(VLOOKUP(AS71,'[1]02_Arquetipos_Miedo_Sesgo'!$A$4:$G$8,6,FALSE),"")</f>
        <v>Traducir propuestas en alivios concretos, rutas de acceso y resultados medibles de corto plazo.</v>
      </c>
      <c r="BA71" s="3" t="s">
        <v>77</v>
      </c>
    </row>
    <row r="72" spans="1:53" ht="43.2">
      <c r="A72" s="3" t="s">
        <v>272</v>
      </c>
      <c r="B72" s="3" t="s">
        <v>258</v>
      </c>
      <c r="C72" s="3" t="s">
        <v>273</v>
      </c>
      <c r="D72" s="4">
        <v>11484</v>
      </c>
      <c r="E72" s="5">
        <v>0.44505398815743641</v>
      </c>
      <c r="F72" s="3" t="s">
        <v>57</v>
      </c>
      <c r="G72" s="3" t="s">
        <v>58</v>
      </c>
      <c r="H72" s="3">
        <v>5111</v>
      </c>
      <c r="I72" s="3">
        <v>44.5</v>
      </c>
      <c r="J72" s="3">
        <v>10</v>
      </c>
      <c r="K72" s="3" t="s">
        <v>130</v>
      </c>
      <c r="L72" s="3">
        <v>3</v>
      </c>
      <c r="M72" s="3">
        <v>3</v>
      </c>
      <c r="N72" s="3">
        <v>3</v>
      </c>
      <c r="O72" s="3">
        <v>2</v>
      </c>
      <c r="P72" s="3">
        <v>2</v>
      </c>
      <c r="Q72" s="3">
        <v>2</v>
      </c>
      <c r="R72" s="3" t="s">
        <v>260</v>
      </c>
      <c r="S72" s="3">
        <v>2.95</v>
      </c>
      <c r="T72" s="3" t="s">
        <v>61</v>
      </c>
      <c r="U72" s="3" t="s">
        <v>132</v>
      </c>
      <c r="V72" s="3" t="s">
        <v>261</v>
      </c>
      <c r="W72" s="3" t="s">
        <v>134</v>
      </c>
      <c r="X72" s="3" t="s">
        <v>262</v>
      </c>
      <c r="Y72" s="3" t="s">
        <v>156</v>
      </c>
      <c r="Z72" s="3" t="s">
        <v>263</v>
      </c>
      <c r="AA72" s="3" t="s">
        <v>68</v>
      </c>
      <c r="AB72" s="3" t="s">
        <v>69</v>
      </c>
      <c r="AC72" s="3" t="s">
        <v>70</v>
      </c>
      <c r="AD72" s="3" t="s">
        <v>71</v>
      </c>
      <c r="AE72" s="3" t="s">
        <v>72</v>
      </c>
      <c r="AF72" s="6">
        <v>0.36599999999999999</v>
      </c>
      <c r="AG72" s="3" t="s">
        <v>73</v>
      </c>
      <c r="AH72" s="3" t="s">
        <v>74</v>
      </c>
      <c r="AI72" s="6">
        <v>0.497</v>
      </c>
      <c r="AJ72" s="3" t="s">
        <v>75</v>
      </c>
      <c r="AK72" s="3" t="s">
        <v>76</v>
      </c>
      <c r="AL72" s="6">
        <v>-0.38900000000000001</v>
      </c>
      <c r="AM72" s="7">
        <f>ROUND((L72/3*'[1]01_Parametros'!$B$3+M72/3*'[1]01_Parametros'!$B$4+N72/3*'[1]01_Parametros'!$B$5+O72/3*'[1]01_Parametros'!$B$6+IF(ISNUMBER(SEARCH("Fronteras",U72)),1,0)*'[1]01_Parametros'!$B$7)*100,1)</f>
        <v>85</v>
      </c>
      <c r="AN72" s="7">
        <f>ROUND((E72*'[1]01_Parametros'!$B$8+(1-L72/3)*'[1]01_Parametros'!$B$9+IF(OR(AA72="Alta",AA72="Media"),1,0)*'[1]01_Parametros'!$B$10)*100,1)</f>
        <v>22.3</v>
      </c>
      <c r="AO72" s="7">
        <f>ROUND((IF(ISNUMBER(SEARCH("AC01",X72)),1,0)*'[1]01_Parametros'!$B$11+IF(OR(ISNUMBER(SEARCH("AC06",X72)),ISNUMBER(SEARCH("AC03",X72))),1,0)*'[1]01_Parametros'!$B$12+(1-ABS(E72-0.5))*'[1]01_Parametros'!$B$13+S72/3.2*'[1]01_Parametros'!$B$14)*100,1)</f>
        <v>97.3</v>
      </c>
      <c r="AP72" s="7">
        <f>ROUND((L72/3*'[1]01_Parametros'!$B$15+Q72/3*'[1]01_Parametros'!$B$16+P72/3*'[1]01_Parametros'!$B$17+IF(OR(AA72="Media-baja",AA72="Baja"),1,0)*'[1]01_Parametros'!$B$18+S72/3.2*'[1]01_Parametros'!$B$19)*100,1)</f>
        <v>69.2</v>
      </c>
      <c r="AQ72" s="7">
        <f>ROUND((P72/3*'[1]01_Parametros'!$B$20+IF(OR(ISNUMBER(SEARCH("JAC",Z72)),ISNUMBER(SEARCH("JAL",Z72)),ISNUMBER(SEARCH("lider",Z72))),1,0)*'[1]01_Parametros'!$B$21+IF(LEFT(B72,14)="Corregimiento",1,0)*'[1]01_Parametros'!$B$22+Q72/3*'[1]01_Parametros'!$B$23+S72/3.2*'[1]01_Parametros'!$B$24)*100,1)</f>
        <v>31.3</v>
      </c>
      <c r="AR72" s="3" t="str">
        <f>INDEX('[1]13_Listas'!$A$2:$A$6, MATCH(MAX(AM72:AQ72), AM72:AQ72, 0))</f>
        <v>Supervivencia económica y servicios básicos</v>
      </c>
      <c r="AS72" s="3" t="str">
        <f t="shared" si="3"/>
        <v>Supervivencia económica y servicios básicos</v>
      </c>
      <c r="AT72" s="3" t="str">
        <f t="shared" si="4"/>
        <v>Traductor Digital</v>
      </c>
      <c r="AU72" s="3" t="str">
        <f t="shared" si="5"/>
        <v>Costo de vida, gentrificación y vivienda</v>
      </c>
      <c r="AV72" s="3" t="str">
        <f>IFERROR(VLOOKUP(AS72,'[1]02_Arquetipos_Miedo_Sesgo'!$A$4:$G$8,4,FALSE),"")</f>
        <v>Sesgo de escasez + presente dominante + aversión al riesgo económico.</v>
      </c>
      <c r="AW72" s="3" t="str">
        <f>IFERROR(VLOOKUP(AS72,'[1]02_Arquetipos_Miedo_Sesgo'!$A$4:$G$8,3,FALSE),"")</f>
        <v>Miedo a no llegar a fin de mes, perder ingresos, empleo, movilidad o acceso a servicios básicos.</v>
      </c>
      <c r="AX72" s="3" t="str">
        <f>IFERROR(VLOOKUP(AS72,'[1]02_Arquetipos_Miedo_Sesgo'!$A$4:$G$8,4,FALSE),"")</f>
        <v>Sesgo de escasez + presente dominante + aversión al riesgo económico.</v>
      </c>
      <c r="AY72" s="3" t="str">
        <f>IFERROR(VLOOKUP(AS72,'[1]02_Arquetipos_Miedo_Sesgo'!$A$4:$G$8,5,FALSE),"")</f>
        <v>Empleo, emprendimiento, economía popular, transporte, costo de vida, salud, educación técnica y subsidios focalizados.</v>
      </c>
      <c r="AZ72" s="3" t="str">
        <f>IFERROR(VLOOKUP(AS72,'[1]02_Arquetipos_Miedo_Sesgo'!$A$4:$G$8,6,FALSE),"")</f>
        <v>Traducir propuestas en alivios concretos, rutas de acceso y resultados medibles de corto plazo.</v>
      </c>
      <c r="BA72" s="3" t="s">
        <v>77</v>
      </c>
    </row>
    <row r="73" spans="1:53" ht="43.2">
      <c r="A73" s="3" t="s">
        <v>274</v>
      </c>
      <c r="B73" s="3" t="s">
        <v>258</v>
      </c>
      <c r="C73" s="3" t="s">
        <v>275</v>
      </c>
      <c r="D73" s="4">
        <v>5331</v>
      </c>
      <c r="E73" s="5">
        <v>0.40180078784468204</v>
      </c>
      <c r="F73" s="3" t="s">
        <v>82</v>
      </c>
      <c r="G73" s="3" t="s">
        <v>83</v>
      </c>
      <c r="H73" s="3">
        <v>2142</v>
      </c>
      <c r="I73" s="3">
        <v>40.200000000000003</v>
      </c>
      <c r="J73" s="3">
        <v>10</v>
      </c>
      <c r="K73" s="3" t="s">
        <v>130</v>
      </c>
      <c r="L73" s="3">
        <v>3</v>
      </c>
      <c r="M73" s="3">
        <v>3</v>
      </c>
      <c r="N73" s="3">
        <v>3</v>
      </c>
      <c r="O73" s="3">
        <v>2</v>
      </c>
      <c r="P73" s="3">
        <v>2</v>
      </c>
      <c r="Q73" s="3">
        <v>2</v>
      </c>
      <c r="R73" s="3" t="s">
        <v>260</v>
      </c>
      <c r="S73" s="3">
        <v>2.95</v>
      </c>
      <c r="T73" s="3" t="s">
        <v>61</v>
      </c>
      <c r="U73" s="3" t="s">
        <v>132</v>
      </c>
      <c r="V73" s="3" t="s">
        <v>261</v>
      </c>
      <c r="W73" s="3" t="s">
        <v>134</v>
      </c>
      <c r="X73" s="3" t="s">
        <v>262</v>
      </c>
      <c r="Y73" s="3" t="s">
        <v>156</v>
      </c>
      <c r="Z73" s="3" t="s">
        <v>263</v>
      </c>
      <c r="AA73" s="3" t="s">
        <v>68</v>
      </c>
      <c r="AB73" s="3" t="s">
        <v>69</v>
      </c>
      <c r="AC73" s="3" t="s">
        <v>70</v>
      </c>
      <c r="AD73" s="3" t="s">
        <v>71</v>
      </c>
      <c r="AE73" s="3" t="s">
        <v>84</v>
      </c>
      <c r="AF73" s="6">
        <v>0.73199999999999998</v>
      </c>
      <c r="AG73" s="3" t="s">
        <v>61</v>
      </c>
      <c r="AH73" s="3" t="s">
        <v>74</v>
      </c>
      <c r="AI73" s="6">
        <v>0.69099999999999995</v>
      </c>
      <c r="AJ73" s="3" t="s">
        <v>61</v>
      </c>
      <c r="AK73" s="3" t="s">
        <v>85</v>
      </c>
      <c r="AL73" s="6">
        <v>-0.50800000000000001</v>
      </c>
      <c r="AM73" s="7">
        <f>ROUND((L73/3*'[1]01_Parametros'!$B$3+M73/3*'[1]01_Parametros'!$B$4+N73/3*'[1]01_Parametros'!$B$5+O73/3*'[1]01_Parametros'!$B$6+IF(ISNUMBER(SEARCH("Fronteras",U73)),1,0)*'[1]01_Parametros'!$B$7)*100,1)</f>
        <v>85</v>
      </c>
      <c r="AN73" s="7">
        <f>ROUND((E73*'[1]01_Parametros'!$B$8+(1-L73/3)*'[1]01_Parametros'!$B$9+IF(OR(AA73="Alta",AA73="Media"),1,0)*'[1]01_Parametros'!$B$10)*100,1)</f>
        <v>20.100000000000001</v>
      </c>
      <c r="AO73" s="7">
        <f>ROUND((IF(ISNUMBER(SEARCH("AC01",X73)),1,0)*'[1]01_Parametros'!$B$11+IF(OR(ISNUMBER(SEARCH("AC06",X73)),ISNUMBER(SEARCH("AC03",X73))),1,0)*'[1]01_Parametros'!$B$12+(1-ABS(E73-0.5))*'[1]01_Parametros'!$B$13+S73/3.2*'[1]01_Parametros'!$B$14)*100,1)</f>
        <v>96.5</v>
      </c>
      <c r="AP73" s="7">
        <f>ROUND((L73/3*'[1]01_Parametros'!$B$15+Q73/3*'[1]01_Parametros'!$B$16+P73/3*'[1]01_Parametros'!$B$17+IF(OR(AA73="Media-baja",AA73="Baja"),1,0)*'[1]01_Parametros'!$B$18+S73/3.2*'[1]01_Parametros'!$B$19)*100,1)</f>
        <v>69.2</v>
      </c>
      <c r="AQ73" s="7">
        <f>ROUND((P73/3*'[1]01_Parametros'!$B$20+IF(OR(ISNUMBER(SEARCH("JAC",Z73)),ISNUMBER(SEARCH("JAL",Z73)),ISNUMBER(SEARCH("lider",Z73))),1,0)*'[1]01_Parametros'!$B$21+IF(LEFT(B73,14)="Corregimiento",1,0)*'[1]01_Parametros'!$B$22+Q73/3*'[1]01_Parametros'!$B$23+S73/3.2*'[1]01_Parametros'!$B$24)*100,1)</f>
        <v>31.3</v>
      </c>
      <c r="AR73" s="3" t="str">
        <f>INDEX('[1]13_Listas'!$A$2:$A$6, MATCH(MAX(AM73:AQ73), AM73:AQ73, 0))</f>
        <v>Supervivencia económica y servicios básicos</v>
      </c>
      <c r="AS73" s="3" t="str">
        <f t="shared" si="3"/>
        <v>Supervivencia económica y servicios básicos</v>
      </c>
      <c r="AT73" s="3" t="str">
        <f t="shared" si="4"/>
        <v>Traductor Digital</v>
      </c>
      <c r="AU73" s="3" t="str">
        <f t="shared" si="5"/>
        <v>Costo de vida, gentrificación y vivienda</v>
      </c>
      <c r="AV73" s="3" t="str">
        <f>IFERROR(VLOOKUP(AS73,'[1]02_Arquetipos_Miedo_Sesgo'!$A$4:$G$8,4,FALSE),"")</f>
        <v>Sesgo de escasez + presente dominante + aversión al riesgo económico.</v>
      </c>
      <c r="AW73" s="3" t="str">
        <f>IFERROR(VLOOKUP(AS73,'[1]02_Arquetipos_Miedo_Sesgo'!$A$4:$G$8,3,FALSE),"")</f>
        <v>Miedo a no llegar a fin de mes, perder ingresos, empleo, movilidad o acceso a servicios básicos.</v>
      </c>
      <c r="AX73" s="3" t="str">
        <f>IFERROR(VLOOKUP(AS73,'[1]02_Arquetipos_Miedo_Sesgo'!$A$4:$G$8,4,FALSE),"")</f>
        <v>Sesgo de escasez + presente dominante + aversión al riesgo económico.</v>
      </c>
      <c r="AY73" s="3" t="str">
        <f>IFERROR(VLOOKUP(AS73,'[1]02_Arquetipos_Miedo_Sesgo'!$A$4:$G$8,5,FALSE),"")</f>
        <v>Empleo, emprendimiento, economía popular, transporte, costo de vida, salud, educación técnica y subsidios focalizados.</v>
      </c>
      <c r="AZ73" s="3" t="str">
        <f>IFERROR(VLOOKUP(AS73,'[1]02_Arquetipos_Miedo_Sesgo'!$A$4:$G$8,6,FALSE),"")</f>
        <v>Traducir propuestas en alivios concretos, rutas de acceso y resultados medibles de corto plazo.</v>
      </c>
      <c r="BA73" s="3" t="s">
        <v>77</v>
      </c>
    </row>
    <row r="74" spans="1:53" ht="43.2">
      <c r="A74" s="3" t="s">
        <v>276</v>
      </c>
      <c r="B74" s="3" t="s">
        <v>277</v>
      </c>
      <c r="C74" s="3" t="s">
        <v>278</v>
      </c>
      <c r="D74" s="4">
        <v>5438</v>
      </c>
      <c r="E74" s="5">
        <v>0.45568223611621922</v>
      </c>
      <c r="F74" s="3" t="s">
        <v>57</v>
      </c>
      <c r="G74" s="3" t="s">
        <v>58</v>
      </c>
      <c r="H74" s="3">
        <v>2478</v>
      </c>
      <c r="I74" s="3">
        <v>45.6</v>
      </c>
      <c r="J74" s="3">
        <v>11</v>
      </c>
      <c r="K74" s="3" t="s">
        <v>238</v>
      </c>
      <c r="L74" s="3">
        <v>0</v>
      </c>
      <c r="M74" s="3">
        <v>0</v>
      </c>
      <c r="N74" s="3">
        <v>1</v>
      </c>
      <c r="O74" s="3">
        <v>0</v>
      </c>
      <c r="P74" s="3">
        <v>0</v>
      </c>
      <c r="Q74" s="3">
        <v>0</v>
      </c>
      <c r="R74" s="3" t="s">
        <v>209</v>
      </c>
      <c r="S74" s="3">
        <v>0.2</v>
      </c>
      <c r="T74" s="3" t="s">
        <v>73</v>
      </c>
      <c r="U74" s="3" t="s">
        <v>210</v>
      </c>
      <c r="V74" s="3" t="s">
        <v>279</v>
      </c>
      <c r="W74" s="3"/>
      <c r="X74" s="3" t="s">
        <v>212</v>
      </c>
      <c r="Y74" s="3"/>
      <c r="Z74" s="3" t="s">
        <v>213</v>
      </c>
      <c r="AA74" s="3" t="s">
        <v>61</v>
      </c>
      <c r="AB74" s="3" t="s">
        <v>69</v>
      </c>
      <c r="AC74" s="3" t="s">
        <v>70</v>
      </c>
      <c r="AD74" s="3" t="s">
        <v>71</v>
      </c>
      <c r="AE74" s="3" t="s">
        <v>72</v>
      </c>
      <c r="AF74" s="6">
        <v>0.36599999999999999</v>
      </c>
      <c r="AG74" s="3" t="s">
        <v>73</v>
      </c>
      <c r="AH74" s="3" t="s">
        <v>74</v>
      </c>
      <c r="AI74" s="6">
        <v>0.497</v>
      </c>
      <c r="AJ74" s="3" t="s">
        <v>75</v>
      </c>
      <c r="AK74" s="3" t="s">
        <v>76</v>
      </c>
      <c r="AL74" s="6">
        <v>-0.38900000000000001</v>
      </c>
      <c r="AM74" s="7">
        <f>ROUND((L74/3*'[1]01_Parametros'!$B$3+M74/3*'[1]01_Parametros'!$B$4+N74/3*'[1]01_Parametros'!$B$5+O74/3*'[1]01_Parametros'!$B$6+IF(ISNUMBER(SEARCH("Fronteras",U74)),1,0)*'[1]01_Parametros'!$B$7)*100,1)</f>
        <v>6.7</v>
      </c>
      <c r="AN74" s="7">
        <f>ROUND((E74*'[1]01_Parametros'!$B$8+(1-L74/3)*'[1]01_Parametros'!$B$9+IF(OR(AA74="Alta",AA74="Media"),1,0)*'[1]01_Parametros'!$B$10)*100,1)</f>
        <v>72.8</v>
      </c>
      <c r="AO74" s="7">
        <f>ROUND((IF(ISNUMBER(SEARCH("AC01",X74)),1,0)*'[1]01_Parametros'!$B$11+IF(OR(ISNUMBER(SEARCH("AC06",X74)),ISNUMBER(SEARCH("AC03",X74))),1,0)*'[1]01_Parametros'!$B$12+(1-ABS(E74-0.5))*'[1]01_Parametros'!$B$13+S74/3.2*'[1]01_Parametros'!$B$14)*100,1)</f>
        <v>20.399999999999999</v>
      </c>
      <c r="AP74" s="7">
        <f>ROUND((L74/3*'[1]01_Parametros'!$B$15+Q74/3*'[1]01_Parametros'!$B$16+P74/3*'[1]01_Parametros'!$B$17+IF(OR(AA74="Media-baja",AA74="Baja"),1,0)*'[1]01_Parametros'!$B$18+S74/3.2*'[1]01_Parametros'!$B$19)*100,1)</f>
        <v>0.6</v>
      </c>
      <c r="AQ74" s="7">
        <f>ROUND((P74/3*'[1]01_Parametros'!$B$20+IF(OR(ISNUMBER(SEARCH("JAC",Z74)),ISNUMBER(SEARCH("JAL",Z74)),ISNUMBER(SEARCH("lider",Z74))),1,0)*'[1]01_Parametros'!$B$21+IF(LEFT(B74,14)="Corregimiento",1,0)*'[1]01_Parametros'!$B$22+Q74/3*'[1]01_Parametros'!$B$23+S74/3.2*'[1]01_Parametros'!$B$24)*100,1)</f>
        <v>0.3</v>
      </c>
      <c r="AR74" s="3" t="str">
        <f>INDEX('[1]13_Listas'!$A$2:$A$6, MATCH(MAX(AM74:AQ74), AM74:AQ74, 0))</f>
        <v>Estabilidad y continuidad</v>
      </c>
      <c r="AS74" s="3" t="str">
        <f t="shared" si="3"/>
        <v>Estabilidad y continuidad</v>
      </c>
      <c r="AT74" s="3" t="str">
        <f t="shared" si="4"/>
        <v>Traductor Digital</v>
      </c>
      <c r="AU74" s="3" t="str">
        <f t="shared" si="5"/>
        <v>Encuestas y caballo ganador / menos malo</v>
      </c>
      <c r="AV74" s="3" t="str">
        <f>IFERROR(VLOOKUP(AS74,'[1]02_Arquetipos_Miedo_Sesgo'!$A$4:$G$8,4,FALSE),"")</f>
        <v>Aversión a la pérdida + sesgo de statu quo + confirmación.</v>
      </c>
      <c r="AW74" s="3" t="str">
        <f>IFERROR(VLOOKUP(AS74,'[1]02_Arquetipos_Miedo_Sesgo'!$A$4:$G$8,3,FALSE),"")</f>
        <v>Miedo a perder beneficios, subsidios, estabilidad institucional o condiciones de vida ya alcanzadas.</v>
      </c>
      <c r="AX74" s="3" t="str">
        <f>IFERROR(VLOOKUP(AS74,'[1]02_Arquetipos_Miedo_Sesgo'!$A$4:$G$8,4,FALSE),"")</f>
        <v>Aversión a la pérdida + sesgo de statu quo + confirmación.</v>
      </c>
      <c r="AY74" s="3" t="str">
        <f>IFERROR(VLOOKUP(AS74,'[1]02_Arquetipos_Miedo_Sesgo'!$A$4:$G$8,5,FALSE),"")</f>
        <v>Continuidad administrativa, servicios públicos, infraestructura, salud, educación y programas sociales.</v>
      </c>
      <c r="AZ74" s="3" t="str">
        <f>IFERROR(VLOOKUP(AS74,'[1]02_Arquetipos_Miedo_Sesgo'!$A$4:$G$8,6,FALSE),"")</f>
        <v>Explicar qué se mantiene, qué se mejora y cómo se reducen riesgos de cambio brusco.</v>
      </c>
      <c r="BA74" s="3" t="s">
        <v>77</v>
      </c>
    </row>
    <row r="75" spans="1:53" ht="43.2">
      <c r="A75" s="3" t="s">
        <v>280</v>
      </c>
      <c r="B75" s="3" t="s">
        <v>277</v>
      </c>
      <c r="C75" s="3" t="s">
        <v>281</v>
      </c>
      <c r="D75" s="4">
        <v>6652</v>
      </c>
      <c r="E75" s="5">
        <v>0.41791942273000604</v>
      </c>
      <c r="F75" s="3" t="s">
        <v>57</v>
      </c>
      <c r="G75" s="3" t="s">
        <v>58</v>
      </c>
      <c r="H75" s="3">
        <v>2780</v>
      </c>
      <c r="I75" s="3">
        <v>41.8</v>
      </c>
      <c r="J75" s="3">
        <v>11</v>
      </c>
      <c r="K75" s="3" t="s">
        <v>238</v>
      </c>
      <c r="L75" s="3">
        <v>0</v>
      </c>
      <c r="M75" s="3">
        <v>0</v>
      </c>
      <c r="N75" s="3">
        <v>1</v>
      </c>
      <c r="O75" s="3">
        <v>0</v>
      </c>
      <c r="P75" s="3">
        <v>0</v>
      </c>
      <c r="Q75" s="3">
        <v>0</v>
      </c>
      <c r="R75" s="3" t="s">
        <v>209</v>
      </c>
      <c r="S75" s="3">
        <v>0.2</v>
      </c>
      <c r="T75" s="3" t="s">
        <v>73</v>
      </c>
      <c r="U75" s="3" t="s">
        <v>210</v>
      </c>
      <c r="V75" s="3" t="s">
        <v>279</v>
      </c>
      <c r="W75" s="3"/>
      <c r="X75" s="3" t="s">
        <v>212</v>
      </c>
      <c r="Y75" s="3"/>
      <c r="Z75" s="3" t="s">
        <v>213</v>
      </c>
      <c r="AA75" s="3" t="s">
        <v>61</v>
      </c>
      <c r="AB75" s="3" t="s">
        <v>69</v>
      </c>
      <c r="AC75" s="3" t="s">
        <v>70</v>
      </c>
      <c r="AD75" s="3" t="s">
        <v>71</v>
      </c>
      <c r="AE75" s="3" t="s">
        <v>72</v>
      </c>
      <c r="AF75" s="6">
        <v>0.36599999999999999</v>
      </c>
      <c r="AG75" s="3" t="s">
        <v>73</v>
      </c>
      <c r="AH75" s="3" t="s">
        <v>74</v>
      </c>
      <c r="AI75" s="6">
        <v>0.497</v>
      </c>
      <c r="AJ75" s="3" t="s">
        <v>75</v>
      </c>
      <c r="AK75" s="3" t="s">
        <v>76</v>
      </c>
      <c r="AL75" s="6">
        <v>-0.38900000000000001</v>
      </c>
      <c r="AM75" s="7">
        <f>ROUND((L75/3*'[1]01_Parametros'!$B$3+M75/3*'[1]01_Parametros'!$B$4+N75/3*'[1]01_Parametros'!$B$5+O75/3*'[1]01_Parametros'!$B$6+IF(ISNUMBER(SEARCH("Fronteras",U75)),1,0)*'[1]01_Parametros'!$B$7)*100,1)</f>
        <v>6.7</v>
      </c>
      <c r="AN75" s="7">
        <f>ROUND((E75*'[1]01_Parametros'!$B$8+(1-L75/3)*'[1]01_Parametros'!$B$9+IF(OR(AA75="Alta",AA75="Media"),1,0)*'[1]01_Parametros'!$B$10)*100,1)</f>
        <v>70.900000000000006</v>
      </c>
      <c r="AO75" s="7">
        <f>ROUND((IF(ISNUMBER(SEARCH("AC01",X75)),1,0)*'[1]01_Parametros'!$B$11+IF(OR(ISNUMBER(SEARCH("AC06",X75)),ISNUMBER(SEARCH("AC03",X75))),1,0)*'[1]01_Parametros'!$B$12+(1-ABS(E75-0.5))*'[1]01_Parametros'!$B$13+S75/3.2*'[1]01_Parametros'!$B$14)*100,1)</f>
        <v>19.600000000000001</v>
      </c>
      <c r="AP75" s="7">
        <f>ROUND((L75/3*'[1]01_Parametros'!$B$15+Q75/3*'[1]01_Parametros'!$B$16+P75/3*'[1]01_Parametros'!$B$17+IF(OR(AA75="Media-baja",AA75="Baja"),1,0)*'[1]01_Parametros'!$B$18+S75/3.2*'[1]01_Parametros'!$B$19)*100,1)</f>
        <v>0.6</v>
      </c>
      <c r="AQ75" s="7">
        <f>ROUND((P75/3*'[1]01_Parametros'!$B$20+IF(OR(ISNUMBER(SEARCH("JAC",Z75)),ISNUMBER(SEARCH("JAL",Z75)),ISNUMBER(SEARCH("lider",Z75))),1,0)*'[1]01_Parametros'!$B$21+IF(LEFT(B75,14)="Corregimiento",1,0)*'[1]01_Parametros'!$B$22+Q75/3*'[1]01_Parametros'!$B$23+S75/3.2*'[1]01_Parametros'!$B$24)*100,1)</f>
        <v>0.3</v>
      </c>
      <c r="AR75" s="3" t="str">
        <f>INDEX('[1]13_Listas'!$A$2:$A$6, MATCH(MAX(AM75:AQ75), AM75:AQ75, 0))</f>
        <v>Estabilidad y continuidad</v>
      </c>
      <c r="AS75" s="3" t="str">
        <f t="shared" si="3"/>
        <v>Estabilidad y continuidad</v>
      </c>
      <c r="AT75" s="3" t="str">
        <f t="shared" si="4"/>
        <v>Traductor Digital</v>
      </c>
      <c r="AU75" s="3" t="str">
        <f t="shared" si="5"/>
        <v>Encuestas y caballo ganador / menos malo</v>
      </c>
      <c r="AV75" s="3" t="str">
        <f>IFERROR(VLOOKUP(AS75,'[1]02_Arquetipos_Miedo_Sesgo'!$A$4:$G$8,4,FALSE),"")</f>
        <v>Aversión a la pérdida + sesgo de statu quo + confirmación.</v>
      </c>
      <c r="AW75" s="3" t="str">
        <f>IFERROR(VLOOKUP(AS75,'[1]02_Arquetipos_Miedo_Sesgo'!$A$4:$G$8,3,FALSE),"")</f>
        <v>Miedo a perder beneficios, subsidios, estabilidad institucional o condiciones de vida ya alcanzadas.</v>
      </c>
      <c r="AX75" s="3" t="str">
        <f>IFERROR(VLOOKUP(AS75,'[1]02_Arquetipos_Miedo_Sesgo'!$A$4:$G$8,4,FALSE),"")</f>
        <v>Aversión a la pérdida + sesgo de statu quo + confirmación.</v>
      </c>
      <c r="AY75" s="3" t="str">
        <f>IFERROR(VLOOKUP(AS75,'[1]02_Arquetipos_Miedo_Sesgo'!$A$4:$G$8,5,FALSE),"")</f>
        <v>Continuidad administrativa, servicios públicos, infraestructura, salud, educación y programas sociales.</v>
      </c>
      <c r="AZ75" s="3" t="str">
        <f>IFERROR(VLOOKUP(AS75,'[1]02_Arquetipos_Miedo_Sesgo'!$A$4:$G$8,6,FALSE),"")</f>
        <v>Explicar qué se mantiene, qué se mejora y cómo se reducen riesgos de cambio brusco.</v>
      </c>
      <c r="BA75" s="3" t="s">
        <v>77</v>
      </c>
    </row>
    <row r="76" spans="1:53" ht="43.2">
      <c r="A76" s="3" t="s">
        <v>282</v>
      </c>
      <c r="B76" s="3" t="s">
        <v>277</v>
      </c>
      <c r="C76" s="3" t="s">
        <v>283</v>
      </c>
      <c r="D76" s="4">
        <v>7889</v>
      </c>
      <c r="E76" s="5">
        <v>0.47052858410444925</v>
      </c>
      <c r="F76" s="3" t="s">
        <v>82</v>
      </c>
      <c r="G76" s="3" t="s">
        <v>83</v>
      </c>
      <c r="H76" s="3">
        <v>3712</v>
      </c>
      <c r="I76" s="3">
        <v>47.1</v>
      </c>
      <c r="J76" s="3">
        <v>11</v>
      </c>
      <c r="K76" s="3" t="s">
        <v>238</v>
      </c>
      <c r="L76" s="3">
        <v>0</v>
      </c>
      <c r="M76" s="3">
        <v>0</v>
      </c>
      <c r="N76" s="3">
        <v>1</v>
      </c>
      <c r="O76" s="3">
        <v>0</v>
      </c>
      <c r="P76" s="3">
        <v>0</v>
      </c>
      <c r="Q76" s="3">
        <v>0</v>
      </c>
      <c r="R76" s="3" t="s">
        <v>209</v>
      </c>
      <c r="S76" s="3">
        <v>0.2</v>
      </c>
      <c r="T76" s="3" t="s">
        <v>73</v>
      </c>
      <c r="U76" s="3" t="s">
        <v>210</v>
      </c>
      <c r="V76" s="3" t="s">
        <v>279</v>
      </c>
      <c r="W76" s="3"/>
      <c r="X76" s="3" t="s">
        <v>212</v>
      </c>
      <c r="Y76" s="3"/>
      <c r="Z76" s="3" t="s">
        <v>213</v>
      </c>
      <c r="AA76" s="3" t="s">
        <v>61</v>
      </c>
      <c r="AB76" s="3" t="s">
        <v>69</v>
      </c>
      <c r="AC76" s="3" t="s">
        <v>70</v>
      </c>
      <c r="AD76" s="3" t="s">
        <v>71</v>
      </c>
      <c r="AE76" s="3" t="s">
        <v>84</v>
      </c>
      <c r="AF76" s="6">
        <v>0.73199999999999998</v>
      </c>
      <c r="AG76" s="3" t="s">
        <v>61</v>
      </c>
      <c r="AH76" s="3" t="s">
        <v>74</v>
      </c>
      <c r="AI76" s="6">
        <v>0.69099999999999995</v>
      </c>
      <c r="AJ76" s="3" t="s">
        <v>61</v>
      </c>
      <c r="AK76" s="3" t="s">
        <v>85</v>
      </c>
      <c r="AL76" s="6">
        <v>-0.50800000000000001</v>
      </c>
      <c r="AM76" s="7">
        <f>ROUND((L76/3*'[1]01_Parametros'!$B$3+M76/3*'[1]01_Parametros'!$B$4+N76/3*'[1]01_Parametros'!$B$5+O76/3*'[1]01_Parametros'!$B$6+IF(ISNUMBER(SEARCH("Fronteras",U76)),1,0)*'[1]01_Parametros'!$B$7)*100,1)</f>
        <v>6.7</v>
      </c>
      <c r="AN76" s="7">
        <f>ROUND((E76*'[1]01_Parametros'!$B$8+(1-L76/3)*'[1]01_Parametros'!$B$9+IF(OR(AA76="Alta",AA76="Media"),1,0)*'[1]01_Parametros'!$B$10)*100,1)</f>
        <v>73.5</v>
      </c>
      <c r="AO76" s="7">
        <f>ROUND((IF(ISNUMBER(SEARCH("AC01",X76)),1,0)*'[1]01_Parametros'!$B$11+IF(OR(ISNUMBER(SEARCH("AC06",X76)),ISNUMBER(SEARCH("AC03",X76))),1,0)*'[1]01_Parametros'!$B$12+(1-ABS(E76-0.5))*'[1]01_Parametros'!$B$13+S76/3.2*'[1]01_Parametros'!$B$14)*100,1)</f>
        <v>20.7</v>
      </c>
      <c r="AP76" s="7">
        <f>ROUND((L76/3*'[1]01_Parametros'!$B$15+Q76/3*'[1]01_Parametros'!$B$16+P76/3*'[1]01_Parametros'!$B$17+IF(OR(AA76="Media-baja",AA76="Baja"),1,0)*'[1]01_Parametros'!$B$18+S76/3.2*'[1]01_Parametros'!$B$19)*100,1)</f>
        <v>0.6</v>
      </c>
      <c r="AQ76" s="7">
        <f>ROUND((P76/3*'[1]01_Parametros'!$B$20+IF(OR(ISNUMBER(SEARCH("JAC",Z76)),ISNUMBER(SEARCH("JAL",Z76)),ISNUMBER(SEARCH("lider",Z76))),1,0)*'[1]01_Parametros'!$B$21+IF(LEFT(B76,14)="Corregimiento",1,0)*'[1]01_Parametros'!$B$22+Q76/3*'[1]01_Parametros'!$B$23+S76/3.2*'[1]01_Parametros'!$B$24)*100,1)</f>
        <v>0.3</v>
      </c>
      <c r="AR76" s="3" t="str">
        <f>INDEX('[1]13_Listas'!$A$2:$A$6, MATCH(MAX(AM76:AQ76), AM76:AQ76, 0))</f>
        <v>Estabilidad y continuidad</v>
      </c>
      <c r="AS76" s="3" t="str">
        <f t="shared" si="3"/>
        <v>Estabilidad y continuidad</v>
      </c>
      <c r="AT76" s="3" t="str">
        <f t="shared" si="4"/>
        <v>Traductor Digital</v>
      </c>
      <c r="AU76" s="3" t="str">
        <f t="shared" si="5"/>
        <v>Encuestas y caballo ganador / menos malo</v>
      </c>
      <c r="AV76" s="3" t="str">
        <f>IFERROR(VLOOKUP(AS76,'[1]02_Arquetipos_Miedo_Sesgo'!$A$4:$G$8,4,FALSE),"")</f>
        <v>Aversión a la pérdida + sesgo de statu quo + confirmación.</v>
      </c>
      <c r="AW76" s="3" t="str">
        <f>IFERROR(VLOOKUP(AS76,'[1]02_Arquetipos_Miedo_Sesgo'!$A$4:$G$8,3,FALSE),"")</f>
        <v>Miedo a perder beneficios, subsidios, estabilidad institucional o condiciones de vida ya alcanzadas.</v>
      </c>
      <c r="AX76" s="3" t="str">
        <f>IFERROR(VLOOKUP(AS76,'[1]02_Arquetipos_Miedo_Sesgo'!$A$4:$G$8,4,FALSE),"")</f>
        <v>Aversión a la pérdida + sesgo de statu quo + confirmación.</v>
      </c>
      <c r="AY76" s="3" t="str">
        <f>IFERROR(VLOOKUP(AS76,'[1]02_Arquetipos_Miedo_Sesgo'!$A$4:$G$8,5,FALSE),"")</f>
        <v>Continuidad administrativa, servicios públicos, infraestructura, salud, educación y programas sociales.</v>
      </c>
      <c r="AZ76" s="3" t="str">
        <f>IFERROR(VLOOKUP(AS76,'[1]02_Arquetipos_Miedo_Sesgo'!$A$4:$G$8,6,FALSE),"")</f>
        <v>Explicar qué se mantiene, qué se mejora y cómo se reducen riesgos de cambio brusco.</v>
      </c>
      <c r="BA76" s="3" t="s">
        <v>77</v>
      </c>
    </row>
    <row r="77" spans="1:53" ht="43.2">
      <c r="A77" s="3" t="s">
        <v>284</v>
      </c>
      <c r="B77" s="3" t="s">
        <v>277</v>
      </c>
      <c r="C77" s="3" t="s">
        <v>285</v>
      </c>
      <c r="D77" s="4">
        <v>610</v>
      </c>
      <c r="E77" s="5">
        <v>0.43934426229508194</v>
      </c>
      <c r="F77" s="3" t="s">
        <v>82</v>
      </c>
      <c r="G77" s="3" t="s">
        <v>83</v>
      </c>
      <c r="H77" s="3">
        <v>268</v>
      </c>
      <c r="I77" s="3">
        <v>43.9</v>
      </c>
      <c r="J77" s="3">
        <v>11</v>
      </c>
      <c r="K77" s="3" t="s">
        <v>238</v>
      </c>
      <c r="L77" s="3">
        <v>0</v>
      </c>
      <c r="M77" s="3">
        <v>0</v>
      </c>
      <c r="N77" s="3">
        <v>1</v>
      </c>
      <c r="O77" s="3">
        <v>0</v>
      </c>
      <c r="P77" s="3">
        <v>0</v>
      </c>
      <c r="Q77" s="3">
        <v>0</v>
      </c>
      <c r="R77" s="3" t="s">
        <v>209</v>
      </c>
      <c r="S77" s="3">
        <v>0.2</v>
      </c>
      <c r="T77" s="3" t="s">
        <v>73</v>
      </c>
      <c r="U77" s="3" t="s">
        <v>210</v>
      </c>
      <c r="V77" s="3" t="s">
        <v>279</v>
      </c>
      <c r="W77" s="3"/>
      <c r="X77" s="3" t="s">
        <v>212</v>
      </c>
      <c r="Y77" s="3"/>
      <c r="Z77" s="3" t="s">
        <v>213</v>
      </c>
      <c r="AA77" s="3" t="s">
        <v>61</v>
      </c>
      <c r="AB77" s="3" t="s">
        <v>69</v>
      </c>
      <c r="AC77" s="3" t="s">
        <v>70</v>
      </c>
      <c r="AD77" s="3" t="s">
        <v>71</v>
      </c>
      <c r="AE77" s="3" t="s">
        <v>84</v>
      </c>
      <c r="AF77" s="6">
        <v>0.73199999999999998</v>
      </c>
      <c r="AG77" s="3" t="s">
        <v>61</v>
      </c>
      <c r="AH77" s="3" t="s">
        <v>74</v>
      </c>
      <c r="AI77" s="6">
        <v>0.69099999999999995</v>
      </c>
      <c r="AJ77" s="3" t="s">
        <v>61</v>
      </c>
      <c r="AK77" s="3" t="s">
        <v>85</v>
      </c>
      <c r="AL77" s="6">
        <v>-0.50800000000000001</v>
      </c>
      <c r="AM77" s="7">
        <f>ROUND((L77/3*'[1]01_Parametros'!$B$3+M77/3*'[1]01_Parametros'!$B$4+N77/3*'[1]01_Parametros'!$B$5+O77/3*'[1]01_Parametros'!$B$6+IF(ISNUMBER(SEARCH("Fronteras",U77)),1,0)*'[1]01_Parametros'!$B$7)*100,1)</f>
        <v>6.7</v>
      </c>
      <c r="AN77" s="7">
        <f>ROUND((E77*'[1]01_Parametros'!$B$8+(1-L77/3)*'[1]01_Parametros'!$B$9+IF(OR(AA77="Alta",AA77="Media"),1,0)*'[1]01_Parametros'!$B$10)*100,1)</f>
        <v>72</v>
      </c>
      <c r="AO77" s="7">
        <f>ROUND((IF(ISNUMBER(SEARCH("AC01",X77)),1,0)*'[1]01_Parametros'!$B$11+IF(OR(ISNUMBER(SEARCH("AC06",X77)),ISNUMBER(SEARCH("AC03",X77))),1,0)*'[1]01_Parametros'!$B$12+(1-ABS(E77-0.5))*'[1]01_Parametros'!$B$13+S77/3.2*'[1]01_Parametros'!$B$14)*100,1)</f>
        <v>20</v>
      </c>
      <c r="AP77" s="7">
        <f>ROUND((L77/3*'[1]01_Parametros'!$B$15+Q77/3*'[1]01_Parametros'!$B$16+P77/3*'[1]01_Parametros'!$B$17+IF(OR(AA77="Media-baja",AA77="Baja"),1,0)*'[1]01_Parametros'!$B$18+S77/3.2*'[1]01_Parametros'!$B$19)*100,1)</f>
        <v>0.6</v>
      </c>
      <c r="AQ77" s="7">
        <f>ROUND((P77/3*'[1]01_Parametros'!$B$20+IF(OR(ISNUMBER(SEARCH("JAC",Z77)),ISNUMBER(SEARCH("JAL",Z77)),ISNUMBER(SEARCH("lider",Z77))),1,0)*'[1]01_Parametros'!$B$21+IF(LEFT(B77,14)="Corregimiento",1,0)*'[1]01_Parametros'!$B$22+Q77/3*'[1]01_Parametros'!$B$23+S77/3.2*'[1]01_Parametros'!$B$24)*100,1)</f>
        <v>0.3</v>
      </c>
      <c r="AR77" s="3" t="str">
        <f>INDEX('[1]13_Listas'!$A$2:$A$6, MATCH(MAX(AM77:AQ77), AM77:AQ77, 0))</f>
        <v>Estabilidad y continuidad</v>
      </c>
      <c r="AS77" s="3" t="str">
        <f t="shared" si="3"/>
        <v>Estabilidad y continuidad</v>
      </c>
      <c r="AT77" s="3" t="str">
        <f t="shared" si="4"/>
        <v>Traductor Digital</v>
      </c>
      <c r="AU77" s="3" t="str">
        <f t="shared" si="5"/>
        <v>Encuestas y caballo ganador / menos malo</v>
      </c>
      <c r="AV77" s="3" t="str">
        <f>IFERROR(VLOOKUP(AS77,'[1]02_Arquetipos_Miedo_Sesgo'!$A$4:$G$8,4,FALSE),"")</f>
        <v>Aversión a la pérdida + sesgo de statu quo + confirmación.</v>
      </c>
      <c r="AW77" s="3" t="str">
        <f>IFERROR(VLOOKUP(AS77,'[1]02_Arquetipos_Miedo_Sesgo'!$A$4:$G$8,3,FALSE),"")</f>
        <v>Miedo a perder beneficios, subsidios, estabilidad institucional o condiciones de vida ya alcanzadas.</v>
      </c>
      <c r="AX77" s="3" t="str">
        <f>IFERROR(VLOOKUP(AS77,'[1]02_Arquetipos_Miedo_Sesgo'!$A$4:$G$8,4,FALSE),"")</f>
        <v>Aversión a la pérdida + sesgo de statu quo + confirmación.</v>
      </c>
      <c r="AY77" s="3" t="str">
        <f>IFERROR(VLOOKUP(AS77,'[1]02_Arquetipos_Miedo_Sesgo'!$A$4:$G$8,5,FALSE),"")</f>
        <v>Continuidad administrativa, servicios públicos, infraestructura, salud, educación y programas sociales.</v>
      </c>
      <c r="AZ77" s="3" t="str">
        <f>IFERROR(VLOOKUP(AS77,'[1]02_Arquetipos_Miedo_Sesgo'!$A$4:$G$8,6,FALSE),"")</f>
        <v>Explicar qué se mantiene, qué se mejora y cómo se reducen riesgos de cambio brusco.</v>
      </c>
      <c r="BA77" s="3" t="s">
        <v>77</v>
      </c>
    </row>
    <row r="78" spans="1:53" ht="43.2">
      <c r="A78" s="3" t="s">
        <v>286</v>
      </c>
      <c r="B78" s="3" t="s">
        <v>277</v>
      </c>
      <c r="C78" s="3" t="s">
        <v>287</v>
      </c>
      <c r="D78" s="4">
        <v>12619</v>
      </c>
      <c r="E78" s="5">
        <v>0.49005467945162057</v>
      </c>
      <c r="F78" s="3" t="s">
        <v>82</v>
      </c>
      <c r="G78" s="3" t="s">
        <v>83</v>
      </c>
      <c r="H78" s="3">
        <v>6184</v>
      </c>
      <c r="I78" s="3">
        <v>49</v>
      </c>
      <c r="J78" s="3">
        <v>11</v>
      </c>
      <c r="K78" s="3" t="s">
        <v>238</v>
      </c>
      <c r="L78" s="3">
        <v>0</v>
      </c>
      <c r="M78" s="3">
        <v>0</v>
      </c>
      <c r="N78" s="3">
        <v>1</v>
      </c>
      <c r="O78" s="3">
        <v>0</v>
      </c>
      <c r="P78" s="3">
        <v>0</v>
      </c>
      <c r="Q78" s="3">
        <v>0</v>
      </c>
      <c r="R78" s="3" t="s">
        <v>209</v>
      </c>
      <c r="S78" s="3">
        <v>0.2</v>
      </c>
      <c r="T78" s="3" t="s">
        <v>73</v>
      </c>
      <c r="U78" s="3" t="s">
        <v>210</v>
      </c>
      <c r="V78" s="3" t="s">
        <v>279</v>
      </c>
      <c r="W78" s="3"/>
      <c r="X78" s="3" t="s">
        <v>212</v>
      </c>
      <c r="Y78" s="3"/>
      <c r="Z78" s="3" t="s">
        <v>213</v>
      </c>
      <c r="AA78" s="3" t="s">
        <v>61</v>
      </c>
      <c r="AB78" s="3" t="s">
        <v>69</v>
      </c>
      <c r="AC78" s="3" t="s">
        <v>70</v>
      </c>
      <c r="AD78" s="3" t="s">
        <v>71</v>
      </c>
      <c r="AE78" s="3" t="s">
        <v>84</v>
      </c>
      <c r="AF78" s="6">
        <v>0.73199999999999998</v>
      </c>
      <c r="AG78" s="3" t="s">
        <v>61</v>
      </c>
      <c r="AH78" s="3" t="s">
        <v>74</v>
      </c>
      <c r="AI78" s="6">
        <v>0.69099999999999995</v>
      </c>
      <c r="AJ78" s="3" t="s">
        <v>61</v>
      </c>
      <c r="AK78" s="3" t="s">
        <v>85</v>
      </c>
      <c r="AL78" s="6">
        <v>-0.50800000000000001</v>
      </c>
      <c r="AM78" s="7">
        <f>ROUND((L78/3*'[1]01_Parametros'!$B$3+M78/3*'[1]01_Parametros'!$B$4+N78/3*'[1]01_Parametros'!$B$5+O78/3*'[1]01_Parametros'!$B$6+IF(ISNUMBER(SEARCH("Fronteras",U78)),1,0)*'[1]01_Parametros'!$B$7)*100,1)</f>
        <v>6.7</v>
      </c>
      <c r="AN78" s="7">
        <f>ROUND((E78*'[1]01_Parametros'!$B$8+(1-L78/3)*'[1]01_Parametros'!$B$9+IF(OR(AA78="Alta",AA78="Media"),1,0)*'[1]01_Parametros'!$B$10)*100,1)</f>
        <v>74.5</v>
      </c>
      <c r="AO78" s="7">
        <f>ROUND((IF(ISNUMBER(SEARCH("AC01",X78)),1,0)*'[1]01_Parametros'!$B$11+IF(OR(ISNUMBER(SEARCH("AC06",X78)),ISNUMBER(SEARCH("AC03",X78))),1,0)*'[1]01_Parametros'!$B$12+(1-ABS(E78-0.5))*'[1]01_Parametros'!$B$13+S78/3.2*'[1]01_Parametros'!$B$14)*100,1)</f>
        <v>21.1</v>
      </c>
      <c r="AP78" s="7">
        <f>ROUND((L78/3*'[1]01_Parametros'!$B$15+Q78/3*'[1]01_Parametros'!$B$16+P78/3*'[1]01_Parametros'!$B$17+IF(OR(AA78="Media-baja",AA78="Baja"),1,0)*'[1]01_Parametros'!$B$18+S78/3.2*'[1]01_Parametros'!$B$19)*100,1)</f>
        <v>0.6</v>
      </c>
      <c r="AQ78" s="7">
        <f>ROUND((P78/3*'[1]01_Parametros'!$B$20+IF(OR(ISNUMBER(SEARCH("JAC",Z78)),ISNUMBER(SEARCH("JAL",Z78)),ISNUMBER(SEARCH("lider",Z78))),1,0)*'[1]01_Parametros'!$B$21+IF(LEFT(B78,14)="Corregimiento",1,0)*'[1]01_Parametros'!$B$22+Q78/3*'[1]01_Parametros'!$B$23+S78/3.2*'[1]01_Parametros'!$B$24)*100,1)</f>
        <v>0.3</v>
      </c>
      <c r="AR78" s="3" t="str">
        <f>INDEX('[1]13_Listas'!$A$2:$A$6, MATCH(MAX(AM78:AQ78), AM78:AQ78, 0))</f>
        <v>Estabilidad y continuidad</v>
      </c>
      <c r="AS78" s="3" t="str">
        <f t="shared" si="3"/>
        <v>Estabilidad y continuidad</v>
      </c>
      <c r="AT78" s="3" t="str">
        <f t="shared" si="4"/>
        <v>Traductor Digital</v>
      </c>
      <c r="AU78" s="3" t="str">
        <f t="shared" si="5"/>
        <v>Encuestas y caballo ganador / menos malo</v>
      </c>
      <c r="AV78" s="3" t="str">
        <f>IFERROR(VLOOKUP(AS78,'[1]02_Arquetipos_Miedo_Sesgo'!$A$4:$G$8,4,FALSE),"")</f>
        <v>Aversión a la pérdida + sesgo de statu quo + confirmación.</v>
      </c>
      <c r="AW78" s="3" t="str">
        <f>IFERROR(VLOOKUP(AS78,'[1]02_Arquetipos_Miedo_Sesgo'!$A$4:$G$8,3,FALSE),"")</f>
        <v>Miedo a perder beneficios, subsidios, estabilidad institucional o condiciones de vida ya alcanzadas.</v>
      </c>
      <c r="AX78" s="3" t="str">
        <f>IFERROR(VLOOKUP(AS78,'[1]02_Arquetipos_Miedo_Sesgo'!$A$4:$G$8,4,FALSE),"")</f>
        <v>Aversión a la pérdida + sesgo de statu quo + confirmación.</v>
      </c>
      <c r="AY78" s="3" t="str">
        <f>IFERROR(VLOOKUP(AS78,'[1]02_Arquetipos_Miedo_Sesgo'!$A$4:$G$8,5,FALSE),"")</f>
        <v>Continuidad administrativa, servicios públicos, infraestructura, salud, educación y programas sociales.</v>
      </c>
      <c r="AZ78" s="3" t="str">
        <f>IFERROR(VLOOKUP(AS78,'[1]02_Arquetipos_Miedo_Sesgo'!$A$4:$G$8,6,FALSE),"")</f>
        <v>Explicar qué se mantiene, qué se mejora y cómo se reducen riesgos de cambio brusco.</v>
      </c>
      <c r="BA78" s="3" t="s">
        <v>77</v>
      </c>
    </row>
    <row r="79" spans="1:53" ht="43.2">
      <c r="A79" s="3" t="s">
        <v>288</v>
      </c>
      <c r="B79" s="3" t="s">
        <v>277</v>
      </c>
      <c r="C79" s="3" t="s">
        <v>289</v>
      </c>
      <c r="D79" s="4">
        <v>8869</v>
      </c>
      <c r="E79" s="5">
        <v>0.46081858157627692</v>
      </c>
      <c r="F79" s="3" t="s">
        <v>82</v>
      </c>
      <c r="G79" s="3" t="s">
        <v>83</v>
      </c>
      <c r="H79" s="3">
        <v>4087</v>
      </c>
      <c r="I79" s="3">
        <v>46.1</v>
      </c>
      <c r="J79" s="3">
        <v>11</v>
      </c>
      <c r="K79" s="3" t="s">
        <v>238</v>
      </c>
      <c r="L79" s="3">
        <v>0</v>
      </c>
      <c r="M79" s="3">
        <v>0</v>
      </c>
      <c r="N79" s="3">
        <v>1</v>
      </c>
      <c r="O79" s="3">
        <v>0</v>
      </c>
      <c r="P79" s="3">
        <v>0</v>
      </c>
      <c r="Q79" s="3">
        <v>0</v>
      </c>
      <c r="R79" s="3" t="s">
        <v>209</v>
      </c>
      <c r="S79" s="3">
        <v>0.2</v>
      </c>
      <c r="T79" s="3" t="s">
        <v>73</v>
      </c>
      <c r="U79" s="3" t="s">
        <v>210</v>
      </c>
      <c r="V79" s="3" t="s">
        <v>279</v>
      </c>
      <c r="W79" s="3"/>
      <c r="X79" s="3" t="s">
        <v>212</v>
      </c>
      <c r="Y79" s="3"/>
      <c r="Z79" s="3" t="s">
        <v>213</v>
      </c>
      <c r="AA79" s="3" t="s">
        <v>61</v>
      </c>
      <c r="AB79" s="3" t="s">
        <v>69</v>
      </c>
      <c r="AC79" s="3" t="s">
        <v>70</v>
      </c>
      <c r="AD79" s="3" t="s">
        <v>71</v>
      </c>
      <c r="AE79" s="3" t="s">
        <v>84</v>
      </c>
      <c r="AF79" s="6">
        <v>0.73199999999999998</v>
      </c>
      <c r="AG79" s="3" t="s">
        <v>61</v>
      </c>
      <c r="AH79" s="3" t="s">
        <v>74</v>
      </c>
      <c r="AI79" s="6">
        <v>0.69099999999999995</v>
      </c>
      <c r="AJ79" s="3" t="s">
        <v>61</v>
      </c>
      <c r="AK79" s="3" t="s">
        <v>85</v>
      </c>
      <c r="AL79" s="6">
        <v>-0.50800000000000001</v>
      </c>
      <c r="AM79" s="7">
        <f>ROUND((L79/3*'[1]01_Parametros'!$B$3+M79/3*'[1]01_Parametros'!$B$4+N79/3*'[1]01_Parametros'!$B$5+O79/3*'[1]01_Parametros'!$B$6+IF(ISNUMBER(SEARCH("Fronteras",U79)),1,0)*'[1]01_Parametros'!$B$7)*100,1)</f>
        <v>6.7</v>
      </c>
      <c r="AN79" s="7">
        <f>ROUND((E79*'[1]01_Parametros'!$B$8+(1-L79/3)*'[1]01_Parametros'!$B$9+IF(OR(AA79="Alta",AA79="Media"),1,0)*'[1]01_Parametros'!$B$10)*100,1)</f>
        <v>73</v>
      </c>
      <c r="AO79" s="7">
        <f>ROUND((IF(ISNUMBER(SEARCH("AC01",X79)),1,0)*'[1]01_Parametros'!$B$11+IF(OR(ISNUMBER(SEARCH("AC06",X79)),ISNUMBER(SEARCH("AC03",X79))),1,0)*'[1]01_Parametros'!$B$12+(1-ABS(E79-0.5))*'[1]01_Parametros'!$B$13+S79/3.2*'[1]01_Parametros'!$B$14)*100,1)</f>
        <v>20.5</v>
      </c>
      <c r="AP79" s="7">
        <f>ROUND((L79/3*'[1]01_Parametros'!$B$15+Q79/3*'[1]01_Parametros'!$B$16+P79/3*'[1]01_Parametros'!$B$17+IF(OR(AA79="Media-baja",AA79="Baja"),1,0)*'[1]01_Parametros'!$B$18+S79/3.2*'[1]01_Parametros'!$B$19)*100,1)</f>
        <v>0.6</v>
      </c>
      <c r="AQ79" s="7">
        <f>ROUND((P79/3*'[1]01_Parametros'!$B$20+IF(OR(ISNUMBER(SEARCH("JAC",Z79)),ISNUMBER(SEARCH("JAL",Z79)),ISNUMBER(SEARCH("lider",Z79))),1,0)*'[1]01_Parametros'!$B$21+IF(LEFT(B79,14)="Corregimiento",1,0)*'[1]01_Parametros'!$B$22+Q79/3*'[1]01_Parametros'!$B$23+S79/3.2*'[1]01_Parametros'!$B$24)*100,1)</f>
        <v>0.3</v>
      </c>
      <c r="AR79" s="3" t="str">
        <f>INDEX('[1]13_Listas'!$A$2:$A$6, MATCH(MAX(AM79:AQ79), AM79:AQ79, 0))</f>
        <v>Estabilidad y continuidad</v>
      </c>
      <c r="AS79" s="3" t="str">
        <f t="shared" si="3"/>
        <v>Estabilidad y continuidad</v>
      </c>
      <c r="AT79" s="3" t="str">
        <f t="shared" si="4"/>
        <v>Traductor Digital</v>
      </c>
      <c r="AU79" s="3" t="str">
        <f t="shared" si="5"/>
        <v>Encuestas y caballo ganador / menos malo</v>
      </c>
      <c r="AV79" s="3" t="str">
        <f>IFERROR(VLOOKUP(AS79,'[1]02_Arquetipos_Miedo_Sesgo'!$A$4:$G$8,4,FALSE),"")</f>
        <v>Aversión a la pérdida + sesgo de statu quo + confirmación.</v>
      </c>
      <c r="AW79" s="3" t="str">
        <f>IFERROR(VLOOKUP(AS79,'[1]02_Arquetipos_Miedo_Sesgo'!$A$4:$G$8,3,FALSE),"")</f>
        <v>Miedo a perder beneficios, subsidios, estabilidad institucional o condiciones de vida ya alcanzadas.</v>
      </c>
      <c r="AX79" s="3" t="str">
        <f>IFERROR(VLOOKUP(AS79,'[1]02_Arquetipos_Miedo_Sesgo'!$A$4:$G$8,4,FALSE),"")</f>
        <v>Aversión a la pérdida + sesgo de statu quo + confirmación.</v>
      </c>
      <c r="AY79" s="3" t="str">
        <f>IFERROR(VLOOKUP(AS79,'[1]02_Arquetipos_Miedo_Sesgo'!$A$4:$G$8,5,FALSE),"")</f>
        <v>Continuidad administrativa, servicios públicos, infraestructura, salud, educación y programas sociales.</v>
      </c>
      <c r="AZ79" s="3" t="str">
        <f>IFERROR(VLOOKUP(AS79,'[1]02_Arquetipos_Miedo_Sesgo'!$A$4:$G$8,6,FALSE),"")</f>
        <v>Explicar qué se mantiene, qué se mejora y cómo se reducen riesgos de cambio brusco.</v>
      </c>
      <c r="BA79" s="3" t="s">
        <v>77</v>
      </c>
    </row>
    <row r="80" spans="1:53" ht="43.2">
      <c r="A80" s="3" t="s">
        <v>290</v>
      </c>
      <c r="B80" s="3" t="s">
        <v>277</v>
      </c>
      <c r="C80" s="3" t="s">
        <v>291</v>
      </c>
      <c r="D80" s="4">
        <v>776</v>
      </c>
      <c r="E80" s="5">
        <v>0.4265463917525773</v>
      </c>
      <c r="F80" s="3" t="s">
        <v>57</v>
      </c>
      <c r="G80" s="3" t="s">
        <v>58</v>
      </c>
      <c r="H80" s="3">
        <v>331</v>
      </c>
      <c r="I80" s="3">
        <v>42.7</v>
      </c>
      <c r="J80" s="3">
        <v>11</v>
      </c>
      <c r="K80" s="3" t="s">
        <v>238</v>
      </c>
      <c r="L80" s="3">
        <v>0</v>
      </c>
      <c r="M80" s="3">
        <v>0</v>
      </c>
      <c r="N80" s="3">
        <v>1</v>
      </c>
      <c r="O80" s="3">
        <v>0</v>
      </c>
      <c r="P80" s="3">
        <v>0</v>
      </c>
      <c r="Q80" s="3">
        <v>0</v>
      </c>
      <c r="R80" s="3" t="s">
        <v>209</v>
      </c>
      <c r="S80" s="3">
        <v>0.2</v>
      </c>
      <c r="T80" s="3" t="s">
        <v>73</v>
      </c>
      <c r="U80" s="3" t="s">
        <v>210</v>
      </c>
      <c r="V80" s="3" t="s">
        <v>279</v>
      </c>
      <c r="W80" s="3"/>
      <c r="X80" s="3" t="s">
        <v>212</v>
      </c>
      <c r="Y80" s="3"/>
      <c r="Z80" s="3" t="s">
        <v>213</v>
      </c>
      <c r="AA80" s="3" t="s">
        <v>61</v>
      </c>
      <c r="AB80" s="3" t="s">
        <v>69</v>
      </c>
      <c r="AC80" s="3" t="s">
        <v>70</v>
      </c>
      <c r="AD80" s="3" t="s">
        <v>71</v>
      </c>
      <c r="AE80" s="3" t="s">
        <v>72</v>
      </c>
      <c r="AF80" s="6">
        <v>0.36599999999999999</v>
      </c>
      <c r="AG80" s="3" t="s">
        <v>73</v>
      </c>
      <c r="AH80" s="3" t="s">
        <v>74</v>
      </c>
      <c r="AI80" s="6">
        <v>0.497</v>
      </c>
      <c r="AJ80" s="3" t="s">
        <v>75</v>
      </c>
      <c r="AK80" s="3" t="s">
        <v>76</v>
      </c>
      <c r="AL80" s="6">
        <v>-0.38900000000000001</v>
      </c>
      <c r="AM80" s="7">
        <f>ROUND((L80/3*'[1]01_Parametros'!$B$3+M80/3*'[1]01_Parametros'!$B$4+N80/3*'[1]01_Parametros'!$B$5+O80/3*'[1]01_Parametros'!$B$6+IF(ISNUMBER(SEARCH("Fronteras",U80)),1,0)*'[1]01_Parametros'!$B$7)*100,1)</f>
        <v>6.7</v>
      </c>
      <c r="AN80" s="7">
        <f>ROUND((E80*'[1]01_Parametros'!$B$8+(1-L80/3)*'[1]01_Parametros'!$B$9+IF(OR(AA80="Alta",AA80="Media"),1,0)*'[1]01_Parametros'!$B$10)*100,1)</f>
        <v>71.3</v>
      </c>
      <c r="AO80" s="7">
        <f>ROUND((IF(ISNUMBER(SEARCH("AC01",X80)),1,0)*'[1]01_Parametros'!$B$11+IF(OR(ISNUMBER(SEARCH("AC06",X80)),ISNUMBER(SEARCH("AC03",X80))),1,0)*'[1]01_Parametros'!$B$12+(1-ABS(E80-0.5))*'[1]01_Parametros'!$B$13+S80/3.2*'[1]01_Parametros'!$B$14)*100,1)</f>
        <v>19.8</v>
      </c>
      <c r="AP80" s="7">
        <f>ROUND((L80/3*'[1]01_Parametros'!$B$15+Q80/3*'[1]01_Parametros'!$B$16+P80/3*'[1]01_Parametros'!$B$17+IF(OR(AA80="Media-baja",AA80="Baja"),1,0)*'[1]01_Parametros'!$B$18+S80/3.2*'[1]01_Parametros'!$B$19)*100,1)</f>
        <v>0.6</v>
      </c>
      <c r="AQ80" s="7">
        <f>ROUND((P80/3*'[1]01_Parametros'!$B$20+IF(OR(ISNUMBER(SEARCH("JAC",Z80)),ISNUMBER(SEARCH("JAL",Z80)),ISNUMBER(SEARCH("lider",Z80))),1,0)*'[1]01_Parametros'!$B$21+IF(LEFT(B80,14)="Corregimiento",1,0)*'[1]01_Parametros'!$B$22+Q80/3*'[1]01_Parametros'!$B$23+S80/3.2*'[1]01_Parametros'!$B$24)*100,1)</f>
        <v>0.3</v>
      </c>
      <c r="AR80" s="3" t="str">
        <f>INDEX('[1]13_Listas'!$A$2:$A$6, MATCH(MAX(AM80:AQ80), AM80:AQ80, 0))</f>
        <v>Estabilidad y continuidad</v>
      </c>
      <c r="AS80" s="3" t="str">
        <f t="shared" si="3"/>
        <v>Estabilidad y continuidad</v>
      </c>
      <c r="AT80" s="3" t="str">
        <f t="shared" si="4"/>
        <v>Traductor Digital</v>
      </c>
      <c r="AU80" s="3" t="str">
        <f t="shared" si="5"/>
        <v>Encuestas y caballo ganador / menos malo</v>
      </c>
      <c r="AV80" s="3" t="str">
        <f>IFERROR(VLOOKUP(AS80,'[1]02_Arquetipos_Miedo_Sesgo'!$A$4:$G$8,4,FALSE),"")</f>
        <v>Aversión a la pérdida + sesgo de statu quo + confirmación.</v>
      </c>
      <c r="AW80" s="3" t="str">
        <f>IFERROR(VLOOKUP(AS80,'[1]02_Arquetipos_Miedo_Sesgo'!$A$4:$G$8,3,FALSE),"")</f>
        <v>Miedo a perder beneficios, subsidios, estabilidad institucional o condiciones de vida ya alcanzadas.</v>
      </c>
      <c r="AX80" s="3" t="str">
        <f>IFERROR(VLOOKUP(AS80,'[1]02_Arquetipos_Miedo_Sesgo'!$A$4:$G$8,4,FALSE),"")</f>
        <v>Aversión a la pérdida + sesgo de statu quo + confirmación.</v>
      </c>
      <c r="AY80" s="3" t="str">
        <f>IFERROR(VLOOKUP(AS80,'[1]02_Arquetipos_Miedo_Sesgo'!$A$4:$G$8,5,FALSE),"")</f>
        <v>Continuidad administrativa, servicios públicos, infraestructura, salud, educación y programas sociales.</v>
      </c>
      <c r="AZ80" s="3" t="str">
        <f>IFERROR(VLOOKUP(AS80,'[1]02_Arquetipos_Miedo_Sesgo'!$A$4:$G$8,6,FALSE),"")</f>
        <v>Explicar qué se mantiene, qué se mejora y cómo se reducen riesgos de cambio brusco.</v>
      </c>
      <c r="BA80" s="3" t="s">
        <v>77</v>
      </c>
    </row>
    <row r="81" spans="1:53" ht="43.2">
      <c r="A81" s="3" t="s">
        <v>292</v>
      </c>
      <c r="B81" s="3" t="s">
        <v>277</v>
      </c>
      <c r="C81" s="3" t="s">
        <v>293</v>
      </c>
      <c r="D81" s="4">
        <v>12723</v>
      </c>
      <c r="E81" s="5">
        <v>0.42851528727501376</v>
      </c>
      <c r="F81" s="3" t="s">
        <v>57</v>
      </c>
      <c r="G81" s="3" t="s">
        <v>58</v>
      </c>
      <c r="H81" s="3">
        <v>5452</v>
      </c>
      <c r="I81" s="3">
        <v>42.9</v>
      </c>
      <c r="J81" s="3">
        <v>11</v>
      </c>
      <c r="K81" s="3" t="s">
        <v>238</v>
      </c>
      <c r="L81" s="3">
        <v>0</v>
      </c>
      <c r="M81" s="3">
        <v>0</v>
      </c>
      <c r="N81" s="3">
        <v>1</v>
      </c>
      <c r="O81" s="3">
        <v>0</v>
      </c>
      <c r="P81" s="3">
        <v>0</v>
      </c>
      <c r="Q81" s="3">
        <v>0</v>
      </c>
      <c r="R81" s="3" t="s">
        <v>209</v>
      </c>
      <c r="S81" s="3">
        <v>0.2</v>
      </c>
      <c r="T81" s="3" t="s">
        <v>73</v>
      </c>
      <c r="U81" s="3" t="s">
        <v>210</v>
      </c>
      <c r="V81" s="3" t="s">
        <v>279</v>
      </c>
      <c r="W81" s="3"/>
      <c r="X81" s="3" t="s">
        <v>212</v>
      </c>
      <c r="Y81" s="3"/>
      <c r="Z81" s="3" t="s">
        <v>213</v>
      </c>
      <c r="AA81" s="3" t="s">
        <v>61</v>
      </c>
      <c r="AB81" s="3" t="s">
        <v>69</v>
      </c>
      <c r="AC81" s="3" t="s">
        <v>70</v>
      </c>
      <c r="AD81" s="3" t="s">
        <v>71</v>
      </c>
      <c r="AE81" s="3" t="s">
        <v>72</v>
      </c>
      <c r="AF81" s="6">
        <v>0.36599999999999999</v>
      </c>
      <c r="AG81" s="3" t="s">
        <v>73</v>
      </c>
      <c r="AH81" s="3" t="s">
        <v>74</v>
      </c>
      <c r="AI81" s="6">
        <v>0.497</v>
      </c>
      <c r="AJ81" s="3" t="s">
        <v>75</v>
      </c>
      <c r="AK81" s="3" t="s">
        <v>76</v>
      </c>
      <c r="AL81" s="6">
        <v>-0.38900000000000001</v>
      </c>
      <c r="AM81" s="7">
        <f>ROUND((L81/3*'[1]01_Parametros'!$B$3+M81/3*'[1]01_Parametros'!$B$4+N81/3*'[1]01_Parametros'!$B$5+O81/3*'[1]01_Parametros'!$B$6+IF(ISNUMBER(SEARCH("Fronteras",U81)),1,0)*'[1]01_Parametros'!$B$7)*100,1)</f>
        <v>6.7</v>
      </c>
      <c r="AN81" s="7">
        <f>ROUND((E81*'[1]01_Parametros'!$B$8+(1-L81/3)*'[1]01_Parametros'!$B$9+IF(OR(AA81="Alta",AA81="Media"),1,0)*'[1]01_Parametros'!$B$10)*100,1)</f>
        <v>71.400000000000006</v>
      </c>
      <c r="AO81" s="7">
        <f>ROUND((IF(ISNUMBER(SEARCH("AC01",X81)),1,0)*'[1]01_Parametros'!$B$11+IF(OR(ISNUMBER(SEARCH("AC06",X81)),ISNUMBER(SEARCH("AC03",X81))),1,0)*'[1]01_Parametros'!$B$12+(1-ABS(E81-0.5))*'[1]01_Parametros'!$B$13+S81/3.2*'[1]01_Parametros'!$B$14)*100,1)</f>
        <v>19.8</v>
      </c>
      <c r="AP81" s="7">
        <f>ROUND((L81/3*'[1]01_Parametros'!$B$15+Q81/3*'[1]01_Parametros'!$B$16+P81/3*'[1]01_Parametros'!$B$17+IF(OR(AA81="Media-baja",AA81="Baja"),1,0)*'[1]01_Parametros'!$B$18+S81/3.2*'[1]01_Parametros'!$B$19)*100,1)</f>
        <v>0.6</v>
      </c>
      <c r="AQ81" s="7">
        <f>ROUND((P81/3*'[1]01_Parametros'!$B$20+IF(OR(ISNUMBER(SEARCH("JAC",Z81)),ISNUMBER(SEARCH("JAL",Z81)),ISNUMBER(SEARCH("lider",Z81))),1,0)*'[1]01_Parametros'!$B$21+IF(LEFT(B81,14)="Corregimiento",1,0)*'[1]01_Parametros'!$B$22+Q81/3*'[1]01_Parametros'!$B$23+S81/3.2*'[1]01_Parametros'!$B$24)*100,1)</f>
        <v>0.3</v>
      </c>
      <c r="AR81" s="3" t="str">
        <f>INDEX('[1]13_Listas'!$A$2:$A$6, MATCH(MAX(AM81:AQ81), AM81:AQ81, 0))</f>
        <v>Estabilidad y continuidad</v>
      </c>
      <c r="AS81" s="3" t="str">
        <f t="shared" si="3"/>
        <v>Estabilidad y continuidad</v>
      </c>
      <c r="AT81" s="3" t="str">
        <f t="shared" si="4"/>
        <v>Traductor Digital</v>
      </c>
      <c r="AU81" s="3" t="str">
        <f t="shared" si="5"/>
        <v>Encuestas y caballo ganador / menos malo</v>
      </c>
      <c r="AV81" s="3" t="str">
        <f>IFERROR(VLOOKUP(AS81,'[1]02_Arquetipos_Miedo_Sesgo'!$A$4:$G$8,4,FALSE),"")</f>
        <v>Aversión a la pérdida + sesgo de statu quo + confirmación.</v>
      </c>
      <c r="AW81" s="3" t="str">
        <f>IFERROR(VLOOKUP(AS81,'[1]02_Arquetipos_Miedo_Sesgo'!$A$4:$G$8,3,FALSE),"")</f>
        <v>Miedo a perder beneficios, subsidios, estabilidad institucional o condiciones de vida ya alcanzadas.</v>
      </c>
      <c r="AX81" s="3" t="str">
        <f>IFERROR(VLOOKUP(AS81,'[1]02_Arquetipos_Miedo_Sesgo'!$A$4:$G$8,4,FALSE),"")</f>
        <v>Aversión a la pérdida + sesgo de statu quo + confirmación.</v>
      </c>
      <c r="AY81" s="3" t="str">
        <f>IFERROR(VLOOKUP(AS81,'[1]02_Arquetipos_Miedo_Sesgo'!$A$4:$G$8,5,FALSE),"")</f>
        <v>Continuidad administrativa, servicios públicos, infraestructura, salud, educación y programas sociales.</v>
      </c>
      <c r="AZ81" s="3" t="str">
        <f>IFERROR(VLOOKUP(AS81,'[1]02_Arquetipos_Miedo_Sesgo'!$A$4:$G$8,6,FALSE),"")</f>
        <v>Explicar qué se mantiene, qué se mejora y cómo se reducen riesgos de cambio brusco.</v>
      </c>
      <c r="BA81" s="3" t="s">
        <v>77</v>
      </c>
    </row>
    <row r="82" spans="1:53" ht="43.2">
      <c r="A82" s="3" t="s">
        <v>294</v>
      </c>
      <c r="B82" s="3" t="s">
        <v>295</v>
      </c>
      <c r="C82" s="3" t="s">
        <v>296</v>
      </c>
      <c r="D82" s="4">
        <v>4639</v>
      </c>
      <c r="E82" s="5">
        <v>0.36322483293813324</v>
      </c>
      <c r="F82" s="3" t="s">
        <v>57</v>
      </c>
      <c r="G82" s="3" t="s">
        <v>58</v>
      </c>
      <c r="H82" s="3">
        <v>1685</v>
      </c>
      <c r="I82" s="3">
        <v>36.299999999999997</v>
      </c>
      <c r="J82" s="3">
        <v>3</v>
      </c>
      <c r="K82" s="3" t="s">
        <v>59</v>
      </c>
      <c r="L82" s="3">
        <v>2</v>
      </c>
      <c r="M82" s="3">
        <v>2</v>
      </c>
      <c r="N82" s="3">
        <v>2</v>
      </c>
      <c r="O82" s="3">
        <v>2</v>
      </c>
      <c r="P82" s="3">
        <v>1</v>
      </c>
      <c r="Q82" s="3">
        <v>2</v>
      </c>
      <c r="R82" s="3" t="s">
        <v>60</v>
      </c>
      <c r="S82" s="3">
        <v>2.2000000000000002</v>
      </c>
      <c r="T82" s="3" t="s">
        <v>75</v>
      </c>
      <c r="U82" s="3" t="s">
        <v>132</v>
      </c>
      <c r="V82" s="3" t="s">
        <v>297</v>
      </c>
      <c r="W82" s="3" t="s">
        <v>64</v>
      </c>
      <c r="X82" s="3" t="s">
        <v>65</v>
      </c>
      <c r="Y82" s="3" t="s">
        <v>66</v>
      </c>
      <c r="Z82" s="3" t="s">
        <v>298</v>
      </c>
      <c r="AA82" s="3" t="s">
        <v>75</v>
      </c>
      <c r="AB82" s="3" t="s">
        <v>69</v>
      </c>
      <c r="AC82" s="3" t="s">
        <v>70</v>
      </c>
      <c r="AD82" s="3" t="s">
        <v>71</v>
      </c>
      <c r="AE82" s="3" t="s">
        <v>72</v>
      </c>
      <c r="AF82" s="6">
        <v>0.36599999999999999</v>
      </c>
      <c r="AG82" s="3" t="s">
        <v>73</v>
      </c>
      <c r="AH82" s="3" t="s">
        <v>74</v>
      </c>
      <c r="AI82" s="6">
        <v>0.497</v>
      </c>
      <c r="AJ82" s="3" t="s">
        <v>75</v>
      </c>
      <c r="AK82" s="3" t="s">
        <v>76</v>
      </c>
      <c r="AL82" s="6">
        <v>-0.38900000000000001</v>
      </c>
      <c r="AM82" s="7">
        <f>ROUND((L82/3*'[1]01_Parametros'!$B$3+M82/3*'[1]01_Parametros'!$B$4+N82/3*'[1]01_Parametros'!$B$5+O82/3*'[1]01_Parametros'!$B$6+IF(ISNUMBER(SEARCH("Fronteras",U82)),1,0)*'[1]01_Parametros'!$B$7)*100,1)</f>
        <v>60</v>
      </c>
      <c r="AN82" s="7">
        <f>ROUND((E82*'[1]01_Parametros'!$B$8+(1-L82/3)*'[1]01_Parametros'!$B$9+IF(OR(AA82="Alta",AA82="Media"),1,0)*'[1]01_Parametros'!$B$10)*100,1)</f>
        <v>48.2</v>
      </c>
      <c r="AO82" s="7">
        <f>ROUND((IF(ISNUMBER(SEARCH("AC01",X82)),1,0)*'[1]01_Parametros'!$B$11+IF(OR(ISNUMBER(SEARCH("AC06",X82)),ISNUMBER(SEARCH("AC03",X82))),1,0)*'[1]01_Parametros'!$B$12+(1-ABS(E82-0.5))*'[1]01_Parametros'!$B$13+S82/3.2*'[1]01_Parametros'!$B$14)*100,1)</f>
        <v>66</v>
      </c>
      <c r="AP82" s="7">
        <f>ROUND((L82/3*'[1]01_Parametros'!$B$15+Q82/3*'[1]01_Parametros'!$B$16+P82/3*'[1]01_Parametros'!$B$17+IF(OR(AA82="Media-baja",AA82="Baja"),1,0)*'[1]01_Parametros'!$B$18+S82/3.2*'[1]01_Parametros'!$B$19)*100,1)</f>
        <v>50.2</v>
      </c>
      <c r="AQ82" s="7">
        <f>ROUND((P82/3*'[1]01_Parametros'!$B$20+IF(OR(ISNUMBER(SEARCH("JAC",Z82)),ISNUMBER(SEARCH("JAL",Z82)),ISNUMBER(SEARCH("lider",Z82))),1,0)*'[1]01_Parametros'!$B$21+IF(LEFT(B82,14)="Corregimiento",1,0)*'[1]01_Parametros'!$B$22+Q82/3*'[1]01_Parametros'!$B$23+S82/3.2*'[1]01_Parametros'!$B$24)*100,1)</f>
        <v>25.1</v>
      </c>
      <c r="AR82" s="3" t="str">
        <f>INDEX('[1]13_Listas'!$A$2:$A$6, MATCH(MAX(AM82:AQ82), AM82:AQ82, 0))</f>
        <v>Supervivencia económica y servicios básicos</v>
      </c>
      <c r="AS82" s="3" t="str">
        <f t="shared" si="3"/>
        <v>Supervivencia económica y servicios básicos</v>
      </c>
      <c r="AT82" s="3" t="str">
        <f t="shared" si="4"/>
        <v>Traductor Digital</v>
      </c>
      <c r="AU82" s="3" t="str">
        <f t="shared" si="5"/>
        <v>Costo de vida, gentrificación y vivienda</v>
      </c>
      <c r="AV82" s="3" t="str">
        <f>IFERROR(VLOOKUP(AS82,'[1]02_Arquetipos_Miedo_Sesgo'!$A$4:$G$8,4,FALSE),"")</f>
        <v>Sesgo de escasez + presente dominante + aversión al riesgo económico.</v>
      </c>
      <c r="AW82" s="3" t="str">
        <f>IFERROR(VLOOKUP(AS82,'[1]02_Arquetipos_Miedo_Sesgo'!$A$4:$G$8,3,FALSE),"")</f>
        <v>Miedo a no llegar a fin de mes, perder ingresos, empleo, movilidad o acceso a servicios básicos.</v>
      </c>
      <c r="AX82" s="3" t="str">
        <f>IFERROR(VLOOKUP(AS82,'[1]02_Arquetipos_Miedo_Sesgo'!$A$4:$G$8,4,FALSE),"")</f>
        <v>Sesgo de escasez + presente dominante + aversión al riesgo económico.</v>
      </c>
      <c r="AY82" s="3" t="str">
        <f>IFERROR(VLOOKUP(AS82,'[1]02_Arquetipos_Miedo_Sesgo'!$A$4:$G$8,5,FALSE),"")</f>
        <v>Empleo, emprendimiento, economía popular, transporte, costo de vida, salud, educación técnica y subsidios focalizados.</v>
      </c>
      <c r="AZ82" s="3" t="str">
        <f>IFERROR(VLOOKUP(AS82,'[1]02_Arquetipos_Miedo_Sesgo'!$A$4:$G$8,6,FALSE),"")</f>
        <v>Traducir propuestas en alivios concretos, rutas de acceso y resultados medibles de corto plazo.</v>
      </c>
      <c r="BA82" s="3" t="s">
        <v>77</v>
      </c>
    </row>
    <row r="83" spans="1:53" ht="43.2">
      <c r="A83" s="3" t="s">
        <v>299</v>
      </c>
      <c r="B83" s="3" t="s">
        <v>295</v>
      </c>
      <c r="C83" s="3" t="s">
        <v>300</v>
      </c>
      <c r="D83" s="4">
        <v>4813</v>
      </c>
      <c r="E83" s="5">
        <v>0.31601911489715356</v>
      </c>
      <c r="F83" s="3" t="s">
        <v>82</v>
      </c>
      <c r="G83" s="3" t="s">
        <v>83</v>
      </c>
      <c r="H83" s="3">
        <v>1521</v>
      </c>
      <c r="I83" s="3">
        <v>31.6</v>
      </c>
      <c r="J83" s="3">
        <v>3</v>
      </c>
      <c r="K83" s="3" t="s">
        <v>59</v>
      </c>
      <c r="L83" s="3">
        <v>2</v>
      </c>
      <c r="M83" s="3">
        <v>2</v>
      </c>
      <c r="N83" s="3">
        <v>2</v>
      </c>
      <c r="O83" s="3">
        <v>2</v>
      </c>
      <c r="P83" s="3">
        <v>1</v>
      </c>
      <c r="Q83" s="3">
        <v>2</v>
      </c>
      <c r="R83" s="3" t="s">
        <v>60</v>
      </c>
      <c r="S83" s="3">
        <v>2.2000000000000002</v>
      </c>
      <c r="T83" s="3" t="s">
        <v>75</v>
      </c>
      <c r="U83" s="3" t="s">
        <v>132</v>
      </c>
      <c r="V83" s="3" t="s">
        <v>297</v>
      </c>
      <c r="W83" s="3" t="s">
        <v>64</v>
      </c>
      <c r="X83" s="3" t="s">
        <v>65</v>
      </c>
      <c r="Y83" s="3" t="s">
        <v>66</v>
      </c>
      <c r="Z83" s="3" t="s">
        <v>298</v>
      </c>
      <c r="AA83" s="3" t="s">
        <v>75</v>
      </c>
      <c r="AB83" s="3" t="s">
        <v>69</v>
      </c>
      <c r="AC83" s="3" t="s">
        <v>70</v>
      </c>
      <c r="AD83" s="3" t="s">
        <v>71</v>
      </c>
      <c r="AE83" s="3" t="s">
        <v>84</v>
      </c>
      <c r="AF83" s="6">
        <v>0.73199999999999998</v>
      </c>
      <c r="AG83" s="3" t="s">
        <v>61</v>
      </c>
      <c r="AH83" s="3" t="s">
        <v>74</v>
      </c>
      <c r="AI83" s="6">
        <v>0.69099999999999995</v>
      </c>
      <c r="AJ83" s="3" t="s">
        <v>61</v>
      </c>
      <c r="AK83" s="3" t="s">
        <v>85</v>
      </c>
      <c r="AL83" s="6">
        <v>-0.50800000000000001</v>
      </c>
      <c r="AM83" s="7">
        <f>ROUND((L83/3*'[1]01_Parametros'!$B$3+M83/3*'[1]01_Parametros'!$B$4+N83/3*'[1]01_Parametros'!$B$5+O83/3*'[1]01_Parametros'!$B$6+IF(ISNUMBER(SEARCH("Fronteras",U83)),1,0)*'[1]01_Parametros'!$B$7)*100,1)</f>
        <v>60</v>
      </c>
      <c r="AN83" s="7">
        <f>ROUND((E83*'[1]01_Parametros'!$B$8+(1-L83/3)*'[1]01_Parametros'!$B$9+IF(OR(AA83="Alta",AA83="Media"),1,0)*'[1]01_Parametros'!$B$10)*100,1)</f>
        <v>45.8</v>
      </c>
      <c r="AO83" s="7">
        <f>ROUND((IF(ISNUMBER(SEARCH("AC01",X83)),1,0)*'[1]01_Parametros'!$B$11+IF(OR(ISNUMBER(SEARCH("AC06",X83)),ISNUMBER(SEARCH("AC03",X83))),1,0)*'[1]01_Parametros'!$B$12+(1-ABS(E83-0.5))*'[1]01_Parametros'!$B$13+S83/3.2*'[1]01_Parametros'!$B$14)*100,1)</f>
        <v>65.099999999999994</v>
      </c>
      <c r="AP83" s="7">
        <f>ROUND((L83/3*'[1]01_Parametros'!$B$15+Q83/3*'[1]01_Parametros'!$B$16+P83/3*'[1]01_Parametros'!$B$17+IF(OR(AA83="Media-baja",AA83="Baja"),1,0)*'[1]01_Parametros'!$B$18+S83/3.2*'[1]01_Parametros'!$B$19)*100,1)</f>
        <v>50.2</v>
      </c>
      <c r="AQ83" s="7">
        <f>ROUND((P83/3*'[1]01_Parametros'!$B$20+IF(OR(ISNUMBER(SEARCH("JAC",Z83)),ISNUMBER(SEARCH("JAL",Z83)),ISNUMBER(SEARCH("lider",Z83))),1,0)*'[1]01_Parametros'!$B$21+IF(LEFT(B83,14)="Corregimiento",1,0)*'[1]01_Parametros'!$B$22+Q83/3*'[1]01_Parametros'!$B$23+S83/3.2*'[1]01_Parametros'!$B$24)*100,1)</f>
        <v>25.1</v>
      </c>
      <c r="AR83" s="3" t="str">
        <f>INDEX('[1]13_Listas'!$A$2:$A$6, MATCH(MAX(AM83:AQ83), AM83:AQ83, 0))</f>
        <v>Supervivencia económica y servicios básicos</v>
      </c>
      <c r="AS83" s="3" t="str">
        <f t="shared" si="3"/>
        <v>Supervivencia económica y servicios básicos</v>
      </c>
      <c r="AT83" s="3" t="str">
        <f t="shared" si="4"/>
        <v>Traductor Digital</v>
      </c>
      <c r="AU83" s="3" t="str">
        <f t="shared" si="5"/>
        <v>Costo de vida, gentrificación y vivienda</v>
      </c>
      <c r="AV83" s="3" t="str">
        <f>IFERROR(VLOOKUP(AS83,'[1]02_Arquetipos_Miedo_Sesgo'!$A$4:$G$8,4,FALSE),"")</f>
        <v>Sesgo de escasez + presente dominante + aversión al riesgo económico.</v>
      </c>
      <c r="AW83" s="3" t="str">
        <f>IFERROR(VLOOKUP(AS83,'[1]02_Arquetipos_Miedo_Sesgo'!$A$4:$G$8,3,FALSE),"")</f>
        <v>Miedo a no llegar a fin de mes, perder ingresos, empleo, movilidad o acceso a servicios básicos.</v>
      </c>
      <c r="AX83" s="3" t="str">
        <f>IFERROR(VLOOKUP(AS83,'[1]02_Arquetipos_Miedo_Sesgo'!$A$4:$G$8,4,FALSE),"")</f>
        <v>Sesgo de escasez + presente dominante + aversión al riesgo económico.</v>
      </c>
      <c r="AY83" s="3" t="str">
        <f>IFERROR(VLOOKUP(AS83,'[1]02_Arquetipos_Miedo_Sesgo'!$A$4:$G$8,5,FALSE),"")</f>
        <v>Empleo, emprendimiento, economía popular, transporte, costo de vida, salud, educación técnica y subsidios focalizados.</v>
      </c>
      <c r="AZ83" s="3" t="str">
        <f>IFERROR(VLOOKUP(AS83,'[1]02_Arquetipos_Miedo_Sesgo'!$A$4:$G$8,6,FALSE),"")</f>
        <v>Traducir propuestas en alivios concretos, rutas de acceso y resultados medibles de corto plazo.</v>
      </c>
      <c r="BA83" s="3" t="s">
        <v>77</v>
      </c>
    </row>
    <row r="84" spans="1:53" ht="43.2">
      <c r="A84" s="3" t="s">
        <v>301</v>
      </c>
      <c r="B84" s="3" t="s">
        <v>295</v>
      </c>
      <c r="C84" s="3" t="s">
        <v>302</v>
      </c>
      <c r="D84" s="4">
        <v>3027</v>
      </c>
      <c r="E84" s="5">
        <v>0.33729765444334325</v>
      </c>
      <c r="F84" s="3" t="s">
        <v>57</v>
      </c>
      <c r="G84" s="3" t="s">
        <v>58</v>
      </c>
      <c r="H84" s="3">
        <v>1021</v>
      </c>
      <c r="I84" s="3">
        <v>33.700000000000003</v>
      </c>
      <c r="J84" s="3">
        <v>3</v>
      </c>
      <c r="K84" s="3" t="s">
        <v>59</v>
      </c>
      <c r="L84" s="3">
        <v>2</v>
      </c>
      <c r="M84" s="3">
        <v>2</v>
      </c>
      <c r="N84" s="3">
        <v>2</v>
      </c>
      <c r="O84" s="3">
        <v>2</v>
      </c>
      <c r="P84" s="3">
        <v>1</v>
      </c>
      <c r="Q84" s="3">
        <v>2</v>
      </c>
      <c r="R84" s="3" t="s">
        <v>60</v>
      </c>
      <c r="S84" s="3">
        <v>2.2000000000000002</v>
      </c>
      <c r="T84" s="3" t="s">
        <v>75</v>
      </c>
      <c r="U84" s="3" t="s">
        <v>132</v>
      </c>
      <c r="V84" s="3" t="s">
        <v>297</v>
      </c>
      <c r="W84" s="3" t="s">
        <v>64</v>
      </c>
      <c r="X84" s="3" t="s">
        <v>65</v>
      </c>
      <c r="Y84" s="3" t="s">
        <v>66</v>
      </c>
      <c r="Z84" s="3" t="s">
        <v>298</v>
      </c>
      <c r="AA84" s="3" t="s">
        <v>75</v>
      </c>
      <c r="AB84" s="3" t="s">
        <v>69</v>
      </c>
      <c r="AC84" s="3" t="s">
        <v>70</v>
      </c>
      <c r="AD84" s="3" t="s">
        <v>71</v>
      </c>
      <c r="AE84" s="3" t="s">
        <v>72</v>
      </c>
      <c r="AF84" s="6">
        <v>0.36599999999999999</v>
      </c>
      <c r="AG84" s="3" t="s">
        <v>73</v>
      </c>
      <c r="AH84" s="3" t="s">
        <v>74</v>
      </c>
      <c r="AI84" s="6">
        <v>0.497</v>
      </c>
      <c r="AJ84" s="3" t="s">
        <v>75</v>
      </c>
      <c r="AK84" s="3" t="s">
        <v>76</v>
      </c>
      <c r="AL84" s="6">
        <v>-0.38900000000000001</v>
      </c>
      <c r="AM84" s="7">
        <f>ROUND((L84/3*'[1]01_Parametros'!$B$3+M84/3*'[1]01_Parametros'!$B$4+N84/3*'[1]01_Parametros'!$B$5+O84/3*'[1]01_Parametros'!$B$6+IF(ISNUMBER(SEARCH("Fronteras",U84)),1,0)*'[1]01_Parametros'!$B$7)*100,1)</f>
        <v>60</v>
      </c>
      <c r="AN84" s="7">
        <f>ROUND((E84*'[1]01_Parametros'!$B$8+(1-L84/3)*'[1]01_Parametros'!$B$9+IF(OR(AA84="Alta",AA84="Media"),1,0)*'[1]01_Parametros'!$B$10)*100,1)</f>
        <v>46.9</v>
      </c>
      <c r="AO84" s="7">
        <f>ROUND((IF(ISNUMBER(SEARCH("AC01",X84)),1,0)*'[1]01_Parametros'!$B$11+IF(OR(ISNUMBER(SEARCH("AC06",X84)),ISNUMBER(SEARCH("AC03",X84))),1,0)*'[1]01_Parametros'!$B$12+(1-ABS(E84-0.5))*'[1]01_Parametros'!$B$13+S84/3.2*'[1]01_Parametros'!$B$14)*100,1)</f>
        <v>65.5</v>
      </c>
      <c r="AP84" s="7">
        <f>ROUND((L84/3*'[1]01_Parametros'!$B$15+Q84/3*'[1]01_Parametros'!$B$16+P84/3*'[1]01_Parametros'!$B$17+IF(OR(AA84="Media-baja",AA84="Baja"),1,0)*'[1]01_Parametros'!$B$18+S84/3.2*'[1]01_Parametros'!$B$19)*100,1)</f>
        <v>50.2</v>
      </c>
      <c r="AQ84" s="7">
        <f>ROUND((P84/3*'[1]01_Parametros'!$B$20+IF(OR(ISNUMBER(SEARCH("JAC",Z84)),ISNUMBER(SEARCH("JAL",Z84)),ISNUMBER(SEARCH("lider",Z84))),1,0)*'[1]01_Parametros'!$B$21+IF(LEFT(B84,14)="Corregimiento",1,0)*'[1]01_Parametros'!$B$22+Q84/3*'[1]01_Parametros'!$B$23+S84/3.2*'[1]01_Parametros'!$B$24)*100,1)</f>
        <v>25.1</v>
      </c>
      <c r="AR84" s="3" t="str">
        <f>INDEX('[1]13_Listas'!$A$2:$A$6, MATCH(MAX(AM84:AQ84), AM84:AQ84, 0))</f>
        <v>Supervivencia económica y servicios básicos</v>
      </c>
      <c r="AS84" s="3" t="str">
        <f t="shared" si="3"/>
        <v>Supervivencia económica y servicios básicos</v>
      </c>
      <c r="AT84" s="3" t="str">
        <f t="shared" si="4"/>
        <v>Traductor Digital</v>
      </c>
      <c r="AU84" s="3" t="str">
        <f t="shared" si="5"/>
        <v>Costo de vida, gentrificación y vivienda</v>
      </c>
      <c r="AV84" s="3" t="str">
        <f>IFERROR(VLOOKUP(AS84,'[1]02_Arquetipos_Miedo_Sesgo'!$A$4:$G$8,4,FALSE),"")</f>
        <v>Sesgo de escasez + presente dominante + aversión al riesgo económico.</v>
      </c>
      <c r="AW84" s="3" t="str">
        <f>IFERROR(VLOOKUP(AS84,'[1]02_Arquetipos_Miedo_Sesgo'!$A$4:$G$8,3,FALSE),"")</f>
        <v>Miedo a no llegar a fin de mes, perder ingresos, empleo, movilidad o acceso a servicios básicos.</v>
      </c>
      <c r="AX84" s="3" t="str">
        <f>IFERROR(VLOOKUP(AS84,'[1]02_Arquetipos_Miedo_Sesgo'!$A$4:$G$8,4,FALSE),"")</f>
        <v>Sesgo de escasez + presente dominante + aversión al riesgo económico.</v>
      </c>
      <c r="AY84" s="3" t="str">
        <f>IFERROR(VLOOKUP(AS84,'[1]02_Arquetipos_Miedo_Sesgo'!$A$4:$G$8,5,FALSE),"")</f>
        <v>Empleo, emprendimiento, economía popular, transporte, costo de vida, salud, educación técnica y subsidios focalizados.</v>
      </c>
      <c r="AZ84" s="3" t="str">
        <f>IFERROR(VLOOKUP(AS84,'[1]02_Arquetipos_Miedo_Sesgo'!$A$4:$G$8,6,FALSE),"")</f>
        <v>Traducir propuestas en alivios concretos, rutas de acceso y resultados medibles de corto plazo.</v>
      </c>
      <c r="BA84" s="3" t="s">
        <v>77</v>
      </c>
    </row>
    <row r="85" spans="1:53" ht="43.2">
      <c r="A85" s="3" t="s">
        <v>303</v>
      </c>
      <c r="B85" s="3" t="s">
        <v>295</v>
      </c>
      <c r="C85" s="3" t="s">
        <v>304</v>
      </c>
      <c r="D85" s="4">
        <v>327</v>
      </c>
      <c r="E85" s="5">
        <v>0.34250764525993882</v>
      </c>
      <c r="F85" s="3" t="s">
        <v>82</v>
      </c>
      <c r="G85" s="3" t="s">
        <v>83</v>
      </c>
      <c r="H85" s="3">
        <v>112</v>
      </c>
      <c r="I85" s="3">
        <v>34.299999999999997</v>
      </c>
      <c r="J85" s="3">
        <v>3</v>
      </c>
      <c r="K85" s="3" t="s">
        <v>59</v>
      </c>
      <c r="L85" s="3">
        <v>2</v>
      </c>
      <c r="M85" s="3">
        <v>2</v>
      </c>
      <c r="N85" s="3">
        <v>2</v>
      </c>
      <c r="O85" s="3">
        <v>2</v>
      </c>
      <c r="P85" s="3">
        <v>1</v>
      </c>
      <c r="Q85" s="3">
        <v>2</v>
      </c>
      <c r="R85" s="3" t="s">
        <v>60</v>
      </c>
      <c r="S85" s="3">
        <v>2.2000000000000002</v>
      </c>
      <c r="T85" s="3" t="s">
        <v>75</v>
      </c>
      <c r="U85" s="3" t="s">
        <v>132</v>
      </c>
      <c r="V85" s="3" t="s">
        <v>297</v>
      </c>
      <c r="W85" s="3" t="s">
        <v>64</v>
      </c>
      <c r="X85" s="3" t="s">
        <v>65</v>
      </c>
      <c r="Y85" s="3" t="s">
        <v>66</v>
      </c>
      <c r="Z85" s="3" t="s">
        <v>298</v>
      </c>
      <c r="AA85" s="3" t="s">
        <v>75</v>
      </c>
      <c r="AB85" s="3" t="s">
        <v>69</v>
      </c>
      <c r="AC85" s="3" t="s">
        <v>70</v>
      </c>
      <c r="AD85" s="3" t="s">
        <v>71</v>
      </c>
      <c r="AE85" s="3" t="s">
        <v>84</v>
      </c>
      <c r="AF85" s="6">
        <v>0.73199999999999998</v>
      </c>
      <c r="AG85" s="3" t="s">
        <v>61</v>
      </c>
      <c r="AH85" s="3" t="s">
        <v>74</v>
      </c>
      <c r="AI85" s="6">
        <v>0.69099999999999995</v>
      </c>
      <c r="AJ85" s="3" t="s">
        <v>61</v>
      </c>
      <c r="AK85" s="3" t="s">
        <v>85</v>
      </c>
      <c r="AL85" s="6">
        <v>-0.50800000000000001</v>
      </c>
      <c r="AM85" s="7">
        <f>ROUND((L85/3*'[1]01_Parametros'!$B$3+M85/3*'[1]01_Parametros'!$B$4+N85/3*'[1]01_Parametros'!$B$5+O85/3*'[1]01_Parametros'!$B$6+IF(ISNUMBER(SEARCH("Fronteras",U85)),1,0)*'[1]01_Parametros'!$B$7)*100,1)</f>
        <v>60</v>
      </c>
      <c r="AN85" s="7">
        <f>ROUND((E85*'[1]01_Parametros'!$B$8+(1-L85/3)*'[1]01_Parametros'!$B$9+IF(OR(AA85="Alta",AA85="Media"),1,0)*'[1]01_Parametros'!$B$10)*100,1)</f>
        <v>47.1</v>
      </c>
      <c r="AO85" s="7">
        <f>ROUND((IF(ISNUMBER(SEARCH("AC01",X85)),1,0)*'[1]01_Parametros'!$B$11+IF(OR(ISNUMBER(SEARCH("AC06",X85)),ISNUMBER(SEARCH("AC03",X85))),1,0)*'[1]01_Parametros'!$B$12+(1-ABS(E85-0.5))*'[1]01_Parametros'!$B$13+S85/3.2*'[1]01_Parametros'!$B$14)*100,1)</f>
        <v>65.599999999999994</v>
      </c>
      <c r="AP85" s="7">
        <f>ROUND((L85/3*'[1]01_Parametros'!$B$15+Q85/3*'[1]01_Parametros'!$B$16+P85/3*'[1]01_Parametros'!$B$17+IF(OR(AA85="Media-baja",AA85="Baja"),1,0)*'[1]01_Parametros'!$B$18+S85/3.2*'[1]01_Parametros'!$B$19)*100,1)</f>
        <v>50.2</v>
      </c>
      <c r="AQ85" s="7">
        <f>ROUND((P85/3*'[1]01_Parametros'!$B$20+IF(OR(ISNUMBER(SEARCH("JAC",Z85)),ISNUMBER(SEARCH("JAL",Z85)),ISNUMBER(SEARCH("lider",Z85))),1,0)*'[1]01_Parametros'!$B$21+IF(LEFT(B85,14)="Corregimiento",1,0)*'[1]01_Parametros'!$B$22+Q85/3*'[1]01_Parametros'!$B$23+S85/3.2*'[1]01_Parametros'!$B$24)*100,1)</f>
        <v>25.1</v>
      </c>
      <c r="AR85" s="3" t="str">
        <f>INDEX('[1]13_Listas'!$A$2:$A$6, MATCH(MAX(AM85:AQ85), AM85:AQ85, 0))</f>
        <v>Supervivencia económica y servicios básicos</v>
      </c>
      <c r="AS85" s="3" t="str">
        <f t="shared" si="3"/>
        <v>Supervivencia económica y servicios básicos</v>
      </c>
      <c r="AT85" s="3" t="str">
        <f t="shared" si="4"/>
        <v>Traductor Digital</v>
      </c>
      <c r="AU85" s="3" t="str">
        <f t="shared" si="5"/>
        <v>Costo de vida, gentrificación y vivienda</v>
      </c>
      <c r="AV85" s="3" t="str">
        <f>IFERROR(VLOOKUP(AS85,'[1]02_Arquetipos_Miedo_Sesgo'!$A$4:$G$8,4,FALSE),"")</f>
        <v>Sesgo de escasez + presente dominante + aversión al riesgo económico.</v>
      </c>
      <c r="AW85" s="3" t="str">
        <f>IFERROR(VLOOKUP(AS85,'[1]02_Arquetipos_Miedo_Sesgo'!$A$4:$G$8,3,FALSE),"")</f>
        <v>Miedo a no llegar a fin de mes, perder ingresos, empleo, movilidad o acceso a servicios básicos.</v>
      </c>
      <c r="AX85" s="3" t="str">
        <f>IFERROR(VLOOKUP(AS85,'[1]02_Arquetipos_Miedo_Sesgo'!$A$4:$G$8,4,FALSE),"")</f>
        <v>Sesgo de escasez + presente dominante + aversión al riesgo económico.</v>
      </c>
      <c r="AY85" s="3" t="str">
        <f>IFERROR(VLOOKUP(AS85,'[1]02_Arquetipos_Miedo_Sesgo'!$A$4:$G$8,5,FALSE),"")</f>
        <v>Empleo, emprendimiento, economía popular, transporte, costo de vida, salud, educación técnica y subsidios focalizados.</v>
      </c>
      <c r="AZ85" s="3" t="str">
        <f>IFERROR(VLOOKUP(AS85,'[1]02_Arquetipos_Miedo_Sesgo'!$A$4:$G$8,6,FALSE),"")</f>
        <v>Traducir propuestas en alivios concretos, rutas de acceso y resultados medibles de corto plazo.</v>
      </c>
      <c r="BA85" s="3" t="s">
        <v>77</v>
      </c>
    </row>
    <row r="86" spans="1:53" ht="43.2">
      <c r="A86" s="3" t="s">
        <v>305</v>
      </c>
      <c r="B86" s="3" t="s">
        <v>295</v>
      </c>
      <c r="C86" s="3" t="s">
        <v>306</v>
      </c>
      <c r="D86" s="4">
        <v>4130</v>
      </c>
      <c r="E86" s="5">
        <v>0.34067796610169493</v>
      </c>
      <c r="F86" s="3" t="s">
        <v>57</v>
      </c>
      <c r="G86" s="3" t="s">
        <v>58</v>
      </c>
      <c r="H86" s="3">
        <v>1407</v>
      </c>
      <c r="I86" s="3">
        <v>34.1</v>
      </c>
      <c r="J86" s="3">
        <v>3</v>
      </c>
      <c r="K86" s="3" t="s">
        <v>59</v>
      </c>
      <c r="L86" s="3">
        <v>2</v>
      </c>
      <c r="M86" s="3">
        <v>2</v>
      </c>
      <c r="N86" s="3">
        <v>2</v>
      </c>
      <c r="O86" s="3">
        <v>2</v>
      </c>
      <c r="P86" s="3">
        <v>1</v>
      </c>
      <c r="Q86" s="3">
        <v>2</v>
      </c>
      <c r="R86" s="3" t="s">
        <v>60</v>
      </c>
      <c r="S86" s="3">
        <v>2.2000000000000002</v>
      </c>
      <c r="T86" s="3" t="s">
        <v>75</v>
      </c>
      <c r="U86" s="3" t="s">
        <v>132</v>
      </c>
      <c r="V86" s="3" t="s">
        <v>297</v>
      </c>
      <c r="W86" s="3" t="s">
        <v>64</v>
      </c>
      <c r="X86" s="3" t="s">
        <v>65</v>
      </c>
      <c r="Y86" s="3" t="s">
        <v>66</v>
      </c>
      <c r="Z86" s="3" t="s">
        <v>298</v>
      </c>
      <c r="AA86" s="3" t="s">
        <v>75</v>
      </c>
      <c r="AB86" s="3" t="s">
        <v>69</v>
      </c>
      <c r="AC86" s="3" t="s">
        <v>70</v>
      </c>
      <c r="AD86" s="3" t="s">
        <v>71</v>
      </c>
      <c r="AE86" s="3" t="s">
        <v>72</v>
      </c>
      <c r="AF86" s="6">
        <v>0.36599999999999999</v>
      </c>
      <c r="AG86" s="3" t="s">
        <v>73</v>
      </c>
      <c r="AH86" s="3" t="s">
        <v>74</v>
      </c>
      <c r="AI86" s="6">
        <v>0.497</v>
      </c>
      <c r="AJ86" s="3" t="s">
        <v>75</v>
      </c>
      <c r="AK86" s="3" t="s">
        <v>76</v>
      </c>
      <c r="AL86" s="6">
        <v>-0.38900000000000001</v>
      </c>
      <c r="AM86" s="7">
        <f>ROUND((L86/3*'[1]01_Parametros'!$B$3+M86/3*'[1]01_Parametros'!$B$4+N86/3*'[1]01_Parametros'!$B$5+O86/3*'[1]01_Parametros'!$B$6+IF(ISNUMBER(SEARCH("Fronteras",U86)),1,0)*'[1]01_Parametros'!$B$7)*100,1)</f>
        <v>60</v>
      </c>
      <c r="AN86" s="7">
        <f>ROUND((E86*'[1]01_Parametros'!$B$8+(1-L86/3)*'[1]01_Parametros'!$B$9+IF(OR(AA86="Alta",AA86="Media"),1,0)*'[1]01_Parametros'!$B$10)*100,1)</f>
        <v>47</v>
      </c>
      <c r="AO86" s="7">
        <f>ROUND((IF(ISNUMBER(SEARCH("AC01",X86)),1,0)*'[1]01_Parametros'!$B$11+IF(OR(ISNUMBER(SEARCH("AC06",X86)),ISNUMBER(SEARCH("AC03",X86))),1,0)*'[1]01_Parametros'!$B$12+(1-ABS(E86-0.5))*'[1]01_Parametros'!$B$13+S86/3.2*'[1]01_Parametros'!$B$14)*100,1)</f>
        <v>65.599999999999994</v>
      </c>
      <c r="AP86" s="7">
        <f>ROUND((L86/3*'[1]01_Parametros'!$B$15+Q86/3*'[1]01_Parametros'!$B$16+P86/3*'[1]01_Parametros'!$B$17+IF(OR(AA86="Media-baja",AA86="Baja"),1,0)*'[1]01_Parametros'!$B$18+S86/3.2*'[1]01_Parametros'!$B$19)*100,1)</f>
        <v>50.2</v>
      </c>
      <c r="AQ86" s="7">
        <f>ROUND((P86/3*'[1]01_Parametros'!$B$20+IF(OR(ISNUMBER(SEARCH("JAC",Z86)),ISNUMBER(SEARCH("JAL",Z86)),ISNUMBER(SEARCH("lider",Z86))),1,0)*'[1]01_Parametros'!$B$21+IF(LEFT(B86,14)="Corregimiento",1,0)*'[1]01_Parametros'!$B$22+Q86/3*'[1]01_Parametros'!$B$23+S86/3.2*'[1]01_Parametros'!$B$24)*100,1)</f>
        <v>25.1</v>
      </c>
      <c r="AR86" s="3" t="str">
        <f>INDEX('[1]13_Listas'!$A$2:$A$6, MATCH(MAX(AM86:AQ86), AM86:AQ86, 0))</f>
        <v>Supervivencia económica y servicios básicos</v>
      </c>
      <c r="AS86" s="3" t="str">
        <f t="shared" si="3"/>
        <v>Supervivencia económica y servicios básicos</v>
      </c>
      <c r="AT86" s="3" t="str">
        <f t="shared" si="4"/>
        <v>Traductor Digital</v>
      </c>
      <c r="AU86" s="3" t="str">
        <f t="shared" si="5"/>
        <v>Costo de vida, gentrificación y vivienda</v>
      </c>
      <c r="AV86" s="3" t="str">
        <f>IFERROR(VLOOKUP(AS86,'[1]02_Arquetipos_Miedo_Sesgo'!$A$4:$G$8,4,FALSE),"")</f>
        <v>Sesgo de escasez + presente dominante + aversión al riesgo económico.</v>
      </c>
      <c r="AW86" s="3" t="str">
        <f>IFERROR(VLOOKUP(AS86,'[1]02_Arquetipos_Miedo_Sesgo'!$A$4:$G$8,3,FALSE),"")</f>
        <v>Miedo a no llegar a fin de mes, perder ingresos, empleo, movilidad o acceso a servicios básicos.</v>
      </c>
      <c r="AX86" s="3" t="str">
        <f>IFERROR(VLOOKUP(AS86,'[1]02_Arquetipos_Miedo_Sesgo'!$A$4:$G$8,4,FALSE),"")</f>
        <v>Sesgo de escasez + presente dominante + aversión al riesgo económico.</v>
      </c>
      <c r="AY86" s="3" t="str">
        <f>IFERROR(VLOOKUP(AS86,'[1]02_Arquetipos_Miedo_Sesgo'!$A$4:$G$8,5,FALSE),"")</f>
        <v>Empleo, emprendimiento, economía popular, transporte, costo de vida, salud, educación técnica y subsidios focalizados.</v>
      </c>
      <c r="AZ86" s="3" t="str">
        <f>IFERROR(VLOOKUP(AS86,'[1]02_Arquetipos_Miedo_Sesgo'!$A$4:$G$8,6,FALSE),"")</f>
        <v>Traducir propuestas en alivios concretos, rutas de acceso y resultados medibles de corto plazo.</v>
      </c>
      <c r="BA86" s="3" t="s">
        <v>77</v>
      </c>
    </row>
    <row r="87" spans="1:53" ht="43.2">
      <c r="A87" s="3" t="s">
        <v>307</v>
      </c>
      <c r="B87" s="3" t="s">
        <v>295</v>
      </c>
      <c r="C87" s="3" t="s">
        <v>308</v>
      </c>
      <c r="D87" s="4">
        <v>9186</v>
      </c>
      <c r="E87" s="5">
        <v>0.39756150664053996</v>
      </c>
      <c r="F87" s="3" t="s">
        <v>57</v>
      </c>
      <c r="G87" s="3" t="s">
        <v>58</v>
      </c>
      <c r="H87" s="3">
        <v>3652</v>
      </c>
      <c r="I87" s="3">
        <v>39.799999999999997</v>
      </c>
      <c r="J87" s="3">
        <v>3</v>
      </c>
      <c r="K87" s="3" t="s">
        <v>59</v>
      </c>
      <c r="L87" s="3">
        <v>2</v>
      </c>
      <c r="M87" s="3">
        <v>2</v>
      </c>
      <c r="N87" s="3">
        <v>2</v>
      </c>
      <c r="O87" s="3">
        <v>2</v>
      </c>
      <c r="P87" s="3">
        <v>1</v>
      </c>
      <c r="Q87" s="3">
        <v>2</v>
      </c>
      <c r="R87" s="3" t="s">
        <v>60</v>
      </c>
      <c r="S87" s="3">
        <v>2.2000000000000002</v>
      </c>
      <c r="T87" s="3" t="s">
        <v>75</v>
      </c>
      <c r="U87" s="3" t="s">
        <v>132</v>
      </c>
      <c r="V87" s="3" t="s">
        <v>297</v>
      </c>
      <c r="W87" s="3" t="s">
        <v>64</v>
      </c>
      <c r="X87" s="3" t="s">
        <v>65</v>
      </c>
      <c r="Y87" s="3" t="s">
        <v>66</v>
      </c>
      <c r="Z87" s="3" t="s">
        <v>298</v>
      </c>
      <c r="AA87" s="3" t="s">
        <v>75</v>
      </c>
      <c r="AB87" s="3" t="s">
        <v>69</v>
      </c>
      <c r="AC87" s="3" t="s">
        <v>70</v>
      </c>
      <c r="AD87" s="3" t="s">
        <v>71</v>
      </c>
      <c r="AE87" s="3" t="s">
        <v>72</v>
      </c>
      <c r="AF87" s="6">
        <v>0.36599999999999999</v>
      </c>
      <c r="AG87" s="3" t="s">
        <v>73</v>
      </c>
      <c r="AH87" s="3" t="s">
        <v>74</v>
      </c>
      <c r="AI87" s="6">
        <v>0.497</v>
      </c>
      <c r="AJ87" s="3" t="s">
        <v>75</v>
      </c>
      <c r="AK87" s="3" t="s">
        <v>76</v>
      </c>
      <c r="AL87" s="6">
        <v>-0.38900000000000001</v>
      </c>
      <c r="AM87" s="7">
        <f>ROUND((L87/3*'[1]01_Parametros'!$B$3+M87/3*'[1]01_Parametros'!$B$4+N87/3*'[1]01_Parametros'!$B$5+O87/3*'[1]01_Parametros'!$B$6+IF(ISNUMBER(SEARCH("Fronteras",U87)),1,0)*'[1]01_Parametros'!$B$7)*100,1)</f>
        <v>60</v>
      </c>
      <c r="AN87" s="7">
        <f>ROUND((E87*'[1]01_Parametros'!$B$8+(1-L87/3)*'[1]01_Parametros'!$B$9+IF(OR(AA87="Alta",AA87="Media"),1,0)*'[1]01_Parametros'!$B$10)*100,1)</f>
        <v>49.9</v>
      </c>
      <c r="AO87" s="7">
        <f>ROUND((IF(ISNUMBER(SEARCH("AC01",X87)),1,0)*'[1]01_Parametros'!$B$11+IF(OR(ISNUMBER(SEARCH("AC06",X87)),ISNUMBER(SEARCH("AC03",X87))),1,0)*'[1]01_Parametros'!$B$12+(1-ABS(E87-0.5))*'[1]01_Parametros'!$B$13+S87/3.2*'[1]01_Parametros'!$B$14)*100,1)</f>
        <v>66.7</v>
      </c>
      <c r="AP87" s="7">
        <f>ROUND((L87/3*'[1]01_Parametros'!$B$15+Q87/3*'[1]01_Parametros'!$B$16+P87/3*'[1]01_Parametros'!$B$17+IF(OR(AA87="Media-baja",AA87="Baja"),1,0)*'[1]01_Parametros'!$B$18+S87/3.2*'[1]01_Parametros'!$B$19)*100,1)</f>
        <v>50.2</v>
      </c>
      <c r="AQ87" s="7">
        <f>ROUND((P87/3*'[1]01_Parametros'!$B$20+IF(OR(ISNUMBER(SEARCH("JAC",Z87)),ISNUMBER(SEARCH("JAL",Z87)),ISNUMBER(SEARCH("lider",Z87))),1,0)*'[1]01_Parametros'!$B$21+IF(LEFT(B87,14)="Corregimiento",1,0)*'[1]01_Parametros'!$B$22+Q87/3*'[1]01_Parametros'!$B$23+S87/3.2*'[1]01_Parametros'!$B$24)*100,1)</f>
        <v>25.1</v>
      </c>
      <c r="AR87" s="3" t="str">
        <f>INDEX('[1]13_Listas'!$A$2:$A$6, MATCH(MAX(AM87:AQ87), AM87:AQ87, 0))</f>
        <v>Supervivencia económica y servicios básicos</v>
      </c>
      <c r="AS87" s="3" t="str">
        <f t="shared" si="3"/>
        <v>Supervivencia económica y servicios básicos</v>
      </c>
      <c r="AT87" s="3" t="str">
        <f t="shared" si="4"/>
        <v>Traductor Digital</v>
      </c>
      <c r="AU87" s="3" t="str">
        <f t="shared" si="5"/>
        <v>Costo de vida, gentrificación y vivienda</v>
      </c>
      <c r="AV87" s="3" t="str">
        <f>IFERROR(VLOOKUP(AS87,'[1]02_Arquetipos_Miedo_Sesgo'!$A$4:$G$8,4,FALSE),"")</f>
        <v>Sesgo de escasez + presente dominante + aversión al riesgo económico.</v>
      </c>
      <c r="AW87" s="3" t="str">
        <f>IFERROR(VLOOKUP(AS87,'[1]02_Arquetipos_Miedo_Sesgo'!$A$4:$G$8,3,FALSE),"")</f>
        <v>Miedo a no llegar a fin de mes, perder ingresos, empleo, movilidad o acceso a servicios básicos.</v>
      </c>
      <c r="AX87" s="3" t="str">
        <f>IFERROR(VLOOKUP(AS87,'[1]02_Arquetipos_Miedo_Sesgo'!$A$4:$G$8,4,FALSE),"")</f>
        <v>Sesgo de escasez + presente dominante + aversión al riesgo económico.</v>
      </c>
      <c r="AY87" s="3" t="str">
        <f>IFERROR(VLOOKUP(AS87,'[1]02_Arquetipos_Miedo_Sesgo'!$A$4:$G$8,5,FALSE),"")</f>
        <v>Empleo, emprendimiento, economía popular, transporte, costo de vida, salud, educación técnica y subsidios focalizados.</v>
      </c>
      <c r="AZ87" s="3" t="str">
        <f>IFERROR(VLOOKUP(AS87,'[1]02_Arquetipos_Miedo_Sesgo'!$A$4:$G$8,6,FALSE),"")</f>
        <v>Traducir propuestas en alivios concretos, rutas de acceso y resultados medibles de corto plazo.</v>
      </c>
      <c r="BA87" s="3" t="s">
        <v>77</v>
      </c>
    </row>
    <row r="88" spans="1:53" ht="43.2">
      <c r="A88" s="3" t="s">
        <v>309</v>
      </c>
      <c r="B88" s="3" t="s">
        <v>295</v>
      </c>
      <c r="C88" s="3" t="s">
        <v>310</v>
      </c>
      <c r="D88" s="4">
        <v>3730</v>
      </c>
      <c r="E88" s="5">
        <v>0.43538873994638072</v>
      </c>
      <c r="F88" s="3" t="s">
        <v>57</v>
      </c>
      <c r="G88" s="3" t="s">
        <v>58</v>
      </c>
      <c r="H88" s="3">
        <v>1624</v>
      </c>
      <c r="I88" s="3">
        <v>43.5</v>
      </c>
      <c r="J88" s="3">
        <v>3</v>
      </c>
      <c r="K88" s="3" t="s">
        <v>59</v>
      </c>
      <c r="L88" s="3">
        <v>2</v>
      </c>
      <c r="M88" s="3">
        <v>2</v>
      </c>
      <c r="N88" s="3">
        <v>2</v>
      </c>
      <c r="O88" s="3">
        <v>2</v>
      </c>
      <c r="P88" s="3">
        <v>1</v>
      </c>
      <c r="Q88" s="3">
        <v>2</v>
      </c>
      <c r="R88" s="3" t="s">
        <v>60</v>
      </c>
      <c r="S88" s="3">
        <v>2.2000000000000002</v>
      </c>
      <c r="T88" s="3" t="s">
        <v>75</v>
      </c>
      <c r="U88" s="3" t="s">
        <v>132</v>
      </c>
      <c r="V88" s="3" t="s">
        <v>297</v>
      </c>
      <c r="W88" s="3" t="s">
        <v>64</v>
      </c>
      <c r="X88" s="3" t="s">
        <v>65</v>
      </c>
      <c r="Y88" s="3" t="s">
        <v>66</v>
      </c>
      <c r="Z88" s="3" t="s">
        <v>298</v>
      </c>
      <c r="AA88" s="3" t="s">
        <v>75</v>
      </c>
      <c r="AB88" s="3" t="s">
        <v>69</v>
      </c>
      <c r="AC88" s="3" t="s">
        <v>70</v>
      </c>
      <c r="AD88" s="3" t="s">
        <v>71</v>
      </c>
      <c r="AE88" s="3" t="s">
        <v>72</v>
      </c>
      <c r="AF88" s="6">
        <v>0.36599999999999999</v>
      </c>
      <c r="AG88" s="3" t="s">
        <v>73</v>
      </c>
      <c r="AH88" s="3" t="s">
        <v>74</v>
      </c>
      <c r="AI88" s="6">
        <v>0.497</v>
      </c>
      <c r="AJ88" s="3" t="s">
        <v>75</v>
      </c>
      <c r="AK88" s="3" t="s">
        <v>76</v>
      </c>
      <c r="AL88" s="6">
        <v>-0.38900000000000001</v>
      </c>
      <c r="AM88" s="7">
        <f>ROUND((L88/3*'[1]01_Parametros'!$B$3+M88/3*'[1]01_Parametros'!$B$4+N88/3*'[1]01_Parametros'!$B$5+O88/3*'[1]01_Parametros'!$B$6+IF(ISNUMBER(SEARCH("Fronteras",U88)),1,0)*'[1]01_Parametros'!$B$7)*100,1)</f>
        <v>60</v>
      </c>
      <c r="AN88" s="7">
        <f>ROUND((E88*'[1]01_Parametros'!$B$8+(1-L88/3)*'[1]01_Parametros'!$B$9+IF(OR(AA88="Alta",AA88="Media"),1,0)*'[1]01_Parametros'!$B$10)*100,1)</f>
        <v>51.8</v>
      </c>
      <c r="AO88" s="7">
        <f>ROUND((IF(ISNUMBER(SEARCH("AC01",X88)),1,0)*'[1]01_Parametros'!$B$11+IF(OR(ISNUMBER(SEARCH("AC06",X88)),ISNUMBER(SEARCH("AC03",X88))),1,0)*'[1]01_Parametros'!$B$12+(1-ABS(E88-0.5))*'[1]01_Parametros'!$B$13+S88/3.2*'[1]01_Parametros'!$B$14)*100,1)</f>
        <v>67.5</v>
      </c>
      <c r="AP88" s="7">
        <f>ROUND((L88/3*'[1]01_Parametros'!$B$15+Q88/3*'[1]01_Parametros'!$B$16+P88/3*'[1]01_Parametros'!$B$17+IF(OR(AA88="Media-baja",AA88="Baja"),1,0)*'[1]01_Parametros'!$B$18+S88/3.2*'[1]01_Parametros'!$B$19)*100,1)</f>
        <v>50.2</v>
      </c>
      <c r="AQ88" s="7">
        <f>ROUND((P88/3*'[1]01_Parametros'!$B$20+IF(OR(ISNUMBER(SEARCH("JAC",Z88)),ISNUMBER(SEARCH("JAL",Z88)),ISNUMBER(SEARCH("lider",Z88))),1,0)*'[1]01_Parametros'!$B$21+IF(LEFT(B88,14)="Corregimiento",1,0)*'[1]01_Parametros'!$B$22+Q88/3*'[1]01_Parametros'!$B$23+S88/3.2*'[1]01_Parametros'!$B$24)*100,1)</f>
        <v>25.1</v>
      </c>
      <c r="AR88" s="3" t="str">
        <f>INDEX('[1]13_Listas'!$A$2:$A$6, MATCH(MAX(AM88:AQ88), AM88:AQ88, 0))</f>
        <v>Supervivencia económica y servicios básicos</v>
      </c>
      <c r="AS88" s="3" t="str">
        <f t="shared" si="3"/>
        <v>Supervivencia económica y servicios básicos</v>
      </c>
      <c r="AT88" s="3" t="str">
        <f t="shared" si="4"/>
        <v>Traductor Digital</v>
      </c>
      <c r="AU88" s="3" t="str">
        <f t="shared" si="5"/>
        <v>Costo de vida, gentrificación y vivienda</v>
      </c>
      <c r="AV88" s="3" t="str">
        <f>IFERROR(VLOOKUP(AS88,'[1]02_Arquetipos_Miedo_Sesgo'!$A$4:$G$8,4,FALSE),"")</f>
        <v>Sesgo de escasez + presente dominante + aversión al riesgo económico.</v>
      </c>
      <c r="AW88" s="3" t="str">
        <f>IFERROR(VLOOKUP(AS88,'[1]02_Arquetipos_Miedo_Sesgo'!$A$4:$G$8,3,FALSE),"")</f>
        <v>Miedo a no llegar a fin de mes, perder ingresos, empleo, movilidad o acceso a servicios básicos.</v>
      </c>
      <c r="AX88" s="3" t="str">
        <f>IFERROR(VLOOKUP(AS88,'[1]02_Arquetipos_Miedo_Sesgo'!$A$4:$G$8,4,FALSE),"")</f>
        <v>Sesgo de escasez + presente dominante + aversión al riesgo económico.</v>
      </c>
      <c r="AY88" s="3" t="str">
        <f>IFERROR(VLOOKUP(AS88,'[1]02_Arquetipos_Miedo_Sesgo'!$A$4:$G$8,5,FALSE),"")</f>
        <v>Empleo, emprendimiento, economía popular, transporte, costo de vida, salud, educación técnica y subsidios focalizados.</v>
      </c>
      <c r="AZ88" s="3" t="str">
        <f>IFERROR(VLOOKUP(AS88,'[1]02_Arquetipos_Miedo_Sesgo'!$A$4:$G$8,6,FALSE),"")</f>
        <v>Traducir propuestas en alivios concretos, rutas de acceso y resultados medibles de corto plazo.</v>
      </c>
      <c r="BA88" s="3" t="s">
        <v>77</v>
      </c>
    </row>
    <row r="89" spans="1:53" ht="43.2">
      <c r="A89" s="3" t="s">
        <v>311</v>
      </c>
      <c r="B89" s="3" t="s">
        <v>312</v>
      </c>
      <c r="C89" s="3" t="s">
        <v>313</v>
      </c>
      <c r="D89" s="4">
        <v>8549</v>
      </c>
      <c r="E89" s="5">
        <v>0.31734705813545444</v>
      </c>
      <c r="F89" s="3" t="s">
        <v>170</v>
      </c>
      <c r="G89" s="3" t="s">
        <v>83</v>
      </c>
      <c r="H89" s="3">
        <v>2713</v>
      </c>
      <c r="I89" s="3">
        <v>31.7</v>
      </c>
      <c r="J89" s="3">
        <v>1</v>
      </c>
      <c r="K89" s="3" t="s">
        <v>59</v>
      </c>
      <c r="L89" s="3">
        <v>3</v>
      </c>
      <c r="M89" s="3">
        <v>3</v>
      </c>
      <c r="N89" s="3">
        <v>2</v>
      </c>
      <c r="O89" s="3">
        <v>3</v>
      </c>
      <c r="P89" s="3">
        <v>2</v>
      </c>
      <c r="Q89" s="3">
        <v>3</v>
      </c>
      <c r="R89" s="3" t="s">
        <v>60</v>
      </c>
      <c r="S89" s="3">
        <v>3</v>
      </c>
      <c r="T89" s="3" t="s">
        <v>61</v>
      </c>
      <c r="U89" s="3" t="s">
        <v>62</v>
      </c>
      <c r="V89" s="3" t="s">
        <v>297</v>
      </c>
      <c r="W89" s="3" t="s">
        <v>64</v>
      </c>
      <c r="X89" s="3" t="s">
        <v>65</v>
      </c>
      <c r="Y89" s="3" t="s">
        <v>66</v>
      </c>
      <c r="Z89" s="3" t="s">
        <v>314</v>
      </c>
      <c r="AA89" s="3" t="s">
        <v>75</v>
      </c>
      <c r="AB89" s="3" t="s">
        <v>69</v>
      </c>
      <c r="AC89" s="3" t="s">
        <v>70</v>
      </c>
      <c r="AD89" s="3" t="s">
        <v>71</v>
      </c>
      <c r="AE89" s="3" t="s">
        <v>85</v>
      </c>
      <c r="AF89" s="6">
        <v>0.42399999999999999</v>
      </c>
      <c r="AG89" s="3" t="s">
        <v>73</v>
      </c>
      <c r="AH89" s="3" t="s">
        <v>76</v>
      </c>
      <c r="AI89" s="6">
        <v>0.434</v>
      </c>
      <c r="AJ89" s="3" t="s">
        <v>73</v>
      </c>
      <c r="AK89" s="3" t="s">
        <v>74</v>
      </c>
      <c r="AL89" s="6">
        <v>-0.79600000000000004</v>
      </c>
      <c r="AM89" s="7">
        <f>ROUND((L89/3*'[1]01_Parametros'!$B$3+M89/3*'[1]01_Parametros'!$B$4+N89/3*'[1]01_Parametros'!$B$5+O89/3*'[1]01_Parametros'!$B$6+IF(ISNUMBER(SEARCH("Fronteras",U89)),1,0)*'[1]01_Parametros'!$B$7)*100,1)</f>
        <v>93.3</v>
      </c>
      <c r="AN89" s="7">
        <f>ROUND((E89*'[1]01_Parametros'!$B$8+(1-L89/3)*'[1]01_Parametros'!$B$9+IF(OR(AA89="Alta",AA89="Media"),1,0)*'[1]01_Parametros'!$B$10)*100,1)</f>
        <v>35.9</v>
      </c>
      <c r="AO89" s="7">
        <f>ROUND((IF(ISNUMBER(SEARCH("AC01",X89)),1,0)*'[1]01_Parametros'!$B$11+IF(OR(ISNUMBER(SEARCH("AC06",X89)),ISNUMBER(SEARCH("AC03",X89))),1,0)*'[1]01_Parametros'!$B$12+(1-ABS(E89-0.5))*'[1]01_Parametros'!$B$13+S89/3.2*'[1]01_Parametros'!$B$14)*100,1)</f>
        <v>70.099999999999994</v>
      </c>
      <c r="AP89" s="7">
        <f>ROUND((L89/3*'[1]01_Parametros'!$B$15+Q89/3*'[1]01_Parametros'!$B$16+P89/3*'[1]01_Parametros'!$B$17+IF(OR(AA89="Media-baja",AA89="Baja"),1,0)*'[1]01_Parametros'!$B$18+S89/3.2*'[1]01_Parametros'!$B$19)*100,1)</f>
        <v>77.7</v>
      </c>
      <c r="AQ89" s="7">
        <f>ROUND((P89/3*'[1]01_Parametros'!$B$20+IF(OR(ISNUMBER(SEARCH("JAC",Z89)),ISNUMBER(SEARCH("JAL",Z89)),ISNUMBER(SEARCH("lider",Z89))),1,0)*'[1]01_Parametros'!$B$21+IF(LEFT(B89,14)="Corregimiento",1,0)*'[1]01_Parametros'!$B$22+Q89/3*'[1]01_Parametros'!$B$23+S89/3.2*'[1]01_Parametros'!$B$24)*100,1)</f>
        <v>34.700000000000003</v>
      </c>
      <c r="AR89" s="3" t="str">
        <f>INDEX('[1]13_Listas'!$A$2:$A$6, MATCH(MAX(AM89:AQ89), AM89:AQ89, 0))</f>
        <v>Protección y orden cotidiano</v>
      </c>
      <c r="AS89" s="3" t="str">
        <f t="shared" si="3"/>
        <v>Protección y orden cotidiano</v>
      </c>
      <c r="AT89" s="3" t="str">
        <f t="shared" si="4"/>
        <v>Activista Causal</v>
      </c>
      <c r="AU89" s="3" t="str">
        <f t="shared" si="5"/>
        <v>Seguridad urbana y combos</v>
      </c>
      <c r="AV89" s="3" t="str">
        <f>IFERROR(VLOOKUP(AS89,'[1]02_Arquetipos_Miedo_Sesgo'!$A$4:$G$8,4,FALSE),"")</f>
        <v>Sesgo de disponibilidad + sesgo de negatividad + preferencia por autoridad.</v>
      </c>
      <c r="AW89" s="3" t="str">
        <f>IFERROR(VLOOKUP(AS89,'[1]02_Arquetipos_Miedo_Sesgo'!$A$4:$G$8,3,FALSE),"")</f>
        <v>Miedo a la inseguridad, al descontrol barrial y a perder la tranquilidad cotidiana.</v>
      </c>
      <c r="AX89" s="3" t="str">
        <f>IFERROR(VLOOKUP(AS89,'[1]02_Arquetipos_Miedo_Sesgo'!$A$4:$G$8,4,FALSE),"")</f>
        <v>Sesgo de disponibilidad + sesgo de negatividad + preferencia por autoridad.</v>
      </c>
      <c r="AY89" s="3" t="str">
        <f>IFERROR(VLOOKUP(AS89,'[1]02_Arquetipos_Miedo_Sesgo'!$A$4:$G$8,5,FALSE),"")</f>
        <v>Seguridad, convivencia, movilidad, alumbrado, reacción institucional rápida, presencia de autoridad.</v>
      </c>
      <c r="AZ89" s="3" t="str">
        <f>IFERROR(VLOOKUP(AS89,'[1]02_Arquetipos_Miedo_Sesgo'!$A$4:$G$8,6,FALSE),"")</f>
        <v>Mostrar capacidad verificable de resolver problemas concretos de seguridad y convivencia sin prometer acciones ilegales.</v>
      </c>
      <c r="BA89" s="3" t="s">
        <v>77</v>
      </c>
    </row>
    <row r="90" spans="1:53" ht="43.2">
      <c r="A90" s="3" t="s">
        <v>315</v>
      </c>
      <c r="B90" s="3" t="s">
        <v>312</v>
      </c>
      <c r="C90" s="3" t="s">
        <v>312</v>
      </c>
      <c r="D90" s="4">
        <v>2262</v>
      </c>
      <c r="E90" s="5">
        <v>0.34482758620689657</v>
      </c>
      <c r="F90" s="3" t="s">
        <v>57</v>
      </c>
      <c r="G90" s="3" t="s">
        <v>58</v>
      </c>
      <c r="H90" s="3">
        <v>780</v>
      </c>
      <c r="I90" s="3">
        <v>34.5</v>
      </c>
      <c r="J90" s="3">
        <v>1</v>
      </c>
      <c r="K90" s="3" t="s">
        <v>59</v>
      </c>
      <c r="L90" s="3">
        <v>3</v>
      </c>
      <c r="M90" s="3">
        <v>3</v>
      </c>
      <c r="N90" s="3">
        <v>2</v>
      </c>
      <c r="O90" s="3">
        <v>3</v>
      </c>
      <c r="P90" s="3">
        <v>2</v>
      </c>
      <c r="Q90" s="3">
        <v>3</v>
      </c>
      <c r="R90" s="3" t="s">
        <v>60</v>
      </c>
      <c r="S90" s="3">
        <v>3</v>
      </c>
      <c r="T90" s="3" t="s">
        <v>61</v>
      </c>
      <c r="U90" s="3" t="s">
        <v>62</v>
      </c>
      <c r="V90" s="3" t="s">
        <v>297</v>
      </c>
      <c r="W90" s="3" t="s">
        <v>64</v>
      </c>
      <c r="X90" s="3" t="s">
        <v>65</v>
      </c>
      <c r="Y90" s="3" t="s">
        <v>66</v>
      </c>
      <c r="Z90" s="3" t="s">
        <v>314</v>
      </c>
      <c r="AA90" s="3" t="s">
        <v>75</v>
      </c>
      <c r="AB90" s="3" t="s">
        <v>69</v>
      </c>
      <c r="AC90" s="3" t="s">
        <v>70</v>
      </c>
      <c r="AD90" s="3" t="s">
        <v>71</v>
      </c>
      <c r="AE90" s="3" t="s">
        <v>72</v>
      </c>
      <c r="AF90" s="6">
        <v>0.36599999999999999</v>
      </c>
      <c r="AG90" s="3" t="s">
        <v>73</v>
      </c>
      <c r="AH90" s="3" t="s">
        <v>74</v>
      </c>
      <c r="AI90" s="6">
        <v>0.497</v>
      </c>
      <c r="AJ90" s="3" t="s">
        <v>75</v>
      </c>
      <c r="AK90" s="3" t="s">
        <v>76</v>
      </c>
      <c r="AL90" s="6">
        <v>-0.38900000000000001</v>
      </c>
      <c r="AM90" s="7">
        <f>ROUND((L90/3*'[1]01_Parametros'!$B$3+M90/3*'[1]01_Parametros'!$B$4+N90/3*'[1]01_Parametros'!$B$5+O90/3*'[1]01_Parametros'!$B$6+IF(ISNUMBER(SEARCH("Fronteras",U90)),1,0)*'[1]01_Parametros'!$B$7)*100,1)</f>
        <v>93.3</v>
      </c>
      <c r="AN90" s="7">
        <f>ROUND((E90*'[1]01_Parametros'!$B$8+(1-L90/3)*'[1]01_Parametros'!$B$9+IF(OR(AA90="Alta",AA90="Media"),1,0)*'[1]01_Parametros'!$B$10)*100,1)</f>
        <v>37.200000000000003</v>
      </c>
      <c r="AO90" s="7">
        <f>ROUND((IF(ISNUMBER(SEARCH("AC01",X90)),1,0)*'[1]01_Parametros'!$B$11+IF(OR(ISNUMBER(SEARCH("AC06",X90)),ISNUMBER(SEARCH("AC03",X90))),1,0)*'[1]01_Parametros'!$B$12+(1-ABS(E90-0.5))*'[1]01_Parametros'!$B$13+S90/3.2*'[1]01_Parametros'!$B$14)*100,1)</f>
        <v>70.599999999999994</v>
      </c>
      <c r="AP90" s="7">
        <f>ROUND((L90/3*'[1]01_Parametros'!$B$15+Q90/3*'[1]01_Parametros'!$B$16+P90/3*'[1]01_Parametros'!$B$17+IF(OR(AA90="Media-baja",AA90="Baja"),1,0)*'[1]01_Parametros'!$B$18+S90/3.2*'[1]01_Parametros'!$B$19)*100,1)</f>
        <v>77.7</v>
      </c>
      <c r="AQ90" s="7">
        <f>ROUND((P90/3*'[1]01_Parametros'!$B$20+IF(OR(ISNUMBER(SEARCH("JAC",Z90)),ISNUMBER(SEARCH("JAL",Z90)),ISNUMBER(SEARCH("lider",Z90))),1,0)*'[1]01_Parametros'!$B$21+IF(LEFT(B90,14)="Corregimiento",1,0)*'[1]01_Parametros'!$B$22+Q90/3*'[1]01_Parametros'!$B$23+S90/3.2*'[1]01_Parametros'!$B$24)*100,1)</f>
        <v>34.700000000000003</v>
      </c>
      <c r="AR90" s="3" t="str">
        <f>INDEX('[1]13_Listas'!$A$2:$A$6, MATCH(MAX(AM90:AQ90), AM90:AQ90, 0))</f>
        <v>Protección y orden cotidiano</v>
      </c>
      <c r="AS90" s="3" t="str">
        <f t="shared" si="3"/>
        <v>Protección y orden cotidiano</v>
      </c>
      <c r="AT90" s="3" t="str">
        <f t="shared" si="4"/>
        <v>Activista Causal</v>
      </c>
      <c r="AU90" s="3" t="str">
        <f t="shared" si="5"/>
        <v>Seguridad urbana y combos</v>
      </c>
      <c r="AV90" s="3" t="str">
        <f>IFERROR(VLOOKUP(AS90,'[1]02_Arquetipos_Miedo_Sesgo'!$A$4:$G$8,4,FALSE),"")</f>
        <v>Sesgo de disponibilidad + sesgo de negatividad + preferencia por autoridad.</v>
      </c>
      <c r="AW90" s="3" t="str">
        <f>IFERROR(VLOOKUP(AS90,'[1]02_Arquetipos_Miedo_Sesgo'!$A$4:$G$8,3,FALSE),"")</f>
        <v>Miedo a la inseguridad, al descontrol barrial y a perder la tranquilidad cotidiana.</v>
      </c>
      <c r="AX90" s="3" t="str">
        <f>IFERROR(VLOOKUP(AS90,'[1]02_Arquetipos_Miedo_Sesgo'!$A$4:$G$8,4,FALSE),"")</f>
        <v>Sesgo de disponibilidad + sesgo de negatividad + preferencia por autoridad.</v>
      </c>
      <c r="AY90" s="3" t="str">
        <f>IFERROR(VLOOKUP(AS90,'[1]02_Arquetipos_Miedo_Sesgo'!$A$4:$G$8,5,FALSE),"")</f>
        <v>Seguridad, convivencia, movilidad, alumbrado, reacción institucional rápida, presencia de autoridad.</v>
      </c>
      <c r="AZ90" s="3" t="str">
        <f>IFERROR(VLOOKUP(AS90,'[1]02_Arquetipos_Miedo_Sesgo'!$A$4:$G$8,6,FALSE),"")</f>
        <v>Mostrar capacidad verificable de resolver problemas concretos de seguridad y convivencia sin prometer acciones ilegales.</v>
      </c>
      <c r="BA90" s="3" t="s">
        <v>77</v>
      </c>
    </row>
    <row r="91" spans="1:53" ht="43.2">
      <c r="A91" s="3" t="s">
        <v>316</v>
      </c>
      <c r="B91" s="3" t="s">
        <v>312</v>
      </c>
      <c r="C91" s="3" t="s">
        <v>317</v>
      </c>
      <c r="D91" s="4">
        <v>2131</v>
      </c>
      <c r="E91" s="5">
        <v>0.30549038010323792</v>
      </c>
      <c r="F91" s="3" t="s">
        <v>57</v>
      </c>
      <c r="G91" s="3" t="s">
        <v>58</v>
      </c>
      <c r="H91" s="3">
        <v>651</v>
      </c>
      <c r="I91" s="3">
        <v>30.5</v>
      </c>
      <c r="J91" s="3">
        <v>1</v>
      </c>
      <c r="K91" s="3" t="s">
        <v>59</v>
      </c>
      <c r="L91" s="3">
        <v>3</v>
      </c>
      <c r="M91" s="3">
        <v>3</v>
      </c>
      <c r="N91" s="3">
        <v>2</v>
      </c>
      <c r="O91" s="3">
        <v>3</v>
      </c>
      <c r="P91" s="3">
        <v>2</v>
      </c>
      <c r="Q91" s="3">
        <v>3</v>
      </c>
      <c r="R91" s="3" t="s">
        <v>60</v>
      </c>
      <c r="S91" s="3">
        <v>3</v>
      </c>
      <c r="T91" s="3" t="s">
        <v>61</v>
      </c>
      <c r="U91" s="3" t="s">
        <v>62</v>
      </c>
      <c r="V91" s="3" t="s">
        <v>297</v>
      </c>
      <c r="W91" s="3" t="s">
        <v>64</v>
      </c>
      <c r="X91" s="3" t="s">
        <v>65</v>
      </c>
      <c r="Y91" s="3" t="s">
        <v>66</v>
      </c>
      <c r="Z91" s="3" t="s">
        <v>314</v>
      </c>
      <c r="AA91" s="3" t="s">
        <v>75</v>
      </c>
      <c r="AB91" s="3" t="s">
        <v>69</v>
      </c>
      <c r="AC91" s="3" t="s">
        <v>70</v>
      </c>
      <c r="AD91" s="3" t="s">
        <v>71</v>
      </c>
      <c r="AE91" s="3" t="s">
        <v>72</v>
      </c>
      <c r="AF91" s="6">
        <v>0.36599999999999999</v>
      </c>
      <c r="AG91" s="3" t="s">
        <v>73</v>
      </c>
      <c r="AH91" s="3" t="s">
        <v>74</v>
      </c>
      <c r="AI91" s="6">
        <v>0.497</v>
      </c>
      <c r="AJ91" s="3" t="s">
        <v>75</v>
      </c>
      <c r="AK91" s="3" t="s">
        <v>76</v>
      </c>
      <c r="AL91" s="6">
        <v>-0.38900000000000001</v>
      </c>
      <c r="AM91" s="7">
        <f>ROUND((L91/3*'[1]01_Parametros'!$B$3+M91/3*'[1]01_Parametros'!$B$4+N91/3*'[1]01_Parametros'!$B$5+O91/3*'[1]01_Parametros'!$B$6+IF(ISNUMBER(SEARCH("Fronteras",U91)),1,0)*'[1]01_Parametros'!$B$7)*100,1)</f>
        <v>93.3</v>
      </c>
      <c r="AN91" s="7">
        <f>ROUND((E91*'[1]01_Parametros'!$B$8+(1-L91/3)*'[1]01_Parametros'!$B$9+IF(OR(AA91="Alta",AA91="Media"),1,0)*'[1]01_Parametros'!$B$10)*100,1)</f>
        <v>35.299999999999997</v>
      </c>
      <c r="AO91" s="7">
        <f>ROUND((IF(ISNUMBER(SEARCH("AC01",X91)),1,0)*'[1]01_Parametros'!$B$11+IF(OR(ISNUMBER(SEARCH("AC06",X91)),ISNUMBER(SEARCH("AC03",X91))),1,0)*'[1]01_Parametros'!$B$12+(1-ABS(E91-0.5))*'[1]01_Parametros'!$B$13+S91/3.2*'[1]01_Parametros'!$B$14)*100,1)</f>
        <v>69.900000000000006</v>
      </c>
      <c r="AP91" s="7">
        <f>ROUND((L91/3*'[1]01_Parametros'!$B$15+Q91/3*'[1]01_Parametros'!$B$16+P91/3*'[1]01_Parametros'!$B$17+IF(OR(AA91="Media-baja",AA91="Baja"),1,0)*'[1]01_Parametros'!$B$18+S91/3.2*'[1]01_Parametros'!$B$19)*100,1)</f>
        <v>77.7</v>
      </c>
      <c r="AQ91" s="7">
        <f>ROUND((P91/3*'[1]01_Parametros'!$B$20+IF(OR(ISNUMBER(SEARCH("JAC",Z91)),ISNUMBER(SEARCH("JAL",Z91)),ISNUMBER(SEARCH("lider",Z91))),1,0)*'[1]01_Parametros'!$B$21+IF(LEFT(B91,14)="Corregimiento",1,0)*'[1]01_Parametros'!$B$22+Q91/3*'[1]01_Parametros'!$B$23+S91/3.2*'[1]01_Parametros'!$B$24)*100,1)</f>
        <v>34.700000000000003</v>
      </c>
      <c r="AR91" s="3" t="str">
        <f>INDEX('[1]13_Listas'!$A$2:$A$6, MATCH(MAX(AM91:AQ91), AM91:AQ91, 0))</f>
        <v>Protección y orden cotidiano</v>
      </c>
      <c r="AS91" s="3" t="str">
        <f t="shared" si="3"/>
        <v>Protección y orden cotidiano</v>
      </c>
      <c r="AT91" s="3" t="str">
        <f t="shared" si="4"/>
        <v>Activista Causal</v>
      </c>
      <c r="AU91" s="3" t="str">
        <f t="shared" si="5"/>
        <v>Seguridad urbana y combos</v>
      </c>
      <c r="AV91" s="3" t="str">
        <f>IFERROR(VLOOKUP(AS91,'[1]02_Arquetipos_Miedo_Sesgo'!$A$4:$G$8,4,FALSE),"")</f>
        <v>Sesgo de disponibilidad + sesgo de negatividad + preferencia por autoridad.</v>
      </c>
      <c r="AW91" s="3" t="str">
        <f>IFERROR(VLOOKUP(AS91,'[1]02_Arquetipos_Miedo_Sesgo'!$A$4:$G$8,3,FALSE),"")</f>
        <v>Miedo a la inseguridad, al descontrol barrial y a perder la tranquilidad cotidiana.</v>
      </c>
      <c r="AX91" s="3" t="str">
        <f>IFERROR(VLOOKUP(AS91,'[1]02_Arquetipos_Miedo_Sesgo'!$A$4:$G$8,4,FALSE),"")</f>
        <v>Sesgo de disponibilidad + sesgo de negatividad + preferencia por autoridad.</v>
      </c>
      <c r="AY91" s="3" t="str">
        <f>IFERROR(VLOOKUP(AS91,'[1]02_Arquetipos_Miedo_Sesgo'!$A$4:$G$8,5,FALSE),"")</f>
        <v>Seguridad, convivencia, movilidad, alumbrado, reacción institucional rápida, presencia de autoridad.</v>
      </c>
      <c r="AZ91" s="3" t="str">
        <f>IFERROR(VLOOKUP(AS91,'[1]02_Arquetipos_Miedo_Sesgo'!$A$4:$G$8,6,FALSE),"")</f>
        <v>Mostrar capacidad verificable de resolver problemas concretos de seguridad y convivencia sin prometer acciones ilegales.</v>
      </c>
      <c r="BA91" s="3" t="s">
        <v>77</v>
      </c>
    </row>
    <row r="92" spans="1:53" ht="43.2">
      <c r="A92" s="3" t="s">
        <v>318</v>
      </c>
      <c r="B92" s="3" t="s">
        <v>312</v>
      </c>
      <c r="C92" s="3" t="s">
        <v>319</v>
      </c>
      <c r="D92" s="4">
        <v>5311</v>
      </c>
      <c r="E92" s="5">
        <v>0.32931651289775937</v>
      </c>
      <c r="F92" s="3" t="s">
        <v>170</v>
      </c>
      <c r="G92" s="3" t="s">
        <v>83</v>
      </c>
      <c r="H92" s="3">
        <v>1749</v>
      </c>
      <c r="I92" s="3">
        <v>32.9</v>
      </c>
      <c r="J92" s="3">
        <v>1</v>
      </c>
      <c r="K92" s="3" t="s">
        <v>59</v>
      </c>
      <c r="L92" s="3">
        <v>3</v>
      </c>
      <c r="M92" s="3">
        <v>3</v>
      </c>
      <c r="N92" s="3">
        <v>2</v>
      </c>
      <c r="O92" s="3">
        <v>3</v>
      </c>
      <c r="P92" s="3">
        <v>2</v>
      </c>
      <c r="Q92" s="3">
        <v>3</v>
      </c>
      <c r="R92" s="3" t="s">
        <v>60</v>
      </c>
      <c r="S92" s="3">
        <v>3</v>
      </c>
      <c r="T92" s="3" t="s">
        <v>61</v>
      </c>
      <c r="U92" s="3" t="s">
        <v>62</v>
      </c>
      <c r="V92" s="3" t="s">
        <v>297</v>
      </c>
      <c r="W92" s="3" t="s">
        <v>64</v>
      </c>
      <c r="X92" s="3" t="s">
        <v>65</v>
      </c>
      <c r="Y92" s="3" t="s">
        <v>66</v>
      </c>
      <c r="Z92" s="3" t="s">
        <v>314</v>
      </c>
      <c r="AA92" s="3" t="s">
        <v>75</v>
      </c>
      <c r="AB92" s="3" t="s">
        <v>69</v>
      </c>
      <c r="AC92" s="3" t="s">
        <v>70</v>
      </c>
      <c r="AD92" s="3" t="s">
        <v>71</v>
      </c>
      <c r="AE92" s="3" t="s">
        <v>85</v>
      </c>
      <c r="AF92" s="6">
        <v>0.42399999999999999</v>
      </c>
      <c r="AG92" s="3" t="s">
        <v>73</v>
      </c>
      <c r="AH92" s="3" t="s">
        <v>76</v>
      </c>
      <c r="AI92" s="6">
        <v>0.434</v>
      </c>
      <c r="AJ92" s="3" t="s">
        <v>73</v>
      </c>
      <c r="AK92" s="3" t="s">
        <v>74</v>
      </c>
      <c r="AL92" s="6">
        <v>-0.79600000000000004</v>
      </c>
      <c r="AM92" s="7">
        <f>ROUND((L92/3*'[1]01_Parametros'!$B$3+M92/3*'[1]01_Parametros'!$B$4+N92/3*'[1]01_Parametros'!$B$5+O92/3*'[1]01_Parametros'!$B$6+IF(ISNUMBER(SEARCH("Fronteras",U92)),1,0)*'[1]01_Parametros'!$B$7)*100,1)</f>
        <v>93.3</v>
      </c>
      <c r="AN92" s="7">
        <f>ROUND((E92*'[1]01_Parametros'!$B$8+(1-L92/3)*'[1]01_Parametros'!$B$9+IF(OR(AA92="Alta",AA92="Media"),1,0)*'[1]01_Parametros'!$B$10)*100,1)</f>
        <v>36.5</v>
      </c>
      <c r="AO92" s="7">
        <f>ROUND((IF(ISNUMBER(SEARCH("AC01",X92)),1,0)*'[1]01_Parametros'!$B$11+IF(OR(ISNUMBER(SEARCH("AC06",X92)),ISNUMBER(SEARCH("AC03",X92))),1,0)*'[1]01_Parametros'!$B$12+(1-ABS(E92-0.5))*'[1]01_Parametros'!$B$13+S92/3.2*'[1]01_Parametros'!$B$14)*100,1)</f>
        <v>70.3</v>
      </c>
      <c r="AP92" s="7">
        <f>ROUND((L92/3*'[1]01_Parametros'!$B$15+Q92/3*'[1]01_Parametros'!$B$16+P92/3*'[1]01_Parametros'!$B$17+IF(OR(AA92="Media-baja",AA92="Baja"),1,0)*'[1]01_Parametros'!$B$18+S92/3.2*'[1]01_Parametros'!$B$19)*100,1)</f>
        <v>77.7</v>
      </c>
      <c r="AQ92" s="7">
        <f>ROUND((P92/3*'[1]01_Parametros'!$B$20+IF(OR(ISNUMBER(SEARCH("JAC",Z92)),ISNUMBER(SEARCH("JAL",Z92)),ISNUMBER(SEARCH("lider",Z92))),1,0)*'[1]01_Parametros'!$B$21+IF(LEFT(B92,14)="Corregimiento",1,0)*'[1]01_Parametros'!$B$22+Q92/3*'[1]01_Parametros'!$B$23+S92/3.2*'[1]01_Parametros'!$B$24)*100,1)</f>
        <v>34.700000000000003</v>
      </c>
      <c r="AR92" s="3" t="str">
        <f>INDEX('[1]13_Listas'!$A$2:$A$6, MATCH(MAX(AM92:AQ92), AM92:AQ92, 0))</f>
        <v>Protección y orden cotidiano</v>
      </c>
      <c r="AS92" s="3" t="str">
        <f t="shared" si="3"/>
        <v>Protección y orden cotidiano</v>
      </c>
      <c r="AT92" s="3" t="str">
        <f t="shared" si="4"/>
        <v>Activista Causal</v>
      </c>
      <c r="AU92" s="3" t="str">
        <f t="shared" si="5"/>
        <v>Seguridad urbana y combos</v>
      </c>
      <c r="AV92" s="3" t="str">
        <f>IFERROR(VLOOKUP(AS92,'[1]02_Arquetipos_Miedo_Sesgo'!$A$4:$G$8,4,FALSE),"")</f>
        <v>Sesgo de disponibilidad + sesgo de negatividad + preferencia por autoridad.</v>
      </c>
      <c r="AW92" s="3" t="str">
        <f>IFERROR(VLOOKUP(AS92,'[1]02_Arquetipos_Miedo_Sesgo'!$A$4:$G$8,3,FALSE),"")</f>
        <v>Miedo a la inseguridad, al descontrol barrial y a perder la tranquilidad cotidiana.</v>
      </c>
      <c r="AX92" s="3" t="str">
        <f>IFERROR(VLOOKUP(AS92,'[1]02_Arquetipos_Miedo_Sesgo'!$A$4:$G$8,4,FALSE),"")</f>
        <v>Sesgo de disponibilidad + sesgo de negatividad + preferencia por autoridad.</v>
      </c>
      <c r="AY92" s="3" t="str">
        <f>IFERROR(VLOOKUP(AS92,'[1]02_Arquetipos_Miedo_Sesgo'!$A$4:$G$8,5,FALSE),"")</f>
        <v>Seguridad, convivencia, movilidad, alumbrado, reacción institucional rápida, presencia de autoridad.</v>
      </c>
      <c r="AZ92" s="3" t="str">
        <f>IFERROR(VLOOKUP(AS92,'[1]02_Arquetipos_Miedo_Sesgo'!$A$4:$G$8,6,FALSE),"")</f>
        <v>Mostrar capacidad verificable de resolver problemas concretos de seguridad y convivencia sin prometer acciones ilegales.</v>
      </c>
      <c r="BA92" s="3" t="s">
        <v>77</v>
      </c>
    </row>
    <row r="93" spans="1:53" ht="43.2">
      <c r="A93" s="3" t="s">
        <v>320</v>
      </c>
      <c r="B93" s="3" t="s">
        <v>312</v>
      </c>
      <c r="C93" s="3" t="s">
        <v>321</v>
      </c>
      <c r="D93" s="4">
        <v>2969</v>
      </c>
      <c r="E93" s="5">
        <v>0.34759178174469518</v>
      </c>
      <c r="F93" s="3" t="s">
        <v>170</v>
      </c>
      <c r="G93" s="3" t="s">
        <v>83</v>
      </c>
      <c r="H93" s="3">
        <v>1032</v>
      </c>
      <c r="I93" s="3">
        <v>34.799999999999997</v>
      </c>
      <c r="J93" s="3">
        <v>1</v>
      </c>
      <c r="K93" s="3" t="s">
        <v>59</v>
      </c>
      <c r="L93" s="3">
        <v>3</v>
      </c>
      <c r="M93" s="3">
        <v>3</v>
      </c>
      <c r="N93" s="3">
        <v>2</v>
      </c>
      <c r="O93" s="3">
        <v>3</v>
      </c>
      <c r="P93" s="3">
        <v>2</v>
      </c>
      <c r="Q93" s="3">
        <v>3</v>
      </c>
      <c r="R93" s="3" t="s">
        <v>60</v>
      </c>
      <c r="S93" s="3">
        <v>3</v>
      </c>
      <c r="T93" s="3" t="s">
        <v>61</v>
      </c>
      <c r="U93" s="3" t="s">
        <v>62</v>
      </c>
      <c r="V93" s="3" t="s">
        <v>297</v>
      </c>
      <c r="W93" s="3" t="s">
        <v>64</v>
      </c>
      <c r="X93" s="3" t="s">
        <v>65</v>
      </c>
      <c r="Y93" s="3" t="s">
        <v>66</v>
      </c>
      <c r="Z93" s="3" t="s">
        <v>314</v>
      </c>
      <c r="AA93" s="3" t="s">
        <v>75</v>
      </c>
      <c r="AB93" s="3" t="s">
        <v>69</v>
      </c>
      <c r="AC93" s="3" t="s">
        <v>70</v>
      </c>
      <c r="AD93" s="3" t="s">
        <v>71</v>
      </c>
      <c r="AE93" s="3" t="s">
        <v>85</v>
      </c>
      <c r="AF93" s="6">
        <v>0.42399999999999999</v>
      </c>
      <c r="AG93" s="3" t="s">
        <v>73</v>
      </c>
      <c r="AH93" s="3" t="s">
        <v>76</v>
      </c>
      <c r="AI93" s="6">
        <v>0.434</v>
      </c>
      <c r="AJ93" s="3" t="s">
        <v>73</v>
      </c>
      <c r="AK93" s="3" t="s">
        <v>74</v>
      </c>
      <c r="AL93" s="6">
        <v>-0.79600000000000004</v>
      </c>
      <c r="AM93" s="7">
        <f>ROUND((L93/3*'[1]01_Parametros'!$B$3+M93/3*'[1]01_Parametros'!$B$4+N93/3*'[1]01_Parametros'!$B$5+O93/3*'[1]01_Parametros'!$B$6+IF(ISNUMBER(SEARCH("Fronteras",U93)),1,0)*'[1]01_Parametros'!$B$7)*100,1)</f>
        <v>93.3</v>
      </c>
      <c r="AN93" s="7">
        <f>ROUND((E93*'[1]01_Parametros'!$B$8+(1-L93/3)*'[1]01_Parametros'!$B$9+IF(OR(AA93="Alta",AA93="Media"),1,0)*'[1]01_Parametros'!$B$10)*100,1)</f>
        <v>37.4</v>
      </c>
      <c r="AO93" s="7">
        <f>ROUND((IF(ISNUMBER(SEARCH("AC01",X93)),1,0)*'[1]01_Parametros'!$B$11+IF(OR(ISNUMBER(SEARCH("AC06",X93)),ISNUMBER(SEARCH("AC03",X93))),1,0)*'[1]01_Parametros'!$B$12+(1-ABS(E93-0.5))*'[1]01_Parametros'!$B$13+S93/3.2*'[1]01_Parametros'!$B$14)*100,1)</f>
        <v>70.7</v>
      </c>
      <c r="AP93" s="7">
        <f>ROUND((L93/3*'[1]01_Parametros'!$B$15+Q93/3*'[1]01_Parametros'!$B$16+P93/3*'[1]01_Parametros'!$B$17+IF(OR(AA93="Media-baja",AA93="Baja"),1,0)*'[1]01_Parametros'!$B$18+S93/3.2*'[1]01_Parametros'!$B$19)*100,1)</f>
        <v>77.7</v>
      </c>
      <c r="AQ93" s="7">
        <f>ROUND((P93/3*'[1]01_Parametros'!$B$20+IF(OR(ISNUMBER(SEARCH("JAC",Z93)),ISNUMBER(SEARCH("JAL",Z93)),ISNUMBER(SEARCH("lider",Z93))),1,0)*'[1]01_Parametros'!$B$21+IF(LEFT(B93,14)="Corregimiento",1,0)*'[1]01_Parametros'!$B$22+Q93/3*'[1]01_Parametros'!$B$23+S93/3.2*'[1]01_Parametros'!$B$24)*100,1)</f>
        <v>34.700000000000003</v>
      </c>
      <c r="AR93" s="3" t="str">
        <f>INDEX('[1]13_Listas'!$A$2:$A$6, MATCH(MAX(AM93:AQ93), AM93:AQ93, 0))</f>
        <v>Protección y orden cotidiano</v>
      </c>
      <c r="AS93" s="3" t="str">
        <f t="shared" si="3"/>
        <v>Protección y orden cotidiano</v>
      </c>
      <c r="AT93" s="3" t="str">
        <f t="shared" si="4"/>
        <v>Activista Causal</v>
      </c>
      <c r="AU93" s="3" t="str">
        <f t="shared" si="5"/>
        <v>Seguridad urbana y combos</v>
      </c>
      <c r="AV93" s="3" t="str">
        <f>IFERROR(VLOOKUP(AS93,'[1]02_Arquetipos_Miedo_Sesgo'!$A$4:$G$8,4,FALSE),"")</f>
        <v>Sesgo de disponibilidad + sesgo de negatividad + preferencia por autoridad.</v>
      </c>
      <c r="AW93" s="3" t="str">
        <f>IFERROR(VLOOKUP(AS93,'[1]02_Arquetipos_Miedo_Sesgo'!$A$4:$G$8,3,FALSE),"")</f>
        <v>Miedo a la inseguridad, al descontrol barrial y a perder la tranquilidad cotidiana.</v>
      </c>
      <c r="AX93" s="3" t="str">
        <f>IFERROR(VLOOKUP(AS93,'[1]02_Arquetipos_Miedo_Sesgo'!$A$4:$G$8,4,FALSE),"")</f>
        <v>Sesgo de disponibilidad + sesgo de negatividad + preferencia por autoridad.</v>
      </c>
      <c r="AY93" s="3" t="str">
        <f>IFERROR(VLOOKUP(AS93,'[1]02_Arquetipos_Miedo_Sesgo'!$A$4:$G$8,5,FALSE),"")</f>
        <v>Seguridad, convivencia, movilidad, alumbrado, reacción institucional rápida, presencia de autoridad.</v>
      </c>
      <c r="AZ93" s="3" t="str">
        <f>IFERROR(VLOOKUP(AS93,'[1]02_Arquetipos_Miedo_Sesgo'!$A$4:$G$8,6,FALSE),"")</f>
        <v>Mostrar capacidad verificable de resolver problemas concretos de seguridad y convivencia sin prometer acciones ilegales.</v>
      </c>
      <c r="BA93" s="3" t="s">
        <v>77</v>
      </c>
    </row>
    <row r="94" spans="1:53" ht="43.2">
      <c r="A94" s="3" t="s">
        <v>322</v>
      </c>
      <c r="B94" s="3" t="s">
        <v>312</v>
      </c>
      <c r="C94" s="3" t="s">
        <v>323</v>
      </c>
      <c r="D94" s="4">
        <v>2310</v>
      </c>
      <c r="E94" s="5">
        <v>0.36450216450216449</v>
      </c>
      <c r="F94" s="3" t="s">
        <v>82</v>
      </c>
      <c r="G94" s="3" t="s">
        <v>83</v>
      </c>
      <c r="H94" s="3">
        <v>842</v>
      </c>
      <c r="I94" s="3">
        <v>36.5</v>
      </c>
      <c r="J94" s="3">
        <v>1</v>
      </c>
      <c r="K94" s="3" t="s">
        <v>59</v>
      </c>
      <c r="L94" s="3">
        <v>3</v>
      </c>
      <c r="M94" s="3">
        <v>3</v>
      </c>
      <c r="N94" s="3">
        <v>2</v>
      </c>
      <c r="O94" s="3">
        <v>3</v>
      </c>
      <c r="P94" s="3">
        <v>2</v>
      </c>
      <c r="Q94" s="3">
        <v>3</v>
      </c>
      <c r="R94" s="3" t="s">
        <v>60</v>
      </c>
      <c r="S94" s="3">
        <v>3</v>
      </c>
      <c r="T94" s="3" t="s">
        <v>61</v>
      </c>
      <c r="U94" s="3" t="s">
        <v>62</v>
      </c>
      <c r="V94" s="3" t="s">
        <v>297</v>
      </c>
      <c r="W94" s="3" t="s">
        <v>64</v>
      </c>
      <c r="X94" s="3" t="s">
        <v>65</v>
      </c>
      <c r="Y94" s="3" t="s">
        <v>66</v>
      </c>
      <c r="Z94" s="3" t="s">
        <v>314</v>
      </c>
      <c r="AA94" s="3" t="s">
        <v>75</v>
      </c>
      <c r="AB94" s="3" t="s">
        <v>69</v>
      </c>
      <c r="AC94" s="3" t="s">
        <v>70</v>
      </c>
      <c r="AD94" s="3" t="s">
        <v>71</v>
      </c>
      <c r="AE94" s="3" t="s">
        <v>84</v>
      </c>
      <c r="AF94" s="6">
        <v>0.73199999999999998</v>
      </c>
      <c r="AG94" s="3" t="s">
        <v>61</v>
      </c>
      <c r="AH94" s="3" t="s">
        <v>74</v>
      </c>
      <c r="AI94" s="6">
        <v>0.69099999999999995</v>
      </c>
      <c r="AJ94" s="3" t="s">
        <v>61</v>
      </c>
      <c r="AK94" s="3" t="s">
        <v>85</v>
      </c>
      <c r="AL94" s="6">
        <v>-0.50800000000000001</v>
      </c>
      <c r="AM94" s="7">
        <f>ROUND((L94/3*'[1]01_Parametros'!$B$3+M94/3*'[1]01_Parametros'!$B$4+N94/3*'[1]01_Parametros'!$B$5+O94/3*'[1]01_Parametros'!$B$6+IF(ISNUMBER(SEARCH("Fronteras",U94)),1,0)*'[1]01_Parametros'!$B$7)*100,1)</f>
        <v>93.3</v>
      </c>
      <c r="AN94" s="7">
        <f>ROUND((E94*'[1]01_Parametros'!$B$8+(1-L94/3)*'[1]01_Parametros'!$B$9+IF(OR(AA94="Alta",AA94="Media"),1,0)*'[1]01_Parametros'!$B$10)*100,1)</f>
        <v>38.200000000000003</v>
      </c>
      <c r="AO94" s="7">
        <f>ROUND((IF(ISNUMBER(SEARCH("AC01",X94)),1,0)*'[1]01_Parametros'!$B$11+IF(OR(ISNUMBER(SEARCH("AC06",X94)),ISNUMBER(SEARCH("AC03",X94))),1,0)*'[1]01_Parametros'!$B$12+(1-ABS(E94-0.5))*'[1]01_Parametros'!$B$13+S94/3.2*'[1]01_Parametros'!$B$14)*100,1)</f>
        <v>71</v>
      </c>
      <c r="AP94" s="7">
        <f>ROUND((L94/3*'[1]01_Parametros'!$B$15+Q94/3*'[1]01_Parametros'!$B$16+P94/3*'[1]01_Parametros'!$B$17+IF(OR(AA94="Media-baja",AA94="Baja"),1,0)*'[1]01_Parametros'!$B$18+S94/3.2*'[1]01_Parametros'!$B$19)*100,1)</f>
        <v>77.7</v>
      </c>
      <c r="AQ94" s="7">
        <f>ROUND((P94/3*'[1]01_Parametros'!$B$20+IF(OR(ISNUMBER(SEARCH("JAC",Z94)),ISNUMBER(SEARCH("JAL",Z94)),ISNUMBER(SEARCH("lider",Z94))),1,0)*'[1]01_Parametros'!$B$21+IF(LEFT(B94,14)="Corregimiento",1,0)*'[1]01_Parametros'!$B$22+Q94/3*'[1]01_Parametros'!$B$23+S94/3.2*'[1]01_Parametros'!$B$24)*100,1)</f>
        <v>34.700000000000003</v>
      </c>
      <c r="AR94" s="3" t="str">
        <f>INDEX('[1]13_Listas'!$A$2:$A$6, MATCH(MAX(AM94:AQ94), AM94:AQ94, 0))</f>
        <v>Protección y orden cotidiano</v>
      </c>
      <c r="AS94" s="3" t="str">
        <f t="shared" si="3"/>
        <v>Protección y orden cotidiano</v>
      </c>
      <c r="AT94" s="3" t="str">
        <f t="shared" si="4"/>
        <v>Activista Causal</v>
      </c>
      <c r="AU94" s="3" t="str">
        <f t="shared" si="5"/>
        <v>Seguridad urbana y combos</v>
      </c>
      <c r="AV94" s="3" t="str">
        <f>IFERROR(VLOOKUP(AS94,'[1]02_Arquetipos_Miedo_Sesgo'!$A$4:$G$8,4,FALSE),"")</f>
        <v>Sesgo de disponibilidad + sesgo de negatividad + preferencia por autoridad.</v>
      </c>
      <c r="AW94" s="3" t="str">
        <f>IFERROR(VLOOKUP(AS94,'[1]02_Arquetipos_Miedo_Sesgo'!$A$4:$G$8,3,FALSE),"")</f>
        <v>Miedo a la inseguridad, al descontrol barrial y a perder la tranquilidad cotidiana.</v>
      </c>
      <c r="AX94" s="3" t="str">
        <f>IFERROR(VLOOKUP(AS94,'[1]02_Arquetipos_Miedo_Sesgo'!$A$4:$G$8,4,FALSE),"")</f>
        <v>Sesgo de disponibilidad + sesgo de negatividad + preferencia por autoridad.</v>
      </c>
      <c r="AY94" s="3" t="str">
        <f>IFERROR(VLOOKUP(AS94,'[1]02_Arquetipos_Miedo_Sesgo'!$A$4:$G$8,5,FALSE),"")</f>
        <v>Seguridad, convivencia, movilidad, alumbrado, reacción institucional rápida, presencia de autoridad.</v>
      </c>
      <c r="AZ94" s="3" t="str">
        <f>IFERROR(VLOOKUP(AS94,'[1]02_Arquetipos_Miedo_Sesgo'!$A$4:$G$8,6,FALSE),"")</f>
        <v>Mostrar capacidad verificable de resolver problemas concretos de seguridad y convivencia sin prometer acciones ilegales.</v>
      </c>
      <c r="BA94" s="3" t="s">
        <v>77</v>
      </c>
    </row>
    <row r="95" spans="1:53" ht="43.2">
      <c r="A95" s="3" t="s">
        <v>324</v>
      </c>
      <c r="B95" s="3" t="s">
        <v>325</v>
      </c>
      <c r="C95" s="3" t="s">
        <v>326</v>
      </c>
      <c r="D95" s="4">
        <v>1426</v>
      </c>
      <c r="E95" s="5">
        <v>0.36465638148667601</v>
      </c>
      <c r="F95" s="3" t="s">
        <v>57</v>
      </c>
      <c r="G95" s="3" t="s">
        <v>58</v>
      </c>
      <c r="H95" s="3">
        <v>520</v>
      </c>
      <c r="I95" s="3">
        <v>36.5</v>
      </c>
      <c r="J95" s="3">
        <v>7</v>
      </c>
      <c r="K95" s="3" t="s">
        <v>152</v>
      </c>
      <c r="L95" s="3">
        <v>3</v>
      </c>
      <c r="M95" s="3">
        <v>3</v>
      </c>
      <c r="N95" s="3">
        <v>3</v>
      </c>
      <c r="O95" s="3">
        <v>3</v>
      </c>
      <c r="P95" s="3">
        <v>2</v>
      </c>
      <c r="Q95" s="3">
        <v>3</v>
      </c>
      <c r="R95" s="3" t="s">
        <v>60</v>
      </c>
      <c r="S95" s="3">
        <v>3</v>
      </c>
      <c r="T95" s="3" t="s">
        <v>61</v>
      </c>
      <c r="U95" s="3" t="s">
        <v>62</v>
      </c>
      <c r="V95" s="3" t="s">
        <v>297</v>
      </c>
      <c r="W95" s="3" t="s">
        <v>100</v>
      </c>
      <c r="X95" s="3" t="s">
        <v>101</v>
      </c>
      <c r="Y95" s="3" t="s">
        <v>66</v>
      </c>
      <c r="Z95" s="3" t="s">
        <v>327</v>
      </c>
      <c r="AA95" s="3" t="s">
        <v>68</v>
      </c>
      <c r="AB95" s="3" t="s">
        <v>69</v>
      </c>
      <c r="AC95" s="3" t="s">
        <v>70</v>
      </c>
      <c r="AD95" s="3" t="s">
        <v>71</v>
      </c>
      <c r="AE95" s="3" t="s">
        <v>72</v>
      </c>
      <c r="AF95" s="6">
        <v>0.36599999999999999</v>
      </c>
      <c r="AG95" s="3" t="s">
        <v>73</v>
      </c>
      <c r="AH95" s="3" t="s">
        <v>74</v>
      </c>
      <c r="AI95" s="6">
        <v>0.497</v>
      </c>
      <c r="AJ95" s="3" t="s">
        <v>75</v>
      </c>
      <c r="AK95" s="3" t="s">
        <v>76</v>
      </c>
      <c r="AL95" s="6">
        <v>-0.38900000000000001</v>
      </c>
      <c r="AM95" s="7">
        <f>ROUND((L95/3*'[1]01_Parametros'!$B$3+M95/3*'[1]01_Parametros'!$B$4+N95/3*'[1]01_Parametros'!$B$5+O95/3*'[1]01_Parametros'!$B$6+IF(ISNUMBER(SEARCH("Fronteras",U95)),1,0)*'[1]01_Parametros'!$B$7)*100,1)</f>
        <v>100</v>
      </c>
      <c r="AN95" s="7">
        <f>ROUND((E95*'[1]01_Parametros'!$B$8+(1-L95/3)*'[1]01_Parametros'!$B$9+IF(OR(AA95="Alta",AA95="Media"),1,0)*'[1]01_Parametros'!$B$10)*100,1)</f>
        <v>18.2</v>
      </c>
      <c r="AO95" s="7">
        <f>ROUND((IF(ISNUMBER(SEARCH("AC01",X95)),1,0)*'[1]01_Parametros'!$B$11+IF(OR(ISNUMBER(SEARCH("AC06",X95)),ISNUMBER(SEARCH("AC03",X95))),1,0)*'[1]01_Parametros'!$B$12+(1-ABS(E95-0.5))*'[1]01_Parametros'!$B$13+S95/3.2*'[1]01_Parametros'!$B$14)*100,1)</f>
        <v>96</v>
      </c>
      <c r="AP95" s="7">
        <f>ROUND((L95/3*'[1]01_Parametros'!$B$15+Q95/3*'[1]01_Parametros'!$B$16+P95/3*'[1]01_Parametros'!$B$17+IF(OR(AA95="Media-baja",AA95="Baja"),1,0)*'[1]01_Parametros'!$B$18+S95/3.2*'[1]01_Parametros'!$B$19)*100,1)</f>
        <v>77.7</v>
      </c>
      <c r="AQ95" s="7">
        <f>ROUND((P95/3*'[1]01_Parametros'!$B$20+IF(OR(ISNUMBER(SEARCH("JAC",Z95)),ISNUMBER(SEARCH("JAL",Z95)),ISNUMBER(SEARCH("lider",Z95))),1,0)*'[1]01_Parametros'!$B$21+IF(LEFT(B95,14)="Corregimiento",1,0)*'[1]01_Parametros'!$B$22+Q95/3*'[1]01_Parametros'!$B$23+S95/3.2*'[1]01_Parametros'!$B$24)*100,1)</f>
        <v>34.700000000000003</v>
      </c>
      <c r="AR95" s="3" t="str">
        <f>INDEX('[1]13_Listas'!$A$2:$A$6, MATCH(MAX(AM95:AQ95), AM95:AQ95, 0))</f>
        <v>Protección y orden cotidiano</v>
      </c>
      <c r="AS95" s="3" t="str">
        <f t="shared" si="3"/>
        <v>Protección y orden cotidiano</v>
      </c>
      <c r="AT95" s="3" t="str">
        <f t="shared" si="4"/>
        <v>Activista Causal</v>
      </c>
      <c r="AU95" s="3" t="str">
        <f t="shared" si="5"/>
        <v>Seguridad urbana y combos</v>
      </c>
      <c r="AV95" s="3" t="str">
        <f>IFERROR(VLOOKUP(AS95,'[1]02_Arquetipos_Miedo_Sesgo'!$A$4:$G$8,4,FALSE),"")</f>
        <v>Sesgo de disponibilidad + sesgo de negatividad + preferencia por autoridad.</v>
      </c>
      <c r="AW95" s="3" t="str">
        <f>IFERROR(VLOOKUP(AS95,'[1]02_Arquetipos_Miedo_Sesgo'!$A$4:$G$8,3,FALSE),"")</f>
        <v>Miedo a la inseguridad, al descontrol barrial y a perder la tranquilidad cotidiana.</v>
      </c>
      <c r="AX95" s="3" t="str">
        <f>IFERROR(VLOOKUP(AS95,'[1]02_Arquetipos_Miedo_Sesgo'!$A$4:$G$8,4,FALSE),"")</f>
        <v>Sesgo de disponibilidad + sesgo de negatividad + preferencia por autoridad.</v>
      </c>
      <c r="AY95" s="3" t="str">
        <f>IFERROR(VLOOKUP(AS95,'[1]02_Arquetipos_Miedo_Sesgo'!$A$4:$G$8,5,FALSE),"")</f>
        <v>Seguridad, convivencia, movilidad, alumbrado, reacción institucional rápida, presencia de autoridad.</v>
      </c>
      <c r="AZ95" s="3" t="str">
        <f>IFERROR(VLOOKUP(AS95,'[1]02_Arquetipos_Miedo_Sesgo'!$A$4:$G$8,6,FALSE),"")</f>
        <v>Mostrar capacidad verificable de resolver problemas concretos de seguridad y convivencia sin prometer acciones ilegales.</v>
      </c>
      <c r="BA95" s="3" t="s">
        <v>77</v>
      </c>
    </row>
    <row r="96" spans="1:53" ht="43.2">
      <c r="A96" s="3" t="s">
        <v>328</v>
      </c>
      <c r="B96" s="3" t="s">
        <v>325</v>
      </c>
      <c r="C96" s="3" t="s">
        <v>329</v>
      </c>
      <c r="D96" s="4">
        <v>7142</v>
      </c>
      <c r="E96" s="5">
        <v>0.43405208625035002</v>
      </c>
      <c r="F96" s="3" t="s">
        <v>57</v>
      </c>
      <c r="G96" s="3" t="s">
        <v>58</v>
      </c>
      <c r="H96" s="3">
        <v>3100</v>
      </c>
      <c r="I96" s="3">
        <v>43.4</v>
      </c>
      <c r="J96" s="3">
        <v>7</v>
      </c>
      <c r="K96" s="3" t="s">
        <v>152</v>
      </c>
      <c r="L96" s="3">
        <v>3</v>
      </c>
      <c r="M96" s="3">
        <v>3</v>
      </c>
      <c r="N96" s="3">
        <v>3</v>
      </c>
      <c r="O96" s="3">
        <v>3</v>
      </c>
      <c r="P96" s="3">
        <v>2</v>
      </c>
      <c r="Q96" s="3">
        <v>3</v>
      </c>
      <c r="R96" s="3" t="s">
        <v>60</v>
      </c>
      <c r="S96" s="3">
        <v>3</v>
      </c>
      <c r="T96" s="3" t="s">
        <v>61</v>
      </c>
      <c r="U96" s="3" t="s">
        <v>62</v>
      </c>
      <c r="V96" s="3" t="s">
        <v>297</v>
      </c>
      <c r="W96" s="3" t="s">
        <v>100</v>
      </c>
      <c r="X96" s="3" t="s">
        <v>101</v>
      </c>
      <c r="Y96" s="3" t="s">
        <v>66</v>
      </c>
      <c r="Z96" s="3" t="s">
        <v>327</v>
      </c>
      <c r="AA96" s="3" t="s">
        <v>68</v>
      </c>
      <c r="AB96" s="3" t="s">
        <v>69</v>
      </c>
      <c r="AC96" s="3" t="s">
        <v>70</v>
      </c>
      <c r="AD96" s="3" t="s">
        <v>71</v>
      </c>
      <c r="AE96" s="3" t="s">
        <v>72</v>
      </c>
      <c r="AF96" s="6">
        <v>0.36599999999999999</v>
      </c>
      <c r="AG96" s="3" t="s">
        <v>73</v>
      </c>
      <c r="AH96" s="3" t="s">
        <v>74</v>
      </c>
      <c r="AI96" s="6">
        <v>0.497</v>
      </c>
      <c r="AJ96" s="3" t="s">
        <v>75</v>
      </c>
      <c r="AK96" s="3" t="s">
        <v>76</v>
      </c>
      <c r="AL96" s="6">
        <v>-0.38900000000000001</v>
      </c>
      <c r="AM96" s="7">
        <f>ROUND((L96/3*'[1]01_Parametros'!$B$3+M96/3*'[1]01_Parametros'!$B$4+N96/3*'[1]01_Parametros'!$B$5+O96/3*'[1]01_Parametros'!$B$6+IF(ISNUMBER(SEARCH("Fronteras",U96)),1,0)*'[1]01_Parametros'!$B$7)*100,1)</f>
        <v>100</v>
      </c>
      <c r="AN96" s="7">
        <f>ROUND((E96*'[1]01_Parametros'!$B$8+(1-L96/3)*'[1]01_Parametros'!$B$9+IF(OR(AA96="Alta",AA96="Media"),1,0)*'[1]01_Parametros'!$B$10)*100,1)</f>
        <v>21.7</v>
      </c>
      <c r="AO96" s="7">
        <f>ROUND((IF(ISNUMBER(SEARCH("AC01",X96)),1,0)*'[1]01_Parametros'!$B$11+IF(OR(ISNUMBER(SEARCH("AC06",X96)),ISNUMBER(SEARCH("AC03",X96))),1,0)*'[1]01_Parametros'!$B$12+(1-ABS(E96-0.5))*'[1]01_Parametros'!$B$13+S96/3.2*'[1]01_Parametros'!$B$14)*100,1)</f>
        <v>97.4</v>
      </c>
      <c r="AP96" s="7">
        <f>ROUND((L96/3*'[1]01_Parametros'!$B$15+Q96/3*'[1]01_Parametros'!$B$16+P96/3*'[1]01_Parametros'!$B$17+IF(OR(AA96="Media-baja",AA96="Baja"),1,0)*'[1]01_Parametros'!$B$18+S96/3.2*'[1]01_Parametros'!$B$19)*100,1)</f>
        <v>77.7</v>
      </c>
      <c r="AQ96" s="7">
        <f>ROUND((P96/3*'[1]01_Parametros'!$B$20+IF(OR(ISNUMBER(SEARCH("JAC",Z96)),ISNUMBER(SEARCH("JAL",Z96)),ISNUMBER(SEARCH("lider",Z96))),1,0)*'[1]01_Parametros'!$B$21+IF(LEFT(B96,14)="Corregimiento",1,0)*'[1]01_Parametros'!$B$22+Q96/3*'[1]01_Parametros'!$B$23+S96/3.2*'[1]01_Parametros'!$B$24)*100,1)</f>
        <v>34.700000000000003</v>
      </c>
      <c r="AR96" s="3" t="str">
        <f>INDEX('[1]13_Listas'!$A$2:$A$6, MATCH(MAX(AM96:AQ96), AM96:AQ96, 0))</f>
        <v>Protección y orden cotidiano</v>
      </c>
      <c r="AS96" s="3" t="str">
        <f t="shared" si="3"/>
        <v>Protección y orden cotidiano</v>
      </c>
      <c r="AT96" s="3" t="str">
        <f t="shared" si="4"/>
        <v>Activista Causal</v>
      </c>
      <c r="AU96" s="3" t="str">
        <f t="shared" si="5"/>
        <v>Seguridad urbana y combos</v>
      </c>
      <c r="AV96" s="3" t="str">
        <f>IFERROR(VLOOKUP(AS96,'[1]02_Arquetipos_Miedo_Sesgo'!$A$4:$G$8,4,FALSE),"")</f>
        <v>Sesgo de disponibilidad + sesgo de negatividad + preferencia por autoridad.</v>
      </c>
      <c r="AW96" s="3" t="str">
        <f>IFERROR(VLOOKUP(AS96,'[1]02_Arquetipos_Miedo_Sesgo'!$A$4:$G$8,3,FALSE),"")</f>
        <v>Miedo a la inseguridad, al descontrol barrial y a perder la tranquilidad cotidiana.</v>
      </c>
      <c r="AX96" s="3" t="str">
        <f>IFERROR(VLOOKUP(AS96,'[1]02_Arquetipos_Miedo_Sesgo'!$A$4:$G$8,4,FALSE),"")</f>
        <v>Sesgo de disponibilidad + sesgo de negatividad + preferencia por autoridad.</v>
      </c>
      <c r="AY96" s="3" t="str">
        <f>IFERROR(VLOOKUP(AS96,'[1]02_Arquetipos_Miedo_Sesgo'!$A$4:$G$8,5,FALSE),"")</f>
        <v>Seguridad, convivencia, movilidad, alumbrado, reacción institucional rápida, presencia de autoridad.</v>
      </c>
      <c r="AZ96" s="3" t="str">
        <f>IFERROR(VLOOKUP(AS96,'[1]02_Arquetipos_Miedo_Sesgo'!$A$4:$G$8,6,FALSE),"")</f>
        <v>Mostrar capacidad verificable de resolver problemas concretos de seguridad y convivencia sin prometer acciones ilegales.</v>
      </c>
      <c r="BA96" s="3" t="s">
        <v>77</v>
      </c>
    </row>
    <row r="97" spans="1:53" ht="43.2">
      <c r="A97" s="3" t="s">
        <v>330</v>
      </c>
      <c r="B97" s="3" t="s">
        <v>325</v>
      </c>
      <c r="C97" s="3" t="s">
        <v>331</v>
      </c>
      <c r="D97" s="4">
        <v>6828</v>
      </c>
      <c r="E97" s="5">
        <v>0.37888107791446984</v>
      </c>
      <c r="F97" s="3" t="s">
        <v>57</v>
      </c>
      <c r="G97" s="3" t="s">
        <v>58</v>
      </c>
      <c r="H97" s="3">
        <v>2587</v>
      </c>
      <c r="I97" s="3">
        <v>37.9</v>
      </c>
      <c r="J97" s="3">
        <v>7</v>
      </c>
      <c r="K97" s="3" t="s">
        <v>152</v>
      </c>
      <c r="L97" s="3">
        <v>3</v>
      </c>
      <c r="M97" s="3">
        <v>3</v>
      </c>
      <c r="N97" s="3">
        <v>3</v>
      </c>
      <c r="O97" s="3">
        <v>3</v>
      </c>
      <c r="P97" s="3">
        <v>2</v>
      </c>
      <c r="Q97" s="3">
        <v>3</v>
      </c>
      <c r="R97" s="3" t="s">
        <v>60</v>
      </c>
      <c r="S97" s="3">
        <v>3</v>
      </c>
      <c r="T97" s="3" t="s">
        <v>61</v>
      </c>
      <c r="U97" s="3" t="s">
        <v>62</v>
      </c>
      <c r="V97" s="3" t="s">
        <v>297</v>
      </c>
      <c r="W97" s="3" t="s">
        <v>100</v>
      </c>
      <c r="X97" s="3" t="s">
        <v>101</v>
      </c>
      <c r="Y97" s="3" t="s">
        <v>66</v>
      </c>
      <c r="Z97" s="3" t="s">
        <v>327</v>
      </c>
      <c r="AA97" s="3" t="s">
        <v>68</v>
      </c>
      <c r="AB97" s="3" t="s">
        <v>69</v>
      </c>
      <c r="AC97" s="3" t="s">
        <v>70</v>
      </c>
      <c r="AD97" s="3" t="s">
        <v>71</v>
      </c>
      <c r="AE97" s="3" t="s">
        <v>72</v>
      </c>
      <c r="AF97" s="6">
        <v>0.36599999999999999</v>
      </c>
      <c r="AG97" s="3" t="s">
        <v>73</v>
      </c>
      <c r="AH97" s="3" t="s">
        <v>74</v>
      </c>
      <c r="AI97" s="6">
        <v>0.497</v>
      </c>
      <c r="AJ97" s="3" t="s">
        <v>75</v>
      </c>
      <c r="AK97" s="3" t="s">
        <v>76</v>
      </c>
      <c r="AL97" s="6">
        <v>-0.38900000000000001</v>
      </c>
      <c r="AM97" s="7">
        <f>ROUND((L97/3*'[1]01_Parametros'!$B$3+M97/3*'[1]01_Parametros'!$B$4+N97/3*'[1]01_Parametros'!$B$5+O97/3*'[1]01_Parametros'!$B$6+IF(ISNUMBER(SEARCH("Fronteras",U97)),1,0)*'[1]01_Parametros'!$B$7)*100,1)</f>
        <v>100</v>
      </c>
      <c r="AN97" s="7">
        <f>ROUND((E97*'[1]01_Parametros'!$B$8+(1-L97/3)*'[1]01_Parametros'!$B$9+IF(OR(AA97="Alta",AA97="Media"),1,0)*'[1]01_Parametros'!$B$10)*100,1)</f>
        <v>18.899999999999999</v>
      </c>
      <c r="AO97" s="7">
        <f>ROUND((IF(ISNUMBER(SEARCH("AC01",X97)),1,0)*'[1]01_Parametros'!$B$11+IF(OR(ISNUMBER(SEARCH("AC06",X97)),ISNUMBER(SEARCH("AC03",X97))),1,0)*'[1]01_Parametros'!$B$12+(1-ABS(E97-0.5))*'[1]01_Parametros'!$B$13+S97/3.2*'[1]01_Parametros'!$B$14)*100,1)</f>
        <v>96.3</v>
      </c>
      <c r="AP97" s="7">
        <f>ROUND((L97/3*'[1]01_Parametros'!$B$15+Q97/3*'[1]01_Parametros'!$B$16+P97/3*'[1]01_Parametros'!$B$17+IF(OR(AA97="Media-baja",AA97="Baja"),1,0)*'[1]01_Parametros'!$B$18+S97/3.2*'[1]01_Parametros'!$B$19)*100,1)</f>
        <v>77.7</v>
      </c>
      <c r="AQ97" s="7">
        <f>ROUND((P97/3*'[1]01_Parametros'!$B$20+IF(OR(ISNUMBER(SEARCH("JAC",Z97)),ISNUMBER(SEARCH("JAL",Z97)),ISNUMBER(SEARCH("lider",Z97))),1,0)*'[1]01_Parametros'!$B$21+IF(LEFT(B97,14)="Corregimiento",1,0)*'[1]01_Parametros'!$B$22+Q97/3*'[1]01_Parametros'!$B$23+S97/3.2*'[1]01_Parametros'!$B$24)*100,1)</f>
        <v>34.700000000000003</v>
      </c>
      <c r="AR97" s="3" t="str">
        <f>INDEX('[1]13_Listas'!$A$2:$A$6, MATCH(MAX(AM97:AQ97), AM97:AQ97, 0))</f>
        <v>Protección y orden cotidiano</v>
      </c>
      <c r="AS97" s="3" t="str">
        <f t="shared" si="3"/>
        <v>Protección y orden cotidiano</v>
      </c>
      <c r="AT97" s="3" t="str">
        <f t="shared" si="4"/>
        <v>Activista Causal</v>
      </c>
      <c r="AU97" s="3" t="str">
        <f t="shared" si="5"/>
        <v>Seguridad urbana y combos</v>
      </c>
      <c r="AV97" s="3" t="str">
        <f>IFERROR(VLOOKUP(AS97,'[1]02_Arquetipos_Miedo_Sesgo'!$A$4:$G$8,4,FALSE),"")</f>
        <v>Sesgo de disponibilidad + sesgo de negatividad + preferencia por autoridad.</v>
      </c>
      <c r="AW97" s="3" t="str">
        <f>IFERROR(VLOOKUP(AS97,'[1]02_Arquetipos_Miedo_Sesgo'!$A$4:$G$8,3,FALSE),"")</f>
        <v>Miedo a la inseguridad, al descontrol barrial y a perder la tranquilidad cotidiana.</v>
      </c>
      <c r="AX97" s="3" t="str">
        <f>IFERROR(VLOOKUP(AS97,'[1]02_Arquetipos_Miedo_Sesgo'!$A$4:$G$8,4,FALSE),"")</f>
        <v>Sesgo de disponibilidad + sesgo de negatividad + preferencia por autoridad.</v>
      </c>
      <c r="AY97" s="3" t="str">
        <f>IFERROR(VLOOKUP(AS97,'[1]02_Arquetipos_Miedo_Sesgo'!$A$4:$G$8,5,FALSE),"")</f>
        <v>Seguridad, convivencia, movilidad, alumbrado, reacción institucional rápida, presencia de autoridad.</v>
      </c>
      <c r="AZ97" s="3" t="str">
        <f>IFERROR(VLOOKUP(AS97,'[1]02_Arquetipos_Miedo_Sesgo'!$A$4:$G$8,6,FALSE),"")</f>
        <v>Mostrar capacidad verificable de resolver problemas concretos de seguridad y convivencia sin prometer acciones ilegales.</v>
      </c>
      <c r="BA97" s="3" t="s">
        <v>77</v>
      </c>
    </row>
    <row r="98" spans="1:53" ht="43.2">
      <c r="A98" s="3" t="s">
        <v>332</v>
      </c>
      <c r="B98" s="3" t="s">
        <v>325</v>
      </c>
      <c r="C98" s="3" t="s">
        <v>333</v>
      </c>
      <c r="D98" s="4">
        <v>645</v>
      </c>
      <c r="E98" s="5">
        <v>0.34728682170542635</v>
      </c>
      <c r="F98" s="3" t="s">
        <v>170</v>
      </c>
      <c r="G98" s="3" t="s">
        <v>83</v>
      </c>
      <c r="H98" s="3">
        <v>224</v>
      </c>
      <c r="I98" s="3">
        <v>34.700000000000003</v>
      </c>
      <c r="J98" s="3">
        <v>7</v>
      </c>
      <c r="K98" s="3" t="s">
        <v>152</v>
      </c>
      <c r="L98" s="3">
        <v>3</v>
      </c>
      <c r="M98" s="3">
        <v>3</v>
      </c>
      <c r="N98" s="3">
        <v>3</v>
      </c>
      <c r="O98" s="3">
        <v>3</v>
      </c>
      <c r="P98" s="3">
        <v>2</v>
      </c>
      <c r="Q98" s="3">
        <v>3</v>
      </c>
      <c r="R98" s="3" t="s">
        <v>60</v>
      </c>
      <c r="S98" s="3">
        <v>3</v>
      </c>
      <c r="T98" s="3" t="s">
        <v>61</v>
      </c>
      <c r="U98" s="3" t="s">
        <v>62</v>
      </c>
      <c r="V98" s="3" t="s">
        <v>297</v>
      </c>
      <c r="W98" s="3" t="s">
        <v>100</v>
      </c>
      <c r="X98" s="3" t="s">
        <v>101</v>
      </c>
      <c r="Y98" s="3" t="s">
        <v>66</v>
      </c>
      <c r="Z98" s="3" t="s">
        <v>327</v>
      </c>
      <c r="AA98" s="3" t="s">
        <v>68</v>
      </c>
      <c r="AB98" s="3" t="s">
        <v>69</v>
      </c>
      <c r="AC98" s="3" t="s">
        <v>70</v>
      </c>
      <c r="AD98" s="3" t="s">
        <v>71</v>
      </c>
      <c r="AE98" s="3" t="s">
        <v>85</v>
      </c>
      <c r="AF98" s="6">
        <v>0.42399999999999999</v>
      </c>
      <c r="AG98" s="3" t="s">
        <v>73</v>
      </c>
      <c r="AH98" s="3" t="s">
        <v>76</v>
      </c>
      <c r="AI98" s="6">
        <v>0.434</v>
      </c>
      <c r="AJ98" s="3" t="s">
        <v>73</v>
      </c>
      <c r="AK98" s="3" t="s">
        <v>74</v>
      </c>
      <c r="AL98" s="6">
        <v>-0.79600000000000004</v>
      </c>
      <c r="AM98" s="7">
        <f>ROUND((L98/3*'[1]01_Parametros'!$B$3+M98/3*'[1]01_Parametros'!$B$4+N98/3*'[1]01_Parametros'!$B$5+O98/3*'[1]01_Parametros'!$B$6+IF(ISNUMBER(SEARCH("Fronteras",U98)),1,0)*'[1]01_Parametros'!$B$7)*100,1)</f>
        <v>100</v>
      </c>
      <c r="AN98" s="7">
        <f>ROUND((E98*'[1]01_Parametros'!$B$8+(1-L98/3)*'[1]01_Parametros'!$B$9+IF(OR(AA98="Alta",AA98="Media"),1,0)*'[1]01_Parametros'!$B$10)*100,1)</f>
        <v>17.399999999999999</v>
      </c>
      <c r="AO98" s="7">
        <f>ROUND((IF(ISNUMBER(SEARCH("AC01",X98)),1,0)*'[1]01_Parametros'!$B$11+IF(OR(ISNUMBER(SEARCH("AC06",X98)),ISNUMBER(SEARCH("AC03",X98))),1,0)*'[1]01_Parametros'!$B$12+(1-ABS(E98-0.5))*'[1]01_Parametros'!$B$13+S98/3.2*'[1]01_Parametros'!$B$14)*100,1)</f>
        <v>95.7</v>
      </c>
      <c r="AP98" s="7">
        <f>ROUND((L98/3*'[1]01_Parametros'!$B$15+Q98/3*'[1]01_Parametros'!$B$16+P98/3*'[1]01_Parametros'!$B$17+IF(OR(AA98="Media-baja",AA98="Baja"),1,0)*'[1]01_Parametros'!$B$18+S98/3.2*'[1]01_Parametros'!$B$19)*100,1)</f>
        <v>77.7</v>
      </c>
      <c r="AQ98" s="7">
        <f>ROUND((P98/3*'[1]01_Parametros'!$B$20+IF(OR(ISNUMBER(SEARCH("JAC",Z98)),ISNUMBER(SEARCH("JAL",Z98)),ISNUMBER(SEARCH("lider",Z98))),1,0)*'[1]01_Parametros'!$B$21+IF(LEFT(B98,14)="Corregimiento",1,0)*'[1]01_Parametros'!$B$22+Q98/3*'[1]01_Parametros'!$B$23+S98/3.2*'[1]01_Parametros'!$B$24)*100,1)</f>
        <v>34.700000000000003</v>
      </c>
      <c r="AR98" s="3" t="str">
        <f>INDEX('[1]13_Listas'!$A$2:$A$6, MATCH(MAX(AM98:AQ98), AM98:AQ98, 0))</f>
        <v>Protección y orden cotidiano</v>
      </c>
      <c r="AS98" s="3" t="str">
        <f t="shared" si="3"/>
        <v>Protección y orden cotidiano</v>
      </c>
      <c r="AT98" s="3" t="str">
        <f t="shared" si="4"/>
        <v>Activista Causal</v>
      </c>
      <c r="AU98" s="3" t="str">
        <f t="shared" si="5"/>
        <v>Seguridad urbana y combos</v>
      </c>
      <c r="AV98" s="3" t="str">
        <f>IFERROR(VLOOKUP(AS98,'[1]02_Arquetipos_Miedo_Sesgo'!$A$4:$G$8,4,FALSE),"")</f>
        <v>Sesgo de disponibilidad + sesgo de negatividad + preferencia por autoridad.</v>
      </c>
      <c r="AW98" s="3" t="str">
        <f>IFERROR(VLOOKUP(AS98,'[1]02_Arquetipos_Miedo_Sesgo'!$A$4:$G$8,3,FALSE),"")</f>
        <v>Miedo a la inseguridad, al descontrol barrial y a perder la tranquilidad cotidiana.</v>
      </c>
      <c r="AX98" s="3" t="str">
        <f>IFERROR(VLOOKUP(AS98,'[1]02_Arquetipos_Miedo_Sesgo'!$A$4:$G$8,4,FALSE),"")</f>
        <v>Sesgo de disponibilidad + sesgo de negatividad + preferencia por autoridad.</v>
      </c>
      <c r="AY98" s="3" t="str">
        <f>IFERROR(VLOOKUP(AS98,'[1]02_Arquetipos_Miedo_Sesgo'!$A$4:$G$8,5,FALSE),"")</f>
        <v>Seguridad, convivencia, movilidad, alumbrado, reacción institucional rápida, presencia de autoridad.</v>
      </c>
      <c r="AZ98" s="3" t="str">
        <f>IFERROR(VLOOKUP(AS98,'[1]02_Arquetipos_Miedo_Sesgo'!$A$4:$G$8,6,FALSE),"")</f>
        <v>Mostrar capacidad verificable de resolver problemas concretos de seguridad y convivencia sin prometer acciones ilegales.</v>
      </c>
      <c r="BA98" s="3" t="s">
        <v>77</v>
      </c>
    </row>
    <row r="99" spans="1:53" ht="43.2">
      <c r="A99" s="3" t="s">
        <v>334</v>
      </c>
      <c r="B99" s="3" t="s">
        <v>325</v>
      </c>
      <c r="C99" s="3" t="s">
        <v>335</v>
      </c>
      <c r="D99" s="4">
        <v>5236</v>
      </c>
      <c r="E99" s="5">
        <v>0.38216195569136746</v>
      </c>
      <c r="F99" s="3" t="s">
        <v>57</v>
      </c>
      <c r="G99" s="3" t="s">
        <v>58</v>
      </c>
      <c r="H99" s="3">
        <v>2001</v>
      </c>
      <c r="I99" s="3">
        <v>38.200000000000003</v>
      </c>
      <c r="J99" s="3">
        <v>7</v>
      </c>
      <c r="K99" s="3" t="s">
        <v>152</v>
      </c>
      <c r="L99" s="3">
        <v>3</v>
      </c>
      <c r="M99" s="3">
        <v>3</v>
      </c>
      <c r="N99" s="3">
        <v>3</v>
      </c>
      <c r="O99" s="3">
        <v>3</v>
      </c>
      <c r="P99" s="3">
        <v>2</v>
      </c>
      <c r="Q99" s="3">
        <v>3</v>
      </c>
      <c r="R99" s="3" t="s">
        <v>60</v>
      </c>
      <c r="S99" s="3">
        <v>3</v>
      </c>
      <c r="T99" s="3" t="s">
        <v>61</v>
      </c>
      <c r="U99" s="3" t="s">
        <v>62</v>
      </c>
      <c r="V99" s="3" t="s">
        <v>297</v>
      </c>
      <c r="W99" s="3" t="s">
        <v>100</v>
      </c>
      <c r="X99" s="3" t="s">
        <v>101</v>
      </c>
      <c r="Y99" s="3" t="s">
        <v>66</v>
      </c>
      <c r="Z99" s="3" t="s">
        <v>327</v>
      </c>
      <c r="AA99" s="3" t="s">
        <v>68</v>
      </c>
      <c r="AB99" s="3" t="s">
        <v>69</v>
      </c>
      <c r="AC99" s="3" t="s">
        <v>70</v>
      </c>
      <c r="AD99" s="3" t="s">
        <v>71</v>
      </c>
      <c r="AE99" s="3" t="s">
        <v>72</v>
      </c>
      <c r="AF99" s="6">
        <v>0.36599999999999999</v>
      </c>
      <c r="AG99" s="3" t="s">
        <v>73</v>
      </c>
      <c r="AH99" s="3" t="s">
        <v>74</v>
      </c>
      <c r="AI99" s="6">
        <v>0.497</v>
      </c>
      <c r="AJ99" s="3" t="s">
        <v>75</v>
      </c>
      <c r="AK99" s="3" t="s">
        <v>76</v>
      </c>
      <c r="AL99" s="6">
        <v>-0.38900000000000001</v>
      </c>
      <c r="AM99" s="7">
        <f>ROUND((L99/3*'[1]01_Parametros'!$B$3+M99/3*'[1]01_Parametros'!$B$4+N99/3*'[1]01_Parametros'!$B$5+O99/3*'[1]01_Parametros'!$B$6+IF(ISNUMBER(SEARCH("Fronteras",U99)),1,0)*'[1]01_Parametros'!$B$7)*100,1)</f>
        <v>100</v>
      </c>
      <c r="AN99" s="7">
        <f>ROUND((E99*'[1]01_Parametros'!$B$8+(1-L99/3)*'[1]01_Parametros'!$B$9+IF(OR(AA99="Alta",AA99="Media"),1,0)*'[1]01_Parametros'!$B$10)*100,1)</f>
        <v>19.100000000000001</v>
      </c>
      <c r="AO99" s="7">
        <f>ROUND((IF(ISNUMBER(SEARCH("AC01",X99)),1,0)*'[1]01_Parametros'!$B$11+IF(OR(ISNUMBER(SEARCH("AC06",X99)),ISNUMBER(SEARCH("AC03",X99))),1,0)*'[1]01_Parametros'!$B$12+(1-ABS(E99-0.5))*'[1]01_Parametros'!$B$13+S99/3.2*'[1]01_Parametros'!$B$14)*100,1)</f>
        <v>96.4</v>
      </c>
      <c r="AP99" s="7">
        <f>ROUND((L99/3*'[1]01_Parametros'!$B$15+Q99/3*'[1]01_Parametros'!$B$16+P99/3*'[1]01_Parametros'!$B$17+IF(OR(AA99="Media-baja",AA99="Baja"),1,0)*'[1]01_Parametros'!$B$18+S99/3.2*'[1]01_Parametros'!$B$19)*100,1)</f>
        <v>77.7</v>
      </c>
      <c r="AQ99" s="7">
        <f>ROUND((P99/3*'[1]01_Parametros'!$B$20+IF(OR(ISNUMBER(SEARCH("JAC",Z99)),ISNUMBER(SEARCH("JAL",Z99)),ISNUMBER(SEARCH("lider",Z99))),1,0)*'[1]01_Parametros'!$B$21+IF(LEFT(B99,14)="Corregimiento",1,0)*'[1]01_Parametros'!$B$22+Q99/3*'[1]01_Parametros'!$B$23+S99/3.2*'[1]01_Parametros'!$B$24)*100,1)</f>
        <v>34.700000000000003</v>
      </c>
      <c r="AR99" s="3" t="str">
        <f>INDEX('[1]13_Listas'!$A$2:$A$6, MATCH(MAX(AM99:AQ99), AM99:AQ99, 0))</f>
        <v>Protección y orden cotidiano</v>
      </c>
      <c r="AS99" s="3" t="str">
        <f t="shared" si="3"/>
        <v>Protección y orden cotidiano</v>
      </c>
      <c r="AT99" s="3" t="str">
        <f t="shared" si="4"/>
        <v>Activista Causal</v>
      </c>
      <c r="AU99" s="3" t="str">
        <f t="shared" si="5"/>
        <v>Seguridad urbana y combos</v>
      </c>
      <c r="AV99" s="3" t="str">
        <f>IFERROR(VLOOKUP(AS99,'[1]02_Arquetipos_Miedo_Sesgo'!$A$4:$G$8,4,FALSE),"")</f>
        <v>Sesgo de disponibilidad + sesgo de negatividad + preferencia por autoridad.</v>
      </c>
      <c r="AW99" s="3" t="str">
        <f>IFERROR(VLOOKUP(AS99,'[1]02_Arquetipos_Miedo_Sesgo'!$A$4:$G$8,3,FALSE),"")</f>
        <v>Miedo a la inseguridad, al descontrol barrial y a perder la tranquilidad cotidiana.</v>
      </c>
      <c r="AX99" s="3" t="str">
        <f>IFERROR(VLOOKUP(AS99,'[1]02_Arquetipos_Miedo_Sesgo'!$A$4:$G$8,4,FALSE),"")</f>
        <v>Sesgo de disponibilidad + sesgo de negatividad + preferencia por autoridad.</v>
      </c>
      <c r="AY99" s="3" t="str">
        <f>IFERROR(VLOOKUP(AS99,'[1]02_Arquetipos_Miedo_Sesgo'!$A$4:$G$8,5,FALSE),"")</f>
        <v>Seguridad, convivencia, movilidad, alumbrado, reacción institucional rápida, presencia de autoridad.</v>
      </c>
      <c r="AZ99" s="3" t="str">
        <f>IFERROR(VLOOKUP(AS99,'[1]02_Arquetipos_Miedo_Sesgo'!$A$4:$G$8,6,FALSE),"")</f>
        <v>Mostrar capacidad verificable de resolver problemas concretos de seguridad y convivencia sin prometer acciones ilegales.</v>
      </c>
      <c r="BA99" s="3" t="s">
        <v>77</v>
      </c>
    </row>
    <row r="100" spans="1:53" ht="43.2">
      <c r="A100" s="3" t="s">
        <v>336</v>
      </c>
      <c r="B100" s="3" t="s">
        <v>325</v>
      </c>
      <c r="C100" s="3" t="s">
        <v>337</v>
      </c>
      <c r="D100" s="4">
        <v>453</v>
      </c>
      <c r="E100" s="5">
        <v>0.40397350993377484</v>
      </c>
      <c r="F100" s="3" t="s">
        <v>57</v>
      </c>
      <c r="G100" s="3" t="s">
        <v>58</v>
      </c>
      <c r="H100" s="3">
        <v>183</v>
      </c>
      <c r="I100" s="3">
        <v>40.4</v>
      </c>
      <c r="J100" s="3">
        <v>7</v>
      </c>
      <c r="K100" s="3" t="s">
        <v>152</v>
      </c>
      <c r="L100" s="3">
        <v>3</v>
      </c>
      <c r="M100" s="3">
        <v>3</v>
      </c>
      <c r="N100" s="3">
        <v>3</v>
      </c>
      <c r="O100" s="3">
        <v>3</v>
      </c>
      <c r="P100" s="3">
        <v>2</v>
      </c>
      <c r="Q100" s="3">
        <v>3</v>
      </c>
      <c r="R100" s="3" t="s">
        <v>60</v>
      </c>
      <c r="S100" s="3">
        <v>3</v>
      </c>
      <c r="T100" s="3" t="s">
        <v>61</v>
      </c>
      <c r="U100" s="3" t="s">
        <v>62</v>
      </c>
      <c r="V100" s="3" t="s">
        <v>297</v>
      </c>
      <c r="W100" s="3" t="s">
        <v>100</v>
      </c>
      <c r="X100" s="3" t="s">
        <v>101</v>
      </c>
      <c r="Y100" s="3" t="s">
        <v>66</v>
      </c>
      <c r="Z100" s="3" t="s">
        <v>327</v>
      </c>
      <c r="AA100" s="3" t="s">
        <v>68</v>
      </c>
      <c r="AB100" s="3" t="s">
        <v>69</v>
      </c>
      <c r="AC100" s="3" t="s">
        <v>70</v>
      </c>
      <c r="AD100" s="3" t="s">
        <v>71</v>
      </c>
      <c r="AE100" s="3" t="s">
        <v>72</v>
      </c>
      <c r="AF100" s="6">
        <v>0.36599999999999999</v>
      </c>
      <c r="AG100" s="3" t="s">
        <v>73</v>
      </c>
      <c r="AH100" s="3" t="s">
        <v>74</v>
      </c>
      <c r="AI100" s="6">
        <v>0.497</v>
      </c>
      <c r="AJ100" s="3" t="s">
        <v>75</v>
      </c>
      <c r="AK100" s="3" t="s">
        <v>76</v>
      </c>
      <c r="AL100" s="6">
        <v>-0.38900000000000001</v>
      </c>
      <c r="AM100" s="7">
        <f>ROUND((L100/3*'[1]01_Parametros'!$B$3+M100/3*'[1]01_Parametros'!$B$4+N100/3*'[1]01_Parametros'!$B$5+O100/3*'[1]01_Parametros'!$B$6+IF(ISNUMBER(SEARCH("Fronteras",U100)),1,0)*'[1]01_Parametros'!$B$7)*100,1)</f>
        <v>100</v>
      </c>
      <c r="AN100" s="7">
        <f>ROUND((E100*'[1]01_Parametros'!$B$8+(1-L100/3)*'[1]01_Parametros'!$B$9+IF(OR(AA100="Alta",AA100="Media"),1,0)*'[1]01_Parametros'!$B$10)*100,1)</f>
        <v>20.2</v>
      </c>
      <c r="AO100" s="7">
        <f>ROUND((IF(ISNUMBER(SEARCH("AC01",X100)),1,0)*'[1]01_Parametros'!$B$11+IF(OR(ISNUMBER(SEARCH("AC06",X100)),ISNUMBER(SEARCH("AC03",X100))),1,0)*'[1]01_Parametros'!$B$12+(1-ABS(E100-0.5))*'[1]01_Parametros'!$B$13+S100/3.2*'[1]01_Parametros'!$B$14)*100,1)</f>
        <v>96.8</v>
      </c>
      <c r="AP100" s="7">
        <f>ROUND((L100/3*'[1]01_Parametros'!$B$15+Q100/3*'[1]01_Parametros'!$B$16+P100/3*'[1]01_Parametros'!$B$17+IF(OR(AA100="Media-baja",AA100="Baja"),1,0)*'[1]01_Parametros'!$B$18+S100/3.2*'[1]01_Parametros'!$B$19)*100,1)</f>
        <v>77.7</v>
      </c>
      <c r="AQ100" s="7">
        <f>ROUND((P100/3*'[1]01_Parametros'!$B$20+IF(OR(ISNUMBER(SEARCH("JAC",Z100)),ISNUMBER(SEARCH("JAL",Z100)),ISNUMBER(SEARCH("lider",Z100))),1,0)*'[1]01_Parametros'!$B$21+IF(LEFT(B100,14)="Corregimiento",1,0)*'[1]01_Parametros'!$B$22+Q100/3*'[1]01_Parametros'!$B$23+S100/3.2*'[1]01_Parametros'!$B$24)*100,1)</f>
        <v>34.700000000000003</v>
      </c>
      <c r="AR100" s="3" t="str">
        <f>INDEX('[1]13_Listas'!$A$2:$A$6, MATCH(MAX(AM100:AQ100), AM100:AQ100, 0))</f>
        <v>Protección y orden cotidiano</v>
      </c>
      <c r="AS100" s="3" t="str">
        <f t="shared" si="3"/>
        <v>Protección y orden cotidiano</v>
      </c>
      <c r="AT100" s="3" t="str">
        <f t="shared" si="4"/>
        <v>Activista Causal</v>
      </c>
      <c r="AU100" s="3" t="str">
        <f t="shared" si="5"/>
        <v>Seguridad urbana y combos</v>
      </c>
      <c r="AV100" s="3" t="str">
        <f>IFERROR(VLOOKUP(AS100,'[1]02_Arquetipos_Miedo_Sesgo'!$A$4:$G$8,4,FALSE),"")</f>
        <v>Sesgo de disponibilidad + sesgo de negatividad + preferencia por autoridad.</v>
      </c>
      <c r="AW100" s="3" t="str">
        <f>IFERROR(VLOOKUP(AS100,'[1]02_Arquetipos_Miedo_Sesgo'!$A$4:$G$8,3,FALSE),"")</f>
        <v>Miedo a la inseguridad, al descontrol barrial y a perder la tranquilidad cotidiana.</v>
      </c>
      <c r="AX100" s="3" t="str">
        <f>IFERROR(VLOOKUP(AS100,'[1]02_Arquetipos_Miedo_Sesgo'!$A$4:$G$8,4,FALSE),"")</f>
        <v>Sesgo de disponibilidad + sesgo de negatividad + preferencia por autoridad.</v>
      </c>
      <c r="AY100" s="3" t="str">
        <f>IFERROR(VLOOKUP(AS100,'[1]02_Arquetipos_Miedo_Sesgo'!$A$4:$G$8,5,FALSE),"")</f>
        <v>Seguridad, convivencia, movilidad, alumbrado, reacción institucional rápida, presencia de autoridad.</v>
      </c>
      <c r="AZ100" s="3" t="str">
        <f>IFERROR(VLOOKUP(AS100,'[1]02_Arquetipos_Miedo_Sesgo'!$A$4:$G$8,6,FALSE),"")</f>
        <v>Mostrar capacidad verificable de resolver problemas concretos de seguridad y convivencia sin prometer acciones ilegales.</v>
      </c>
      <c r="BA100" s="3" t="s">
        <v>77</v>
      </c>
    </row>
    <row r="101" spans="1:53" ht="43.2">
      <c r="A101" s="3" t="s">
        <v>338</v>
      </c>
      <c r="B101" s="3" t="s">
        <v>325</v>
      </c>
      <c r="C101" s="3" t="s">
        <v>325</v>
      </c>
      <c r="D101" s="4">
        <v>9013</v>
      </c>
      <c r="E101" s="5">
        <v>0.41617663375124819</v>
      </c>
      <c r="F101" s="3" t="s">
        <v>57</v>
      </c>
      <c r="G101" s="3" t="s">
        <v>58</v>
      </c>
      <c r="H101" s="3">
        <v>3751</v>
      </c>
      <c r="I101" s="3">
        <v>41.6</v>
      </c>
      <c r="J101" s="3">
        <v>7</v>
      </c>
      <c r="K101" s="3" t="s">
        <v>152</v>
      </c>
      <c r="L101" s="3">
        <v>3</v>
      </c>
      <c r="M101" s="3">
        <v>3</v>
      </c>
      <c r="N101" s="3">
        <v>3</v>
      </c>
      <c r="O101" s="3">
        <v>3</v>
      </c>
      <c r="P101" s="3">
        <v>2</v>
      </c>
      <c r="Q101" s="3">
        <v>3</v>
      </c>
      <c r="R101" s="3" t="s">
        <v>60</v>
      </c>
      <c r="S101" s="3">
        <v>3</v>
      </c>
      <c r="T101" s="3" t="s">
        <v>61</v>
      </c>
      <c r="U101" s="3" t="s">
        <v>62</v>
      </c>
      <c r="V101" s="3" t="s">
        <v>297</v>
      </c>
      <c r="W101" s="3" t="s">
        <v>100</v>
      </c>
      <c r="X101" s="3" t="s">
        <v>101</v>
      </c>
      <c r="Y101" s="3" t="s">
        <v>66</v>
      </c>
      <c r="Z101" s="3" t="s">
        <v>327</v>
      </c>
      <c r="AA101" s="3" t="s">
        <v>68</v>
      </c>
      <c r="AB101" s="3" t="s">
        <v>69</v>
      </c>
      <c r="AC101" s="3" t="s">
        <v>70</v>
      </c>
      <c r="AD101" s="3" t="s">
        <v>71</v>
      </c>
      <c r="AE101" s="3" t="s">
        <v>72</v>
      </c>
      <c r="AF101" s="6">
        <v>0.36599999999999999</v>
      </c>
      <c r="AG101" s="3" t="s">
        <v>73</v>
      </c>
      <c r="AH101" s="3" t="s">
        <v>74</v>
      </c>
      <c r="AI101" s="6">
        <v>0.497</v>
      </c>
      <c r="AJ101" s="3" t="s">
        <v>75</v>
      </c>
      <c r="AK101" s="3" t="s">
        <v>76</v>
      </c>
      <c r="AL101" s="6">
        <v>-0.38900000000000001</v>
      </c>
      <c r="AM101" s="7">
        <f>ROUND((L101/3*'[1]01_Parametros'!$B$3+M101/3*'[1]01_Parametros'!$B$4+N101/3*'[1]01_Parametros'!$B$5+O101/3*'[1]01_Parametros'!$B$6+IF(ISNUMBER(SEARCH("Fronteras",U101)),1,0)*'[1]01_Parametros'!$B$7)*100,1)</f>
        <v>100</v>
      </c>
      <c r="AN101" s="7">
        <f>ROUND((E101*'[1]01_Parametros'!$B$8+(1-L101/3)*'[1]01_Parametros'!$B$9+IF(OR(AA101="Alta",AA101="Media"),1,0)*'[1]01_Parametros'!$B$10)*100,1)</f>
        <v>20.8</v>
      </c>
      <c r="AO101" s="7">
        <f>ROUND((IF(ISNUMBER(SEARCH("AC01",X101)),1,0)*'[1]01_Parametros'!$B$11+IF(OR(ISNUMBER(SEARCH("AC06",X101)),ISNUMBER(SEARCH("AC03",X101))),1,0)*'[1]01_Parametros'!$B$12+(1-ABS(E101-0.5))*'[1]01_Parametros'!$B$13+S101/3.2*'[1]01_Parametros'!$B$14)*100,1)</f>
        <v>97.1</v>
      </c>
      <c r="AP101" s="7">
        <f>ROUND((L101/3*'[1]01_Parametros'!$B$15+Q101/3*'[1]01_Parametros'!$B$16+P101/3*'[1]01_Parametros'!$B$17+IF(OR(AA101="Media-baja",AA101="Baja"),1,0)*'[1]01_Parametros'!$B$18+S101/3.2*'[1]01_Parametros'!$B$19)*100,1)</f>
        <v>77.7</v>
      </c>
      <c r="AQ101" s="7">
        <f>ROUND((P101/3*'[1]01_Parametros'!$B$20+IF(OR(ISNUMBER(SEARCH("JAC",Z101)),ISNUMBER(SEARCH("JAL",Z101)),ISNUMBER(SEARCH("lider",Z101))),1,0)*'[1]01_Parametros'!$B$21+IF(LEFT(B101,14)="Corregimiento",1,0)*'[1]01_Parametros'!$B$22+Q101/3*'[1]01_Parametros'!$B$23+S101/3.2*'[1]01_Parametros'!$B$24)*100,1)</f>
        <v>34.700000000000003</v>
      </c>
      <c r="AR101" s="3" t="str">
        <f>INDEX('[1]13_Listas'!$A$2:$A$6, MATCH(MAX(AM101:AQ101), AM101:AQ101, 0))</f>
        <v>Protección y orden cotidiano</v>
      </c>
      <c r="AS101" s="3" t="str">
        <f t="shared" si="3"/>
        <v>Protección y orden cotidiano</v>
      </c>
      <c r="AT101" s="3" t="str">
        <f t="shared" si="4"/>
        <v>Activista Causal</v>
      </c>
      <c r="AU101" s="3" t="str">
        <f t="shared" si="5"/>
        <v>Seguridad urbana y combos</v>
      </c>
      <c r="AV101" s="3" t="str">
        <f>IFERROR(VLOOKUP(AS101,'[1]02_Arquetipos_Miedo_Sesgo'!$A$4:$G$8,4,FALSE),"")</f>
        <v>Sesgo de disponibilidad + sesgo de negatividad + preferencia por autoridad.</v>
      </c>
      <c r="AW101" s="3" t="str">
        <f>IFERROR(VLOOKUP(AS101,'[1]02_Arquetipos_Miedo_Sesgo'!$A$4:$G$8,3,FALSE),"")</f>
        <v>Miedo a la inseguridad, al descontrol barrial y a perder la tranquilidad cotidiana.</v>
      </c>
      <c r="AX101" s="3" t="str">
        <f>IFERROR(VLOOKUP(AS101,'[1]02_Arquetipos_Miedo_Sesgo'!$A$4:$G$8,4,FALSE),"")</f>
        <v>Sesgo de disponibilidad + sesgo de negatividad + preferencia por autoridad.</v>
      </c>
      <c r="AY101" s="3" t="str">
        <f>IFERROR(VLOOKUP(AS101,'[1]02_Arquetipos_Miedo_Sesgo'!$A$4:$G$8,5,FALSE),"")</f>
        <v>Seguridad, convivencia, movilidad, alumbrado, reacción institucional rápida, presencia de autoridad.</v>
      </c>
      <c r="AZ101" s="3" t="str">
        <f>IFERROR(VLOOKUP(AS101,'[1]02_Arquetipos_Miedo_Sesgo'!$A$4:$G$8,6,FALSE),"")</f>
        <v>Mostrar capacidad verificable de resolver problemas concretos de seguridad y convivencia sin prometer acciones ilegales.</v>
      </c>
      <c r="BA101" s="3" t="s">
        <v>77</v>
      </c>
    </row>
    <row r="102" spans="1:53" ht="43.2">
      <c r="A102" s="3" t="s">
        <v>339</v>
      </c>
      <c r="B102" s="3" t="s">
        <v>325</v>
      </c>
      <c r="C102" s="3" t="s">
        <v>340</v>
      </c>
      <c r="D102" s="4">
        <v>282</v>
      </c>
      <c r="E102" s="5">
        <v>0.36170212765957449</v>
      </c>
      <c r="F102" s="3" t="s">
        <v>82</v>
      </c>
      <c r="G102" s="3" t="s">
        <v>83</v>
      </c>
      <c r="H102" s="3">
        <v>102</v>
      </c>
      <c r="I102" s="3">
        <v>36.200000000000003</v>
      </c>
      <c r="J102" s="3">
        <v>7</v>
      </c>
      <c r="K102" s="3" t="s">
        <v>152</v>
      </c>
      <c r="L102" s="3">
        <v>3</v>
      </c>
      <c r="M102" s="3">
        <v>3</v>
      </c>
      <c r="N102" s="3">
        <v>3</v>
      </c>
      <c r="O102" s="3">
        <v>3</v>
      </c>
      <c r="P102" s="3">
        <v>2</v>
      </c>
      <c r="Q102" s="3">
        <v>3</v>
      </c>
      <c r="R102" s="3" t="s">
        <v>60</v>
      </c>
      <c r="S102" s="3">
        <v>3</v>
      </c>
      <c r="T102" s="3" t="s">
        <v>61</v>
      </c>
      <c r="U102" s="3" t="s">
        <v>62</v>
      </c>
      <c r="V102" s="3" t="s">
        <v>297</v>
      </c>
      <c r="W102" s="3" t="s">
        <v>100</v>
      </c>
      <c r="X102" s="3" t="s">
        <v>101</v>
      </c>
      <c r="Y102" s="3" t="s">
        <v>66</v>
      </c>
      <c r="Z102" s="3" t="s">
        <v>327</v>
      </c>
      <c r="AA102" s="3" t="s">
        <v>68</v>
      </c>
      <c r="AB102" s="3" t="s">
        <v>69</v>
      </c>
      <c r="AC102" s="3" t="s">
        <v>70</v>
      </c>
      <c r="AD102" s="3" t="s">
        <v>71</v>
      </c>
      <c r="AE102" s="3" t="s">
        <v>84</v>
      </c>
      <c r="AF102" s="6">
        <v>0.73199999999999998</v>
      </c>
      <c r="AG102" s="3" t="s">
        <v>61</v>
      </c>
      <c r="AH102" s="3" t="s">
        <v>74</v>
      </c>
      <c r="AI102" s="6">
        <v>0.69099999999999995</v>
      </c>
      <c r="AJ102" s="3" t="s">
        <v>61</v>
      </c>
      <c r="AK102" s="3" t="s">
        <v>85</v>
      </c>
      <c r="AL102" s="6">
        <v>-0.50800000000000001</v>
      </c>
      <c r="AM102" s="7">
        <f>ROUND((L102/3*'[1]01_Parametros'!$B$3+M102/3*'[1]01_Parametros'!$B$4+N102/3*'[1]01_Parametros'!$B$5+O102/3*'[1]01_Parametros'!$B$6+IF(ISNUMBER(SEARCH("Fronteras",U102)),1,0)*'[1]01_Parametros'!$B$7)*100,1)</f>
        <v>100</v>
      </c>
      <c r="AN102" s="7">
        <f>ROUND((E102*'[1]01_Parametros'!$B$8+(1-L102/3)*'[1]01_Parametros'!$B$9+IF(OR(AA102="Alta",AA102="Media"),1,0)*'[1]01_Parametros'!$B$10)*100,1)</f>
        <v>18.100000000000001</v>
      </c>
      <c r="AO102" s="7">
        <f>ROUND((IF(ISNUMBER(SEARCH("AC01",X102)),1,0)*'[1]01_Parametros'!$B$11+IF(OR(ISNUMBER(SEARCH("AC06",X102)),ISNUMBER(SEARCH("AC03",X102))),1,0)*'[1]01_Parametros'!$B$12+(1-ABS(E102-0.5))*'[1]01_Parametros'!$B$13+S102/3.2*'[1]01_Parametros'!$B$14)*100,1)</f>
        <v>96</v>
      </c>
      <c r="AP102" s="7">
        <f>ROUND((L102/3*'[1]01_Parametros'!$B$15+Q102/3*'[1]01_Parametros'!$B$16+P102/3*'[1]01_Parametros'!$B$17+IF(OR(AA102="Media-baja",AA102="Baja"),1,0)*'[1]01_Parametros'!$B$18+S102/3.2*'[1]01_Parametros'!$B$19)*100,1)</f>
        <v>77.7</v>
      </c>
      <c r="AQ102" s="7">
        <f>ROUND((P102/3*'[1]01_Parametros'!$B$20+IF(OR(ISNUMBER(SEARCH("JAC",Z102)),ISNUMBER(SEARCH("JAL",Z102)),ISNUMBER(SEARCH("lider",Z102))),1,0)*'[1]01_Parametros'!$B$21+IF(LEFT(B102,14)="Corregimiento",1,0)*'[1]01_Parametros'!$B$22+Q102/3*'[1]01_Parametros'!$B$23+S102/3.2*'[1]01_Parametros'!$B$24)*100,1)</f>
        <v>34.700000000000003</v>
      </c>
      <c r="AR102" s="3" t="str">
        <f>INDEX('[1]13_Listas'!$A$2:$A$6, MATCH(MAX(AM102:AQ102), AM102:AQ102, 0))</f>
        <v>Protección y orden cotidiano</v>
      </c>
      <c r="AS102" s="3" t="str">
        <f t="shared" si="3"/>
        <v>Protección y orden cotidiano</v>
      </c>
      <c r="AT102" s="3" t="str">
        <f t="shared" si="4"/>
        <v>Activista Causal</v>
      </c>
      <c r="AU102" s="3" t="str">
        <f t="shared" si="5"/>
        <v>Seguridad urbana y combos</v>
      </c>
      <c r="AV102" s="3" t="str">
        <f>IFERROR(VLOOKUP(AS102,'[1]02_Arquetipos_Miedo_Sesgo'!$A$4:$G$8,4,FALSE),"")</f>
        <v>Sesgo de disponibilidad + sesgo de negatividad + preferencia por autoridad.</v>
      </c>
      <c r="AW102" s="3" t="str">
        <f>IFERROR(VLOOKUP(AS102,'[1]02_Arquetipos_Miedo_Sesgo'!$A$4:$G$8,3,FALSE),"")</f>
        <v>Miedo a la inseguridad, al descontrol barrial y a perder la tranquilidad cotidiana.</v>
      </c>
      <c r="AX102" s="3" t="str">
        <f>IFERROR(VLOOKUP(AS102,'[1]02_Arquetipos_Miedo_Sesgo'!$A$4:$G$8,4,FALSE),"")</f>
        <v>Sesgo de disponibilidad + sesgo de negatividad + preferencia por autoridad.</v>
      </c>
      <c r="AY102" s="3" t="str">
        <f>IFERROR(VLOOKUP(AS102,'[1]02_Arquetipos_Miedo_Sesgo'!$A$4:$G$8,5,FALSE),"")</f>
        <v>Seguridad, convivencia, movilidad, alumbrado, reacción institucional rápida, presencia de autoridad.</v>
      </c>
      <c r="AZ102" s="3" t="str">
        <f>IFERROR(VLOOKUP(AS102,'[1]02_Arquetipos_Miedo_Sesgo'!$A$4:$G$8,6,FALSE),"")</f>
        <v>Mostrar capacidad verificable de resolver problemas concretos de seguridad y convivencia sin prometer acciones ilegales.</v>
      </c>
      <c r="BA102" s="3" t="s">
        <v>77</v>
      </c>
    </row>
    <row r="103" spans="1:53" ht="43.2">
      <c r="A103" s="3" t="s">
        <v>341</v>
      </c>
      <c r="B103" s="3" t="s">
        <v>325</v>
      </c>
      <c r="C103" s="3" t="s">
        <v>342</v>
      </c>
      <c r="D103" s="4">
        <v>1975</v>
      </c>
      <c r="E103" s="5">
        <v>0.37468354430379747</v>
      </c>
      <c r="F103" s="3" t="s">
        <v>57</v>
      </c>
      <c r="G103" s="3" t="s">
        <v>58</v>
      </c>
      <c r="H103" s="3">
        <v>740</v>
      </c>
      <c r="I103" s="3">
        <v>37.5</v>
      </c>
      <c r="J103" s="3">
        <v>7</v>
      </c>
      <c r="K103" s="3" t="s">
        <v>152</v>
      </c>
      <c r="L103" s="3">
        <v>3</v>
      </c>
      <c r="M103" s="3">
        <v>3</v>
      </c>
      <c r="N103" s="3">
        <v>3</v>
      </c>
      <c r="O103" s="3">
        <v>3</v>
      </c>
      <c r="P103" s="3">
        <v>2</v>
      </c>
      <c r="Q103" s="3">
        <v>3</v>
      </c>
      <c r="R103" s="3" t="s">
        <v>60</v>
      </c>
      <c r="S103" s="3">
        <v>3</v>
      </c>
      <c r="T103" s="3" t="s">
        <v>61</v>
      </c>
      <c r="U103" s="3" t="s">
        <v>62</v>
      </c>
      <c r="V103" s="3" t="s">
        <v>297</v>
      </c>
      <c r="W103" s="3" t="s">
        <v>100</v>
      </c>
      <c r="X103" s="3" t="s">
        <v>101</v>
      </c>
      <c r="Y103" s="3" t="s">
        <v>66</v>
      </c>
      <c r="Z103" s="3" t="s">
        <v>327</v>
      </c>
      <c r="AA103" s="3" t="s">
        <v>68</v>
      </c>
      <c r="AB103" s="3" t="s">
        <v>69</v>
      </c>
      <c r="AC103" s="3" t="s">
        <v>70</v>
      </c>
      <c r="AD103" s="3" t="s">
        <v>71</v>
      </c>
      <c r="AE103" s="3" t="s">
        <v>72</v>
      </c>
      <c r="AF103" s="6">
        <v>0.36599999999999999</v>
      </c>
      <c r="AG103" s="3" t="s">
        <v>73</v>
      </c>
      <c r="AH103" s="3" t="s">
        <v>74</v>
      </c>
      <c r="AI103" s="6">
        <v>0.497</v>
      </c>
      <c r="AJ103" s="3" t="s">
        <v>75</v>
      </c>
      <c r="AK103" s="3" t="s">
        <v>76</v>
      </c>
      <c r="AL103" s="6">
        <v>-0.38900000000000001</v>
      </c>
      <c r="AM103" s="7">
        <f>ROUND((L103/3*'[1]01_Parametros'!$B$3+M103/3*'[1]01_Parametros'!$B$4+N103/3*'[1]01_Parametros'!$B$5+O103/3*'[1]01_Parametros'!$B$6+IF(ISNUMBER(SEARCH("Fronteras",U103)),1,0)*'[1]01_Parametros'!$B$7)*100,1)</f>
        <v>100</v>
      </c>
      <c r="AN103" s="7">
        <f>ROUND((E103*'[1]01_Parametros'!$B$8+(1-L103/3)*'[1]01_Parametros'!$B$9+IF(OR(AA103="Alta",AA103="Media"),1,0)*'[1]01_Parametros'!$B$10)*100,1)</f>
        <v>18.7</v>
      </c>
      <c r="AO103" s="7">
        <f>ROUND((IF(ISNUMBER(SEARCH("AC01",X103)),1,0)*'[1]01_Parametros'!$B$11+IF(OR(ISNUMBER(SEARCH("AC06",X103)),ISNUMBER(SEARCH("AC03",X103))),1,0)*'[1]01_Parametros'!$B$12+(1-ABS(E103-0.5))*'[1]01_Parametros'!$B$13+S103/3.2*'[1]01_Parametros'!$B$14)*100,1)</f>
        <v>96.2</v>
      </c>
      <c r="AP103" s="7">
        <f>ROUND((L103/3*'[1]01_Parametros'!$B$15+Q103/3*'[1]01_Parametros'!$B$16+P103/3*'[1]01_Parametros'!$B$17+IF(OR(AA103="Media-baja",AA103="Baja"),1,0)*'[1]01_Parametros'!$B$18+S103/3.2*'[1]01_Parametros'!$B$19)*100,1)</f>
        <v>77.7</v>
      </c>
      <c r="AQ103" s="7">
        <f>ROUND((P103/3*'[1]01_Parametros'!$B$20+IF(OR(ISNUMBER(SEARCH("JAC",Z103)),ISNUMBER(SEARCH("JAL",Z103)),ISNUMBER(SEARCH("lider",Z103))),1,0)*'[1]01_Parametros'!$B$21+IF(LEFT(B103,14)="Corregimiento",1,0)*'[1]01_Parametros'!$B$22+Q103/3*'[1]01_Parametros'!$B$23+S103/3.2*'[1]01_Parametros'!$B$24)*100,1)</f>
        <v>34.700000000000003</v>
      </c>
      <c r="AR103" s="3" t="str">
        <f>INDEX('[1]13_Listas'!$A$2:$A$6, MATCH(MAX(AM103:AQ103), AM103:AQ103, 0))</f>
        <v>Protección y orden cotidiano</v>
      </c>
      <c r="AS103" s="3" t="str">
        <f t="shared" si="3"/>
        <v>Protección y orden cotidiano</v>
      </c>
      <c r="AT103" s="3" t="str">
        <f t="shared" si="4"/>
        <v>Activista Causal</v>
      </c>
      <c r="AU103" s="3" t="str">
        <f t="shared" si="5"/>
        <v>Seguridad urbana y combos</v>
      </c>
      <c r="AV103" s="3" t="str">
        <f>IFERROR(VLOOKUP(AS103,'[1]02_Arquetipos_Miedo_Sesgo'!$A$4:$G$8,4,FALSE),"")</f>
        <v>Sesgo de disponibilidad + sesgo de negatividad + preferencia por autoridad.</v>
      </c>
      <c r="AW103" s="3" t="str">
        <f>IFERROR(VLOOKUP(AS103,'[1]02_Arquetipos_Miedo_Sesgo'!$A$4:$G$8,3,FALSE),"")</f>
        <v>Miedo a la inseguridad, al descontrol barrial y a perder la tranquilidad cotidiana.</v>
      </c>
      <c r="AX103" s="3" t="str">
        <f>IFERROR(VLOOKUP(AS103,'[1]02_Arquetipos_Miedo_Sesgo'!$A$4:$G$8,4,FALSE),"")</f>
        <v>Sesgo de disponibilidad + sesgo de negatividad + preferencia por autoridad.</v>
      </c>
      <c r="AY103" s="3" t="str">
        <f>IFERROR(VLOOKUP(AS103,'[1]02_Arquetipos_Miedo_Sesgo'!$A$4:$G$8,5,FALSE),"")</f>
        <v>Seguridad, convivencia, movilidad, alumbrado, reacción institucional rápida, presencia de autoridad.</v>
      </c>
      <c r="AZ103" s="3" t="str">
        <f>IFERROR(VLOOKUP(AS103,'[1]02_Arquetipos_Miedo_Sesgo'!$A$4:$G$8,6,FALSE),"")</f>
        <v>Mostrar capacidad verificable de resolver problemas concretos de seguridad y convivencia sin prometer acciones ilegales.</v>
      </c>
      <c r="BA103" s="3" t="s">
        <v>77</v>
      </c>
    </row>
    <row r="104" spans="1:53" ht="43.2">
      <c r="A104" s="3" t="s">
        <v>343</v>
      </c>
      <c r="B104" s="3" t="s">
        <v>325</v>
      </c>
      <c r="C104" s="3" t="s">
        <v>344</v>
      </c>
      <c r="D104" s="4">
        <v>10</v>
      </c>
      <c r="E104" s="5">
        <v>0.7</v>
      </c>
      <c r="F104" s="3" t="s">
        <v>57</v>
      </c>
      <c r="G104" s="3" t="s">
        <v>58</v>
      </c>
      <c r="H104" s="3">
        <v>7</v>
      </c>
      <c r="I104" s="3">
        <v>70</v>
      </c>
      <c r="J104" s="3">
        <v>7</v>
      </c>
      <c r="K104" s="3" t="s">
        <v>152</v>
      </c>
      <c r="L104" s="3">
        <v>3</v>
      </c>
      <c r="M104" s="3">
        <v>3</v>
      </c>
      <c r="N104" s="3">
        <v>3</v>
      </c>
      <c r="O104" s="3">
        <v>3</v>
      </c>
      <c r="P104" s="3">
        <v>2</v>
      </c>
      <c r="Q104" s="3">
        <v>3</v>
      </c>
      <c r="R104" s="3" t="s">
        <v>60</v>
      </c>
      <c r="S104" s="3">
        <v>3</v>
      </c>
      <c r="T104" s="3" t="s">
        <v>61</v>
      </c>
      <c r="U104" s="3" t="s">
        <v>62</v>
      </c>
      <c r="V104" s="3" t="s">
        <v>297</v>
      </c>
      <c r="W104" s="3" t="s">
        <v>100</v>
      </c>
      <c r="X104" s="3" t="s">
        <v>101</v>
      </c>
      <c r="Y104" s="3" t="s">
        <v>66</v>
      </c>
      <c r="Z104" s="3" t="s">
        <v>327</v>
      </c>
      <c r="AA104" s="3" t="s">
        <v>68</v>
      </c>
      <c r="AB104" s="3" t="s">
        <v>69</v>
      </c>
      <c r="AC104" s="3" t="s">
        <v>70</v>
      </c>
      <c r="AD104" s="3" t="s">
        <v>71</v>
      </c>
      <c r="AE104" s="3" t="s">
        <v>72</v>
      </c>
      <c r="AF104" s="6">
        <v>0.36599999999999999</v>
      </c>
      <c r="AG104" s="3" t="s">
        <v>73</v>
      </c>
      <c r="AH104" s="3" t="s">
        <v>74</v>
      </c>
      <c r="AI104" s="6">
        <v>0.497</v>
      </c>
      <c r="AJ104" s="3" t="s">
        <v>75</v>
      </c>
      <c r="AK104" s="3" t="s">
        <v>76</v>
      </c>
      <c r="AL104" s="6">
        <v>-0.38900000000000001</v>
      </c>
      <c r="AM104" s="7">
        <f>ROUND((L104/3*'[1]01_Parametros'!$B$3+M104/3*'[1]01_Parametros'!$B$4+N104/3*'[1]01_Parametros'!$B$5+O104/3*'[1]01_Parametros'!$B$6+IF(ISNUMBER(SEARCH("Fronteras",U104)),1,0)*'[1]01_Parametros'!$B$7)*100,1)</f>
        <v>100</v>
      </c>
      <c r="AN104" s="7">
        <f>ROUND((E104*'[1]01_Parametros'!$B$8+(1-L104/3)*'[1]01_Parametros'!$B$9+IF(OR(AA104="Alta",AA104="Media"),1,0)*'[1]01_Parametros'!$B$10)*100,1)</f>
        <v>35</v>
      </c>
      <c r="AO104" s="7">
        <f>ROUND((IF(ISNUMBER(SEARCH("AC01",X104)),1,0)*'[1]01_Parametros'!$B$11+IF(OR(ISNUMBER(SEARCH("AC06",X104)),ISNUMBER(SEARCH("AC03",X104))),1,0)*'[1]01_Parametros'!$B$12+(1-ABS(E104-0.5))*'[1]01_Parametros'!$B$13+S104/3.2*'[1]01_Parametros'!$B$14)*100,1)</f>
        <v>94.8</v>
      </c>
      <c r="AP104" s="7">
        <f>ROUND((L104/3*'[1]01_Parametros'!$B$15+Q104/3*'[1]01_Parametros'!$B$16+P104/3*'[1]01_Parametros'!$B$17+IF(OR(AA104="Media-baja",AA104="Baja"),1,0)*'[1]01_Parametros'!$B$18+S104/3.2*'[1]01_Parametros'!$B$19)*100,1)</f>
        <v>77.7</v>
      </c>
      <c r="AQ104" s="7">
        <f>ROUND((P104/3*'[1]01_Parametros'!$B$20+IF(OR(ISNUMBER(SEARCH("JAC",Z104)),ISNUMBER(SEARCH("JAL",Z104)),ISNUMBER(SEARCH("lider",Z104))),1,0)*'[1]01_Parametros'!$B$21+IF(LEFT(B104,14)="Corregimiento",1,0)*'[1]01_Parametros'!$B$22+Q104/3*'[1]01_Parametros'!$B$23+S104/3.2*'[1]01_Parametros'!$B$24)*100,1)</f>
        <v>34.700000000000003</v>
      </c>
      <c r="AR104" s="3" t="str">
        <f>INDEX('[1]13_Listas'!$A$2:$A$6, MATCH(MAX(AM104:AQ104), AM104:AQ104, 0))</f>
        <v>Protección y orden cotidiano</v>
      </c>
      <c r="AS104" s="3" t="str">
        <f t="shared" si="3"/>
        <v>Protección y orden cotidiano</v>
      </c>
      <c r="AT104" s="3" t="str">
        <f t="shared" si="4"/>
        <v>Activista Causal</v>
      </c>
      <c r="AU104" s="3" t="str">
        <f t="shared" si="5"/>
        <v>Seguridad urbana y combos</v>
      </c>
      <c r="AV104" s="3" t="str">
        <f>IFERROR(VLOOKUP(AS104,'[1]02_Arquetipos_Miedo_Sesgo'!$A$4:$G$8,4,FALSE),"")</f>
        <v>Sesgo de disponibilidad + sesgo de negatividad + preferencia por autoridad.</v>
      </c>
      <c r="AW104" s="3" t="str">
        <f>IFERROR(VLOOKUP(AS104,'[1]02_Arquetipos_Miedo_Sesgo'!$A$4:$G$8,3,FALSE),"")</f>
        <v>Miedo a la inseguridad, al descontrol barrial y a perder la tranquilidad cotidiana.</v>
      </c>
      <c r="AX104" s="3" t="str">
        <f>IFERROR(VLOOKUP(AS104,'[1]02_Arquetipos_Miedo_Sesgo'!$A$4:$G$8,4,FALSE),"")</f>
        <v>Sesgo de disponibilidad + sesgo de negatividad + preferencia por autoridad.</v>
      </c>
      <c r="AY104" s="3" t="str">
        <f>IFERROR(VLOOKUP(AS104,'[1]02_Arquetipos_Miedo_Sesgo'!$A$4:$G$8,5,FALSE),"")</f>
        <v>Seguridad, convivencia, movilidad, alumbrado, reacción institucional rápida, presencia de autoridad.</v>
      </c>
      <c r="AZ104" s="3" t="str">
        <f>IFERROR(VLOOKUP(AS104,'[1]02_Arquetipos_Miedo_Sesgo'!$A$4:$G$8,6,FALSE),"")</f>
        <v>Mostrar capacidad verificable de resolver problemas concretos de seguridad y convivencia sin prometer acciones ilegales.</v>
      </c>
      <c r="BA104" s="3" t="s">
        <v>77</v>
      </c>
    </row>
    <row r="105" spans="1:53" ht="43.2">
      <c r="A105" s="3" t="s">
        <v>345</v>
      </c>
      <c r="B105" s="3" t="s">
        <v>346</v>
      </c>
      <c r="C105" s="3" t="s">
        <v>347</v>
      </c>
      <c r="D105" s="4">
        <v>1015</v>
      </c>
      <c r="E105" s="5">
        <v>0.42463054187192117</v>
      </c>
      <c r="F105" s="3" t="s">
        <v>82</v>
      </c>
      <c r="G105" s="3" t="s">
        <v>83</v>
      </c>
      <c r="H105" s="3">
        <v>431</v>
      </c>
      <c r="I105" s="3">
        <v>42.5</v>
      </c>
      <c r="J105" s="3">
        <v>13</v>
      </c>
      <c r="K105" s="3" t="s">
        <v>238</v>
      </c>
      <c r="L105" s="3">
        <v>3</v>
      </c>
      <c r="M105" s="3">
        <v>3</v>
      </c>
      <c r="N105" s="3">
        <v>3</v>
      </c>
      <c r="O105" s="3">
        <v>3</v>
      </c>
      <c r="P105" s="3">
        <v>2</v>
      </c>
      <c r="Q105" s="3">
        <v>3</v>
      </c>
      <c r="R105" s="3" t="s">
        <v>260</v>
      </c>
      <c r="S105" s="3">
        <v>3.2</v>
      </c>
      <c r="T105" s="3" t="s">
        <v>348</v>
      </c>
      <c r="U105" s="3" t="s">
        <v>62</v>
      </c>
      <c r="V105" s="3" t="s">
        <v>99</v>
      </c>
      <c r="W105" s="3" t="s">
        <v>64</v>
      </c>
      <c r="X105" s="3" t="s">
        <v>101</v>
      </c>
      <c r="Y105" s="3" t="s">
        <v>66</v>
      </c>
      <c r="Z105" s="3" t="s">
        <v>349</v>
      </c>
      <c r="AA105" s="3" t="s">
        <v>61</v>
      </c>
      <c r="AB105" s="3" t="s">
        <v>69</v>
      </c>
      <c r="AC105" s="3" t="s">
        <v>70</v>
      </c>
      <c r="AD105" s="3" t="s">
        <v>71</v>
      </c>
      <c r="AE105" s="3" t="s">
        <v>84</v>
      </c>
      <c r="AF105" s="6">
        <v>0.73199999999999998</v>
      </c>
      <c r="AG105" s="3" t="s">
        <v>61</v>
      </c>
      <c r="AH105" s="3" t="s">
        <v>74</v>
      </c>
      <c r="AI105" s="6">
        <v>0.69099999999999995</v>
      </c>
      <c r="AJ105" s="3" t="s">
        <v>61</v>
      </c>
      <c r="AK105" s="3" t="s">
        <v>85</v>
      </c>
      <c r="AL105" s="6">
        <v>-0.50800000000000001</v>
      </c>
      <c r="AM105" s="7">
        <f>ROUND((L105/3*'[1]01_Parametros'!$B$3+M105/3*'[1]01_Parametros'!$B$4+N105/3*'[1]01_Parametros'!$B$5+O105/3*'[1]01_Parametros'!$B$6+IF(ISNUMBER(SEARCH("Fronteras",U105)),1,0)*'[1]01_Parametros'!$B$7)*100,1)</f>
        <v>100</v>
      </c>
      <c r="AN105" s="7">
        <f>ROUND((E105*'[1]01_Parametros'!$B$8+(1-L105/3)*'[1]01_Parametros'!$B$9+IF(OR(AA105="Alta",AA105="Media"),1,0)*'[1]01_Parametros'!$B$10)*100,1)</f>
        <v>41.2</v>
      </c>
      <c r="AO105" s="7">
        <f>ROUND((IF(ISNUMBER(SEARCH("AC01",X105)),1,0)*'[1]01_Parametros'!$B$11+IF(OR(ISNUMBER(SEARCH("AC06",X105)),ISNUMBER(SEARCH("AC03",X105))),1,0)*'[1]01_Parametros'!$B$12+(1-ABS(E105-0.5))*'[1]01_Parametros'!$B$13+S105/3.2*'[1]01_Parametros'!$B$14)*100,1)</f>
        <v>98.5</v>
      </c>
      <c r="AP105" s="7">
        <f>ROUND((L105/3*'[1]01_Parametros'!$B$15+Q105/3*'[1]01_Parametros'!$B$16+P105/3*'[1]01_Parametros'!$B$17+IF(OR(AA105="Media-baja",AA105="Baja"),1,0)*'[1]01_Parametros'!$B$18+S105/3.2*'[1]01_Parametros'!$B$19)*100,1)</f>
        <v>78.3</v>
      </c>
      <c r="AQ105" s="7">
        <f>ROUND((P105/3*'[1]01_Parametros'!$B$20+IF(OR(ISNUMBER(SEARCH("JAC",Z105)),ISNUMBER(SEARCH("JAL",Z105)),ISNUMBER(SEARCH("lider",Z105))),1,0)*'[1]01_Parametros'!$B$21+IF(LEFT(B105,14)="Corregimiento",1,0)*'[1]01_Parametros'!$B$22+Q105/3*'[1]01_Parametros'!$B$23+S105/3.2*'[1]01_Parametros'!$B$24)*100,1)</f>
        <v>35</v>
      </c>
      <c r="AR105" s="3" t="str">
        <f>INDEX('[1]13_Listas'!$A$2:$A$6, MATCH(MAX(AM105:AQ105), AM105:AQ105, 0))</f>
        <v>Protección y orden cotidiano</v>
      </c>
      <c r="AS105" s="3" t="str">
        <f t="shared" si="3"/>
        <v>Protección y orden cotidiano</v>
      </c>
      <c r="AT105" s="3" t="str">
        <f t="shared" si="4"/>
        <v>Activista Causal</v>
      </c>
      <c r="AU105" s="3" t="str">
        <f t="shared" si="5"/>
        <v>Seguridad urbana y combos</v>
      </c>
      <c r="AV105" s="3" t="str">
        <f>IFERROR(VLOOKUP(AS105,'[1]02_Arquetipos_Miedo_Sesgo'!$A$4:$G$8,4,FALSE),"")</f>
        <v>Sesgo de disponibilidad + sesgo de negatividad + preferencia por autoridad.</v>
      </c>
      <c r="AW105" s="3" t="str">
        <f>IFERROR(VLOOKUP(AS105,'[1]02_Arquetipos_Miedo_Sesgo'!$A$4:$G$8,3,FALSE),"")</f>
        <v>Miedo a la inseguridad, al descontrol barrial y a perder la tranquilidad cotidiana.</v>
      </c>
      <c r="AX105" s="3" t="str">
        <f>IFERROR(VLOOKUP(AS105,'[1]02_Arquetipos_Miedo_Sesgo'!$A$4:$G$8,4,FALSE),"")</f>
        <v>Sesgo de disponibilidad + sesgo de negatividad + preferencia por autoridad.</v>
      </c>
      <c r="AY105" s="3" t="str">
        <f>IFERROR(VLOOKUP(AS105,'[1]02_Arquetipos_Miedo_Sesgo'!$A$4:$G$8,5,FALSE),"")</f>
        <v>Seguridad, convivencia, movilidad, alumbrado, reacción institucional rápida, presencia de autoridad.</v>
      </c>
      <c r="AZ105" s="3" t="str">
        <f>IFERROR(VLOOKUP(AS105,'[1]02_Arquetipos_Miedo_Sesgo'!$A$4:$G$8,6,FALSE),"")</f>
        <v>Mostrar capacidad verificable de resolver problemas concretos de seguridad y convivencia sin prometer acciones ilegales.</v>
      </c>
      <c r="BA105" s="3" t="s">
        <v>77</v>
      </c>
    </row>
    <row r="106" spans="1:53" ht="43.2">
      <c r="A106" s="3" t="s">
        <v>350</v>
      </c>
      <c r="B106" s="3" t="s">
        <v>346</v>
      </c>
      <c r="C106" s="3" t="s">
        <v>351</v>
      </c>
      <c r="D106" s="4">
        <v>2928</v>
      </c>
      <c r="E106" s="5">
        <v>0.36475409836065575</v>
      </c>
      <c r="F106" s="3" t="s">
        <v>82</v>
      </c>
      <c r="G106" s="3" t="s">
        <v>83</v>
      </c>
      <c r="H106" s="3">
        <v>1068</v>
      </c>
      <c r="I106" s="3">
        <v>36.5</v>
      </c>
      <c r="J106" s="3">
        <v>13</v>
      </c>
      <c r="K106" s="3" t="s">
        <v>238</v>
      </c>
      <c r="L106" s="3">
        <v>3</v>
      </c>
      <c r="M106" s="3">
        <v>3</v>
      </c>
      <c r="N106" s="3">
        <v>3</v>
      </c>
      <c r="O106" s="3">
        <v>3</v>
      </c>
      <c r="P106" s="3">
        <v>2</v>
      </c>
      <c r="Q106" s="3">
        <v>3</v>
      </c>
      <c r="R106" s="3" t="s">
        <v>260</v>
      </c>
      <c r="S106" s="3">
        <v>3.2</v>
      </c>
      <c r="T106" s="3" t="s">
        <v>348</v>
      </c>
      <c r="U106" s="3" t="s">
        <v>62</v>
      </c>
      <c r="V106" s="3" t="s">
        <v>99</v>
      </c>
      <c r="W106" s="3" t="s">
        <v>64</v>
      </c>
      <c r="X106" s="3" t="s">
        <v>101</v>
      </c>
      <c r="Y106" s="3" t="s">
        <v>66</v>
      </c>
      <c r="Z106" s="3" t="s">
        <v>349</v>
      </c>
      <c r="AA106" s="3" t="s">
        <v>61</v>
      </c>
      <c r="AB106" s="3" t="s">
        <v>69</v>
      </c>
      <c r="AC106" s="3" t="s">
        <v>70</v>
      </c>
      <c r="AD106" s="3" t="s">
        <v>71</v>
      </c>
      <c r="AE106" s="3" t="s">
        <v>84</v>
      </c>
      <c r="AF106" s="6">
        <v>0.73199999999999998</v>
      </c>
      <c r="AG106" s="3" t="s">
        <v>61</v>
      </c>
      <c r="AH106" s="3" t="s">
        <v>74</v>
      </c>
      <c r="AI106" s="6">
        <v>0.69099999999999995</v>
      </c>
      <c r="AJ106" s="3" t="s">
        <v>61</v>
      </c>
      <c r="AK106" s="3" t="s">
        <v>85</v>
      </c>
      <c r="AL106" s="6">
        <v>-0.50800000000000001</v>
      </c>
      <c r="AM106" s="7">
        <f>ROUND((L106/3*'[1]01_Parametros'!$B$3+M106/3*'[1]01_Parametros'!$B$4+N106/3*'[1]01_Parametros'!$B$5+O106/3*'[1]01_Parametros'!$B$6+IF(ISNUMBER(SEARCH("Fronteras",U106)),1,0)*'[1]01_Parametros'!$B$7)*100,1)</f>
        <v>100</v>
      </c>
      <c r="AN106" s="7">
        <f>ROUND((E106*'[1]01_Parametros'!$B$8+(1-L106/3)*'[1]01_Parametros'!$B$9+IF(OR(AA106="Alta",AA106="Media"),1,0)*'[1]01_Parametros'!$B$10)*100,1)</f>
        <v>38.200000000000003</v>
      </c>
      <c r="AO106" s="7">
        <f>ROUND((IF(ISNUMBER(SEARCH("AC01",X106)),1,0)*'[1]01_Parametros'!$B$11+IF(OR(ISNUMBER(SEARCH("AC06",X106)),ISNUMBER(SEARCH("AC03",X106))),1,0)*'[1]01_Parametros'!$B$12+(1-ABS(E106-0.5))*'[1]01_Parametros'!$B$13+S106/3.2*'[1]01_Parametros'!$B$14)*100,1)</f>
        <v>97.3</v>
      </c>
      <c r="AP106" s="7">
        <f>ROUND((L106/3*'[1]01_Parametros'!$B$15+Q106/3*'[1]01_Parametros'!$B$16+P106/3*'[1]01_Parametros'!$B$17+IF(OR(AA106="Media-baja",AA106="Baja"),1,0)*'[1]01_Parametros'!$B$18+S106/3.2*'[1]01_Parametros'!$B$19)*100,1)</f>
        <v>78.3</v>
      </c>
      <c r="AQ106" s="7">
        <f>ROUND((P106/3*'[1]01_Parametros'!$B$20+IF(OR(ISNUMBER(SEARCH("JAC",Z106)),ISNUMBER(SEARCH("JAL",Z106)),ISNUMBER(SEARCH("lider",Z106))),1,0)*'[1]01_Parametros'!$B$21+IF(LEFT(B106,14)="Corregimiento",1,0)*'[1]01_Parametros'!$B$22+Q106/3*'[1]01_Parametros'!$B$23+S106/3.2*'[1]01_Parametros'!$B$24)*100,1)</f>
        <v>35</v>
      </c>
      <c r="AR106" s="3" t="str">
        <f>INDEX('[1]13_Listas'!$A$2:$A$6, MATCH(MAX(AM106:AQ106), AM106:AQ106, 0))</f>
        <v>Protección y orden cotidiano</v>
      </c>
      <c r="AS106" s="3" t="str">
        <f t="shared" si="3"/>
        <v>Protección y orden cotidiano</v>
      </c>
      <c r="AT106" s="3" t="str">
        <f t="shared" si="4"/>
        <v>Activista Causal</v>
      </c>
      <c r="AU106" s="3" t="str">
        <f t="shared" si="5"/>
        <v>Seguridad urbana y combos</v>
      </c>
      <c r="AV106" s="3" t="str">
        <f>IFERROR(VLOOKUP(AS106,'[1]02_Arquetipos_Miedo_Sesgo'!$A$4:$G$8,4,FALSE),"")</f>
        <v>Sesgo de disponibilidad + sesgo de negatividad + preferencia por autoridad.</v>
      </c>
      <c r="AW106" s="3" t="str">
        <f>IFERROR(VLOOKUP(AS106,'[1]02_Arquetipos_Miedo_Sesgo'!$A$4:$G$8,3,FALSE),"")</f>
        <v>Miedo a la inseguridad, al descontrol barrial y a perder la tranquilidad cotidiana.</v>
      </c>
      <c r="AX106" s="3" t="str">
        <f>IFERROR(VLOOKUP(AS106,'[1]02_Arquetipos_Miedo_Sesgo'!$A$4:$G$8,4,FALSE),"")</f>
        <v>Sesgo de disponibilidad + sesgo de negatividad + preferencia por autoridad.</v>
      </c>
      <c r="AY106" s="3" t="str">
        <f>IFERROR(VLOOKUP(AS106,'[1]02_Arquetipos_Miedo_Sesgo'!$A$4:$G$8,5,FALSE),"")</f>
        <v>Seguridad, convivencia, movilidad, alumbrado, reacción institucional rápida, presencia de autoridad.</v>
      </c>
      <c r="AZ106" s="3" t="str">
        <f>IFERROR(VLOOKUP(AS106,'[1]02_Arquetipos_Miedo_Sesgo'!$A$4:$G$8,6,FALSE),"")</f>
        <v>Mostrar capacidad verificable de resolver problemas concretos de seguridad y convivencia sin prometer acciones ilegales.</v>
      </c>
      <c r="BA106" s="3" t="s">
        <v>77</v>
      </c>
    </row>
    <row r="107" spans="1:53" ht="43.2">
      <c r="A107" s="3" t="s">
        <v>352</v>
      </c>
      <c r="B107" s="3" t="s">
        <v>346</v>
      </c>
      <c r="C107" s="3" t="s">
        <v>353</v>
      </c>
      <c r="D107" s="4">
        <v>369</v>
      </c>
      <c r="E107" s="5">
        <v>0.33333333333333331</v>
      </c>
      <c r="F107" s="3" t="s">
        <v>57</v>
      </c>
      <c r="G107" s="3" t="s">
        <v>58</v>
      </c>
      <c r="H107" s="3">
        <v>123</v>
      </c>
      <c r="I107" s="3">
        <v>33.299999999999997</v>
      </c>
      <c r="J107" s="3">
        <v>13</v>
      </c>
      <c r="K107" s="3" t="s">
        <v>238</v>
      </c>
      <c r="L107" s="3">
        <v>3</v>
      </c>
      <c r="M107" s="3">
        <v>3</v>
      </c>
      <c r="N107" s="3">
        <v>3</v>
      </c>
      <c r="O107" s="3">
        <v>3</v>
      </c>
      <c r="P107" s="3">
        <v>2</v>
      </c>
      <c r="Q107" s="3">
        <v>3</v>
      </c>
      <c r="R107" s="3" t="s">
        <v>260</v>
      </c>
      <c r="S107" s="3">
        <v>3.2</v>
      </c>
      <c r="T107" s="3" t="s">
        <v>348</v>
      </c>
      <c r="U107" s="3" t="s">
        <v>62</v>
      </c>
      <c r="V107" s="3" t="s">
        <v>99</v>
      </c>
      <c r="W107" s="3" t="s">
        <v>64</v>
      </c>
      <c r="X107" s="3" t="s">
        <v>101</v>
      </c>
      <c r="Y107" s="3" t="s">
        <v>66</v>
      </c>
      <c r="Z107" s="3" t="s">
        <v>349</v>
      </c>
      <c r="AA107" s="3" t="s">
        <v>61</v>
      </c>
      <c r="AB107" s="3" t="s">
        <v>69</v>
      </c>
      <c r="AC107" s="3" t="s">
        <v>70</v>
      </c>
      <c r="AD107" s="3" t="s">
        <v>71</v>
      </c>
      <c r="AE107" s="3" t="s">
        <v>72</v>
      </c>
      <c r="AF107" s="6">
        <v>0.36599999999999999</v>
      </c>
      <c r="AG107" s="3" t="s">
        <v>73</v>
      </c>
      <c r="AH107" s="3" t="s">
        <v>74</v>
      </c>
      <c r="AI107" s="6">
        <v>0.497</v>
      </c>
      <c r="AJ107" s="3" t="s">
        <v>75</v>
      </c>
      <c r="AK107" s="3" t="s">
        <v>76</v>
      </c>
      <c r="AL107" s="6">
        <v>-0.38900000000000001</v>
      </c>
      <c r="AM107" s="7">
        <f>ROUND((L107/3*'[1]01_Parametros'!$B$3+M107/3*'[1]01_Parametros'!$B$4+N107/3*'[1]01_Parametros'!$B$5+O107/3*'[1]01_Parametros'!$B$6+IF(ISNUMBER(SEARCH("Fronteras",U107)),1,0)*'[1]01_Parametros'!$B$7)*100,1)</f>
        <v>100</v>
      </c>
      <c r="AN107" s="7">
        <f>ROUND((E107*'[1]01_Parametros'!$B$8+(1-L107/3)*'[1]01_Parametros'!$B$9+IF(OR(AA107="Alta",AA107="Media"),1,0)*'[1]01_Parametros'!$B$10)*100,1)</f>
        <v>36.700000000000003</v>
      </c>
      <c r="AO107" s="7">
        <f>ROUND((IF(ISNUMBER(SEARCH("AC01",X107)),1,0)*'[1]01_Parametros'!$B$11+IF(OR(ISNUMBER(SEARCH("AC06",X107)),ISNUMBER(SEARCH("AC03",X107))),1,0)*'[1]01_Parametros'!$B$12+(1-ABS(E107-0.5))*'[1]01_Parametros'!$B$13+S107/3.2*'[1]01_Parametros'!$B$14)*100,1)</f>
        <v>96.7</v>
      </c>
      <c r="AP107" s="7">
        <f>ROUND((L107/3*'[1]01_Parametros'!$B$15+Q107/3*'[1]01_Parametros'!$B$16+P107/3*'[1]01_Parametros'!$B$17+IF(OR(AA107="Media-baja",AA107="Baja"),1,0)*'[1]01_Parametros'!$B$18+S107/3.2*'[1]01_Parametros'!$B$19)*100,1)</f>
        <v>78.3</v>
      </c>
      <c r="AQ107" s="7">
        <f>ROUND((P107/3*'[1]01_Parametros'!$B$20+IF(OR(ISNUMBER(SEARCH("JAC",Z107)),ISNUMBER(SEARCH("JAL",Z107)),ISNUMBER(SEARCH("lider",Z107))),1,0)*'[1]01_Parametros'!$B$21+IF(LEFT(B107,14)="Corregimiento",1,0)*'[1]01_Parametros'!$B$22+Q107/3*'[1]01_Parametros'!$B$23+S107/3.2*'[1]01_Parametros'!$B$24)*100,1)</f>
        <v>35</v>
      </c>
      <c r="AR107" s="3" t="str">
        <f>INDEX('[1]13_Listas'!$A$2:$A$6, MATCH(MAX(AM107:AQ107), AM107:AQ107, 0))</f>
        <v>Protección y orden cotidiano</v>
      </c>
      <c r="AS107" s="3" t="str">
        <f t="shared" si="3"/>
        <v>Protección y orden cotidiano</v>
      </c>
      <c r="AT107" s="3" t="str">
        <f t="shared" si="4"/>
        <v>Activista Causal</v>
      </c>
      <c r="AU107" s="3" t="str">
        <f t="shared" si="5"/>
        <v>Seguridad urbana y combos</v>
      </c>
      <c r="AV107" s="3" t="str">
        <f>IFERROR(VLOOKUP(AS107,'[1]02_Arquetipos_Miedo_Sesgo'!$A$4:$G$8,4,FALSE),"")</f>
        <v>Sesgo de disponibilidad + sesgo de negatividad + preferencia por autoridad.</v>
      </c>
      <c r="AW107" s="3" t="str">
        <f>IFERROR(VLOOKUP(AS107,'[1]02_Arquetipos_Miedo_Sesgo'!$A$4:$G$8,3,FALSE),"")</f>
        <v>Miedo a la inseguridad, al descontrol barrial y a perder la tranquilidad cotidiana.</v>
      </c>
      <c r="AX107" s="3" t="str">
        <f>IFERROR(VLOOKUP(AS107,'[1]02_Arquetipos_Miedo_Sesgo'!$A$4:$G$8,4,FALSE),"")</f>
        <v>Sesgo de disponibilidad + sesgo de negatividad + preferencia por autoridad.</v>
      </c>
      <c r="AY107" s="3" t="str">
        <f>IFERROR(VLOOKUP(AS107,'[1]02_Arquetipos_Miedo_Sesgo'!$A$4:$G$8,5,FALSE),"")</f>
        <v>Seguridad, convivencia, movilidad, alumbrado, reacción institucional rápida, presencia de autoridad.</v>
      </c>
      <c r="AZ107" s="3" t="str">
        <f>IFERROR(VLOOKUP(AS107,'[1]02_Arquetipos_Miedo_Sesgo'!$A$4:$G$8,6,FALSE),"")</f>
        <v>Mostrar capacidad verificable de resolver problemas concretos de seguridad y convivencia sin prometer acciones ilegales.</v>
      </c>
      <c r="BA107" s="3" t="s">
        <v>77</v>
      </c>
    </row>
    <row r="108" spans="1:53" ht="43.2">
      <c r="A108" s="3" t="s">
        <v>354</v>
      </c>
      <c r="B108" s="3" t="s">
        <v>346</v>
      </c>
      <c r="C108" s="3" t="s">
        <v>355</v>
      </c>
      <c r="D108" s="4">
        <v>275</v>
      </c>
      <c r="E108" s="5">
        <v>0.54909090909090907</v>
      </c>
      <c r="F108" s="3" t="s">
        <v>82</v>
      </c>
      <c r="G108" s="3" t="s">
        <v>83</v>
      </c>
      <c r="H108" s="3">
        <v>151</v>
      </c>
      <c r="I108" s="3">
        <v>54.9</v>
      </c>
      <c r="J108" s="3">
        <v>13</v>
      </c>
      <c r="K108" s="3" t="s">
        <v>238</v>
      </c>
      <c r="L108" s="3">
        <v>3</v>
      </c>
      <c r="M108" s="3">
        <v>3</v>
      </c>
      <c r="N108" s="3">
        <v>3</v>
      </c>
      <c r="O108" s="3">
        <v>3</v>
      </c>
      <c r="P108" s="3">
        <v>2</v>
      </c>
      <c r="Q108" s="3">
        <v>3</v>
      </c>
      <c r="R108" s="3" t="s">
        <v>260</v>
      </c>
      <c r="S108" s="3">
        <v>3.2</v>
      </c>
      <c r="T108" s="3" t="s">
        <v>348</v>
      </c>
      <c r="U108" s="3" t="s">
        <v>62</v>
      </c>
      <c r="V108" s="3" t="s">
        <v>99</v>
      </c>
      <c r="W108" s="3" t="s">
        <v>64</v>
      </c>
      <c r="X108" s="3" t="s">
        <v>101</v>
      </c>
      <c r="Y108" s="3" t="s">
        <v>66</v>
      </c>
      <c r="Z108" s="3" t="s">
        <v>349</v>
      </c>
      <c r="AA108" s="3" t="s">
        <v>61</v>
      </c>
      <c r="AB108" s="3" t="s">
        <v>69</v>
      </c>
      <c r="AC108" s="3" t="s">
        <v>70</v>
      </c>
      <c r="AD108" s="3" t="s">
        <v>71</v>
      </c>
      <c r="AE108" s="3" t="s">
        <v>84</v>
      </c>
      <c r="AF108" s="6">
        <v>0.73199999999999998</v>
      </c>
      <c r="AG108" s="3" t="s">
        <v>61</v>
      </c>
      <c r="AH108" s="3" t="s">
        <v>74</v>
      </c>
      <c r="AI108" s="6">
        <v>0.69099999999999995</v>
      </c>
      <c r="AJ108" s="3" t="s">
        <v>61</v>
      </c>
      <c r="AK108" s="3" t="s">
        <v>85</v>
      </c>
      <c r="AL108" s="6">
        <v>-0.50800000000000001</v>
      </c>
      <c r="AM108" s="7">
        <f>ROUND((L108/3*'[1]01_Parametros'!$B$3+M108/3*'[1]01_Parametros'!$B$4+N108/3*'[1]01_Parametros'!$B$5+O108/3*'[1]01_Parametros'!$B$6+IF(ISNUMBER(SEARCH("Fronteras",U108)),1,0)*'[1]01_Parametros'!$B$7)*100,1)</f>
        <v>100</v>
      </c>
      <c r="AN108" s="7">
        <f>ROUND((E108*'[1]01_Parametros'!$B$8+(1-L108/3)*'[1]01_Parametros'!$B$9+IF(OR(AA108="Alta",AA108="Media"),1,0)*'[1]01_Parametros'!$B$10)*100,1)</f>
        <v>47.5</v>
      </c>
      <c r="AO108" s="7">
        <f>ROUND((IF(ISNUMBER(SEARCH("AC01",X108)),1,0)*'[1]01_Parametros'!$B$11+IF(OR(ISNUMBER(SEARCH("AC06",X108)),ISNUMBER(SEARCH("AC03",X108))),1,0)*'[1]01_Parametros'!$B$12+(1-ABS(E108-0.5))*'[1]01_Parametros'!$B$13+S108/3.2*'[1]01_Parametros'!$B$14)*100,1)</f>
        <v>99</v>
      </c>
      <c r="AP108" s="7">
        <f>ROUND((L108/3*'[1]01_Parametros'!$B$15+Q108/3*'[1]01_Parametros'!$B$16+P108/3*'[1]01_Parametros'!$B$17+IF(OR(AA108="Media-baja",AA108="Baja"),1,0)*'[1]01_Parametros'!$B$18+S108/3.2*'[1]01_Parametros'!$B$19)*100,1)</f>
        <v>78.3</v>
      </c>
      <c r="AQ108" s="7">
        <f>ROUND((P108/3*'[1]01_Parametros'!$B$20+IF(OR(ISNUMBER(SEARCH("JAC",Z108)),ISNUMBER(SEARCH("JAL",Z108)),ISNUMBER(SEARCH("lider",Z108))),1,0)*'[1]01_Parametros'!$B$21+IF(LEFT(B108,14)="Corregimiento",1,0)*'[1]01_Parametros'!$B$22+Q108/3*'[1]01_Parametros'!$B$23+S108/3.2*'[1]01_Parametros'!$B$24)*100,1)</f>
        <v>35</v>
      </c>
      <c r="AR108" s="3" t="str">
        <f>INDEX('[1]13_Listas'!$A$2:$A$6, MATCH(MAX(AM108:AQ108), AM108:AQ108, 0))</f>
        <v>Protección y orden cotidiano</v>
      </c>
      <c r="AS108" s="3" t="str">
        <f t="shared" si="3"/>
        <v>Protección y orden cotidiano</v>
      </c>
      <c r="AT108" s="3" t="str">
        <f t="shared" si="4"/>
        <v>Activista Causal</v>
      </c>
      <c r="AU108" s="3" t="str">
        <f t="shared" si="5"/>
        <v>Seguridad urbana y combos</v>
      </c>
      <c r="AV108" s="3" t="str">
        <f>IFERROR(VLOOKUP(AS108,'[1]02_Arquetipos_Miedo_Sesgo'!$A$4:$G$8,4,FALSE),"")</f>
        <v>Sesgo de disponibilidad + sesgo de negatividad + preferencia por autoridad.</v>
      </c>
      <c r="AW108" s="3" t="str">
        <f>IFERROR(VLOOKUP(AS108,'[1]02_Arquetipos_Miedo_Sesgo'!$A$4:$G$8,3,FALSE),"")</f>
        <v>Miedo a la inseguridad, al descontrol barrial y a perder la tranquilidad cotidiana.</v>
      </c>
      <c r="AX108" s="3" t="str">
        <f>IFERROR(VLOOKUP(AS108,'[1]02_Arquetipos_Miedo_Sesgo'!$A$4:$G$8,4,FALSE),"")</f>
        <v>Sesgo de disponibilidad + sesgo de negatividad + preferencia por autoridad.</v>
      </c>
      <c r="AY108" s="3" t="str">
        <f>IFERROR(VLOOKUP(AS108,'[1]02_Arquetipos_Miedo_Sesgo'!$A$4:$G$8,5,FALSE),"")</f>
        <v>Seguridad, convivencia, movilidad, alumbrado, reacción institucional rápida, presencia de autoridad.</v>
      </c>
      <c r="AZ108" s="3" t="str">
        <f>IFERROR(VLOOKUP(AS108,'[1]02_Arquetipos_Miedo_Sesgo'!$A$4:$G$8,6,FALSE),"")</f>
        <v>Mostrar capacidad verificable de resolver problemas concretos de seguridad y convivencia sin prometer acciones ilegales.</v>
      </c>
      <c r="BA108" s="3" t="s">
        <v>77</v>
      </c>
    </row>
    <row r="109" spans="1:53" ht="43.2">
      <c r="A109" s="3" t="s">
        <v>356</v>
      </c>
      <c r="B109" s="3" t="s">
        <v>346</v>
      </c>
      <c r="C109" s="3" t="s">
        <v>357</v>
      </c>
      <c r="D109" s="4">
        <v>10432</v>
      </c>
      <c r="E109" s="5">
        <v>0.41631518404907975</v>
      </c>
      <c r="F109" s="3" t="s">
        <v>82</v>
      </c>
      <c r="G109" s="3" t="s">
        <v>83</v>
      </c>
      <c r="H109" s="3">
        <v>4343</v>
      </c>
      <c r="I109" s="3">
        <v>41.6</v>
      </c>
      <c r="J109" s="3">
        <v>13</v>
      </c>
      <c r="K109" s="3" t="s">
        <v>238</v>
      </c>
      <c r="L109" s="3">
        <v>3</v>
      </c>
      <c r="M109" s="3">
        <v>3</v>
      </c>
      <c r="N109" s="3">
        <v>3</v>
      </c>
      <c r="O109" s="3">
        <v>3</v>
      </c>
      <c r="P109" s="3">
        <v>2</v>
      </c>
      <c r="Q109" s="3">
        <v>3</v>
      </c>
      <c r="R109" s="3" t="s">
        <v>260</v>
      </c>
      <c r="S109" s="3">
        <v>3.2</v>
      </c>
      <c r="T109" s="3" t="s">
        <v>348</v>
      </c>
      <c r="U109" s="3" t="s">
        <v>62</v>
      </c>
      <c r="V109" s="3" t="s">
        <v>99</v>
      </c>
      <c r="W109" s="3" t="s">
        <v>64</v>
      </c>
      <c r="X109" s="3" t="s">
        <v>101</v>
      </c>
      <c r="Y109" s="3" t="s">
        <v>66</v>
      </c>
      <c r="Z109" s="3" t="s">
        <v>349</v>
      </c>
      <c r="AA109" s="3" t="s">
        <v>61</v>
      </c>
      <c r="AB109" s="3" t="s">
        <v>69</v>
      </c>
      <c r="AC109" s="3" t="s">
        <v>70</v>
      </c>
      <c r="AD109" s="3" t="s">
        <v>71</v>
      </c>
      <c r="AE109" s="3" t="s">
        <v>84</v>
      </c>
      <c r="AF109" s="6">
        <v>0.73199999999999998</v>
      </c>
      <c r="AG109" s="3" t="s">
        <v>61</v>
      </c>
      <c r="AH109" s="3" t="s">
        <v>74</v>
      </c>
      <c r="AI109" s="6">
        <v>0.69099999999999995</v>
      </c>
      <c r="AJ109" s="3" t="s">
        <v>61</v>
      </c>
      <c r="AK109" s="3" t="s">
        <v>85</v>
      </c>
      <c r="AL109" s="6">
        <v>-0.50800000000000001</v>
      </c>
      <c r="AM109" s="7">
        <f>ROUND((L109/3*'[1]01_Parametros'!$B$3+M109/3*'[1]01_Parametros'!$B$4+N109/3*'[1]01_Parametros'!$B$5+O109/3*'[1]01_Parametros'!$B$6+IF(ISNUMBER(SEARCH("Fronteras",U109)),1,0)*'[1]01_Parametros'!$B$7)*100,1)</f>
        <v>100</v>
      </c>
      <c r="AN109" s="7">
        <f>ROUND((E109*'[1]01_Parametros'!$B$8+(1-L109/3)*'[1]01_Parametros'!$B$9+IF(OR(AA109="Alta",AA109="Media"),1,0)*'[1]01_Parametros'!$B$10)*100,1)</f>
        <v>40.799999999999997</v>
      </c>
      <c r="AO109" s="7">
        <f>ROUND((IF(ISNUMBER(SEARCH("AC01",X109)),1,0)*'[1]01_Parametros'!$B$11+IF(OR(ISNUMBER(SEARCH("AC06",X109)),ISNUMBER(SEARCH("AC03",X109))),1,0)*'[1]01_Parametros'!$B$12+(1-ABS(E109-0.5))*'[1]01_Parametros'!$B$13+S109/3.2*'[1]01_Parametros'!$B$14)*100,1)</f>
        <v>98.3</v>
      </c>
      <c r="AP109" s="7">
        <f>ROUND((L109/3*'[1]01_Parametros'!$B$15+Q109/3*'[1]01_Parametros'!$B$16+P109/3*'[1]01_Parametros'!$B$17+IF(OR(AA109="Media-baja",AA109="Baja"),1,0)*'[1]01_Parametros'!$B$18+S109/3.2*'[1]01_Parametros'!$B$19)*100,1)</f>
        <v>78.3</v>
      </c>
      <c r="AQ109" s="7">
        <f>ROUND((P109/3*'[1]01_Parametros'!$B$20+IF(OR(ISNUMBER(SEARCH("JAC",Z109)),ISNUMBER(SEARCH("JAL",Z109)),ISNUMBER(SEARCH("lider",Z109))),1,0)*'[1]01_Parametros'!$B$21+IF(LEFT(B109,14)="Corregimiento",1,0)*'[1]01_Parametros'!$B$22+Q109/3*'[1]01_Parametros'!$B$23+S109/3.2*'[1]01_Parametros'!$B$24)*100,1)</f>
        <v>35</v>
      </c>
      <c r="AR109" s="3" t="str">
        <f>INDEX('[1]13_Listas'!$A$2:$A$6, MATCH(MAX(AM109:AQ109), AM109:AQ109, 0))</f>
        <v>Protección y orden cotidiano</v>
      </c>
      <c r="AS109" s="3" t="str">
        <f t="shared" si="3"/>
        <v>Protección y orden cotidiano</v>
      </c>
      <c r="AT109" s="3" t="str">
        <f t="shared" si="4"/>
        <v>Activista Causal</v>
      </c>
      <c r="AU109" s="3" t="str">
        <f t="shared" si="5"/>
        <v>Seguridad urbana y combos</v>
      </c>
      <c r="AV109" s="3" t="str">
        <f>IFERROR(VLOOKUP(AS109,'[1]02_Arquetipos_Miedo_Sesgo'!$A$4:$G$8,4,FALSE),"")</f>
        <v>Sesgo de disponibilidad + sesgo de negatividad + preferencia por autoridad.</v>
      </c>
      <c r="AW109" s="3" t="str">
        <f>IFERROR(VLOOKUP(AS109,'[1]02_Arquetipos_Miedo_Sesgo'!$A$4:$G$8,3,FALSE),"")</f>
        <v>Miedo a la inseguridad, al descontrol barrial y a perder la tranquilidad cotidiana.</v>
      </c>
      <c r="AX109" s="3" t="str">
        <f>IFERROR(VLOOKUP(AS109,'[1]02_Arquetipos_Miedo_Sesgo'!$A$4:$G$8,4,FALSE),"")</f>
        <v>Sesgo de disponibilidad + sesgo de negatividad + preferencia por autoridad.</v>
      </c>
      <c r="AY109" s="3" t="str">
        <f>IFERROR(VLOOKUP(AS109,'[1]02_Arquetipos_Miedo_Sesgo'!$A$4:$G$8,5,FALSE),"")</f>
        <v>Seguridad, convivencia, movilidad, alumbrado, reacción institucional rápida, presencia de autoridad.</v>
      </c>
      <c r="AZ109" s="3" t="str">
        <f>IFERROR(VLOOKUP(AS109,'[1]02_Arquetipos_Miedo_Sesgo'!$A$4:$G$8,6,FALSE),"")</f>
        <v>Mostrar capacidad verificable de resolver problemas concretos de seguridad y convivencia sin prometer acciones ilegales.</v>
      </c>
      <c r="BA109" s="3" t="s">
        <v>77</v>
      </c>
    </row>
    <row r="110" spans="1:53" ht="43.2">
      <c r="A110" s="3" t="s">
        <v>358</v>
      </c>
      <c r="B110" s="3" t="s">
        <v>346</v>
      </c>
      <c r="C110" s="3" t="s">
        <v>359</v>
      </c>
      <c r="D110" s="4">
        <v>5460</v>
      </c>
      <c r="E110" s="5">
        <v>0.42527472527472526</v>
      </c>
      <c r="F110" s="3" t="s">
        <v>82</v>
      </c>
      <c r="G110" s="3" t="s">
        <v>83</v>
      </c>
      <c r="H110" s="3">
        <v>2322</v>
      </c>
      <c r="I110" s="3">
        <v>42.5</v>
      </c>
      <c r="J110" s="3">
        <v>13</v>
      </c>
      <c r="K110" s="3" t="s">
        <v>238</v>
      </c>
      <c r="L110" s="3">
        <v>3</v>
      </c>
      <c r="M110" s="3">
        <v>3</v>
      </c>
      <c r="N110" s="3">
        <v>3</v>
      </c>
      <c r="O110" s="3">
        <v>3</v>
      </c>
      <c r="P110" s="3">
        <v>2</v>
      </c>
      <c r="Q110" s="3">
        <v>3</v>
      </c>
      <c r="R110" s="3" t="s">
        <v>260</v>
      </c>
      <c r="S110" s="3">
        <v>3.2</v>
      </c>
      <c r="T110" s="3" t="s">
        <v>348</v>
      </c>
      <c r="U110" s="3" t="s">
        <v>62</v>
      </c>
      <c r="V110" s="3" t="s">
        <v>99</v>
      </c>
      <c r="W110" s="3" t="s">
        <v>64</v>
      </c>
      <c r="X110" s="3" t="s">
        <v>101</v>
      </c>
      <c r="Y110" s="3" t="s">
        <v>66</v>
      </c>
      <c r="Z110" s="3" t="s">
        <v>349</v>
      </c>
      <c r="AA110" s="3" t="s">
        <v>61</v>
      </c>
      <c r="AB110" s="3" t="s">
        <v>69</v>
      </c>
      <c r="AC110" s="3" t="s">
        <v>70</v>
      </c>
      <c r="AD110" s="3" t="s">
        <v>71</v>
      </c>
      <c r="AE110" s="3" t="s">
        <v>84</v>
      </c>
      <c r="AF110" s="6">
        <v>0.73199999999999998</v>
      </c>
      <c r="AG110" s="3" t="s">
        <v>61</v>
      </c>
      <c r="AH110" s="3" t="s">
        <v>74</v>
      </c>
      <c r="AI110" s="6">
        <v>0.69099999999999995</v>
      </c>
      <c r="AJ110" s="3" t="s">
        <v>61</v>
      </c>
      <c r="AK110" s="3" t="s">
        <v>85</v>
      </c>
      <c r="AL110" s="6">
        <v>-0.50800000000000001</v>
      </c>
      <c r="AM110" s="7">
        <f>ROUND((L110/3*'[1]01_Parametros'!$B$3+M110/3*'[1]01_Parametros'!$B$4+N110/3*'[1]01_Parametros'!$B$5+O110/3*'[1]01_Parametros'!$B$6+IF(ISNUMBER(SEARCH("Fronteras",U110)),1,0)*'[1]01_Parametros'!$B$7)*100,1)</f>
        <v>100</v>
      </c>
      <c r="AN110" s="7">
        <f>ROUND((E110*'[1]01_Parametros'!$B$8+(1-L110/3)*'[1]01_Parametros'!$B$9+IF(OR(AA110="Alta",AA110="Media"),1,0)*'[1]01_Parametros'!$B$10)*100,1)</f>
        <v>41.3</v>
      </c>
      <c r="AO110" s="7">
        <f>ROUND((IF(ISNUMBER(SEARCH("AC01",X110)),1,0)*'[1]01_Parametros'!$B$11+IF(OR(ISNUMBER(SEARCH("AC06",X110)),ISNUMBER(SEARCH("AC03",X110))),1,0)*'[1]01_Parametros'!$B$12+(1-ABS(E110-0.5))*'[1]01_Parametros'!$B$13+S110/3.2*'[1]01_Parametros'!$B$14)*100,1)</f>
        <v>98.5</v>
      </c>
      <c r="AP110" s="7">
        <f>ROUND((L110/3*'[1]01_Parametros'!$B$15+Q110/3*'[1]01_Parametros'!$B$16+P110/3*'[1]01_Parametros'!$B$17+IF(OR(AA110="Media-baja",AA110="Baja"),1,0)*'[1]01_Parametros'!$B$18+S110/3.2*'[1]01_Parametros'!$B$19)*100,1)</f>
        <v>78.3</v>
      </c>
      <c r="AQ110" s="7">
        <f>ROUND((P110/3*'[1]01_Parametros'!$B$20+IF(OR(ISNUMBER(SEARCH("JAC",Z110)),ISNUMBER(SEARCH("JAL",Z110)),ISNUMBER(SEARCH("lider",Z110))),1,0)*'[1]01_Parametros'!$B$21+IF(LEFT(B110,14)="Corregimiento",1,0)*'[1]01_Parametros'!$B$22+Q110/3*'[1]01_Parametros'!$B$23+S110/3.2*'[1]01_Parametros'!$B$24)*100,1)</f>
        <v>35</v>
      </c>
      <c r="AR110" s="3" t="str">
        <f>INDEX('[1]13_Listas'!$A$2:$A$6, MATCH(MAX(AM110:AQ110), AM110:AQ110, 0))</f>
        <v>Protección y orden cotidiano</v>
      </c>
      <c r="AS110" s="3" t="str">
        <f t="shared" si="3"/>
        <v>Protección y orden cotidiano</v>
      </c>
      <c r="AT110" s="3" t="str">
        <f t="shared" si="4"/>
        <v>Activista Causal</v>
      </c>
      <c r="AU110" s="3" t="str">
        <f t="shared" si="5"/>
        <v>Seguridad urbana y combos</v>
      </c>
      <c r="AV110" s="3" t="str">
        <f>IFERROR(VLOOKUP(AS110,'[1]02_Arquetipos_Miedo_Sesgo'!$A$4:$G$8,4,FALSE),"")</f>
        <v>Sesgo de disponibilidad + sesgo de negatividad + preferencia por autoridad.</v>
      </c>
      <c r="AW110" s="3" t="str">
        <f>IFERROR(VLOOKUP(AS110,'[1]02_Arquetipos_Miedo_Sesgo'!$A$4:$G$8,3,FALSE),"")</f>
        <v>Miedo a la inseguridad, al descontrol barrial y a perder la tranquilidad cotidiana.</v>
      </c>
      <c r="AX110" s="3" t="str">
        <f>IFERROR(VLOOKUP(AS110,'[1]02_Arquetipos_Miedo_Sesgo'!$A$4:$G$8,4,FALSE),"")</f>
        <v>Sesgo de disponibilidad + sesgo de negatividad + preferencia por autoridad.</v>
      </c>
      <c r="AY110" s="3" t="str">
        <f>IFERROR(VLOOKUP(AS110,'[1]02_Arquetipos_Miedo_Sesgo'!$A$4:$G$8,5,FALSE),"")</f>
        <v>Seguridad, convivencia, movilidad, alumbrado, reacción institucional rápida, presencia de autoridad.</v>
      </c>
      <c r="AZ110" s="3" t="str">
        <f>IFERROR(VLOOKUP(AS110,'[1]02_Arquetipos_Miedo_Sesgo'!$A$4:$G$8,6,FALSE),"")</f>
        <v>Mostrar capacidad verificable de resolver problemas concretos de seguridad y convivencia sin prometer acciones ilegales.</v>
      </c>
      <c r="BA110" s="3" t="s">
        <v>77</v>
      </c>
    </row>
    <row r="111" spans="1:53" ht="43.2">
      <c r="A111" s="3" t="s">
        <v>360</v>
      </c>
      <c r="B111" s="3" t="s">
        <v>346</v>
      </c>
      <c r="C111" s="3" t="s">
        <v>361</v>
      </c>
      <c r="D111" s="4">
        <v>3574</v>
      </c>
      <c r="E111" s="5">
        <v>0.38919977616116397</v>
      </c>
      <c r="F111" s="3" t="s">
        <v>82</v>
      </c>
      <c r="G111" s="3" t="s">
        <v>83</v>
      </c>
      <c r="H111" s="3">
        <v>1391</v>
      </c>
      <c r="I111" s="3">
        <v>38.9</v>
      </c>
      <c r="J111" s="3">
        <v>13</v>
      </c>
      <c r="K111" s="3" t="s">
        <v>238</v>
      </c>
      <c r="L111" s="3">
        <v>3</v>
      </c>
      <c r="M111" s="3">
        <v>3</v>
      </c>
      <c r="N111" s="3">
        <v>3</v>
      </c>
      <c r="O111" s="3">
        <v>3</v>
      </c>
      <c r="P111" s="3">
        <v>2</v>
      </c>
      <c r="Q111" s="3">
        <v>3</v>
      </c>
      <c r="R111" s="3" t="s">
        <v>260</v>
      </c>
      <c r="S111" s="3">
        <v>3.2</v>
      </c>
      <c r="T111" s="3" t="s">
        <v>348</v>
      </c>
      <c r="U111" s="3" t="s">
        <v>62</v>
      </c>
      <c r="V111" s="3" t="s">
        <v>99</v>
      </c>
      <c r="W111" s="3" t="s">
        <v>64</v>
      </c>
      <c r="X111" s="3" t="s">
        <v>101</v>
      </c>
      <c r="Y111" s="3" t="s">
        <v>66</v>
      </c>
      <c r="Z111" s="3" t="s">
        <v>349</v>
      </c>
      <c r="AA111" s="3" t="s">
        <v>61</v>
      </c>
      <c r="AB111" s="3" t="s">
        <v>69</v>
      </c>
      <c r="AC111" s="3" t="s">
        <v>70</v>
      </c>
      <c r="AD111" s="3" t="s">
        <v>71</v>
      </c>
      <c r="AE111" s="3" t="s">
        <v>84</v>
      </c>
      <c r="AF111" s="6">
        <v>0.73199999999999998</v>
      </c>
      <c r="AG111" s="3" t="s">
        <v>61</v>
      </c>
      <c r="AH111" s="3" t="s">
        <v>74</v>
      </c>
      <c r="AI111" s="6">
        <v>0.69099999999999995</v>
      </c>
      <c r="AJ111" s="3" t="s">
        <v>61</v>
      </c>
      <c r="AK111" s="3" t="s">
        <v>85</v>
      </c>
      <c r="AL111" s="6">
        <v>-0.50800000000000001</v>
      </c>
      <c r="AM111" s="7">
        <f>ROUND((L111/3*'[1]01_Parametros'!$B$3+M111/3*'[1]01_Parametros'!$B$4+N111/3*'[1]01_Parametros'!$B$5+O111/3*'[1]01_Parametros'!$B$6+IF(ISNUMBER(SEARCH("Fronteras",U111)),1,0)*'[1]01_Parametros'!$B$7)*100,1)</f>
        <v>100</v>
      </c>
      <c r="AN111" s="7">
        <f>ROUND((E111*'[1]01_Parametros'!$B$8+(1-L111/3)*'[1]01_Parametros'!$B$9+IF(OR(AA111="Alta",AA111="Media"),1,0)*'[1]01_Parametros'!$B$10)*100,1)</f>
        <v>39.5</v>
      </c>
      <c r="AO111" s="7">
        <f>ROUND((IF(ISNUMBER(SEARCH("AC01",X111)),1,0)*'[1]01_Parametros'!$B$11+IF(OR(ISNUMBER(SEARCH("AC06",X111)),ISNUMBER(SEARCH("AC03",X111))),1,0)*'[1]01_Parametros'!$B$12+(1-ABS(E111-0.5))*'[1]01_Parametros'!$B$13+S111/3.2*'[1]01_Parametros'!$B$14)*100,1)</f>
        <v>97.8</v>
      </c>
      <c r="AP111" s="7">
        <f>ROUND((L111/3*'[1]01_Parametros'!$B$15+Q111/3*'[1]01_Parametros'!$B$16+P111/3*'[1]01_Parametros'!$B$17+IF(OR(AA111="Media-baja",AA111="Baja"),1,0)*'[1]01_Parametros'!$B$18+S111/3.2*'[1]01_Parametros'!$B$19)*100,1)</f>
        <v>78.3</v>
      </c>
      <c r="AQ111" s="7">
        <f>ROUND((P111/3*'[1]01_Parametros'!$B$20+IF(OR(ISNUMBER(SEARCH("JAC",Z111)),ISNUMBER(SEARCH("JAL",Z111)),ISNUMBER(SEARCH("lider",Z111))),1,0)*'[1]01_Parametros'!$B$21+IF(LEFT(B111,14)="Corregimiento",1,0)*'[1]01_Parametros'!$B$22+Q111/3*'[1]01_Parametros'!$B$23+S111/3.2*'[1]01_Parametros'!$B$24)*100,1)</f>
        <v>35</v>
      </c>
      <c r="AR111" s="3" t="str">
        <f>INDEX('[1]13_Listas'!$A$2:$A$6, MATCH(MAX(AM111:AQ111), AM111:AQ111, 0))</f>
        <v>Protección y orden cotidiano</v>
      </c>
      <c r="AS111" s="3" t="str">
        <f t="shared" si="3"/>
        <v>Protección y orden cotidiano</v>
      </c>
      <c r="AT111" s="3" t="str">
        <f t="shared" si="4"/>
        <v>Activista Causal</v>
      </c>
      <c r="AU111" s="3" t="str">
        <f t="shared" si="5"/>
        <v>Seguridad urbana y combos</v>
      </c>
      <c r="AV111" s="3" t="str">
        <f>IFERROR(VLOOKUP(AS111,'[1]02_Arquetipos_Miedo_Sesgo'!$A$4:$G$8,4,FALSE),"")</f>
        <v>Sesgo de disponibilidad + sesgo de negatividad + preferencia por autoridad.</v>
      </c>
      <c r="AW111" s="3" t="str">
        <f>IFERROR(VLOOKUP(AS111,'[1]02_Arquetipos_Miedo_Sesgo'!$A$4:$G$8,3,FALSE),"")</f>
        <v>Miedo a la inseguridad, al descontrol barrial y a perder la tranquilidad cotidiana.</v>
      </c>
      <c r="AX111" s="3" t="str">
        <f>IFERROR(VLOOKUP(AS111,'[1]02_Arquetipos_Miedo_Sesgo'!$A$4:$G$8,4,FALSE),"")</f>
        <v>Sesgo de disponibilidad + sesgo de negatividad + preferencia por autoridad.</v>
      </c>
      <c r="AY111" s="3" t="str">
        <f>IFERROR(VLOOKUP(AS111,'[1]02_Arquetipos_Miedo_Sesgo'!$A$4:$G$8,5,FALSE),"")</f>
        <v>Seguridad, convivencia, movilidad, alumbrado, reacción institucional rápida, presencia de autoridad.</v>
      </c>
      <c r="AZ111" s="3" t="str">
        <f>IFERROR(VLOOKUP(AS111,'[1]02_Arquetipos_Miedo_Sesgo'!$A$4:$G$8,6,FALSE),"")</f>
        <v>Mostrar capacidad verificable de resolver problemas concretos de seguridad y convivencia sin prometer acciones ilegales.</v>
      </c>
      <c r="BA111" s="3" t="s">
        <v>77</v>
      </c>
    </row>
    <row r="112" spans="1:53" ht="43.2">
      <c r="A112" s="3" t="s">
        <v>362</v>
      </c>
      <c r="B112" s="3" t="s">
        <v>346</v>
      </c>
      <c r="C112" s="3" t="s">
        <v>363</v>
      </c>
      <c r="D112" s="4">
        <v>489</v>
      </c>
      <c r="E112" s="5">
        <v>0.44580777096114521</v>
      </c>
      <c r="F112" s="3" t="s">
        <v>82</v>
      </c>
      <c r="G112" s="3" t="s">
        <v>83</v>
      </c>
      <c r="H112" s="3">
        <v>218</v>
      </c>
      <c r="I112" s="3">
        <v>44.6</v>
      </c>
      <c r="J112" s="3">
        <v>13</v>
      </c>
      <c r="K112" s="3" t="s">
        <v>238</v>
      </c>
      <c r="L112" s="3">
        <v>3</v>
      </c>
      <c r="M112" s="3">
        <v>3</v>
      </c>
      <c r="N112" s="3">
        <v>3</v>
      </c>
      <c r="O112" s="3">
        <v>3</v>
      </c>
      <c r="P112" s="3">
        <v>2</v>
      </c>
      <c r="Q112" s="3">
        <v>3</v>
      </c>
      <c r="R112" s="3" t="s">
        <v>260</v>
      </c>
      <c r="S112" s="3">
        <v>3.2</v>
      </c>
      <c r="T112" s="3" t="s">
        <v>348</v>
      </c>
      <c r="U112" s="3" t="s">
        <v>62</v>
      </c>
      <c r="V112" s="3" t="s">
        <v>99</v>
      </c>
      <c r="W112" s="3" t="s">
        <v>64</v>
      </c>
      <c r="X112" s="3" t="s">
        <v>101</v>
      </c>
      <c r="Y112" s="3" t="s">
        <v>66</v>
      </c>
      <c r="Z112" s="3" t="s">
        <v>349</v>
      </c>
      <c r="AA112" s="3" t="s">
        <v>61</v>
      </c>
      <c r="AB112" s="3" t="s">
        <v>69</v>
      </c>
      <c r="AC112" s="3" t="s">
        <v>70</v>
      </c>
      <c r="AD112" s="3" t="s">
        <v>71</v>
      </c>
      <c r="AE112" s="3" t="s">
        <v>84</v>
      </c>
      <c r="AF112" s="6">
        <v>0.73199999999999998</v>
      </c>
      <c r="AG112" s="3" t="s">
        <v>61</v>
      </c>
      <c r="AH112" s="3" t="s">
        <v>74</v>
      </c>
      <c r="AI112" s="6">
        <v>0.69099999999999995</v>
      </c>
      <c r="AJ112" s="3" t="s">
        <v>61</v>
      </c>
      <c r="AK112" s="3" t="s">
        <v>85</v>
      </c>
      <c r="AL112" s="6">
        <v>-0.50800000000000001</v>
      </c>
      <c r="AM112" s="7">
        <f>ROUND((L112/3*'[1]01_Parametros'!$B$3+M112/3*'[1]01_Parametros'!$B$4+N112/3*'[1]01_Parametros'!$B$5+O112/3*'[1]01_Parametros'!$B$6+IF(ISNUMBER(SEARCH("Fronteras",U112)),1,0)*'[1]01_Parametros'!$B$7)*100,1)</f>
        <v>100</v>
      </c>
      <c r="AN112" s="7">
        <f>ROUND((E112*'[1]01_Parametros'!$B$8+(1-L112/3)*'[1]01_Parametros'!$B$9+IF(OR(AA112="Alta",AA112="Media"),1,0)*'[1]01_Parametros'!$B$10)*100,1)</f>
        <v>42.3</v>
      </c>
      <c r="AO112" s="7">
        <f>ROUND((IF(ISNUMBER(SEARCH("AC01",X112)),1,0)*'[1]01_Parametros'!$B$11+IF(OR(ISNUMBER(SEARCH("AC06",X112)),ISNUMBER(SEARCH("AC03",X112))),1,0)*'[1]01_Parametros'!$B$12+(1-ABS(E112-0.5))*'[1]01_Parametros'!$B$13+S112/3.2*'[1]01_Parametros'!$B$14)*100,1)</f>
        <v>98.9</v>
      </c>
      <c r="AP112" s="7">
        <f>ROUND((L112/3*'[1]01_Parametros'!$B$15+Q112/3*'[1]01_Parametros'!$B$16+P112/3*'[1]01_Parametros'!$B$17+IF(OR(AA112="Media-baja",AA112="Baja"),1,0)*'[1]01_Parametros'!$B$18+S112/3.2*'[1]01_Parametros'!$B$19)*100,1)</f>
        <v>78.3</v>
      </c>
      <c r="AQ112" s="7">
        <f>ROUND((P112/3*'[1]01_Parametros'!$B$20+IF(OR(ISNUMBER(SEARCH("JAC",Z112)),ISNUMBER(SEARCH("JAL",Z112)),ISNUMBER(SEARCH("lider",Z112))),1,0)*'[1]01_Parametros'!$B$21+IF(LEFT(B112,14)="Corregimiento",1,0)*'[1]01_Parametros'!$B$22+Q112/3*'[1]01_Parametros'!$B$23+S112/3.2*'[1]01_Parametros'!$B$24)*100,1)</f>
        <v>35</v>
      </c>
      <c r="AR112" s="3" t="str">
        <f>INDEX('[1]13_Listas'!$A$2:$A$6, MATCH(MAX(AM112:AQ112), AM112:AQ112, 0))</f>
        <v>Protección y orden cotidiano</v>
      </c>
      <c r="AS112" s="3" t="str">
        <f t="shared" si="3"/>
        <v>Protección y orden cotidiano</v>
      </c>
      <c r="AT112" s="3" t="str">
        <f t="shared" si="4"/>
        <v>Activista Causal</v>
      </c>
      <c r="AU112" s="3" t="str">
        <f t="shared" si="5"/>
        <v>Seguridad urbana y combos</v>
      </c>
      <c r="AV112" s="3" t="str">
        <f>IFERROR(VLOOKUP(AS112,'[1]02_Arquetipos_Miedo_Sesgo'!$A$4:$G$8,4,FALSE),"")</f>
        <v>Sesgo de disponibilidad + sesgo de negatividad + preferencia por autoridad.</v>
      </c>
      <c r="AW112" s="3" t="str">
        <f>IFERROR(VLOOKUP(AS112,'[1]02_Arquetipos_Miedo_Sesgo'!$A$4:$G$8,3,FALSE),"")</f>
        <v>Miedo a la inseguridad, al descontrol barrial y a perder la tranquilidad cotidiana.</v>
      </c>
      <c r="AX112" s="3" t="str">
        <f>IFERROR(VLOOKUP(AS112,'[1]02_Arquetipos_Miedo_Sesgo'!$A$4:$G$8,4,FALSE),"")</f>
        <v>Sesgo de disponibilidad + sesgo de negatividad + preferencia por autoridad.</v>
      </c>
      <c r="AY112" s="3" t="str">
        <f>IFERROR(VLOOKUP(AS112,'[1]02_Arquetipos_Miedo_Sesgo'!$A$4:$G$8,5,FALSE),"")</f>
        <v>Seguridad, convivencia, movilidad, alumbrado, reacción institucional rápida, presencia de autoridad.</v>
      </c>
      <c r="AZ112" s="3" t="str">
        <f>IFERROR(VLOOKUP(AS112,'[1]02_Arquetipos_Miedo_Sesgo'!$A$4:$G$8,6,FALSE),"")</f>
        <v>Mostrar capacidad verificable de resolver problemas concretos de seguridad y convivencia sin prometer acciones ilegales.</v>
      </c>
      <c r="BA112" s="3" t="s">
        <v>77</v>
      </c>
    </row>
    <row r="113" spans="1:53" ht="43.2">
      <c r="A113" s="3" t="s">
        <v>364</v>
      </c>
      <c r="B113" s="3" t="s">
        <v>346</v>
      </c>
      <c r="C113" s="3" t="s">
        <v>365</v>
      </c>
      <c r="D113" s="4">
        <v>3303</v>
      </c>
      <c r="E113" s="5">
        <v>0.38056312443233425</v>
      </c>
      <c r="F113" s="3" t="s">
        <v>82</v>
      </c>
      <c r="G113" s="3" t="s">
        <v>83</v>
      </c>
      <c r="H113" s="3">
        <v>1257</v>
      </c>
      <c r="I113" s="3">
        <v>38.1</v>
      </c>
      <c r="J113" s="3">
        <v>13</v>
      </c>
      <c r="K113" s="3" t="s">
        <v>238</v>
      </c>
      <c r="L113" s="3">
        <v>3</v>
      </c>
      <c r="M113" s="3">
        <v>3</v>
      </c>
      <c r="N113" s="3">
        <v>3</v>
      </c>
      <c r="O113" s="3">
        <v>3</v>
      </c>
      <c r="P113" s="3">
        <v>2</v>
      </c>
      <c r="Q113" s="3">
        <v>3</v>
      </c>
      <c r="R113" s="3" t="s">
        <v>260</v>
      </c>
      <c r="S113" s="3">
        <v>3.2</v>
      </c>
      <c r="T113" s="3" t="s">
        <v>348</v>
      </c>
      <c r="U113" s="3" t="s">
        <v>62</v>
      </c>
      <c r="V113" s="3" t="s">
        <v>99</v>
      </c>
      <c r="W113" s="3" t="s">
        <v>64</v>
      </c>
      <c r="X113" s="3" t="s">
        <v>101</v>
      </c>
      <c r="Y113" s="3" t="s">
        <v>66</v>
      </c>
      <c r="Z113" s="3" t="s">
        <v>349</v>
      </c>
      <c r="AA113" s="3" t="s">
        <v>61</v>
      </c>
      <c r="AB113" s="3" t="s">
        <v>69</v>
      </c>
      <c r="AC113" s="3" t="s">
        <v>70</v>
      </c>
      <c r="AD113" s="3" t="s">
        <v>71</v>
      </c>
      <c r="AE113" s="3" t="s">
        <v>84</v>
      </c>
      <c r="AF113" s="6">
        <v>0.73199999999999998</v>
      </c>
      <c r="AG113" s="3" t="s">
        <v>61</v>
      </c>
      <c r="AH113" s="3" t="s">
        <v>74</v>
      </c>
      <c r="AI113" s="6">
        <v>0.69099999999999995</v>
      </c>
      <c r="AJ113" s="3" t="s">
        <v>61</v>
      </c>
      <c r="AK113" s="3" t="s">
        <v>85</v>
      </c>
      <c r="AL113" s="6">
        <v>-0.50800000000000001</v>
      </c>
      <c r="AM113" s="7">
        <f>ROUND((L113/3*'[1]01_Parametros'!$B$3+M113/3*'[1]01_Parametros'!$B$4+N113/3*'[1]01_Parametros'!$B$5+O113/3*'[1]01_Parametros'!$B$6+IF(ISNUMBER(SEARCH("Fronteras",U113)),1,0)*'[1]01_Parametros'!$B$7)*100,1)</f>
        <v>100</v>
      </c>
      <c r="AN113" s="7">
        <f>ROUND((E113*'[1]01_Parametros'!$B$8+(1-L113/3)*'[1]01_Parametros'!$B$9+IF(OR(AA113="Alta",AA113="Media"),1,0)*'[1]01_Parametros'!$B$10)*100,1)</f>
        <v>39</v>
      </c>
      <c r="AO113" s="7">
        <f>ROUND((IF(ISNUMBER(SEARCH("AC01",X113)),1,0)*'[1]01_Parametros'!$B$11+IF(OR(ISNUMBER(SEARCH("AC06",X113)),ISNUMBER(SEARCH("AC03",X113))),1,0)*'[1]01_Parametros'!$B$12+(1-ABS(E113-0.5))*'[1]01_Parametros'!$B$13+S113/3.2*'[1]01_Parametros'!$B$14)*100,1)</f>
        <v>97.6</v>
      </c>
      <c r="AP113" s="7">
        <f>ROUND((L113/3*'[1]01_Parametros'!$B$15+Q113/3*'[1]01_Parametros'!$B$16+P113/3*'[1]01_Parametros'!$B$17+IF(OR(AA113="Media-baja",AA113="Baja"),1,0)*'[1]01_Parametros'!$B$18+S113/3.2*'[1]01_Parametros'!$B$19)*100,1)</f>
        <v>78.3</v>
      </c>
      <c r="AQ113" s="7">
        <f>ROUND((P113/3*'[1]01_Parametros'!$B$20+IF(OR(ISNUMBER(SEARCH("JAC",Z113)),ISNUMBER(SEARCH("JAL",Z113)),ISNUMBER(SEARCH("lider",Z113))),1,0)*'[1]01_Parametros'!$B$21+IF(LEFT(B113,14)="Corregimiento",1,0)*'[1]01_Parametros'!$B$22+Q113/3*'[1]01_Parametros'!$B$23+S113/3.2*'[1]01_Parametros'!$B$24)*100,1)</f>
        <v>35</v>
      </c>
      <c r="AR113" s="3" t="str">
        <f>INDEX('[1]13_Listas'!$A$2:$A$6, MATCH(MAX(AM113:AQ113), AM113:AQ113, 0))</f>
        <v>Protección y orden cotidiano</v>
      </c>
      <c r="AS113" s="3" t="str">
        <f t="shared" si="3"/>
        <v>Protección y orden cotidiano</v>
      </c>
      <c r="AT113" s="3" t="str">
        <f t="shared" si="4"/>
        <v>Activista Causal</v>
      </c>
      <c r="AU113" s="3" t="str">
        <f t="shared" si="5"/>
        <v>Seguridad urbana y combos</v>
      </c>
      <c r="AV113" s="3" t="str">
        <f>IFERROR(VLOOKUP(AS113,'[1]02_Arquetipos_Miedo_Sesgo'!$A$4:$G$8,4,FALSE),"")</f>
        <v>Sesgo de disponibilidad + sesgo de negatividad + preferencia por autoridad.</v>
      </c>
      <c r="AW113" s="3" t="str">
        <f>IFERROR(VLOOKUP(AS113,'[1]02_Arquetipos_Miedo_Sesgo'!$A$4:$G$8,3,FALSE),"")</f>
        <v>Miedo a la inseguridad, al descontrol barrial y a perder la tranquilidad cotidiana.</v>
      </c>
      <c r="AX113" s="3" t="str">
        <f>IFERROR(VLOOKUP(AS113,'[1]02_Arquetipos_Miedo_Sesgo'!$A$4:$G$8,4,FALSE),"")</f>
        <v>Sesgo de disponibilidad + sesgo de negatividad + preferencia por autoridad.</v>
      </c>
      <c r="AY113" s="3" t="str">
        <f>IFERROR(VLOOKUP(AS113,'[1]02_Arquetipos_Miedo_Sesgo'!$A$4:$G$8,5,FALSE),"")</f>
        <v>Seguridad, convivencia, movilidad, alumbrado, reacción institucional rápida, presencia de autoridad.</v>
      </c>
      <c r="AZ113" s="3" t="str">
        <f>IFERROR(VLOOKUP(AS113,'[1]02_Arquetipos_Miedo_Sesgo'!$A$4:$G$8,6,FALSE),"")</f>
        <v>Mostrar capacidad verificable de resolver problemas concretos de seguridad y convivencia sin prometer acciones ilegales.</v>
      </c>
      <c r="BA113" s="3" t="s">
        <v>77</v>
      </c>
    </row>
    <row r="114" spans="1:53" ht="43.2">
      <c r="A114" s="3" t="s">
        <v>366</v>
      </c>
      <c r="B114" s="3" t="s">
        <v>367</v>
      </c>
      <c r="C114" s="3" t="s">
        <v>368</v>
      </c>
      <c r="D114" s="4">
        <v>5053</v>
      </c>
      <c r="E114" s="5">
        <v>0.32634078765090047</v>
      </c>
      <c r="F114" s="3" t="s">
        <v>82</v>
      </c>
      <c r="G114" s="3" t="s">
        <v>83</v>
      </c>
      <c r="H114" s="3">
        <v>1649</v>
      </c>
      <c r="I114" s="3">
        <v>32.6</v>
      </c>
      <c r="J114" s="3">
        <v>2</v>
      </c>
      <c r="K114" s="3" t="s">
        <v>59</v>
      </c>
      <c r="L114" s="3">
        <v>2</v>
      </c>
      <c r="M114" s="3">
        <v>2</v>
      </c>
      <c r="N114" s="3">
        <v>2</v>
      </c>
      <c r="O114" s="3">
        <v>2</v>
      </c>
      <c r="P114" s="3">
        <v>1</v>
      </c>
      <c r="Q114" s="3">
        <v>2</v>
      </c>
      <c r="R114" s="3" t="s">
        <v>60</v>
      </c>
      <c r="S114" s="3">
        <v>2.2000000000000002</v>
      </c>
      <c r="T114" s="3" t="s">
        <v>75</v>
      </c>
      <c r="U114" s="3" t="s">
        <v>132</v>
      </c>
      <c r="V114" s="3" t="s">
        <v>369</v>
      </c>
      <c r="W114" s="3" t="s">
        <v>370</v>
      </c>
      <c r="X114" s="3" t="s">
        <v>371</v>
      </c>
      <c r="Y114" s="3" t="s">
        <v>135</v>
      </c>
      <c r="Z114" s="3" t="s">
        <v>372</v>
      </c>
      <c r="AA114" s="3" t="s">
        <v>137</v>
      </c>
      <c r="AB114" s="3" t="s">
        <v>69</v>
      </c>
      <c r="AC114" s="3" t="s">
        <v>70</v>
      </c>
      <c r="AD114" s="3" t="s">
        <v>71</v>
      </c>
      <c r="AE114" s="3" t="s">
        <v>84</v>
      </c>
      <c r="AF114" s="6">
        <v>0.73199999999999998</v>
      </c>
      <c r="AG114" s="3" t="s">
        <v>61</v>
      </c>
      <c r="AH114" s="3" t="s">
        <v>74</v>
      </c>
      <c r="AI114" s="6">
        <v>0.69099999999999995</v>
      </c>
      <c r="AJ114" s="3" t="s">
        <v>61</v>
      </c>
      <c r="AK114" s="3" t="s">
        <v>85</v>
      </c>
      <c r="AL114" s="6">
        <v>-0.50800000000000001</v>
      </c>
      <c r="AM114" s="7">
        <f>ROUND((L114/3*'[1]01_Parametros'!$B$3+M114/3*'[1]01_Parametros'!$B$4+N114/3*'[1]01_Parametros'!$B$5+O114/3*'[1]01_Parametros'!$B$6+IF(ISNUMBER(SEARCH("Fronteras",U114)),1,0)*'[1]01_Parametros'!$B$7)*100,1)</f>
        <v>60</v>
      </c>
      <c r="AN114" s="7">
        <f>ROUND((E114*'[1]01_Parametros'!$B$8+(1-L114/3)*'[1]01_Parametros'!$B$9+IF(OR(AA114="Alta",AA114="Media"),1,0)*'[1]01_Parametros'!$B$10)*100,1)</f>
        <v>26.3</v>
      </c>
      <c r="AO114" s="7">
        <f>ROUND((IF(ISNUMBER(SEARCH("AC01",X114)),1,0)*'[1]01_Parametros'!$B$11+IF(OR(ISNUMBER(SEARCH("AC06",X114)),ISNUMBER(SEARCH("AC03",X114))),1,0)*'[1]01_Parametros'!$B$12+(1-ABS(E114-0.5))*'[1]01_Parametros'!$B$13+S114/3.2*'[1]01_Parametros'!$B$14)*100,1)</f>
        <v>65.3</v>
      </c>
      <c r="AP114" s="7">
        <f>ROUND((L114/3*'[1]01_Parametros'!$B$15+Q114/3*'[1]01_Parametros'!$B$16+P114/3*'[1]01_Parametros'!$B$17+IF(OR(AA114="Media-baja",AA114="Baja"),1,0)*'[1]01_Parametros'!$B$18+S114/3.2*'[1]01_Parametros'!$B$19)*100,1)</f>
        <v>65.2</v>
      </c>
      <c r="AQ114" s="7">
        <f>ROUND((P114/3*'[1]01_Parametros'!$B$20+IF(OR(ISNUMBER(SEARCH("JAC",Z114)),ISNUMBER(SEARCH("JAL",Z114)),ISNUMBER(SEARCH("lider",Z114))),1,0)*'[1]01_Parametros'!$B$21+IF(LEFT(B114,14)="Corregimiento",1,0)*'[1]01_Parametros'!$B$22+Q114/3*'[1]01_Parametros'!$B$23+S114/3.2*'[1]01_Parametros'!$B$24)*100,1)</f>
        <v>25.1</v>
      </c>
      <c r="AR114" s="3" t="str">
        <f>INDEX('[1]13_Listas'!$A$2:$A$6, MATCH(MAX(AM114:AQ114), AM114:AQ114, 0))</f>
        <v>Supervivencia económica y servicios básicos</v>
      </c>
      <c r="AS114" s="3" t="str">
        <f t="shared" si="3"/>
        <v>Supervivencia económica y servicios básicos</v>
      </c>
      <c r="AT114" s="3" t="str">
        <f t="shared" si="4"/>
        <v>Traductor Digital</v>
      </c>
      <c r="AU114" s="3" t="str">
        <f t="shared" si="5"/>
        <v>Costo de vida, gentrificación y vivienda</v>
      </c>
      <c r="AV114" s="3" t="str">
        <f>IFERROR(VLOOKUP(AS114,'[1]02_Arquetipos_Miedo_Sesgo'!$A$4:$G$8,4,FALSE),"")</f>
        <v>Sesgo de escasez + presente dominante + aversión al riesgo económico.</v>
      </c>
      <c r="AW114" s="3" t="str">
        <f>IFERROR(VLOOKUP(AS114,'[1]02_Arquetipos_Miedo_Sesgo'!$A$4:$G$8,3,FALSE),"")</f>
        <v>Miedo a no llegar a fin de mes, perder ingresos, empleo, movilidad o acceso a servicios básicos.</v>
      </c>
      <c r="AX114" s="3" t="str">
        <f>IFERROR(VLOOKUP(AS114,'[1]02_Arquetipos_Miedo_Sesgo'!$A$4:$G$8,4,FALSE),"")</f>
        <v>Sesgo de escasez + presente dominante + aversión al riesgo económico.</v>
      </c>
      <c r="AY114" s="3" t="str">
        <f>IFERROR(VLOOKUP(AS114,'[1]02_Arquetipos_Miedo_Sesgo'!$A$4:$G$8,5,FALSE),"")</f>
        <v>Empleo, emprendimiento, economía popular, transporte, costo de vida, salud, educación técnica y subsidios focalizados.</v>
      </c>
      <c r="AZ114" s="3" t="str">
        <f>IFERROR(VLOOKUP(AS114,'[1]02_Arquetipos_Miedo_Sesgo'!$A$4:$G$8,6,FALSE),"")</f>
        <v>Traducir propuestas en alivios concretos, rutas de acceso y resultados medibles de corto plazo.</v>
      </c>
      <c r="BA114" s="3" t="s">
        <v>77</v>
      </c>
    </row>
    <row r="115" spans="1:53" ht="43.2">
      <c r="A115" s="3" t="s">
        <v>373</v>
      </c>
      <c r="B115" s="3" t="s">
        <v>367</v>
      </c>
      <c r="C115" s="3" t="s">
        <v>374</v>
      </c>
      <c r="D115" s="4">
        <v>3993</v>
      </c>
      <c r="E115" s="5">
        <v>0.37390433258201855</v>
      </c>
      <c r="F115" s="3" t="s">
        <v>57</v>
      </c>
      <c r="G115" s="3" t="s">
        <v>58</v>
      </c>
      <c r="H115" s="3">
        <v>1493</v>
      </c>
      <c r="I115" s="3">
        <v>37.4</v>
      </c>
      <c r="J115" s="3">
        <v>2</v>
      </c>
      <c r="K115" s="3" t="s">
        <v>59</v>
      </c>
      <c r="L115" s="3">
        <v>2</v>
      </c>
      <c r="M115" s="3">
        <v>2</v>
      </c>
      <c r="N115" s="3">
        <v>2</v>
      </c>
      <c r="O115" s="3">
        <v>2</v>
      </c>
      <c r="P115" s="3">
        <v>1</v>
      </c>
      <c r="Q115" s="3">
        <v>2</v>
      </c>
      <c r="R115" s="3" t="s">
        <v>60</v>
      </c>
      <c r="S115" s="3">
        <v>2.2000000000000002</v>
      </c>
      <c r="T115" s="3" t="s">
        <v>75</v>
      </c>
      <c r="U115" s="3" t="s">
        <v>132</v>
      </c>
      <c r="V115" s="3" t="s">
        <v>369</v>
      </c>
      <c r="W115" s="3" t="s">
        <v>370</v>
      </c>
      <c r="X115" s="3" t="s">
        <v>371</v>
      </c>
      <c r="Y115" s="3" t="s">
        <v>135</v>
      </c>
      <c r="Z115" s="3" t="s">
        <v>372</v>
      </c>
      <c r="AA115" s="3" t="s">
        <v>137</v>
      </c>
      <c r="AB115" s="3" t="s">
        <v>69</v>
      </c>
      <c r="AC115" s="3" t="s">
        <v>70</v>
      </c>
      <c r="AD115" s="3" t="s">
        <v>71</v>
      </c>
      <c r="AE115" s="3" t="s">
        <v>72</v>
      </c>
      <c r="AF115" s="6">
        <v>0.36599999999999999</v>
      </c>
      <c r="AG115" s="3" t="s">
        <v>73</v>
      </c>
      <c r="AH115" s="3" t="s">
        <v>74</v>
      </c>
      <c r="AI115" s="6">
        <v>0.497</v>
      </c>
      <c r="AJ115" s="3" t="s">
        <v>75</v>
      </c>
      <c r="AK115" s="3" t="s">
        <v>76</v>
      </c>
      <c r="AL115" s="6">
        <v>-0.38900000000000001</v>
      </c>
      <c r="AM115" s="7">
        <f>ROUND((L115/3*'[1]01_Parametros'!$B$3+M115/3*'[1]01_Parametros'!$B$4+N115/3*'[1]01_Parametros'!$B$5+O115/3*'[1]01_Parametros'!$B$6+IF(ISNUMBER(SEARCH("Fronteras",U115)),1,0)*'[1]01_Parametros'!$B$7)*100,1)</f>
        <v>60</v>
      </c>
      <c r="AN115" s="7">
        <f>ROUND((E115*'[1]01_Parametros'!$B$8+(1-L115/3)*'[1]01_Parametros'!$B$9+IF(OR(AA115="Alta",AA115="Media"),1,0)*'[1]01_Parametros'!$B$10)*100,1)</f>
        <v>28.7</v>
      </c>
      <c r="AO115" s="7">
        <f>ROUND((IF(ISNUMBER(SEARCH("AC01",X115)),1,0)*'[1]01_Parametros'!$B$11+IF(OR(ISNUMBER(SEARCH("AC06",X115)),ISNUMBER(SEARCH("AC03",X115))),1,0)*'[1]01_Parametros'!$B$12+(1-ABS(E115-0.5))*'[1]01_Parametros'!$B$13+S115/3.2*'[1]01_Parametros'!$B$14)*100,1)</f>
        <v>66.2</v>
      </c>
      <c r="AP115" s="7">
        <f>ROUND((L115/3*'[1]01_Parametros'!$B$15+Q115/3*'[1]01_Parametros'!$B$16+P115/3*'[1]01_Parametros'!$B$17+IF(OR(AA115="Media-baja",AA115="Baja"),1,0)*'[1]01_Parametros'!$B$18+S115/3.2*'[1]01_Parametros'!$B$19)*100,1)</f>
        <v>65.2</v>
      </c>
      <c r="AQ115" s="7">
        <f>ROUND((P115/3*'[1]01_Parametros'!$B$20+IF(OR(ISNUMBER(SEARCH("JAC",Z115)),ISNUMBER(SEARCH("JAL",Z115)),ISNUMBER(SEARCH("lider",Z115))),1,0)*'[1]01_Parametros'!$B$21+IF(LEFT(B115,14)="Corregimiento",1,0)*'[1]01_Parametros'!$B$22+Q115/3*'[1]01_Parametros'!$B$23+S115/3.2*'[1]01_Parametros'!$B$24)*100,1)</f>
        <v>25.1</v>
      </c>
      <c r="AR115" s="3" t="str">
        <f>INDEX('[1]13_Listas'!$A$2:$A$6, MATCH(MAX(AM115:AQ115), AM115:AQ115, 0))</f>
        <v>Supervivencia económica y servicios básicos</v>
      </c>
      <c r="AS115" s="3" t="str">
        <f t="shared" si="3"/>
        <v>Supervivencia económica y servicios básicos</v>
      </c>
      <c r="AT115" s="3" t="str">
        <f t="shared" si="4"/>
        <v>Traductor Digital</v>
      </c>
      <c r="AU115" s="3" t="str">
        <f t="shared" si="5"/>
        <v>Costo de vida, gentrificación y vivienda</v>
      </c>
      <c r="AV115" s="3" t="str">
        <f>IFERROR(VLOOKUP(AS115,'[1]02_Arquetipos_Miedo_Sesgo'!$A$4:$G$8,4,FALSE),"")</f>
        <v>Sesgo de escasez + presente dominante + aversión al riesgo económico.</v>
      </c>
      <c r="AW115" s="3" t="str">
        <f>IFERROR(VLOOKUP(AS115,'[1]02_Arquetipos_Miedo_Sesgo'!$A$4:$G$8,3,FALSE),"")</f>
        <v>Miedo a no llegar a fin de mes, perder ingresos, empleo, movilidad o acceso a servicios básicos.</v>
      </c>
      <c r="AX115" s="3" t="str">
        <f>IFERROR(VLOOKUP(AS115,'[1]02_Arquetipos_Miedo_Sesgo'!$A$4:$G$8,4,FALSE),"")</f>
        <v>Sesgo de escasez + presente dominante + aversión al riesgo económico.</v>
      </c>
      <c r="AY115" s="3" t="str">
        <f>IFERROR(VLOOKUP(AS115,'[1]02_Arquetipos_Miedo_Sesgo'!$A$4:$G$8,5,FALSE),"")</f>
        <v>Empleo, emprendimiento, economía popular, transporte, costo de vida, salud, educación técnica y subsidios focalizados.</v>
      </c>
      <c r="AZ115" s="3" t="str">
        <f>IFERROR(VLOOKUP(AS115,'[1]02_Arquetipos_Miedo_Sesgo'!$A$4:$G$8,6,FALSE),"")</f>
        <v>Traducir propuestas en alivios concretos, rutas de acceso y resultados medibles de corto plazo.</v>
      </c>
      <c r="BA115" s="3" t="s">
        <v>77</v>
      </c>
    </row>
    <row r="116" spans="1:53" ht="43.2">
      <c r="A116" s="3" t="s">
        <v>375</v>
      </c>
      <c r="B116" s="3" t="s">
        <v>367</v>
      </c>
      <c r="C116" s="3" t="s">
        <v>376</v>
      </c>
      <c r="D116" s="4">
        <v>3133</v>
      </c>
      <c r="E116" s="5">
        <v>0.32780082987551867</v>
      </c>
      <c r="F116" s="3" t="s">
        <v>82</v>
      </c>
      <c r="G116" s="3" t="s">
        <v>83</v>
      </c>
      <c r="H116" s="3">
        <v>1027</v>
      </c>
      <c r="I116" s="3">
        <v>32.799999999999997</v>
      </c>
      <c r="J116" s="3">
        <v>2</v>
      </c>
      <c r="K116" s="3" t="s">
        <v>59</v>
      </c>
      <c r="L116" s="3">
        <v>2</v>
      </c>
      <c r="M116" s="3">
        <v>2</v>
      </c>
      <c r="N116" s="3">
        <v>2</v>
      </c>
      <c r="O116" s="3">
        <v>2</v>
      </c>
      <c r="P116" s="3">
        <v>1</v>
      </c>
      <c r="Q116" s="3">
        <v>2</v>
      </c>
      <c r="R116" s="3" t="s">
        <v>60</v>
      </c>
      <c r="S116" s="3">
        <v>2.2000000000000002</v>
      </c>
      <c r="T116" s="3" t="s">
        <v>75</v>
      </c>
      <c r="U116" s="3" t="s">
        <v>132</v>
      </c>
      <c r="V116" s="3" t="s">
        <v>369</v>
      </c>
      <c r="W116" s="3" t="s">
        <v>370</v>
      </c>
      <c r="X116" s="3" t="s">
        <v>371</v>
      </c>
      <c r="Y116" s="3" t="s">
        <v>135</v>
      </c>
      <c r="Z116" s="3" t="s">
        <v>372</v>
      </c>
      <c r="AA116" s="3" t="s">
        <v>137</v>
      </c>
      <c r="AB116" s="3" t="s">
        <v>69</v>
      </c>
      <c r="AC116" s="3" t="s">
        <v>70</v>
      </c>
      <c r="AD116" s="3" t="s">
        <v>71</v>
      </c>
      <c r="AE116" s="3" t="s">
        <v>84</v>
      </c>
      <c r="AF116" s="6">
        <v>0.73199999999999998</v>
      </c>
      <c r="AG116" s="3" t="s">
        <v>61</v>
      </c>
      <c r="AH116" s="3" t="s">
        <v>74</v>
      </c>
      <c r="AI116" s="6">
        <v>0.69099999999999995</v>
      </c>
      <c r="AJ116" s="3" t="s">
        <v>61</v>
      </c>
      <c r="AK116" s="3" t="s">
        <v>85</v>
      </c>
      <c r="AL116" s="6">
        <v>-0.50800000000000001</v>
      </c>
      <c r="AM116" s="7">
        <f>ROUND((L116/3*'[1]01_Parametros'!$B$3+M116/3*'[1]01_Parametros'!$B$4+N116/3*'[1]01_Parametros'!$B$5+O116/3*'[1]01_Parametros'!$B$6+IF(ISNUMBER(SEARCH("Fronteras",U116)),1,0)*'[1]01_Parametros'!$B$7)*100,1)</f>
        <v>60</v>
      </c>
      <c r="AN116" s="7">
        <f>ROUND((E116*'[1]01_Parametros'!$B$8+(1-L116/3)*'[1]01_Parametros'!$B$9+IF(OR(AA116="Alta",AA116="Media"),1,0)*'[1]01_Parametros'!$B$10)*100,1)</f>
        <v>26.4</v>
      </c>
      <c r="AO116" s="7">
        <f>ROUND((IF(ISNUMBER(SEARCH("AC01",X116)),1,0)*'[1]01_Parametros'!$B$11+IF(OR(ISNUMBER(SEARCH("AC06",X116)),ISNUMBER(SEARCH("AC03",X116))),1,0)*'[1]01_Parametros'!$B$12+(1-ABS(E116-0.5))*'[1]01_Parametros'!$B$13+S116/3.2*'[1]01_Parametros'!$B$14)*100,1)</f>
        <v>65.3</v>
      </c>
      <c r="AP116" s="7">
        <f>ROUND((L116/3*'[1]01_Parametros'!$B$15+Q116/3*'[1]01_Parametros'!$B$16+P116/3*'[1]01_Parametros'!$B$17+IF(OR(AA116="Media-baja",AA116="Baja"),1,0)*'[1]01_Parametros'!$B$18+S116/3.2*'[1]01_Parametros'!$B$19)*100,1)</f>
        <v>65.2</v>
      </c>
      <c r="AQ116" s="7">
        <f>ROUND((P116/3*'[1]01_Parametros'!$B$20+IF(OR(ISNUMBER(SEARCH("JAC",Z116)),ISNUMBER(SEARCH("JAL",Z116)),ISNUMBER(SEARCH("lider",Z116))),1,0)*'[1]01_Parametros'!$B$21+IF(LEFT(B116,14)="Corregimiento",1,0)*'[1]01_Parametros'!$B$22+Q116/3*'[1]01_Parametros'!$B$23+S116/3.2*'[1]01_Parametros'!$B$24)*100,1)</f>
        <v>25.1</v>
      </c>
      <c r="AR116" s="3" t="str">
        <f>INDEX('[1]13_Listas'!$A$2:$A$6, MATCH(MAX(AM116:AQ116), AM116:AQ116, 0))</f>
        <v>Supervivencia económica y servicios básicos</v>
      </c>
      <c r="AS116" s="3" t="str">
        <f t="shared" si="3"/>
        <v>Supervivencia económica y servicios básicos</v>
      </c>
      <c r="AT116" s="3" t="str">
        <f t="shared" si="4"/>
        <v>Traductor Digital</v>
      </c>
      <c r="AU116" s="3" t="str">
        <f t="shared" si="5"/>
        <v>Costo de vida, gentrificación y vivienda</v>
      </c>
      <c r="AV116" s="3" t="str">
        <f>IFERROR(VLOOKUP(AS116,'[1]02_Arquetipos_Miedo_Sesgo'!$A$4:$G$8,4,FALSE),"")</f>
        <v>Sesgo de escasez + presente dominante + aversión al riesgo económico.</v>
      </c>
      <c r="AW116" s="3" t="str">
        <f>IFERROR(VLOOKUP(AS116,'[1]02_Arquetipos_Miedo_Sesgo'!$A$4:$G$8,3,FALSE),"")</f>
        <v>Miedo a no llegar a fin de mes, perder ingresos, empleo, movilidad o acceso a servicios básicos.</v>
      </c>
      <c r="AX116" s="3" t="str">
        <f>IFERROR(VLOOKUP(AS116,'[1]02_Arquetipos_Miedo_Sesgo'!$A$4:$G$8,4,FALSE),"")</f>
        <v>Sesgo de escasez + presente dominante + aversión al riesgo económico.</v>
      </c>
      <c r="AY116" s="3" t="str">
        <f>IFERROR(VLOOKUP(AS116,'[1]02_Arquetipos_Miedo_Sesgo'!$A$4:$G$8,5,FALSE),"")</f>
        <v>Empleo, emprendimiento, economía popular, transporte, costo de vida, salud, educación técnica y subsidios focalizados.</v>
      </c>
      <c r="AZ116" s="3" t="str">
        <f>IFERROR(VLOOKUP(AS116,'[1]02_Arquetipos_Miedo_Sesgo'!$A$4:$G$8,6,FALSE),"")</f>
        <v>Traducir propuestas en alivios concretos, rutas de acceso y resultados medibles de corto plazo.</v>
      </c>
      <c r="BA116" s="3" t="s">
        <v>77</v>
      </c>
    </row>
    <row r="117" spans="1:53" ht="43.2">
      <c r="A117" s="3" t="s">
        <v>377</v>
      </c>
      <c r="B117" s="3" t="s">
        <v>367</v>
      </c>
      <c r="C117" s="3" t="s">
        <v>378</v>
      </c>
      <c r="D117" s="4">
        <v>6172</v>
      </c>
      <c r="E117" s="5">
        <v>0.34802333117303952</v>
      </c>
      <c r="F117" s="3" t="s">
        <v>57</v>
      </c>
      <c r="G117" s="3" t="s">
        <v>58</v>
      </c>
      <c r="H117" s="3">
        <v>2148</v>
      </c>
      <c r="I117" s="3">
        <v>34.799999999999997</v>
      </c>
      <c r="J117" s="3">
        <v>2</v>
      </c>
      <c r="K117" s="3" t="s">
        <v>59</v>
      </c>
      <c r="L117" s="3">
        <v>2</v>
      </c>
      <c r="M117" s="3">
        <v>2</v>
      </c>
      <c r="N117" s="3">
        <v>2</v>
      </c>
      <c r="O117" s="3">
        <v>2</v>
      </c>
      <c r="P117" s="3">
        <v>1</v>
      </c>
      <c r="Q117" s="3">
        <v>2</v>
      </c>
      <c r="R117" s="3" t="s">
        <v>60</v>
      </c>
      <c r="S117" s="3">
        <v>2.2000000000000002</v>
      </c>
      <c r="T117" s="3" t="s">
        <v>75</v>
      </c>
      <c r="U117" s="3" t="s">
        <v>132</v>
      </c>
      <c r="V117" s="3" t="s">
        <v>369</v>
      </c>
      <c r="W117" s="3" t="s">
        <v>370</v>
      </c>
      <c r="X117" s="3" t="s">
        <v>371</v>
      </c>
      <c r="Y117" s="3" t="s">
        <v>135</v>
      </c>
      <c r="Z117" s="3" t="s">
        <v>372</v>
      </c>
      <c r="AA117" s="3" t="s">
        <v>137</v>
      </c>
      <c r="AB117" s="3" t="s">
        <v>69</v>
      </c>
      <c r="AC117" s="3" t="s">
        <v>70</v>
      </c>
      <c r="AD117" s="3" t="s">
        <v>71</v>
      </c>
      <c r="AE117" s="3" t="s">
        <v>72</v>
      </c>
      <c r="AF117" s="6">
        <v>0.36599999999999999</v>
      </c>
      <c r="AG117" s="3" t="s">
        <v>73</v>
      </c>
      <c r="AH117" s="3" t="s">
        <v>74</v>
      </c>
      <c r="AI117" s="6">
        <v>0.497</v>
      </c>
      <c r="AJ117" s="3" t="s">
        <v>75</v>
      </c>
      <c r="AK117" s="3" t="s">
        <v>76</v>
      </c>
      <c r="AL117" s="6">
        <v>-0.38900000000000001</v>
      </c>
      <c r="AM117" s="7">
        <f>ROUND((L117/3*'[1]01_Parametros'!$B$3+M117/3*'[1]01_Parametros'!$B$4+N117/3*'[1]01_Parametros'!$B$5+O117/3*'[1]01_Parametros'!$B$6+IF(ISNUMBER(SEARCH("Fronteras",U117)),1,0)*'[1]01_Parametros'!$B$7)*100,1)</f>
        <v>60</v>
      </c>
      <c r="AN117" s="7">
        <f>ROUND((E117*'[1]01_Parametros'!$B$8+(1-L117/3)*'[1]01_Parametros'!$B$9+IF(OR(AA117="Alta",AA117="Media"),1,0)*'[1]01_Parametros'!$B$10)*100,1)</f>
        <v>27.4</v>
      </c>
      <c r="AO117" s="7">
        <f>ROUND((IF(ISNUMBER(SEARCH("AC01",X117)),1,0)*'[1]01_Parametros'!$B$11+IF(OR(ISNUMBER(SEARCH("AC06",X117)),ISNUMBER(SEARCH("AC03",X117))),1,0)*'[1]01_Parametros'!$B$12+(1-ABS(E117-0.5))*'[1]01_Parametros'!$B$13+S117/3.2*'[1]01_Parametros'!$B$14)*100,1)</f>
        <v>65.7</v>
      </c>
      <c r="AP117" s="7">
        <f>ROUND((L117/3*'[1]01_Parametros'!$B$15+Q117/3*'[1]01_Parametros'!$B$16+P117/3*'[1]01_Parametros'!$B$17+IF(OR(AA117="Media-baja",AA117="Baja"),1,0)*'[1]01_Parametros'!$B$18+S117/3.2*'[1]01_Parametros'!$B$19)*100,1)</f>
        <v>65.2</v>
      </c>
      <c r="AQ117" s="7">
        <f>ROUND((P117/3*'[1]01_Parametros'!$B$20+IF(OR(ISNUMBER(SEARCH("JAC",Z117)),ISNUMBER(SEARCH("JAL",Z117)),ISNUMBER(SEARCH("lider",Z117))),1,0)*'[1]01_Parametros'!$B$21+IF(LEFT(B117,14)="Corregimiento",1,0)*'[1]01_Parametros'!$B$22+Q117/3*'[1]01_Parametros'!$B$23+S117/3.2*'[1]01_Parametros'!$B$24)*100,1)</f>
        <v>25.1</v>
      </c>
      <c r="AR117" s="3" t="str">
        <f>INDEX('[1]13_Listas'!$A$2:$A$6, MATCH(MAX(AM117:AQ117), AM117:AQ117, 0))</f>
        <v>Supervivencia económica y servicios básicos</v>
      </c>
      <c r="AS117" s="3" t="str">
        <f t="shared" si="3"/>
        <v>Supervivencia económica y servicios básicos</v>
      </c>
      <c r="AT117" s="3" t="str">
        <f t="shared" si="4"/>
        <v>Traductor Digital</v>
      </c>
      <c r="AU117" s="3" t="str">
        <f t="shared" si="5"/>
        <v>Costo de vida, gentrificación y vivienda</v>
      </c>
      <c r="AV117" s="3" t="str">
        <f>IFERROR(VLOOKUP(AS117,'[1]02_Arquetipos_Miedo_Sesgo'!$A$4:$G$8,4,FALSE),"")</f>
        <v>Sesgo de escasez + presente dominante + aversión al riesgo económico.</v>
      </c>
      <c r="AW117" s="3" t="str">
        <f>IFERROR(VLOOKUP(AS117,'[1]02_Arquetipos_Miedo_Sesgo'!$A$4:$G$8,3,FALSE),"")</f>
        <v>Miedo a no llegar a fin de mes, perder ingresos, empleo, movilidad o acceso a servicios básicos.</v>
      </c>
      <c r="AX117" s="3" t="str">
        <f>IFERROR(VLOOKUP(AS117,'[1]02_Arquetipos_Miedo_Sesgo'!$A$4:$G$8,4,FALSE),"")</f>
        <v>Sesgo de escasez + presente dominante + aversión al riesgo económico.</v>
      </c>
      <c r="AY117" s="3" t="str">
        <f>IFERROR(VLOOKUP(AS117,'[1]02_Arquetipos_Miedo_Sesgo'!$A$4:$G$8,5,FALSE),"")</f>
        <v>Empleo, emprendimiento, economía popular, transporte, costo de vida, salud, educación técnica y subsidios focalizados.</v>
      </c>
      <c r="AZ117" s="3" t="str">
        <f>IFERROR(VLOOKUP(AS117,'[1]02_Arquetipos_Miedo_Sesgo'!$A$4:$G$8,6,FALSE),"")</f>
        <v>Traducir propuestas en alivios concretos, rutas de acceso y resultados medibles de corto plazo.</v>
      </c>
      <c r="BA117" s="3" t="s">
        <v>77</v>
      </c>
    </row>
    <row r="118" spans="1:53" ht="43.2">
      <c r="A118" s="3" t="s">
        <v>379</v>
      </c>
      <c r="B118" s="3" t="s">
        <v>367</v>
      </c>
      <c r="C118" s="3" t="s">
        <v>380</v>
      </c>
      <c r="D118" s="4">
        <v>2537</v>
      </c>
      <c r="E118" s="5">
        <v>0.37445802128498229</v>
      </c>
      <c r="F118" s="3" t="s">
        <v>57</v>
      </c>
      <c r="G118" s="3" t="s">
        <v>58</v>
      </c>
      <c r="H118" s="3">
        <v>950</v>
      </c>
      <c r="I118" s="3">
        <v>37.4</v>
      </c>
      <c r="J118" s="3">
        <v>2</v>
      </c>
      <c r="K118" s="3" t="s">
        <v>59</v>
      </c>
      <c r="L118" s="3">
        <v>2</v>
      </c>
      <c r="M118" s="3">
        <v>2</v>
      </c>
      <c r="N118" s="3">
        <v>2</v>
      </c>
      <c r="O118" s="3">
        <v>2</v>
      </c>
      <c r="P118" s="3">
        <v>1</v>
      </c>
      <c r="Q118" s="3">
        <v>2</v>
      </c>
      <c r="R118" s="3" t="s">
        <v>60</v>
      </c>
      <c r="S118" s="3">
        <v>2.2000000000000002</v>
      </c>
      <c r="T118" s="3" t="s">
        <v>75</v>
      </c>
      <c r="U118" s="3" t="s">
        <v>132</v>
      </c>
      <c r="V118" s="3" t="s">
        <v>369</v>
      </c>
      <c r="W118" s="3" t="s">
        <v>370</v>
      </c>
      <c r="X118" s="3" t="s">
        <v>371</v>
      </c>
      <c r="Y118" s="3" t="s">
        <v>135</v>
      </c>
      <c r="Z118" s="3" t="s">
        <v>372</v>
      </c>
      <c r="AA118" s="3" t="s">
        <v>137</v>
      </c>
      <c r="AB118" s="3" t="s">
        <v>69</v>
      </c>
      <c r="AC118" s="3" t="s">
        <v>70</v>
      </c>
      <c r="AD118" s="3" t="s">
        <v>71</v>
      </c>
      <c r="AE118" s="3" t="s">
        <v>72</v>
      </c>
      <c r="AF118" s="6">
        <v>0.36599999999999999</v>
      </c>
      <c r="AG118" s="3" t="s">
        <v>73</v>
      </c>
      <c r="AH118" s="3" t="s">
        <v>74</v>
      </c>
      <c r="AI118" s="6">
        <v>0.497</v>
      </c>
      <c r="AJ118" s="3" t="s">
        <v>75</v>
      </c>
      <c r="AK118" s="3" t="s">
        <v>76</v>
      </c>
      <c r="AL118" s="6">
        <v>-0.38900000000000001</v>
      </c>
      <c r="AM118" s="7">
        <f>ROUND((L118/3*'[1]01_Parametros'!$B$3+M118/3*'[1]01_Parametros'!$B$4+N118/3*'[1]01_Parametros'!$B$5+O118/3*'[1]01_Parametros'!$B$6+IF(ISNUMBER(SEARCH("Fronteras",U118)),1,0)*'[1]01_Parametros'!$B$7)*100,1)</f>
        <v>60</v>
      </c>
      <c r="AN118" s="7">
        <f>ROUND((E118*'[1]01_Parametros'!$B$8+(1-L118/3)*'[1]01_Parametros'!$B$9+IF(OR(AA118="Alta",AA118="Media"),1,0)*'[1]01_Parametros'!$B$10)*100,1)</f>
        <v>28.7</v>
      </c>
      <c r="AO118" s="7">
        <f>ROUND((IF(ISNUMBER(SEARCH("AC01",X118)),1,0)*'[1]01_Parametros'!$B$11+IF(OR(ISNUMBER(SEARCH("AC06",X118)),ISNUMBER(SEARCH("AC03",X118))),1,0)*'[1]01_Parametros'!$B$12+(1-ABS(E118-0.5))*'[1]01_Parametros'!$B$13+S118/3.2*'[1]01_Parametros'!$B$14)*100,1)</f>
        <v>66.2</v>
      </c>
      <c r="AP118" s="7">
        <f>ROUND((L118/3*'[1]01_Parametros'!$B$15+Q118/3*'[1]01_Parametros'!$B$16+P118/3*'[1]01_Parametros'!$B$17+IF(OR(AA118="Media-baja",AA118="Baja"),1,0)*'[1]01_Parametros'!$B$18+S118/3.2*'[1]01_Parametros'!$B$19)*100,1)</f>
        <v>65.2</v>
      </c>
      <c r="AQ118" s="7">
        <f>ROUND((P118/3*'[1]01_Parametros'!$B$20+IF(OR(ISNUMBER(SEARCH("JAC",Z118)),ISNUMBER(SEARCH("JAL",Z118)),ISNUMBER(SEARCH("lider",Z118))),1,0)*'[1]01_Parametros'!$B$21+IF(LEFT(B118,14)="Corregimiento",1,0)*'[1]01_Parametros'!$B$22+Q118/3*'[1]01_Parametros'!$B$23+S118/3.2*'[1]01_Parametros'!$B$24)*100,1)</f>
        <v>25.1</v>
      </c>
      <c r="AR118" s="3" t="str">
        <f>INDEX('[1]13_Listas'!$A$2:$A$6, MATCH(MAX(AM118:AQ118), AM118:AQ118, 0))</f>
        <v>Supervivencia económica y servicios básicos</v>
      </c>
      <c r="AS118" s="3" t="str">
        <f t="shared" si="3"/>
        <v>Supervivencia económica y servicios básicos</v>
      </c>
      <c r="AT118" s="3" t="str">
        <f t="shared" si="4"/>
        <v>Traductor Digital</v>
      </c>
      <c r="AU118" s="3" t="str">
        <f t="shared" si="5"/>
        <v>Costo de vida, gentrificación y vivienda</v>
      </c>
      <c r="AV118" s="3" t="str">
        <f>IFERROR(VLOOKUP(AS118,'[1]02_Arquetipos_Miedo_Sesgo'!$A$4:$G$8,4,FALSE),"")</f>
        <v>Sesgo de escasez + presente dominante + aversión al riesgo económico.</v>
      </c>
      <c r="AW118" s="3" t="str">
        <f>IFERROR(VLOOKUP(AS118,'[1]02_Arquetipos_Miedo_Sesgo'!$A$4:$G$8,3,FALSE),"")</f>
        <v>Miedo a no llegar a fin de mes, perder ingresos, empleo, movilidad o acceso a servicios básicos.</v>
      </c>
      <c r="AX118" s="3" t="str">
        <f>IFERROR(VLOOKUP(AS118,'[1]02_Arquetipos_Miedo_Sesgo'!$A$4:$G$8,4,FALSE),"")</f>
        <v>Sesgo de escasez + presente dominante + aversión al riesgo económico.</v>
      </c>
      <c r="AY118" s="3" t="str">
        <f>IFERROR(VLOOKUP(AS118,'[1]02_Arquetipos_Miedo_Sesgo'!$A$4:$G$8,5,FALSE),"")</f>
        <v>Empleo, emprendimiento, economía popular, transporte, costo de vida, salud, educación técnica y subsidios focalizados.</v>
      </c>
      <c r="AZ118" s="3" t="str">
        <f>IFERROR(VLOOKUP(AS118,'[1]02_Arquetipos_Miedo_Sesgo'!$A$4:$G$8,6,FALSE),"")</f>
        <v>Traducir propuestas en alivios concretos, rutas de acceso y resultados medibles de corto plazo.</v>
      </c>
      <c r="BA118" s="3" t="s">
        <v>77</v>
      </c>
    </row>
    <row r="119" spans="1:53" ht="43.2">
      <c r="A119" s="3" t="s">
        <v>381</v>
      </c>
      <c r="B119" s="3" t="s">
        <v>382</v>
      </c>
      <c r="C119" s="3" t="s">
        <v>382</v>
      </c>
      <c r="D119" s="4">
        <v>4732</v>
      </c>
      <c r="E119" s="5">
        <v>0.42286559594251905</v>
      </c>
      <c r="F119" s="3" t="s">
        <v>57</v>
      </c>
      <c r="G119" s="3" t="s">
        <v>58</v>
      </c>
      <c r="H119" s="3">
        <v>2001</v>
      </c>
      <c r="I119" s="3">
        <v>42.3</v>
      </c>
      <c r="J119" s="3">
        <v>8</v>
      </c>
      <c r="K119" s="3" t="s">
        <v>130</v>
      </c>
      <c r="L119" s="3">
        <v>3</v>
      </c>
      <c r="M119" s="3">
        <v>3</v>
      </c>
      <c r="N119" s="3">
        <v>3</v>
      </c>
      <c r="O119" s="3">
        <v>3</v>
      </c>
      <c r="P119" s="3">
        <v>2</v>
      </c>
      <c r="Q119" s="3">
        <v>3</v>
      </c>
      <c r="R119" s="3" t="s">
        <v>60</v>
      </c>
      <c r="S119" s="3">
        <v>3</v>
      </c>
      <c r="T119" s="3" t="s">
        <v>61</v>
      </c>
      <c r="U119" s="3" t="s">
        <v>62</v>
      </c>
      <c r="V119" s="3" t="s">
        <v>383</v>
      </c>
      <c r="W119" s="3" t="s">
        <v>64</v>
      </c>
      <c r="X119" s="3" t="s">
        <v>65</v>
      </c>
      <c r="Y119" s="3" t="s">
        <v>66</v>
      </c>
      <c r="Z119" s="3" t="s">
        <v>384</v>
      </c>
      <c r="AA119" s="3" t="s">
        <v>68</v>
      </c>
      <c r="AB119" s="3" t="s">
        <v>69</v>
      </c>
      <c r="AC119" s="3" t="s">
        <v>70</v>
      </c>
      <c r="AD119" s="3" t="s">
        <v>71</v>
      </c>
      <c r="AE119" s="3" t="s">
        <v>72</v>
      </c>
      <c r="AF119" s="6">
        <v>0.36599999999999999</v>
      </c>
      <c r="AG119" s="3" t="s">
        <v>73</v>
      </c>
      <c r="AH119" s="3" t="s">
        <v>74</v>
      </c>
      <c r="AI119" s="6">
        <v>0.497</v>
      </c>
      <c r="AJ119" s="3" t="s">
        <v>75</v>
      </c>
      <c r="AK119" s="3" t="s">
        <v>76</v>
      </c>
      <c r="AL119" s="6">
        <v>-0.38900000000000001</v>
      </c>
      <c r="AM119" s="7">
        <f>ROUND((L119/3*'[1]01_Parametros'!$B$3+M119/3*'[1]01_Parametros'!$B$4+N119/3*'[1]01_Parametros'!$B$5+O119/3*'[1]01_Parametros'!$B$6+IF(ISNUMBER(SEARCH("Fronteras",U119)),1,0)*'[1]01_Parametros'!$B$7)*100,1)</f>
        <v>100</v>
      </c>
      <c r="AN119" s="7">
        <f>ROUND((E119*'[1]01_Parametros'!$B$8+(1-L119/3)*'[1]01_Parametros'!$B$9+IF(OR(AA119="Alta",AA119="Media"),1,0)*'[1]01_Parametros'!$B$10)*100,1)</f>
        <v>21.1</v>
      </c>
      <c r="AO119" s="7">
        <f>ROUND((IF(ISNUMBER(SEARCH("AC01",X119)),1,0)*'[1]01_Parametros'!$B$11+IF(OR(ISNUMBER(SEARCH("AC06",X119)),ISNUMBER(SEARCH("AC03",X119))),1,0)*'[1]01_Parametros'!$B$12+(1-ABS(E119-0.5))*'[1]01_Parametros'!$B$13+S119/3.2*'[1]01_Parametros'!$B$14)*100,1)</f>
        <v>72.2</v>
      </c>
      <c r="AP119" s="7">
        <f>ROUND((L119/3*'[1]01_Parametros'!$B$15+Q119/3*'[1]01_Parametros'!$B$16+P119/3*'[1]01_Parametros'!$B$17+IF(OR(AA119="Media-baja",AA119="Baja"),1,0)*'[1]01_Parametros'!$B$18+S119/3.2*'[1]01_Parametros'!$B$19)*100,1)</f>
        <v>77.7</v>
      </c>
      <c r="AQ119" s="7">
        <f>ROUND((P119/3*'[1]01_Parametros'!$B$20+IF(OR(ISNUMBER(SEARCH("JAC",Z119)),ISNUMBER(SEARCH("JAL",Z119)),ISNUMBER(SEARCH("lider",Z119))),1,0)*'[1]01_Parametros'!$B$21+IF(LEFT(B119,14)="Corregimiento",1,0)*'[1]01_Parametros'!$B$22+Q119/3*'[1]01_Parametros'!$B$23+S119/3.2*'[1]01_Parametros'!$B$24)*100,1)</f>
        <v>34.700000000000003</v>
      </c>
      <c r="AR119" s="3" t="str">
        <f>INDEX('[1]13_Listas'!$A$2:$A$6, MATCH(MAX(AM119:AQ119), AM119:AQ119, 0))</f>
        <v>Protección y orden cotidiano</v>
      </c>
      <c r="AS119" s="3" t="str">
        <f t="shared" si="3"/>
        <v>Protección y orden cotidiano</v>
      </c>
      <c r="AT119" s="3" t="str">
        <f t="shared" si="4"/>
        <v>Activista Causal</v>
      </c>
      <c r="AU119" s="3" t="str">
        <f t="shared" si="5"/>
        <v>Seguridad urbana y combos</v>
      </c>
      <c r="AV119" s="3" t="str">
        <f>IFERROR(VLOOKUP(AS119,'[1]02_Arquetipos_Miedo_Sesgo'!$A$4:$G$8,4,FALSE),"")</f>
        <v>Sesgo de disponibilidad + sesgo de negatividad + preferencia por autoridad.</v>
      </c>
      <c r="AW119" s="3" t="str">
        <f>IFERROR(VLOOKUP(AS119,'[1]02_Arquetipos_Miedo_Sesgo'!$A$4:$G$8,3,FALSE),"")</f>
        <v>Miedo a la inseguridad, al descontrol barrial y a perder la tranquilidad cotidiana.</v>
      </c>
      <c r="AX119" s="3" t="str">
        <f>IFERROR(VLOOKUP(AS119,'[1]02_Arquetipos_Miedo_Sesgo'!$A$4:$G$8,4,FALSE),"")</f>
        <v>Sesgo de disponibilidad + sesgo de negatividad + preferencia por autoridad.</v>
      </c>
      <c r="AY119" s="3" t="str">
        <f>IFERROR(VLOOKUP(AS119,'[1]02_Arquetipos_Miedo_Sesgo'!$A$4:$G$8,5,FALSE),"")</f>
        <v>Seguridad, convivencia, movilidad, alumbrado, reacción institucional rápida, presencia de autoridad.</v>
      </c>
      <c r="AZ119" s="3" t="str">
        <f>IFERROR(VLOOKUP(AS119,'[1]02_Arquetipos_Miedo_Sesgo'!$A$4:$G$8,6,FALSE),"")</f>
        <v>Mostrar capacidad verificable de resolver problemas concretos de seguridad y convivencia sin prometer acciones ilegales.</v>
      </c>
      <c r="BA119" s="3" t="s">
        <v>77</v>
      </c>
    </row>
    <row r="120" spans="1:53" ht="43.2">
      <c r="A120" s="3" t="s">
        <v>385</v>
      </c>
      <c r="B120" s="3" t="s">
        <v>382</v>
      </c>
      <c r="C120" s="3" t="s">
        <v>386</v>
      </c>
      <c r="D120" s="4">
        <v>607</v>
      </c>
      <c r="E120" s="5">
        <v>0.3525535420098847</v>
      </c>
      <c r="F120" s="3" t="s">
        <v>57</v>
      </c>
      <c r="G120" s="3" t="s">
        <v>58</v>
      </c>
      <c r="H120" s="3">
        <v>214</v>
      </c>
      <c r="I120" s="3">
        <v>35.299999999999997</v>
      </c>
      <c r="J120" s="3">
        <v>8</v>
      </c>
      <c r="K120" s="3" t="s">
        <v>130</v>
      </c>
      <c r="L120" s="3">
        <v>3</v>
      </c>
      <c r="M120" s="3">
        <v>3</v>
      </c>
      <c r="N120" s="3">
        <v>3</v>
      </c>
      <c r="O120" s="3">
        <v>3</v>
      </c>
      <c r="P120" s="3">
        <v>2</v>
      </c>
      <c r="Q120" s="3">
        <v>3</v>
      </c>
      <c r="R120" s="3" t="s">
        <v>60</v>
      </c>
      <c r="S120" s="3">
        <v>3</v>
      </c>
      <c r="T120" s="3" t="s">
        <v>61</v>
      </c>
      <c r="U120" s="3" t="s">
        <v>62</v>
      </c>
      <c r="V120" s="3" t="s">
        <v>383</v>
      </c>
      <c r="W120" s="3" t="s">
        <v>64</v>
      </c>
      <c r="X120" s="3" t="s">
        <v>65</v>
      </c>
      <c r="Y120" s="3" t="s">
        <v>66</v>
      </c>
      <c r="Z120" s="3" t="s">
        <v>384</v>
      </c>
      <c r="AA120" s="3" t="s">
        <v>68</v>
      </c>
      <c r="AB120" s="3" t="s">
        <v>69</v>
      </c>
      <c r="AC120" s="3" t="s">
        <v>70</v>
      </c>
      <c r="AD120" s="3" t="s">
        <v>71</v>
      </c>
      <c r="AE120" s="3" t="s">
        <v>72</v>
      </c>
      <c r="AF120" s="6">
        <v>0.36599999999999999</v>
      </c>
      <c r="AG120" s="3" t="s">
        <v>73</v>
      </c>
      <c r="AH120" s="3" t="s">
        <v>74</v>
      </c>
      <c r="AI120" s="6">
        <v>0.497</v>
      </c>
      <c r="AJ120" s="3" t="s">
        <v>75</v>
      </c>
      <c r="AK120" s="3" t="s">
        <v>76</v>
      </c>
      <c r="AL120" s="6">
        <v>-0.38900000000000001</v>
      </c>
      <c r="AM120" s="7">
        <f>ROUND((L120/3*'[1]01_Parametros'!$B$3+M120/3*'[1]01_Parametros'!$B$4+N120/3*'[1]01_Parametros'!$B$5+O120/3*'[1]01_Parametros'!$B$6+IF(ISNUMBER(SEARCH("Fronteras",U120)),1,0)*'[1]01_Parametros'!$B$7)*100,1)</f>
        <v>100</v>
      </c>
      <c r="AN120" s="7">
        <f>ROUND((E120*'[1]01_Parametros'!$B$8+(1-L120/3)*'[1]01_Parametros'!$B$9+IF(OR(AA120="Alta",AA120="Media"),1,0)*'[1]01_Parametros'!$B$10)*100,1)</f>
        <v>17.600000000000001</v>
      </c>
      <c r="AO120" s="7">
        <f>ROUND((IF(ISNUMBER(SEARCH("AC01",X120)),1,0)*'[1]01_Parametros'!$B$11+IF(OR(ISNUMBER(SEARCH("AC06",X120)),ISNUMBER(SEARCH("AC03",X120))),1,0)*'[1]01_Parametros'!$B$12+(1-ABS(E120-0.5))*'[1]01_Parametros'!$B$13+S120/3.2*'[1]01_Parametros'!$B$14)*100,1)</f>
        <v>70.8</v>
      </c>
      <c r="AP120" s="7">
        <f>ROUND((L120/3*'[1]01_Parametros'!$B$15+Q120/3*'[1]01_Parametros'!$B$16+P120/3*'[1]01_Parametros'!$B$17+IF(OR(AA120="Media-baja",AA120="Baja"),1,0)*'[1]01_Parametros'!$B$18+S120/3.2*'[1]01_Parametros'!$B$19)*100,1)</f>
        <v>77.7</v>
      </c>
      <c r="AQ120" s="7">
        <f>ROUND((P120/3*'[1]01_Parametros'!$B$20+IF(OR(ISNUMBER(SEARCH("JAC",Z120)),ISNUMBER(SEARCH("JAL",Z120)),ISNUMBER(SEARCH("lider",Z120))),1,0)*'[1]01_Parametros'!$B$21+IF(LEFT(B120,14)="Corregimiento",1,0)*'[1]01_Parametros'!$B$22+Q120/3*'[1]01_Parametros'!$B$23+S120/3.2*'[1]01_Parametros'!$B$24)*100,1)</f>
        <v>34.700000000000003</v>
      </c>
      <c r="AR120" s="3" t="str">
        <f>INDEX('[1]13_Listas'!$A$2:$A$6, MATCH(MAX(AM120:AQ120), AM120:AQ120, 0))</f>
        <v>Protección y orden cotidiano</v>
      </c>
      <c r="AS120" s="3" t="str">
        <f t="shared" si="3"/>
        <v>Protección y orden cotidiano</v>
      </c>
      <c r="AT120" s="3" t="str">
        <f t="shared" si="4"/>
        <v>Activista Causal</v>
      </c>
      <c r="AU120" s="3" t="str">
        <f t="shared" si="5"/>
        <v>Seguridad urbana y combos</v>
      </c>
      <c r="AV120" s="3" t="str">
        <f>IFERROR(VLOOKUP(AS120,'[1]02_Arquetipos_Miedo_Sesgo'!$A$4:$G$8,4,FALSE),"")</f>
        <v>Sesgo de disponibilidad + sesgo de negatividad + preferencia por autoridad.</v>
      </c>
      <c r="AW120" s="3" t="str">
        <f>IFERROR(VLOOKUP(AS120,'[1]02_Arquetipos_Miedo_Sesgo'!$A$4:$G$8,3,FALSE),"")</f>
        <v>Miedo a la inseguridad, al descontrol barrial y a perder la tranquilidad cotidiana.</v>
      </c>
      <c r="AX120" s="3" t="str">
        <f>IFERROR(VLOOKUP(AS120,'[1]02_Arquetipos_Miedo_Sesgo'!$A$4:$G$8,4,FALSE),"")</f>
        <v>Sesgo de disponibilidad + sesgo de negatividad + preferencia por autoridad.</v>
      </c>
      <c r="AY120" s="3" t="str">
        <f>IFERROR(VLOOKUP(AS120,'[1]02_Arquetipos_Miedo_Sesgo'!$A$4:$G$8,5,FALSE),"")</f>
        <v>Seguridad, convivencia, movilidad, alumbrado, reacción institucional rápida, presencia de autoridad.</v>
      </c>
      <c r="AZ120" s="3" t="str">
        <f>IFERROR(VLOOKUP(AS120,'[1]02_Arquetipos_Miedo_Sesgo'!$A$4:$G$8,6,FALSE),"")</f>
        <v>Mostrar capacidad verificable de resolver problemas concretos de seguridad y convivencia sin prometer acciones ilegales.</v>
      </c>
      <c r="BA120" s="3" t="s">
        <v>77</v>
      </c>
    </row>
    <row r="121" spans="1:53" ht="43.2">
      <c r="A121" s="3" t="s">
        <v>387</v>
      </c>
      <c r="B121" s="3" t="s">
        <v>382</v>
      </c>
      <c r="C121" s="3" t="s">
        <v>388</v>
      </c>
      <c r="D121" s="4">
        <v>2312</v>
      </c>
      <c r="E121" s="5">
        <v>0.41262975778546712</v>
      </c>
      <c r="F121" s="3" t="s">
        <v>57</v>
      </c>
      <c r="G121" s="3" t="s">
        <v>58</v>
      </c>
      <c r="H121" s="3">
        <v>954</v>
      </c>
      <c r="I121" s="3">
        <v>41.3</v>
      </c>
      <c r="J121" s="3">
        <v>8</v>
      </c>
      <c r="K121" s="3" t="s">
        <v>130</v>
      </c>
      <c r="L121" s="3">
        <v>3</v>
      </c>
      <c r="M121" s="3">
        <v>3</v>
      </c>
      <c r="N121" s="3">
        <v>3</v>
      </c>
      <c r="O121" s="3">
        <v>3</v>
      </c>
      <c r="P121" s="3">
        <v>2</v>
      </c>
      <c r="Q121" s="3">
        <v>3</v>
      </c>
      <c r="R121" s="3" t="s">
        <v>60</v>
      </c>
      <c r="S121" s="3">
        <v>3</v>
      </c>
      <c r="T121" s="3" t="s">
        <v>61</v>
      </c>
      <c r="U121" s="3" t="s">
        <v>62</v>
      </c>
      <c r="V121" s="3" t="s">
        <v>383</v>
      </c>
      <c r="W121" s="3" t="s">
        <v>64</v>
      </c>
      <c r="X121" s="3" t="s">
        <v>65</v>
      </c>
      <c r="Y121" s="3" t="s">
        <v>66</v>
      </c>
      <c r="Z121" s="3" t="s">
        <v>384</v>
      </c>
      <c r="AA121" s="3" t="s">
        <v>68</v>
      </c>
      <c r="AB121" s="3" t="s">
        <v>69</v>
      </c>
      <c r="AC121" s="3" t="s">
        <v>70</v>
      </c>
      <c r="AD121" s="3" t="s">
        <v>71</v>
      </c>
      <c r="AE121" s="3" t="s">
        <v>72</v>
      </c>
      <c r="AF121" s="6">
        <v>0.36599999999999999</v>
      </c>
      <c r="AG121" s="3" t="s">
        <v>73</v>
      </c>
      <c r="AH121" s="3" t="s">
        <v>74</v>
      </c>
      <c r="AI121" s="6">
        <v>0.497</v>
      </c>
      <c r="AJ121" s="3" t="s">
        <v>75</v>
      </c>
      <c r="AK121" s="3" t="s">
        <v>76</v>
      </c>
      <c r="AL121" s="6">
        <v>-0.38900000000000001</v>
      </c>
      <c r="AM121" s="7">
        <f>ROUND((L121/3*'[1]01_Parametros'!$B$3+M121/3*'[1]01_Parametros'!$B$4+N121/3*'[1]01_Parametros'!$B$5+O121/3*'[1]01_Parametros'!$B$6+IF(ISNUMBER(SEARCH("Fronteras",U121)),1,0)*'[1]01_Parametros'!$B$7)*100,1)</f>
        <v>100</v>
      </c>
      <c r="AN121" s="7">
        <f>ROUND((E121*'[1]01_Parametros'!$B$8+(1-L121/3)*'[1]01_Parametros'!$B$9+IF(OR(AA121="Alta",AA121="Media"),1,0)*'[1]01_Parametros'!$B$10)*100,1)</f>
        <v>20.6</v>
      </c>
      <c r="AO121" s="7">
        <f>ROUND((IF(ISNUMBER(SEARCH("AC01",X121)),1,0)*'[1]01_Parametros'!$B$11+IF(OR(ISNUMBER(SEARCH("AC06",X121)),ISNUMBER(SEARCH("AC03",X121))),1,0)*'[1]01_Parametros'!$B$12+(1-ABS(E121-0.5))*'[1]01_Parametros'!$B$13+S121/3.2*'[1]01_Parametros'!$B$14)*100,1)</f>
        <v>72</v>
      </c>
      <c r="AP121" s="7">
        <f>ROUND((L121/3*'[1]01_Parametros'!$B$15+Q121/3*'[1]01_Parametros'!$B$16+P121/3*'[1]01_Parametros'!$B$17+IF(OR(AA121="Media-baja",AA121="Baja"),1,0)*'[1]01_Parametros'!$B$18+S121/3.2*'[1]01_Parametros'!$B$19)*100,1)</f>
        <v>77.7</v>
      </c>
      <c r="AQ121" s="7">
        <f>ROUND((P121/3*'[1]01_Parametros'!$B$20+IF(OR(ISNUMBER(SEARCH("JAC",Z121)),ISNUMBER(SEARCH("JAL",Z121)),ISNUMBER(SEARCH("lider",Z121))),1,0)*'[1]01_Parametros'!$B$21+IF(LEFT(B121,14)="Corregimiento",1,0)*'[1]01_Parametros'!$B$22+Q121/3*'[1]01_Parametros'!$B$23+S121/3.2*'[1]01_Parametros'!$B$24)*100,1)</f>
        <v>34.700000000000003</v>
      </c>
      <c r="AR121" s="3" t="str">
        <f>INDEX('[1]13_Listas'!$A$2:$A$6, MATCH(MAX(AM121:AQ121), AM121:AQ121, 0))</f>
        <v>Protección y orden cotidiano</v>
      </c>
      <c r="AS121" s="3" t="str">
        <f t="shared" si="3"/>
        <v>Protección y orden cotidiano</v>
      </c>
      <c r="AT121" s="3" t="str">
        <f t="shared" si="4"/>
        <v>Activista Causal</v>
      </c>
      <c r="AU121" s="3" t="str">
        <f t="shared" si="5"/>
        <v>Seguridad urbana y combos</v>
      </c>
      <c r="AV121" s="3" t="str">
        <f>IFERROR(VLOOKUP(AS121,'[1]02_Arquetipos_Miedo_Sesgo'!$A$4:$G$8,4,FALSE),"")</f>
        <v>Sesgo de disponibilidad + sesgo de negatividad + preferencia por autoridad.</v>
      </c>
      <c r="AW121" s="3" t="str">
        <f>IFERROR(VLOOKUP(AS121,'[1]02_Arquetipos_Miedo_Sesgo'!$A$4:$G$8,3,FALSE),"")</f>
        <v>Miedo a la inseguridad, al descontrol barrial y a perder la tranquilidad cotidiana.</v>
      </c>
      <c r="AX121" s="3" t="str">
        <f>IFERROR(VLOOKUP(AS121,'[1]02_Arquetipos_Miedo_Sesgo'!$A$4:$G$8,4,FALSE),"")</f>
        <v>Sesgo de disponibilidad + sesgo de negatividad + preferencia por autoridad.</v>
      </c>
      <c r="AY121" s="3" t="str">
        <f>IFERROR(VLOOKUP(AS121,'[1]02_Arquetipos_Miedo_Sesgo'!$A$4:$G$8,5,FALSE),"")</f>
        <v>Seguridad, convivencia, movilidad, alumbrado, reacción institucional rápida, presencia de autoridad.</v>
      </c>
      <c r="AZ121" s="3" t="str">
        <f>IFERROR(VLOOKUP(AS121,'[1]02_Arquetipos_Miedo_Sesgo'!$A$4:$G$8,6,FALSE),"")</f>
        <v>Mostrar capacidad verificable de resolver problemas concretos de seguridad y convivencia sin prometer acciones ilegales.</v>
      </c>
      <c r="BA121" s="3" t="s">
        <v>77</v>
      </c>
    </row>
    <row r="122" spans="1:53" ht="43.2">
      <c r="A122" s="3" t="s">
        <v>389</v>
      </c>
      <c r="B122" s="3" t="s">
        <v>382</v>
      </c>
      <c r="C122" s="3" t="s">
        <v>390</v>
      </c>
      <c r="D122" s="4">
        <v>384</v>
      </c>
      <c r="E122" s="5">
        <v>0.31510416666666669</v>
      </c>
      <c r="F122" s="3" t="s">
        <v>170</v>
      </c>
      <c r="G122" s="3" t="s">
        <v>83</v>
      </c>
      <c r="H122" s="3">
        <v>121</v>
      </c>
      <c r="I122" s="3">
        <v>31.5</v>
      </c>
      <c r="J122" s="3">
        <v>8</v>
      </c>
      <c r="K122" s="3" t="s">
        <v>130</v>
      </c>
      <c r="L122" s="3">
        <v>3</v>
      </c>
      <c r="M122" s="3">
        <v>3</v>
      </c>
      <c r="N122" s="3">
        <v>3</v>
      </c>
      <c r="O122" s="3">
        <v>3</v>
      </c>
      <c r="P122" s="3">
        <v>2</v>
      </c>
      <c r="Q122" s="3">
        <v>3</v>
      </c>
      <c r="R122" s="3" t="s">
        <v>60</v>
      </c>
      <c r="S122" s="3">
        <v>3</v>
      </c>
      <c r="T122" s="3" t="s">
        <v>61</v>
      </c>
      <c r="U122" s="3" t="s">
        <v>62</v>
      </c>
      <c r="V122" s="3" t="s">
        <v>383</v>
      </c>
      <c r="W122" s="3" t="s">
        <v>64</v>
      </c>
      <c r="X122" s="3" t="s">
        <v>65</v>
      </c>
      <c r="Y122" s="3" t="s">
        <v>66</v>
      </c>
      <c r="Z122" s="3" t="s">
        <v>384</v>
      </c>
      <c r="AA122" s="3" t="s">
        <v>68</v>
      </c>
      <c r="AB122" s="3" t="s">
        <v>69</v>
      </c>
      <c r="AC122" s="3" t="s">
        <v>70</v>
      </c>
      <c r="AD122" s="3" t="s">
        <v>71</v>
      </c>
      <c r="AE122" s="3" t="s">
        <v>85</v>
      </c>
      <c r="AF122" s="6">
        <v>0.42399999999999999</v>
      </c>
      <c r="AG122" s="3" t="s">
        <v>73</v>
      </c>
      <c r="AH122" s="3" t="s">
        <v>76</v>
      </c>
      <c r="AI122" s="6">
        <v>0.434</v>
      </c>
      <c r="AJ122" s="3" t="s">
        <v>73</v>
      </c>
      <c r="AK122" s="3" t="s">
        <v>74</v>
      </c>
      <c r="AL122" s="6">
        <v>-0.79600000000000004</v>
      </c>
      <c r="AM122" s="7">
        <f>ROUND((L122/3*'[1]01_Parametros'!$B$3+M122/3*'[1]01_Parametros'!$B$4+N122/3*'[1]01_Parametros'!$B$5+O122/3*'[1]01_Parametros'!$B$6+IF(ISNUMBER(SEARCH("Fronteras",U122)),1,0)*'[1]01_Parametros'!$B$7)*100,1)</f>
        <v>100</v>
      </c>
      <c r="AN122" s="7">
        <f>ROUND((E122*'[1]01_Parametros'!$B$8+(1-L122/3)*'[1]01_Parametros'!$B$9+IF(OR(AA122="Alta",AA122="Media"),1,0)*'[1]01_Parametros'!$B$10)*100,1)</f>
        <v>15.8</v>
      </c>
      <c r="AO122" s="7">
        <f>ROUND((IF(ISNUMBER(SEARCH("AC01",X122)),1,0)*'[1]01_Parametros'!$B$11+IF(OR(ISNUMBER(SEARCH("AC06",X122)),ISNUMBER(SEARCH("AC03",X122))),1,0)*'[1]01_Parametros'!$B$12+(1-ABS(E122-0.5))*'[1]01_Parametros'!$B$13+S122/3.2*'[1]01_Parametros'!$B$14)*100,1)</f>
        <v>70.099999999999994</v>
      </c>
      <c r="AP122" s="7">
        <f>ROUND((L122/3*'[1]01_Parametros'!$B$15+Q122/3*'[1]01_Parametros'!$B$16+P122/3*'[1]01_Parametros'!$B$17+IF(OR(AA122="Media-baja",AA122="Baja"),1,0)*'[1]01_Parametros'!$B$18+S122/3.2*'[1]01_Parametros'!$B$19)*100,1)</f>
        <v>77.7</v>
      </c>
      <c r="AQ122" s="7">
        <f>ROUND((P122/3*'[1]01_Parametros'!$B$20+IF(OR(ISNUMBER(SEARCH("JAC",Z122)),ISNUMBER(SEARCH("JAL",Z122)),ISNUMBER(SEARCH("lider",Z122))),1,0)*'[1]01_Parametros'!$B$21+IF(LEFT(B122,14)="Corregimiento",1,0)*'[1]01_Parametros'!$B$22+Q122/3*'[1]01_Parametros'!$B$23+S122/3.2*'[1]01_Parametros'!$B$24)*100,1)</f>
        <v>34.700000000000003</v>
      </c>
      <c r="AR122" s="3" t="str">
        <f>INDEX('[1]13_Listas'!$A$2:$A$6, MATCH(MAX(AM122:AQ122), AM122:AQ122, 0))</f>
        <v>Protección y orden cotidiano</v>
      </c>
      <c r="AS122" s="3" t="str">
        <f t="shared" si="3"/>
        <v>Protección y orden cotidiano</v>
      </c>
      <c r="AT122" s="3" t="str">
        <f t="shared" si="4"/>
        <v>Activista Causal</v>
      </c>
      <c r="AU122" s="3" t="str">
        <f t="shared" si="5"/>
        <v>Seguridad urbana y combos</v>
      </c>
      <c r="AV122" s="3" t="str">
        <f>IFERROR(VLOOKUP(AS122,'[1]02_Arquetipos_Miedo_Sesgo'!$A$4:$G$8,4,FALSE),"")</f>
        <v>Sesgo de disponibilidad + sesgo de negatividad + preferencia por autoridad.</v>
      </c>
      <c r="AW122" s="3" t="str">
        <f>IFERROR(VLOOKUP(AS122,'[1]02_Arquetipos_Miedo_Sesgo'!$A$4:$G$8,3,FALSE),"")</f>
        <v>Miedo a la inseguridad, al descontrol barrial y a perder la tranquilidad cotidiana.</v>
      </c>
      <c r="AX122" s="3" t="str">
        <f>IFERROR(VLOOKUP(AS122,'[1]02_Arquetipos_Miedo_Sesgo'!$A$4:$G$8,4,FALSE),"")</f>
        <v>Sesgo de disponibilidad + sesgo de negatividad + preferencia por autoridad.</v>
      </c>
      <c r="AY122" s="3" t="str">
        <f>IFERROR(VLOOKUP(AS122,'[1]02_Arquetipos_Miedo_Sesgo'!$A$4:$G$8,5,FALSE),"")</f>
        <v>Seguridad, convivencia, movilidad, alumbrado, reacción institucional rápida, presencia de autoridad.</v>
      </c>
      <c r="AZ122" s="3" t="str">
        <f>IFERROR(VLOOKUP(AS122,'[1]02_Arquetipos_Miedo_Sesgo'!$A$4:$G$8,6,FALSE),"")</f>
        <v>Mostrar capacidad verificable de resolver problemas concretos de seguridad y convivencia sin prometer acciones ilegales.</v>
      </c>
      <c r="BA122" s="3" t="s">
        <v>77</v>
      </c>
    </row>
    <row r="123" spans="1:53" ht="43.2">
      <c r="A123" s="3" t="s">
        <v>391</v>
      </c>
      <c r="B123" s="3" t="s">
        <v>382</v>
      </c>
      <c r="C123" s="3" t="s">
        <v>392</v>
      </c>
      <c r="D123" s="4">
        <v>8546</v>
      </c>
      <c r="E123" s="5">
        <v>0.33220219985958344</v>
      </c>
      <c r="F123" s="3" t="s">
        <v>57</v>
      </c>
      <c r="G123" s="3" t="s">
        <v>58</v>
      </c>
      <c r="H123" s="3">
        <v>2839</v>
      </c>
      <c r="I123" s="3">
        <v>33.200000000000003</v>
      </c>
      <c r="J123" s="3">
        <v>8</v>
      </c>
      <c r="K123" s="3" t="s">
        <v>130</v>
      </c>
      <c r="L123" s="3">
        <v>3</v>
      </c>
      <c r="M123" s="3">
        <v>3</v>
      </c>
      <c r="N123" s="3">
        <v>3</v>
      </c>
      <c r="O123" s="3">
        <v>3</v>
      </c>
      <c r="P123" s="3">
        <v>2</v>
      </c>
      <c r="Q123" s="3">
        <v>3</v>
      </c>
      <c r="R123" s="3" t="s">
        <v>60</v>
      </c>
      <c r="S123" s="3">
        <v>3</v>
      </c>
      <c r="T123" s="3" t="s">
        <v>61</v>
      </c>
      <c r="U123" s="3" t="s">
        <v>62</v>
      </c>
      <c r="V123" s="3" t="s">
        <v>383</v>
      </c>
      <c r="W123" s="3" t="s">
        <v>64</v>
      </c>
      <c r="X123" s="3" t="s">
        <v>65</v>
      </c>
      <c r="Y123" s="3" t="s">
        <v>66</v>
      </c>
      <c r="Z123" s="3" t="s">
        <v>384</v>
      </c>
      <c r="AA123" s="3" t="s">
        <v>68</v>
      </c>
      <c r="AB123" s="3" t="s">
        <v>69</v>
      </c>
      <c r="AC123" s="3" t="s">
        <v>70</v>
      </c>
      <c r="AD123" s="3" t="s">
        <v>71</v>
      </c>
      <c r="AE123" s="3" t="s">
        <v>72</v>
      </c>
      <c r="AF123" s="6">
        <v>0.36599999999999999</v>
      </c>
      <c r="AG123" s="3" t="s">
        <v>73</v>
      </c>
      <c r="AH123" s="3" t="s">
        <v>74</v>
      </c>
      <c r="AI123" s="6">
        <v>0.497</v>
      </c>
      <c r="AJ123" s="3" t="s">
        <v>75</v>
      </c>
      <c r="AK123" s="3" t="s">
        <v>76</v>
      </c>
      <c r="AL123" s="6">
        <v>-0.38900000000000001</v>
      </c>
      <c r="AM123" s="7">
        <f>ROUND((L123/3*'[1]01_Parametros'!$B$3+M123/3*'[1]01_Parametros'!$B$4+N123/3*'[1]01_Parametros'!$B$5+O123/3*'[1]01_Parametros'!$B$6+IF(ISNUMBER(SEARCH("Fronteras",U123)),1,0)*'[1]01_Parametros'!$B$7)*100,1)</f>
        <v>100</v>
      </c>
      <c r="AN123" s="7">
        <f>ROUND((E123*'[1]01_Parametros'!$B$8+(1-L123/3)*'[1]01_Parametros'!$B$9+IF(OR(AA123="Alta",AA123="Media"),1,0)*'[1]01_Parametros'!$B$10)*100,1)</f>
        <v>16.600000000000001</v>
      </c>
      <c r="AO123" s="7">
        <f>ROUND((IF(ISNUMBER(SEARCH("AC01",X123)),1,0)*'[1]01_Parametros'!$B$11+IF(OR(ISNUMBER(SEARCH("AC06",X123)),ISNUMBER(SEARCH("AC03",X123))),1,0)*'[1]01_Parametros'!$B$12+(1-ABS(E123-0.5))*'[1]01_Parametros'!$B$13+S123/3.2*'[1]01_Parametros'!$B$14)*100,1)</f>
        <v>70.400000000000006</v>
      </c>
      <c r="AP123" s="7">
        <f>ROUND((L123/3*'[1]01_Parametros'!$B$15+Q123/3*'[1]01_Parametros'!$B$16+P123/3*'[1]01_Parametros'!$B$17+IF(OR(AA123="Media-baja",AA123="Baja"),1,0)*'[1]01_Parametros'!$B$18+S123/3.2*'[1]01_Parametros'!$B$19)*100,1)</f>
        <v>77.7</v>
      </c>
      <c r="AQ123" s="7">
        <f>ROUND((P123/3*'[1]01_Parametros'!$B$20+IF(OR(ISNUMBER(SEARCH("JAC",Z123)),ISNUMBER(SEARCH("JAL",Z123)),ISNUMBER(SEARCH("lider",Z123))),1,0)*'[1]01_Parametros'!$B$21+IF(LEFT(B123,14)="Corregimiento",1,0)*'[1]01_Parametros'!$B$22+Q123/3*'[1]01_Parametros'!$B$23+S123/3.2*'[1]01_Parametros'!$B$24)*100,1)</f>
        <v>34.700000000000003</v>
      </c>
      <c r="AR123" s="3" t="str">
        <f>INDEX('[1]13_Listas'!$A$2:$A$6, MATCH(MAX(AM123:AQ123), AM123:AQ123, 0))</f>
        <v>Protección y orden cotidiano</v>
      </c>
      <c r="AS123" s="3" t="str">
        <f t="shared" si="3"/>
        <v>Protección y orden cotidiano</v>
      </c>
      <c r="AT123" s="3" t="str">
        <f t="shared" si="4"/>
        <v>Activista Causal</v>
      </c>
      <c r="AU123" s="3" t="str">
        <f t="shared" si="5"/>
        <v>Seguridad urbana y combos</v>
      </c>
      <c r="AV123" s="3" t="str">
        <f>IFERROR(VLOOKUP(AS123,'[1]02_Arquetipos_Miedo_Sesgo'!$A$4:$G$8,4,FALSE),"")</f>
        <v>Sesgo de disponibilidad + sesgo de negatividad + preferencia por autoridad.</v>
      </c>
      <c r="AW123" s="3" t="str">
        <f>IFERROR(VLOOKUP(AS123,'[1]02_Arquetipos_Miedo_Sesgo'!$A$4:$G$8,3,FALSE),"")</f>
        <v>Miedo a la inseguridad, al descontrol barrial y a perder la tranquilidad cotidiana.</v>
      </c>
      <c r="AX123" s="3" t="str">
        <f>IFERROR(VLOOKUP(AS123,'[1]02_Arquetipos_Miedo_Sesgo'!$A$4:$G$8,4,FALSE),"")</f>
        <v>Sesgo de disponibilidad + sesgo de negatividad + preferencia por autoridad.</v>
      </c>
      <c r="AY123" s="3" t="str">
        <f>IFERROR(VLOOKUP(AS123,'[1]02_Arquetipos_Miedo_Sesgo'!$A$4:$G$8,5,FALSE),"")</f>
        <v>Seguridad, convivencia, movilidad, alumbrado, reacción institucional rápida, presencia de autoridad.</v>
      </c>
      <c r="AZ123" s="3" t="str">
        <f>IFERROR(VLOOKUP(AS123,'[1]02_Arquetipos_Miedo_Sesgo'!$A$4:$G$8,6,FALSE),"")</f>
        <v>Mostrar capacidad verificable de resolver problemas concretos de seguridad y convivencia sin prometer acciones ilegales.</v>
      </c>
      <c r="BA123" s="3" t="s">
        <v>77</v>
      </c>
    </row>
    <row r="124" spans="1:53" ht="43.2">
      <c r="A124" s="3" t="s">
        <v>393</v>
      </c>
      <c r="B124" s="3" t="s">
        <v>382</v>
      </c>
      <c r="C124" s="3" t="s">
        <v>394</v>
      </c>
      <c r="D124" s="4">
        <v>54</v>
      </c>
      <c r="E124" s="5">
        <v>0.35185185185185186</v>
      </c>
      <c r="F124" s="3" t="s">
        <v>57</v>
      </c>
      <c r="G124" s="3" t="s">
        <v>58</v>
      </c>
      <c r="H124" s="3">
        <v>19</v>
      </c>
      <c r="I124" s="3">
        <v>35.200000000000003</v>
      </c>
      <c r="J124" s="3">
        <v>8</v>
      </c>
      <c r="K124" s="3" t="s">
        <v>130</v>
      </c>
      <c r="L124" s="3">
        <v>3</v>
      </c>
      <c r="M124" s="3">
        <v>3</v>
      </c>
      <c r="N124" s="3">
        <v>3</v>
      </c>
      <c r="O124" s="3">
        <v>3</v>
      </c>
      <c r="P124" s="3">
        <v>2</v>
      </c>
      <c r="Q124" s="3">
        <v>3</v>
      </c>
      <c r="R124" s="3" t="s">
        <v>60</v>
      </c>
      <c r="S124" s="3">
        <v>3</v>
      </c>
      <c r="T124" s="3" t="s">
        <v>61</v>
      </c>
      <c r="U124" s="3" t="s">
        <v>62</v>
      </c>
      <c r="V124" s="3" t="s">
        <v>383</v>
      </c>
      <c r="W124" s="3" t="s">
        <v>64</v>
      </c>
      <c r="X124" s="3" t="s">
        <v>65</v>
      </c>
      <c r="Y124" s="3" t="s">
        <v>66</v>
      </c>
      <c r="Z124" s="3" t="s">
        <v>384</v>
      </c>
      <c r="AA124" s="3" t="s">
        <v>68</v>
      </c>
      <c r="AB124" s="3" t="s">
        <v>69</v>
      </c>
      <c r="AC124" s="3" t="s">
        <v>70</v>
      </c>
      <c r="AD124" s="3" t="s">
        <v>71</v>
      </c>
      <c r="AE124" s="3" t="s">
        <v>72</v>
      </c>
      <c r="AF124" s="6">
        <v>0.36599999999999999</v>
      </c>
      <c r="AG124" s="3" t="s">
        <v>73</v>
      </c>
      <c r="AH124" s="3" t="s">
        <v>74</v>
      </c>
      <c r="AI124" s="6">
        <v>0.497</v>
      </c>
      <c r="AJ124" s="3" t="s">
        <v>75</v>
      </c>
      <c r="AK124" s="3" t="s">
        <v>76</v>
      </c>
      <c r="AL124" s="6">
        <v>-0.38900000000000001</v>
      </c>
      <c r="AM124" s="7">
        <f>ROUND((L124/3*'[1]01_Parametros'!$B$3+M124/3*'[1]01_Parametros'!$B$4+N124/3*'[1]01_Parametros'!$B$5+O124/3*'[1]01_Parametros'!$B$6+IF(ISNUMBER(SEARCH("Fronteras",U124)),1,0)*'[1]01_Parametros'!$B$7)*100,1)</f>
        <v>100</v>
      </c>
      <c r="AN124" s="7">
        <f>ROUND((E124*'[1]01_Parametros'!$B$8+(1-L124/3)*'[1]01_Parametros'!$B$9+IF(OR(AA124="Alta",AA124="Media"),1,0)*'[1]01_Parametros'!$B$10)*100,1)</f>
        <v>17.600000000000001</v>
      </c>
      <c r="AO124" s="7">
        <f>ROUND((IF(ISNUMBER(SEARCH("AC01",X124)),1,0)*'[1]01_Parametros'!$B$11+IF(OR(ISNUMBER(SEARCH("AC06",X124)),ISNUMBER(SEARCH("AC03",X124))),1,0)*'[1]01_Parametros'!$B$12+(1-ABS(E124-0.5))*'[1]01_Parametros'!$B$13+S124/3.2*'[1]01_Parametros'!$B$14)*100,1)</f>
        <v>70.8</v>
      </c>
      <c r="AP124" s="7">
        <f>ROUND((L124/3*'[1]01_Parametros'!$B$15+Q124/3*'[1]01_Parametros'!$B$16+P124/3*'[1]01_Parametros'!$B$17+IF(OR(AA124="Media-baja",AA124="Baja"),1,0)*'[1]01_Parametros'!$B$18+S124/3.2*'[1]01_Parametros'!$B$19)*100,1)</f>
        <v>77.7</v>
      </c>
      <c r="AQ124" s="7">
        <f>ROUND((P124/3*'[1]01_Parametros'!$B$20+IF(OR(ISNUMBER(SEARCH("JAC",Z124)),ISNUMBER(SEARCH("JAL",Z124)),ISNUMBER(SEARCH("lider",Z124))),1,0)*'[1]01_Parametros'!$B$21+IF(LEFT(B124,14)="Corregimiento",1,0)*'[1]01_Parametros'!$B$22+Q124/3*'[1]01_Parametros'!$B$23+S124/3.2*'[1]01_Parametros'!$B$24)*100,1)</f>
        <v>34.700000000000003</v>
      </c>
      <c r="AR124" s="3" t="str">
        <f>INDEX('[1]13_Listas'!$A$2:$A$6, MATCH(MAX(AM124:AQ124), AM124:AQ124, 0))</f>
        <v>Protección y orden cotidiano</v>
      </c>
      <c r="AS124" s="3" t="str">
        <f t="shared" si="3"/>
        <v>Protección y orden cotidiano</v>
      </c>
      <c r="AT124" s="3" t="str">
        <f t="shared" si="4"/>
        <v>Activista Causal</v>
      </c>
      <c r="AU124" s="3" t="str">
        <f t="shared" si="5"/>
        <v>Seguridad urbana y combos</v>
      </c>
      <c r="AV124" s="3" t="str">
        <f>IFERROR(VLOOKUP(AS124,'[1]02_Arquetipos_Miedo_Sesgo'!$A$4:$G$8,4,FALSE),"")</f>
        <v>Sesgo de disponibilidad + sesgo de negatividad + preferencia por autoridad.</v>
      </c>
      <c r="AW124" s="3" t="str">
        <f>IFERROR(VLOOKUP(AS124,'[1]02_Arquetipos_Miedo_Sesgo'!$A$4:$G$8,3,FALSE),"")</f>
        <v>Miedo a la inseguridad, al descontrol barrial y a perder la tranquilidad cotidiana.</v>
      </c>
      <c r="AX124" s="3" t="str">
        <f>IFERROR(VLOOKUP(AS124,'[1]02_Arquetipos_Miedo_Sesgo'!$A$4:$G$8,4,FALSE),"")</f>
        <v>Sesgo de disponibilidad + sesgo de negatividad + preferencia por autoridad.</v>
      </c>
      <c r="AY124" s="3" t="str">
        <f>IFERROR(VLOOKUP(AS124,'[1]02_Arquetipos_Miedo_Sesgo'!$A$4:$G$8,5,FALSE),"")</f>
        <v>Seguridad, convivencia, movilidad, alumbrado, reacción institucional rápida, presencia de autoridad.</v>
      </c>
      <c r="AZ124" s="3" t="str">
        <f>IFERROR(VLOOKUP(AS124,'[1]02_Arquetipos_Miedo_Sesgo'!$A$4:$G$8,6,FALSE),"")</f>
        <v>Mostrar capacidad verificable de resolver problemas concretos de seguridad y convivencia sin prometer acciones ilegales.</v>
      </c>
      <c r="BA124" s="3" t="s">
        <v>77</v>
      </c>
    </row>
    <row r="125" spans="1:53" ht="43.2">
      <c r="A125" s="3" t="s">
        <v>395</v>
      </c>
      <c r="B125" s="3" t="s">
        <v>382</v>
      </c>
      <c r="C125" s="3" t="s">
        <v>396</v>
      </c>
      <c r="D125" s="4">
        <v>2326</v>
      </c>
      <c r="E125" s="5">
        <v>0.36629406706792778</v>
      </c>
      <c r="F125" s="3" t="s">
        <v>57</v>
      </c>
      <c r="G125" s="3" t="s">
        <v>58</v>
      </c>
      <c r="H125" s="3">
        <v>852</v>
      </c>
      <c r="I125" s="3">
        <v>36.6</v>
      </c>
      <c r="J125" s="3">
        <v>8</v>
      </c>
      <c r="K125" s="3" t="s">
        <v>130</v>
      </c>
      <c r="L125" s="3">
        <v>3</v>
      </c>
      <c r="M125" s="3">
        <v>3</v>
      </c>
      <c r="N125" s="3">
        <v>3</v>
      </c>
      <c r="O125" s="3">
        <v>3</v>
      </c>
      <c r="P125" s="3">
        <v>2</v>
      </c>
      <c r="Q125" s="3">
        <v>3</v>
      </c>
      <c r="R125" s="3" t="s">
        <v>60</v>
      </c>
      <c r="S125" s="3">
        <v>3</v>
      </c>
      <c r="T125" s="3" t="s">
        <v>61</v>
      </c>
      <c r="U125" s="3" t="s">
        <v>62</v>
      </c>
      <c r="V125" s="3" t="s">
        <v>383</v>
      </c>
      <c r="W125" s="3" t="s">
        <v>64</v>
      </c>
      <c r="X125" s="3" t="s">
        <v>65</v>
      </c>
      <c r="Y125" s="3" t="s">
        <v>66</v>
      </c>
      <c r="Z125" s="3" t="s">
        <v>384</v>
      </c>
      <c r="AA125" s="3" t="s">
        <v>68</v>
      </c>
      <c r="AB125" s="3" t="s">
        <v>69</v>
      </c>
      <c r="AC125" s="3" t="s">
        <v>70</v>
      </c>
      <c r="AD125" s="3" t="s">
        <v>71</v>
      </c>
      <c r="AE125" s="3" t="s">
        <v>72</v>
      </c>
      <c r="AF125" s="6">
        <v>0.36599999999999999</v>
      </c>
      <c r="AG125" s="3" t="s">
        <v>73</v>
      </c>
      <c r="AH125" s="3" t="s">
        <v>74</v>
      </c>
      <c r="AI125" s="6">
        <v>0.497</v>
      </c>
      <c r="AJ125" s="3" t="s">
        <v>75</v>
      </c>
      <c r="AK125" s="3" t="s">
        <v>76</v>
      </c>
      <c r="AL125" s="6">
        <v>-0.38900000000000001</v>
      </c>
      <c r="AM125" s="7">
        <f>ROUND((L125/3*'[1]01_Parametros'!$B$3+M125/3*'[1]01_Parametros'!$B$4+N125/3*'[1]01_Parametros'!$B$5+O125/3*'[1]01_Parametros'!$B$6+IF(ISNUMBER(SEARCH("Fronteras",U125)),1,0)*'[1]01_Parametros'!$B$7)*100,1)</f>
        <v>100</v>
      </c>
      <c r="AN125" s="7">
        <f>ROUND((E125*'[1]01_Parametros'!$B$8+(1-L125/3)*'[1]01_Parametros'!$B$9+IF(OR(AA125="Alta",AA125="Media"),1,0)*'[1]01_Parametros'!$B$10)*100,1)</f>
        <v>18.3</v>
      </c>
      <c r="AO125" s="7">
        <f>ROUND((IF(ISNUMBER(SEARCH("AC01",X125)),1,0)*'[1]01_Parametros'!$B$11+IF(OR(ISNUMBER(SEARCH("AC06",X125)),ISNUMBER(SEARCH("AC03",X125))),1,0)*'[1]01_Parametros'!$B$12+(1-ABS(E125-0.5))*'[1]01_Parametros'!$B$13+S125/3.2*'[1]01_Parametros'!$B$14)*100,1)</f>
        <v>71.099999999999994</v>
      </c>
      <c r="AP125" s="7">
        <f>ROUND((L125/3*'[1]01_Parametros'!$B$15+Q125/3*'[1]01_Parametros'!$B$16+P125/3*'[1]01_Parametros'!$B$17+IF(OR(AA125="Media-baja",AA125="Baja"),1,0)*'[1]01_Parametros'!$B$18+S125/3.2*'[1]01_Parametros'!$B$19)*100,1)</f>
        <v>77.7</v>
      </c>
      <c r="AQ125" s="7">
        <f>ROUND((P125/3*'[1]01_Parametros'!$B$20+IF(OR(ISNUMBER(SEARCH("JAC",Z125)),ISNUMBER(SEARCH("JAL",Z125)),ISNUMBER(SEARCH("lider",Z125))),1,0)*'[1]01_Parametros'!$B$21+IF(LEFT(B125,14)="Corregimiento",1,0)*'[1]01_Parametros'!$B$22+Q125/3*'[1]01_Parametros'!$B$23+S125/3.2*'[1]01_Parametros'!$B$24)*100,1)</f>
        <v>34.700000000000003</v>
      </c>
      <c r="AR125" s="3" t="str">
        <f>INDEX('[1]13_Listas'!$A$2:$A$6, MATCH(MAX(AM125:AQ125), AM125:AQ125, 0))</f>
        <v>Protección y orden cotidiano</v>
      </c>
      <c r="AS125" s="3" t="str">
        <f t="shared" si="3"/>
        <v>Protección y orden cotidiano</v>
      </c>
      <c r="AT125" s="3" t="str">
        <f t="shared" si="4"/>
        <v>Activista Causal</v>
      </c>
      <c r="AU125" s="3" t="str">
        <f t="shared" si="5"/>
        <v>Seguridad urbana y combos</v>
      </c>
      <c r="AV125" s="3" t="str">
        <f>IFERROR(VLOOKUP(AS125,'[1]02_Arquetipos_Miedo_Sesgo'!$A$4:$G$8,4,FALSE),"")</f>
        <v>Sesgo de disponibilidad + sesgo de negatividad + preferencia por autoridad.</v>
      </c>
      <c r="AW125" s="3" t="str">
        <f>IFERROR(VLOOKUP(AS125,'[1]02_Arquetipos_Miedo_Sesgo'!$A$4:$G$8,3,FALSE),"")</f>
        <v>Miedo a la inseguridad, al descontrol barrial y a perder la tranquilidad cotidiana.</v>
      </c>
      <c r="AX125" s="3" t="str">
        <f>IFERROR(VLOOKUP(AS125,'[1]02_Arquetipos_Miedo_Sesgo'!$A$4:$G$8,4,FALSE),"")</f>
        <v>Sesgo de disponibilidad + sesgo de negatividad + preferencia por autoridad.</v>
      </c>
      <c r="AY125" s="3" t="str">
        <f>IFERROR(VLOOKUP(AS125,'[1]02_Arquetipos_Miedo_Sesgo'!$A$4:$G$8,5,FALSE),"")</f>
        <v>Seguridad, convivencia, movilidad, alumbrado, reacción institucional rápida, presencia de autoridad.</v>
      </c>
      <c r="AZ125" s="3" t="str">
        <f>IFERROR(VLOOKUP(AS125,'[1]02_Arquetipos_Miedo_Sesgo'!$A$4:$G$8,6,FALSE),"")</f>
        <v>Mostrar capacidad verificable de resolver problemas concretos de seguridad y convivencia sin prometer acciones ilegales.</v>
      </c>
      <c r="BA125" s="3" t="s">
        <v>77</v>
      </c>
    </row>
    <row r="126" spans="1:53" ht="43.2">
      <c r="A126" s="3" t="s">
        <v>397</v>
      </c>
      <c r="B126" s="3" t="s">
        <v>382</v>
      </c>
      <c r="C126" s="3" t="s">
        <v>398</v>
      </c>
      <c r="D126" s="4">
        <v>444</v>
      </c>
      <c r="E126" s="5">
        <v>0.32657657657657657</v>
      </c>
      <c r="F126" s="3" t="s">
        <v>170</v>
      </c>
      <c r="G126" s="3" t="s">
        <v>83</v>
      </c>
      <c r="H126" s="3">
        <v>145</v>
      </c>
      <c r="I126" s="3">
        <v>32.700000000000003</v>
      </c>
      <c r="J126" s="3">
        <v>8</v>
      </c>
      <c r="K126" s="3" t="s">
        <v>130</v>
      </c>
      <c r="L126" s="3">
        <v>3</v>
      </c>
      <c r="M126" s="3">
        <v>3</v>
      </c>
      <c r="N126" s="3">
        <v>3</v>
      </c>
      <c r="O126" s="3">
        <v>3</v>
      </c>
      <c r="P126" s="3">
        <v>2</v>
      </c>
      <c r="Q126" s="3">
        <v>3</v>
      </c>
      <c r="R126" s="3" t="s">
        <v>60</v>
      </c>
      <c r="S126" s="3">
        <v>3</v>
      </c>
      <c r="T126" s="3" t="s">
        <v>61</v>
      </c>
      <c r="U126" s="3" t="s">
        <v>62</v>
      </c>
      <c r="V126" s="3" t="s">
        <v>383</v>
      </c>
      <c r="W126" s="3" t="s">
        <v>64</v>
      </c>
      <c r="X126" s="3" t="s">
        <v>65</v>
      </c>
      <c r="Y126" s="3" t="s">
        <v>66</v>
      </c>
      <c r="Z126" s="3" t="s">
        <v>384</v>
      </c>
      <c r="AA126" s="3" t="s">
        <v>68</v>
      </c>
      <c r="AB126" s="3" t="s">
        <v>69</v>
      </c>
      <c r="AC126" s="3" t="s">
        <v>70</v>
      </c>
      <c r="AD126" s="3" t="s">
        <v>71</v>
      </c>
      <c r="AE126" s="3" t="s">
        <v>85</v>
      </c>
      <c r="AF126" s="6">
        <v>0.42399999999999999</v>
      </c>
      <c r="AG126" s="3" t="s">
        <v>73</v>
      </c>
      <c r="AH126" s="3" t="s">
        <v>76</v>
      </c>
      <c r="AI126" s="6">
        <v>0.434</v>
      </c>
      <c r="AJ126" s="3" t="s">
        <v>73</v>
      </c>
      <c r="AK126" s="3" t="s">
        <v>74</v>
      </c>
      <c r="AL126" s="6">
        <v>-0.79600000000000004</v>
      </c>
      <c r="AM126" s="7">
        <f>ROUND((L126/3*'[1]01_Parametros'!$B$3+M126/3*'[1]01_Parametros'!$B$4+N126/3*'[1]01_Parametros'!$B$5+O126/3*'[1]01_Parametros'!$B$6+IF(ISNUMBER(SEARCH("Fronteras",U126)),1,0)*'[1]01_Parametros'!$B$7)*100,1)</f>
        <v>100</v>
      </c>
      <c r="AN126" s="7">
        <f>ROUND((E126*'[1]01_Parametros'!$B$8+(1-L126/3)*'[1]01_Parametros'!$B$9+IF(OR(AA126="Alta",AA126="Media"),1,0)*'[1]01_Parametros'!$B$10)*100,1)</f>
        <v>16.3</v>
      </c>
      <c r="AO126" s="7">
        <f>ROUND((IF(ISNUMBER(SEARCH("AC01",X126)),1,0)*'[1]01_Parametros'!$B$11+IF(OR(ISNUMBER(SEARCH("AC06",X126)),ISNUMBER(SEARCH("AC03",X126))),1,0)*'[1]01_Parametros'!$B$12+(1-ABS(E126-0.5))*'[1]01_Parametros'!$B$13+S126/3.2*'[1]01_Parametros'!$B$14)*100,1)</f>
        <v>70.3</v>
      </c>
      <c r="AP126" s="7">
        <f>ROUND((L126/3*'[1]01_Parametros'!$B$15+Q126/3*'[1]01_Parametros'!$B$16+P126/3*'[1]01_Parametros'!$B$17+IF(OR(AA126="Media-baja",AA126="Baja"),1,0)*'[1]01_Parametros'!$B$18+S126/3.2*'[1]01_Parametros'!$B$19)*100,1)</f>
        <v>77.7</v>
      </c>
      <c r="AQ126" s="7">
        <f>ROUND((P126/3*'[1]01_Parametros'!$B$20+IF(OR(ISNUMBER(SEARCH("JAC",Z126)),ISNUMBER(SEARCH("JAL",Z126)),ISNUMBER(SEARCH("lider",Z126))),1,0)*'[1]01_Parametros'!$B$21+IF(LEFT(B126,14)="Corregimiento",1,0)*'[1]01_Parametros'!$B$22+Q126/3*'[1]01_Parametros'!$B$23+S126/3.2*'[1]01_Parametros'!$B$24)*100,1)</f>
        <v>34.700000000000003</v>
      </c>
      <c r="AR126" s="3" t="str">
        <f>INDEX('[1]13_Listas'!$A$2:$A$6, MATCH(MAX(AM126:AQ126), AM126:AQ126, 0))</f>
        <v>Protección y orden cotidiano</v>
      </c>
      <c r="AS126" s="3" t="str">
        <f t="shared" si="3"/>
        <v>Protección y orden cotidiano</v>
      </c>
      <c r="AT126" s="3" t="str">
        <f t="shared" si="4"/>
        <v>Activista Causal</v>
      </c>
      <c r="AU126" s="3" t="str">
        <f t="shared" si="5"/>
        <v>Seguridad urbana y combos</v>
      </c>
      <c r="AV126" s="3" t="str">
        <f>IFERROR(VLOOKUP(AS126,'[1]02_Arquetipos_Miedo_Sesgo'!$A$4:$G$8,4,FALSE),"")</f>
        <v>Sesgo de disponibilidad + sesgo de negatividad + preferencia por autoridad.</v>
      </c>
      <c r="AW126" s="3" t="str">
        <f>IFERROR(VLOOKUP(AS126,'[1]02_Arquetipos_Miedo_Sesgo'!$A$4:$G$8,3,FALSE),"")</f>
        <v>Miedo a la inseguridad, al descontrol barrial y a perder la tranquilidad cotidiana.</v>
      </c>
      <c r="AX126" s="3" t="str">
        <f>IFERROR(VLOOKUP(AS126,'[1]02_Arquetipos_Miedo_Sesgo'!$A$4:$G$8,4,FALSE),"")</f>
        <v>Sesgo de disponibilidad + sesgo de negatividad + preferencia por autoridad.</v>
      </c>
      <c r="AY126" s="3" t="str">
        <f>IFERROR(VLOOKUP(AS126,'[1]02_Arquetipos_Miedo_Sesgo'!$A$4:$G$8,5,FALSE),"")</f>
        <v>Seguridad, convivencia, movilidad, alumbrado, reacción institucional rápida, presencia de autoridad.</v>
      </c>
      <c r="AZ126" s="3" t="str">
        <f>IFERROR(VLOOKUP(AS126,'[1]02_Arquetipos_Miedo_Sesgo'!$A$4:$G$8,6,FALSE),"")</f>
        <v>Mostrar capacidad verificable de resolver problemas concretos de seguridad y convivencia sin prometer acciones ilegales.</v>
      </c>
      <c r="BA126" s="3" t="s">
        <v>77</v>
      </c>
    </row>
    <row r="127" spans="1:53" ht="43.2">
      <c r="A127" s="3" t="s">
        <v>399</v>
      </c>
      <c r="B127" s="3" t="s">
        <v>382</v>
      </c>
      <c r="C127" s="3" t="s">
        <v>400</v>
      </c>
      <c r="D127" s="4">
        <v>6160</v>
      </c>
      <c r="E127" s="5">
        <v>0.36071428571428571</v>
      </c>
      <c r="F127" s="3" t="s">
        <v>82</v>
      </c>
      <c r="G127" s="3" t="s">
        <v>83</v>
      </c>
      <c r="H127" s="3">
        <v>2222</v>
      </c>
      <c r="I127" s="3">
        <v>36.1</v>
      </c>
      <c r="J127" s="3">
        <v>8</v>
      </c>
      <c r="K127" s="3" t="s">
        <v>130</v>
      </c>
      <c r="L127" s="3">
        <v>3</v>
      </c>
      <c r="M127" s="3">
        <v>3</v>
      </c>
      <c r="N127" s="3">
        <v>3</v>
      </c>
      <c r="O127" s="3">
        <v>3</v>
      </c>
      <c r="P127" s="3">
        <v>2</v>
      </c>
      <c r="Q127" s="3">
        <v>3</v>
      </c>
      <c r="R127" s="3" t="s">
        <v>60</v>
      </c>
      <c r="S127" s="3">
        <v>3</v>
      </c>
      <c r="T127" s="3" t="s">
        <v>61</v>
      </c>
      <c r="U127" s="3" t="s">
        <v>62</v>
      </c>
      <c r="V127" s="3" t="s">
        <v>383</v>
      </c>
      <c r="W127" s="3" t="s">
        <v>64</v>
      </c>
      <c r="X127" s="3" t="s">
        <v>65</v>
      </c>
      <c r="Y127" s="3" t="s">
        <v>66</v>
      </c>
      <c r="Z127" s="3" t="s">
        <v>384</v>
      </c>
      <c r="AA127" s="3" t="s">
        <v>68</v>
      </c>
      <c r="AB127" s="3" t="s">
        <v>69</v>
      </c>
      <c r="AC127" s="3" t="s">
        <v>70</v>
      </c>
      <c r="AD127" s="3" t="s">
        <v>71</v>
      </c>
      <c r="AE127" s="3" t="s">
        <v>84</v>
      </c>
      <c r="AF127" s="6">
        <v>0.73199999999999998</v>
      </c>
      <c r="AG127" s="3" t="s">
        <v>61</v>
      </c>
      <c r="AH127" s="3" t="s">
        <v>74</v>
      </c>
      <c r="AI127" s="6">
        <v>0.69099999999999995</v>
      </c>
      <c r="AJ127" s="3" t="s">
        <v>61</v>
      </c>
      <c r="AK127" s="3" t="s">
        <v>85</v>
      </c>
      <c r="AL127" s="6">
        <v>-0.50800000000000001</v>
      </c>
      <c r="AM127" s="7">
        <f>ROUND((L127/3*'[1]01_Parametros'!$B$3+M127/3*'[1]01_Parametros'!$B$4+N127/3*'[1]01_Parametros'!$B$5+O127/3*'[1]01_Parametros'!$B$6+IF(ISNUMBER(SEARCH("Fronteras",U127)),1,0)*'[1]01_Parametros'!$B$7)*100,1)</f>
        <v>100</v>
      </c>
      <c r="AN127" s="7">
        <f>ROUND((E127*'[1]01_Parametros'!$B$8+(1-L127/3)*'[1]01_Parametros'!$B$9+IF(OR(AA127="Alta",AA127="Media"),1,0)*'[1]01_Parametros'!$B$10)*100,1)</f>
        <v>18</v>
      </c>
      <c r="AO127" s="7">
        <f>ROUND((IF(ISNUMBER(SEARCH("AC01",X127)),1,0)*'[1]01_Parametros'!$B$11+IF(OR(ISNUMBER(SEARCH("AC06",X127)),ISNUMBER(SEARCH("AC03",X127))),1,0)*'[1]01_Parametros'!$B$12+(1-ABS(E127-0.5))*'[1]01_Parametros'!$B$13+S127/3.2*'[1]01_Parametros'!$B$14)*100,1)</f>
        <v>71</v>
      </c>
      <c r="AP127" s="7">
        <f>ROUND((L127/3*'[1]01_Parametros'!$B$15+Q127/3*'[1]01_Parametros'!$B$16+P127/3*'[1]01_Parametros'!$B$17+IF(OR(AA127="Media-baja",AA127="Baja"),1,0)*'[1]01_Parametros'!$B$18+S127/3.2*'[1]01_Parametros'!$B$19)*100,1)</f>
        <v>77.7</v>
      </c>
      <c r="AQ127" s="7">
        <f>ROUND((P127/3*'[1]01_Parametros'!$B$20+IF(OR(ISNUMBER(SEARCH("JAC",Z127)),ISNUMBER(SEARCH("JAL",Z127)),ISNUMBER(SEARCH("lider",Z127))),1,0)*'[1]01_Parametros'!$B$21+IF(LEFT(B127,14)="Corregimiento",1,0)*'[1]01_Parametros'!$B$22+Q127/3*'[1]01_Parametros'!$B$23+S127/3.2*'[1]01_Parametros'!$B$24)*100,1)</f>
        <v>34.700000000000003</v>
      </c>
      <c r="AR127" s="3" t="str">
        <f>INDEX('[1]13_Listas'!$A$2:$A$6, MATCH(MAX(AM127:AQ127), AM127:AQ127, 0))</f>
        <v>Protección y orden cotidiano</v>
      </c>
      <c r="AS127" s="3" t="str">
        <f t="shared" si="3"/>
        <v>Protección y orden cotidiano</v>
      </c>
      <c r="AT127" s="3" t="str">
        <f t="shared" si="4"/>
        <v>Activista Causal</v>
      </c>
      <c r="AU127" s="3" t="str">
        <f t="shared" si="5"/>
        <v>Seguridad urbana y combos</v>
      </c>
      <c r="AV127" s="3" t="str">
        <f>IFERROR(VLOOKUP(AS127,'[1]02_Arquetipos_Miedo_Sesgo'!$A$4:$G$8,4,FALSE),"")</f>
        <v>Sesgo de disponibilidad + sesgo de negatividad + preferencia por autoridad.</v>
      </c>
      <c r="AW127" s="3" t="str">
        <f>IFERROR(VLOOKUP(AS127,'[1]02_Arquetipos_Miedo_Sesgo'!$A$4:$G$8,3,FALSE),"")</f>
        <v>Miedo a la inseguridad, al descontrol barrial y a perder la tranquilidad cotidiana.</v>
      </c>
      <c r="AX127" s="3" t="str">
        <f>IFERROR(VLOOKUP(AS127,'[1]02_Arquetipos_Miedo_Sesgo'!$A$4:$G$8,4,FALSE),"")</f>
        <v>Sesgo de disponibilidad + sesgo de negatividad + preferencia por autoridad.</v>
      </c>
      <c r="AY127" s="3" t="str">
        <f>IFERROR(VLOOKUP(AS127,'[1]02_Arquetipos_Miedo_Sesgo'!$A$4:$G$8,5,FALSE),"")</f>
        <v>Seguridad, convivencia, movilidad, alumbrado, reacción institucional rápida, presencia de autoridad.</v>
      </c>
      <c r="AZ127" s="3" t="str">
        <f>IFERROR(VLOOKUP(AS127,'[1]02_Arquetipos_Miedo_Sesgo'!$A$4:$G$8,6,FALSE),"")</f>
        <v>Mostrar capacidad verificable de resolver problemas concretos de seguridad y convivencia sin prometer acciones ilegales.</v>
      </c>
      <c r="BA127" s="3" t="s">
        <v>77</v>
      </c>
    </row>
    <row r="128" spans="1:53" ht="43.2">
      <c r="A128" s="3" t="s">
        <v>401</v>
      </c>
      <c r="B128" s="3" t="s">
        <v>382</v>
      </c>
      <c r="C128" s="3" t="s">
        <v>402</v>
      </c>
      <c r="D128" s="4">
        <v>1034</v>
      </c>
      <c r="E128" s="5">
        <v>0.39845261121856868</v>
      </c>
      <c r="F128" s="3" t="s">
        <v>82</v>
      </c>
      <c r="G128" s="3" t="s">
        <v>83</v>
      </c>
      <c r="H128" s="3">
        <v>412</v>
      </c>
      <c r="I128" s="3">
        <v>39.799999999999997</v>
      </c>
      <c r="J128" s="3">
        <v>8</v>
      </c>
      <c r="K128" s="3" t="s">
        <v>130</v>
      </c>
      <c r="L128" s="3">
        <v>3</v>
      </c>
      <c r="M128" s="3">
        <v>3</v>
      </c>
      <c r="N128" s="3">
        <v>3</v>
      </c>
      <c r="O128" s="3">
        <v>3</v>
      </c>
      <c r="P128" s="3">
        <v>2</v>
      </c>
      <c r="Q128" s="3">
        <v>3</v>
      </c>
      <c r="R128" s="3" t="s">
        <v>60</v>
      </c>
      <c r="S128" s="3">
        <v>3</v>
      </c>
      <c r="T128" s="3" t="s">
        <v>61</v>
      </c>
      <c r="U128" s="3" t="s">
        <v>62</v>
      </c>
      <c r="V128" s="3" t="s">
        <v>383</v>
      </c>
      <c r="W128" s="3" t="s">
        <v>64</v>
      </c>
      <c r="X128" s="3" t="s">
        <v>65</v>
      </c>
      <c r="Y128" s="3" t="s">
        <v>66</v>
      </c>
      <c r="Z128" s="3" t="s">
        <v>384</v>
      </c>
      <c r="AA128" s="3" t="s">
        <v>68</v>
      </c>
      <c r="AB128" s="3" t="s">
        <v>69</v>
      </c>
      <c r="AC128" s="3" t="s">
        <v>70</v>
      </c>
      <c r="AD128" s="3" t="s">
        <v>71</v>
      </c>
      <c r="AE128" s="3" t="s">
        <v>84</v>
      </c>
      <c r="AF128" s="6">
        <v>0.73199999999999998</v>
      </c>
      <c r="AG128" s="3" t="s">
        <v>61</v>
      </c>
      <c r="AH128" s="3" t="s">
        <v>74</v>
      </c>
      <c r="AI128" s="6">
        <v>0.69099999999999995</v>
      </c>
      <c r="AJ128" s="3" t="s">
        <v>61</v>
      </c>
      <c r="AK128" s="3" t="s">
        <v>85</v>
      </c>
      <c r="AL128" s="6">
        <v>-0.50800000000000001</v>
      </c>
      <c r="AM128" s="7">
        <f>ROUND((L128/3*'[1]01_Parametros'!$B$3+M128/3*'[1]01_Parametros'!$B$4+N128/3*'[1]01_Parametros'!$B$5+O128/3*'[1]01_Parametros'!$B$6+IF(ISNUMBER(SEARCH("Fronteras",U128)),1,0)*'[1]01_Parametros'!$B$7)*100,1)</f>
        <v>100</v>
      </c>
      <c r="AN128" s="7">
        <f>ROUND((E128*'[1]01_Parametros'!$B$8+(1-L128/3)*'[1]01_Parametros'!$B$9+IF(OR(AA128="Alta",AA128="Media"),1,0)*'[1]01_Parametros'!$B$10)*100,1)</f>
        <v>19.899999999999999</v>
      </c>
      <c r="AO128" s="7">
        <f>ROUND((IF(ISNUMBER(SEARCH("AC01",X128)),1,0)*'[1]01_Parametros'!$B$11+IF(OR(ISNUMBER(SEARCH("AC06",X128)),ISNUMBER(SEARCH("AC03",X128))),1,0)*'[1]01_Parametros'!$B$12+(1-ABS(E128-0.5))*'[1]01_Parametros'!$B$13+S128/3.2*'[1]01_Parametros'!$B$14)*100,1)</f>
        <v>71.7</v>
      </c>
      <c r="AP128" s="7">
        <f>ROUND((L128/3*'[1]01_Parametros'!$B$15+Q128/3*'[1]01_Parametros'!$B$16+P128/3*'[1]01_Parametros'!$B$17+IF(OR(AA128="Media-baja",AA128="Baja"),1,0)*'[1]01_Parametros'!$B$18+S128/3.2*'[1]01_Parametros'!$B$19)*100,1)</f>
        <v>77.7</v>
      </c>
      <c r="AQ128" s="7">
        <f>ROUND((P128/3*'[1]01_Parametros'!$B$20+IF(OR(ISNUMBER(SEARCH("JAC",Z128)),ISNUMBER(SEARCH("JAL",Z128)),ISNUMBER(SEARCH("lider",Z128))),1,0)*'[1]01_Parametros'!$B$21+IF(LEFT(B128,14)="Corregimiento",1,0)*'[1]01_Parametros'!$B$22+Q128/3*'[1]01_Parametros'!$B$23+S128/3.2*'[1]01_Parametros'!$B$24)*100,1)</f>
        <v>34.700000000000003</v>
      </c>
      <c r="AR128" s="3" t="str">
        <f>INDEX('[1]13_Listas'!$A$2:$A$6, MATCH(MAX(AM128:AQ128), AM128:AQ128, 0))</f>
        <v>Protección y orden cotidiano</v>
      </c>
      <c r="AS128" s="3" t="str">
        <f t="shared" si="3"/>
        <v>Protección y orden cotidiano</v>
      </c>
      <c r="AT128" s="3" t="str">
        <f t="shared" si="4"/>
        <v>Activista Causal</v>
      </c>
      <c r="AU128" s="3" t="str">
        <f t="shared" si="5"/>
        <v>Seguridad urbana y combos</v>
      </c>
      <c r="AV128" s="3" t="str">
        <f>IFERROR(VLOOKUP(AS128,'[1]02_Arquetipos_Miedo_Sesgo'!$A$4:$G$8,4,FALSE),"")</f>
        <v>Sesgo de disponibilidad + sesgo de negatividad + preferencia por autoridad.</v>
      </c>
      <c r="AW128" s="3" t="str">
        <f>IFERROR(VLOOKUP(AS128,'[1]02_Arquetipos_Miedo_Sesgo'!$A$4:$G$8,3,FALSE),"")</f>
        <v>Miedo a la inseguridad, al descontrol barrial y a perder la tranquilidad cotidiana.</v>
      </c>
      <c r="AX128" s="3" t="str">
        <f>IFERROR(VLOOKUP(AS128,'[1]02_Arquetipos_Miedo_Sesgo'!$A$4:$G$8,4,FALSE),"")</f>
        <v>Sesgo de disponibilidad + sesgo de negatividad + preferencia por autoridad.</v>
      </c>
      <c r="AY128" s="3" t="str">
        <f>IFERROR(VLOOKUP(AS128,'[1]02_Arquetipos_Miedo_Sesgo'!$A$4:$G$8,5,FALSE),"")</f>
        <v>Seguridad, convivencia, movilidad, alumbrado, reacción institucional rápida, presencia de autoridad.</v>
      </c>
      <c r="AZ128" s="3" t="str">
        <f>IFERROR(VLOOKUP(AS128,'[1]02_Arquetipos_Miedo_Sesgo'!$A$4:$G$8,6,FALSE),"")</f>
        <v>Mostrar capacidad verificable de resolver problemas concretos de seguridad y convivencia sin prometer acciones ilegales.</v>
      </c>
      <c r="BA128" s="3" t="s">
        <v>77</v>
      </c>
    </row>
    <row r="129" spans="1:5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</sheetData>
  <mergeCells count="1">
    <mergeCell ref="A1:BA1"/>
  </mergeCells>
  <conditionalFormatting sqref="S4:S128">
    <cfRule type="colorScale" priority="2">
      <colorScale>
        <cfvo type="min"/>
        <cfvo type="percentile" val="50"/>
        <cfvo type="max"/>
        <color rgb="FFDCFCE7"/>
        <color rgb="FFFEF3C7"/>
        <color rgb="FFFEE2E2"/>
      </colorScale>
    </cfRule>
  </conditionalFormatting>
  <conditionalFormatting sqref="AM4:AQ128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966E7-7CD5-41EC-8331-D751B995881F}">
  <dimension ref="A1:BA250"/>
  <sheetViews>
    <sheetView workbookViewId="0">
      <selection sqref="A1:XFD1048576"/>
    </sheetView>
  </sheetViews>
  <sheetFormatPr baseColWidth="10" defaultColWidth="9.77734375" defaultRowHeight="14.4"/>
  <cols>
    <col min="1" max="6" width="33.33203125" customWidth="1"/>
  </cols>
  <sheetData>
    <row r="1" spans="1:53" ht="17.399999999999999">
      <c r="A1" s="17" t="s">
        <v>403</v>
      </c>
      <c r="B1" s="18"/>
      <c r="C1" s="18"/>
      <c r="D1" s="18"/>
      <c r="E1" s="18"/>
      <c r="F1" s="18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>
      <c r="A3" s="2" t="s">
        <v>404</v>
      </c>
      <c r="B3" s="2" t="s">
        <v>405</v>
      </c>
      <c r="C3" s="2" t="s">
        <v>406</v>
      </c>
      <c r="D3" s="2" t="s">
        <v>407</v>
      </c>
      <c r="E3" s="2" t="s">
        <v>408</v>
      </c>
      <c r="F3" s="2" t="s">
        <v>409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ht="28.8">
      <c r="A4" s="3" t="s">
        <v>410</v>
      </c>
      <c r="B4" s="3" t="s">
        <v>57</v>
      </c>
      <c r="C4" s="3" t="s">
        <v>84</v>
      </c>
      <c r="D4" s="6">
        <v>0.29899999999999999</v>
      </c>
      <c r="E4" s="3" t="s">
        <v>411</v>
      </c>
      <c r="F4" s="3" t="s">
        <v>412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ht="28.8">
      <c r="A5" s="3" t="s">
        <v>410</v>
      </c>
      <c r="B5" s="3" t="s">
        <v>57</v>
      </c>
      <c r="C5" s="3" t="s">
        <v>413</v>
      </c>
      <c r="D5" s="6">
        <v>2.7E-2</v>
      </c>
      <c r="E5" s="3" t="s">
        <v>411</v>
      </c>
      <c r="F5" s="3" t="s">
        <v>412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ht="28.8">
      <c r="A6" s="3" t="s">
        <v>410</v>
      </c>
      <c r="B6" s="3" t="s">
        <v>57</v>
      </c>
      <c r="C6" s="3" t="s">
        <v>414</v>
      </c>
      <c r="D6" s="6">
        <v>-4.9000000000000002E-2</v>
      </c>
      <c r="E6" s="3" t="s">
        <v>415</v>
      </c>
      <c r="F6" s="3" t="s">
        <v>412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ht="28.8">
      <c r="A7" s="3" t="s">
        <v>410</v>
      </c>
      <c r="B7" s="3" t="s">
        <v>57</v>
      </c>
      <c r="C7" s="3" t="s">
        <v>416</v>
      </c>
      <c r="D7" s="6">
        <v>-0.1</v>
      </c>
      <c r="E7" s="3" t="s">
        <v>415</v>
      </c>
      <c r="F7" s="3" t="s">
        <v>412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ht="28.8">
      <c r="A8" s="3" t="s">
        <v>410</v>
      </c>
      <c r="B8" s="3" t="s">
        <v>57</v>
      </c>
      <c r="C8" s="3" t="s">
        <v>72</v>
      </c>
      <c r="D8" s="6">
        <v>0.36599999999999999</v>
      </c>
      <c r="E8" s="3" t="s">
        <v>411</v>
      </c>
      <c r="F8" s="3" t="s">
        <v>73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ht="28.8">
      <c r="A9" s="3" t="s">
        <v>410</v>
      </c>
      <c r="B9" s="3" t="s">
        <v>57</v>
      </c>
      <c r="C9" s="3" t="s">
        <v>85</v>
      </c>
      <c r="D9" s="6">
        <v>-0.214</v>
      </c>
      <c r="E9" s="3" t="s">
        <v>415</v>
      </c>
      <c r="F9" s="3" t="s">
        <v>412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ht="28.8">
      <c r="A10" s="3" t="s">
        <v>410</v>
      </c>
      <c r="B10" s="3" t="s">
        <v>57</v>
      </c>
      <c r="C10" s="3" t="s">
        <v>417</v>
      </c>
      <c r="D10" s="6">
        <v>-0.219</v>
      </c>
      <c r="E10" s="3" t="s">
        <v>415</v>
      </c>
      <c r="F10" s="3" t="s">
        <v>412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ht="43.2">
      <c r="A11" s="3" t="s">
        <v>410</v>
      </c>
      <c r="B11" s="3" t="s">
        <v>57</v>
      </c>
      <c r="C11" s="3" t="s">
        <v>418</v>
      </c>
      <c r="D11" s="6">
        <v>-0.249</v>
      </c>
      <c r="E11" s="3" t="s">
        <v>415</v>
      </c>
      <c r="F11" s="3" t="s">
        <v>412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ht="28.8">
      <c r="A12" s="3" t="s">
        <v>410</v>
      </c>
      <c r="B12" s="3" t="s">
        <v>57</v>
      </c>
      <c r="C12" s="3" t="s">
        <v>419</v>
      </c>
      <c r="D12" s="6">
        <v>-0.23200000000000001</v>
      </c>
      <c r="E12" s="3" t="s">
        <v>415</v>
      </c>
      <c r="F12" s="3" t="s">
        <v>412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ht="28.8">
      <c r="A13" s="3" t="s">
        <v>410</v>
      </c>
      <c r="B13" s="3" t="s">
        <v>57</v>
      </c>
      <c r="C13" s="3" t="s">
        <v>420</v>
      </c>
      <c r="D13" s="6">
        <v>-0.108</v>
      </c>
      <c r="E13" s="3" t="s">
        <v>415</v>
      </c>
      <c r="F13" s="3" t="s">
        <v>412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ht="28.8">
      <c r="A14" s="3" t="s">
        <v>410</v>
      </c>
      <c r="B14" s="3" t="s">
        <v>57</v>
      </c>
      <c r="C14" s="3" t="s">
        <v>421</v>
      </c>
      <c r="D14" s="6">
        <v>7.0000000000000001E-3</v>
      </c>
      <c r="E14" s="3" t="s">
        <v>411</v>
      </c>
      <c r="F14" s="3" t="s">
        <v>412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ht="28.8">
      <c r="A15" s="3" t="s">
        <v>410</v>
      </c>
      <c r="B15" s="3" t="s">
        <v>57</v>
      </c>
      <c r="C15" s="3" t="s">
        <v>422</v>
      </c>
      <c r="D15" s="6">
        <v>0.26700000000000002</v>
      </c>
      <c r="E15" s="3" t="s">
        <v>411</v>
      </c>
      <c r="F15" s="3" t="s">
        <v>412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ht="28.8">
      <c r="A16" s="3" t="s">
        <v>410</v>
      </c>
      <c r="B16" s="3" t="s">
        <v>57</v>
      </c>
      <c r="C16" s="3" t="s">
        <v>423</v>
      </c>
      <c r="D16" s="6">
        <v>-0.312</v>
      </c>
      <c r="E16" s="3" t="s">
        <v>415</v>
      </c>
      <c r="F16" s="3" t="s">
        <v>73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ht="28.8">
      <c r="A17" s="3" t="s">
        <v>410</v>
      </c>
      <c r="B17" s="3" t="s">
        <v>57</v>
      </c>
      <c r="C17" s="3" t="s">
        <v>424</v>
      </c>
      <c r="D17" s="6">
        <v>0.18099999999999999</v>
      </c>
      <c r="E17" s="3" t="s">
        <v>411</v>
      </c>
      <c r="F17" s="3" t="s">
        <v>412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ht="28.8">
      <c r="A18" s="3" t="s">
        <v>410</v>
      </c>
      <c r="B18" s="3" t="s">
        <v>57</v>
      </c>
      <c r="C18" s="3" t="s">
        <v>425</v>
      </c>
      <c r="D18" s="6">
        <v>1.4999999999999999E-2</v>
      </c>
      <c r="E18" s="3" t="s">
        <v>411</v>
      </c>
      <c r="F18" s="3" t="s">
        <v>412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ht="28.8">
      <c r="A19" s="3" t="s">
        <v>410</v>
      </c>
      <c r="B19" s="3" t="s">
        <v>57</v>
      </c>
      <c r="C19" s="3" t="s">
        <v>426</v>
      </c>
      <c r="D19" s="6">
        <v>0.29099999999999998</v>
      </c>
      <c r="E19" s="3" t="s">
        <v>411</v>
      </c>
      <c r="F19" s="3" t="s">
        <v>412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ht="28.8">
      <c r="A20" s="3" t="s">
        <v>410</v>
      </c>
      <c r="B20" s="3" t="s">
        <v>57</v>
      </c>
      <c r="C20" s="3" t="s">
        <v>427</v>
      </c>
      <c r="D20" s="6">
        <v>-0.156</v>
      </c>
      <c r="E20" s="3" t="s">
        <v>415</v>
      </c>
      <c r="F20" s="3" t="s">
        <v>412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ht="28.8">
      <c r="A21" s="3" t="s">
        <v>410</v>
      </c>
      <c r="B21" s="3" t="s">
        <v>57</v>
      </c>
      <c r="C21" s="3" t="s">
        <v>428</v>
      </c>
      <c r="D21" s="6">
        <v>-3.3000000000000002E-2</v>
      </c>
      <c r="E21" s="3" t="s">
        <v>415</v>
      </c>
      <c r="F21" s="3" t="s">
        <v>412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ht="28.8">
      <c r="A22" s="3" t="s">
        <v>410</v>
      </c>
      <c r="B22" s="3" t="s">
        <v>57</v>
      </c>
      <c r="C22" s="3" t="s">
        <v>429</v>
      </c>
      <c r="D22" s="6">
        <v>-0.01</v>
      </c>
      <c r="E22" s="3" t="s">
        <v>415</v>
      </c>
      <c r="F22" s="3" t="s">
        <v>412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ht="28.8">
      <c r="A23" s="3" t="s">
        <v>410</v>
      </c>
      <c r="B23" s="3" t="s">
        <v>57</v>
      </c>
      <c r="C23" s="3" t="s">
        <v>430</v>
      </c>
      <c r="D23" s="6">
        <v>6.4000000000000001E-2</v>
      </c>
      <c r="E23" s="3" t="s">
        <v>411</v>
      </c>
      <c r="F23" s="3" t="s">
        <v>412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ht="28.8">
      <c r="A24" s="3" t="s">
        <v>410</v>
      </c>
      <c r="B24" s="3" t="s">
        <v>57</v>
      </c>
      <c r="C24" s="3" t="s">
        <v>431</v>
      </c>
      <c r="D24" s="6">
        <v>-0.20699999999999999</v>
      </c>
      <c r="E24" s="3" t="s">
        <v>415</v>
      </c>
      <c r="F24" s="3" t="s">
        <v>412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ht="28.8">
      <c r="A25" s="3" t="s">
        <v>410</v>
      </c>
      <c r="B25" s="3" t="s">
        <v>57</v>
      </c>
      <c r="C25" s="3" t="s">
        <v>432</v>
      </c>
      <c r="D25" s="6">
        <v>-0.17399999999999999</v>
      </c>
      <c r="E25" s="3" t="s">
        <v>415</v>
      </c>
      <c r="F25" s="3" t="s">
        <v>412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ht="43.2">
      <c r="A26" s="3" t="s">
        <v>433</v>
      </c>
      <c r="B26" s="3" t="s">
        <v>57</v>
      </c>
      <c r="C26" s="3" t="s">
        <v>74</v>
      </c>
      <c r="D26" s="6">
        <v>0.497</v>
      </c>
      <c r="E26" s="3" t="s">
        <v>411</v>
      </c>
      <c r="F26" s="3" t="s">
        <v>75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ht="43.2">
      <c r="A27" s="3" t="s">
        <v>433</v>
      </c>
      <c r="B27" s="3" t="s">
        <v>57</v>
      </c>
      <c r="C27" s="3" t="s">
        <v>434</v>
      </c>
      <c r="D27" s="6">
        <v>-0.214</v>
      </c>
      <c r="E27" s="3" t="s">
        <v>415</v>
      </c>
      <c r="F27" s="3" t="s">
        <v>412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ht="43.2">
      <c r="A28" s="3" t="s">
        <v>433</v>
      </c>
      <c r="B28" s="3" t="s">
        <v>57</v>
      </c>
      <c r="C28" s="3" t="s">
        <v>435</v>
      </c>
      <c r="D28" s="6">
        <v>-0.10199999999999999</v>
      </c>
      <c r="E28" s="3" t="s">
        <v>415</v>
      </c>
      <c r="F28" s="3" t="s">
        <v>412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ht="43.2">
      <c r="A29" s="3" t="s">
        <v>433</v>
      </c>
      <c r="B29" s="3" t="s">
        <v>57</v>
      </c>
      <c r="C29" s="3" t="s">
        <v>436</v>
      </c>
      <c r="D29" s="6">
        <v>-0.08</v>
      </c>
      <c r="E29" s="3" t="s">
        <v>415</v>
      </c>
      <c r="F29" s="3" t="s">
        <v>412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ht="43.2">
      <c r="A30" s="3" t="s">
        <v>433</v>
      </c>
      <c r="B30" s="3" t="s">
        <v>57</v>
      </c>
      <c r="C30" s="3" t="s">
        <v>437</v>
      </c>
      <c r="D30" s="6">
        <v>-8.2000000000000003E-2</v>
      </c>
      <c r="E30" s="3" t="s">
        <v>415</v>
      </c>
      <c r="F30" s="3" t="s">
        <v>412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ht="43.2">
      <c r="A31" s="3" t="s">
        <v>433</v>
      </c>
      <c r="B31" s="3" t="s">
        <v>57</v>
      </c>
      <c r="C31" s="3" t="s">
        <v>438</v>
      </c>
      <c r="D31" s="6">
        <v>-0.17</v>
      </c>
      <c r="E31" s="3" t="s">
        <v>415</v>
      </c>
      <c r="F31" s="3" t="s">
        <v>412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ht="28.8">
      <c r="A32" s="3" t="s">
        <v>433</v>
      </c>
      <c r="B32" s="3" t="s">
        <v>57</v>
      </c>
      <c r="C32" s="3" t="s">
        <v>76</v>
      </c>
      <c r="D32" s="6">
        <v>-0.38900000000000001</v>
      </c>
      <c r="E32" s="3" t="s">
        <v>415</v>
      </c>
      <c r="F32" s="3" t="s">
        <v>73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ht="43.2">
      <c r="A33" s="3" t="s">
        <v>433</v>
      </c>
      <c r="B33" s="3" t="s">
        <v>57</v>
      </c>
      <c r="C33" s="3" t="s">
        <v>439</v>
      </c>
      <c r="D33" s="6">
        <v>-0.25</v>
      </c>
      <c r="E33" s="3" t="s">
        <v>415</v>
      </c>
      <c r="F33" s="3" t="s">
        <v>412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ht="28.8">
      <c r="A34" s="3" t="s">
        <v>410</v>
      </c>
      <c r="B34" s="3" t="s">
        <v>82</v>
      </c>
      <c r="C34" s="3" t="s">
        <v>84</v>
      </c>
      <c r="D34" s="6">
        <v>0.73199999999999998</v>
      </c>
      <c r="E34" s="3" t="s">
        <v>411</v>
      </c>
      <c r="F34" s="3" t="s">
        <v>61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ht="28.8">
      <c r="A35" s="3" t="s">
        <v>410</v>
      </c>
      <c r="B35" s="3" t="s">
        <v>82</v>
      </c>
      <c r="C35" s="3" t="s">
        <v>413</v>
      </c>
      <c r="D35" s="6">
        <v>-5.5E-2</v>
      </c>
      <c r="E35" s="3" t="s">
        <v>415</v>
      </c>
      <c r="F35" s="3" t="s">
        <v>412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ht="28.8">
      <c r="A36" s="3" t="s">
        <v>410</v>
      </c>
      <c r="B36" s="3" t="s">
        <v>82</v>
      </c>
      <c r="C36" s="3" t="s">
        <v>414</v>
      </c>
      <c r="D36" s="6">
        <v>-5.8999999999999997E-2</v>
      </c>
      <c r="E36" s="3" t="s">
        <v>415</v>
      </c>
      <c r="F36" s="3" t="s">
        <v>412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ht="28.8">
      <c r="A37" s="3" t="s">
        <v>410</v>
      </c>
      <c r="B37" s="3" t="s">
        <v>82</v>
      </c>
      <c r="C37" s="3" t="s">
        <v>416</v>
      </c>
      <c r="D37" s="6">
        <v>0.129</v>
      </c>
      <c r="E37" s="3" t="s">
        <v>411</v>
      </c>
      <c r="F37" s="3" t="s">
        <v>412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ht="28.8">
      <c r="A38" s="3" t="s">
        <v>410</v>
      </c>
      <c r="B38" s="3" t="s">
        <v>82</v>
      </c>
      <c r="C38" s="3" t="s">
        <v>72</v>
      </c>
      <c r="D38" s="6">
        <v>0.01</v>
      </c>
      <c r="E38" s="3" t="s">
        <v>411</v>
      </c>
      <c r="F38" s="3" t="s">
        <v>412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ht="28.8">
      <c r="A39" s="3" t="s">
        <v>410</v>
      </c>
      <c r="B39" s="3" t="s">
        <v>82</v>
      </c>
      <c r="C39" s="3" t="s">
        <v>85</v>
      </c>
      <c r="D39" s="6">
        <v>-0.50800000000000001</v>
      </c>
      <c r="E39" s="3" t="s">
        <v>415</v>
      </c>
      <c r="F39" s="3" t="s">
        <v>75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ht="28.8">
      <c r="A40" s="3" t="s">
        <v>410</v>
      </c>
      <c r="B40" s="3" t="s">
        <v>82</v>
      </c>
      <c r="C40" s="3" t="s">
        <v>417</v>
      </c>
      <c r="D40" s="6">
        <v>-0.16200000000000001</v>
      </c>
      <c r="E40" s="3" t="s">
        <v>415</v>
      </c>
      <c r="F40" s="3" t="s">
        <v>412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ht="43.2">
      <c r="A41" s="3" t="s">
        <v>410</v>
      </c>
      <c r="B41" s="3" t="s">
        <v>82</v>
      </c>
      <c r="C41" s="3" t="s">
        <v>418</v>
      </c>
      <c r="D41" s="6">
        <v>-5.0999999999999997E-2</v>
      </c>
      <c r="E41" s="3" t="s">
        <v>415</v>
      </c>
      <c r="F41" s="3" t="s">
        <v>412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ht="28.8">
      <c r="A42" s="3" t="s">
        <v>410</v>
      </c>
      <c r="B42" s="3" t="s">
        <v>82</v>
      </c>
      <c r="C42" s="3" t="s">
        <v>419</v>
      </c>
      <c r="D42" s="6">
        <v>-0.248</v>
      </c>
      <c r="E42" s="3" t="s">
        <v>415</v>
      </c>
      <c r="F42" s="3" t="s">
        <v>412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ht="28.8">
      <c r="A43" s="3" t="s">
        <v>410</v>
      </c>
      <c r="B43" s="3" t="s">
        <v>82</v>
      </c>
      <c r="C43" s="3" t="s">
        <v>420</v>
      </c>
      <c r="D43" s="6">
        <v>-0.255</v>
      </c>
      <c r="E43" s="3" t="s">
        <v>415</v>
      </c>
      <c r="F43" s="3" t="s">
        <v>412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ht="28.8">
      <c r="A44" s="3" t="s">
        <v>410</v>
      </c>
      <c r="B44" s="3" t="s">
        <v>82</v>
      </c>
      <c r="C44" s="3" t="s">
        <v>421</v>
      </c>
      <c r="D44" s="6">
        <v>-0.248</v>
      </c>
      <c r="E44" s="3" t="s">
        <v>415</v>
      </c>
      <c r="F44" s="3" t="s">
        <v>412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ht="28.8">
      <c r="A45" s="3" t="s">
        <v>410</v>
      </c>
      <c r="B45" s="3" t="s">
        <v>82</v>
      </c>
      <c r="C45" s="3" t="s">
        <v>422</v>
      </c>
      <c r="D45" s="6">
        <v>-8.9999999999999993E-3</v>
      </c>
      <c r="E45" s="3" t="s">
        <v>415</v>
      </c>
      <c r="F45" s="3" t="s">
        <v>412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ht="28.8">
      <c r="A46" s="3" t="s">
        <v>410</v>
      </c>
      <c r="B46" s="3" t="s">
        <v>82</v>
      </c>
      <c r="C46" s="3" t="s">
        <v>423</v>
      </c>
      <c r="D46" s="6">
        <v>-0.33900000000000002</v>
      </c>
      <c r="E46" s="3" t="s">
        <v>415</v>
      </c>
      <c r="F46" s="3" t="s">
        <v>73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ht="28.8">
      <c r="A47" s="3" t="s">
        <v>410</v>
      </c>
      <c r="B47" s="3" t="s">
        <v>82</v>
      </c>
      <c r="C47" s="3" t="s">
        <v>424</v>
      </c>
      <c r="D47" s="6">
        <v>0</v>
      </c>
      <c r="E47" s="3" t="s">
        <v>415</v>
      </c>
      <c r="F47" s="3" t="s">
        <v>412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ht="28.8">
      <c r="A48" s="3" t="s">
        <v>410</v>
      </c>
      <c r="B48" s="3" t="s">
        <v>82</v>
      </c>
      <c r="C48" s="3" t="s">
        <v>425</v>
      </c>
      <c r="D48" s="6">
        <v>-0.19500000000000001</v>
      </c>
      <c r="E48" s="3" t="s">
        <v>415</v>
      </c>
      <c r="F48" s="3" t="s">
        <v>412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ht="28.8">
      <c r="A49" s="3" t="s">
        <v>410</v>
      </c>
      <c r="B49" s="3" t="s">
        <v>82</v>
      </c>
      <c r="C49" s="3" t="s">
        <v>426</v>
      </c>
      <c r="D49" s="6">
        <v>0.21</v>
      </c>
      <c r="E49" s="3" t="s">
        <v>411</v>
      </c>
      <c r="F49" s="3" t="s">
        <v>412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ht="28.8">
      <c r="A50" s="3" t="s">
        <v>410</v>
      </c>
      <c r="B50" s="3" t="s">
        <v>82</v>
      </c>
      <c r="C50" s="3" t="s">
        <v>427</v>
      </c>
      <c r="D50" s="6">
        <v>-6.5000000000000002E-2</v>
      </c>
      <c r="E50" s="3" t="s">
        <v>415</v>
      </c>
      <c r="F50" s="3" t="s">
        <v>412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ht="28.8">
      <c r="A51" s="3" t="s">
        <v>410</v>
      </c>
      <c r="B51" s="3" t="s">
        <v>82</v>
      </c>
      <c r="C51" s="3" t="s">
        <v>428</v>
      </c>
      <c r="D51" s="6">
        <v>-0.20899999999999999</v>
      </c>
      <c r="E51" s="3" t="s">
        <v>415</v>
      </c>
      <c r="F51" s="3" t="s">
        <v>412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ht="28.8">
      <c r="A52" s="3" t="s">
        <v>410</v>
      </c>
      <c r="B52" s="3" t="s">
        <v>82</v>
      </c>
      <c r="C52" s="3" t="s">
        <v>429</v>
      </c>
      <c r="D52" s="6">
        <v>-0.19800000000000001</v>
      </c>
      <c r="E52" s="3" t="s">
        <v>415</v>
      </c>
      <c r="F52" s="3" t="s">
        <v>412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ht="28.8">
      <c r="A53" s="3" t="s">
        <v>410</v>
      </c>
      <c r="B53" s="3" t="s">
        <v>82</v>
      </c>
      <c r="C53" s="3" t="s">
        <v>430</v>
      </c>
      <c r="D53" s="6">
        <v>-7.0999999999999994E-2</v>
      </c>
      <c r="E53" s="3" t="s">
        <v>415</v>
      </c>
      <c r="F53" s="3" t="s">
        <v>412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ht="28.8">
      <c r="A54" s="3" t="s">
        <v>410</v>
      </c>
      <c r="B54" s="3" t="s">
        <v>82</v>
      </c>
      <c r="C54" s="3" t="s">
        <v>431</v>
      </c>
      <c r="D54" s="6">
        <v>-5.5E-2</v>
      </c>
      <c r="E54" s="3" t="s">
        <v>415</v>
      </c>
      <c r="F54" s="3" t="s">
        <v>412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ht="28.8">
      <c r="A55" s="3" t="s">
        <v>410</v>
      </c>
      <c r="B55" s="3" t="s">
        <v>82</v>
      </c>
      <c r="C55" s="3" t="s">
        <v>432</v>
      </c>
      <c r="D55" s="6">
        <v>-0.23100000000000001</v>
      </c>
      <c r="E55" s="3" t="s">
        <v>415</v>
      </c>
      <c r="F55" s="3" t="s">
        <v>412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ht="43.2">
      <c r="A56" s="3" t="s">
        <v>433</v>
      </c>
      <c r="B56" s="3" t="s">
        <v>82</v>
      </c>
      <c r="C56" s="3" t="s">
        <v>74</v>
      </c>
      <c r="D56" s="6">
        <v>0.69099999999999995</v>
      </c>
      <c r="E56" s="3" t="s">
        <v>411</v>
      </c>
      <c r="F56" s="3" t="s">
        <v>61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ht="43.2">
      <c r="A57" s="3" t="s">
        <v>433</v>
      </c>
      <c r="B57" s="3" t="s">
        <v>82</v>
      </c>
      <c r="C57" s="3" t="s">
        <v>434</v>
      </c>
      <c r="D57" s="6">
        <v>-0.28899999999999998</v>
      </c>
      <c r="E57" s="3" t="s">
        <v>415</v>
      </c>
      <c r="F57" s="3" t="s">
        <v>412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ht="43.2">
      <c r="A58" s="3" t="s">
        <v>433</v>
      </c>
      <c r="B58" s="3" t="s">
        <v>82</v>
      </c>
      <c r="C58" s="3" t="s">
        <v>435</v>
      </c>
      <c r="D58" s="6">
        <v>-0.157</v>
      </c>
      <c r="E58" s="3" t="s">
        <v>415</v>
      </c>
      <c r="F58" s="3" t="s">
        <v>412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ht="43.2">
      <c r="A59" s="3" t="s">
        <v>433</v>
      </c>
      <c r="B59" s="3" t="s">
        <v>82</v>
      </c>
      <c r="C59" s="3" t="s">
        <v>436</v>
      </c>
      <c r="D59" s="6">
        <v>-0.23899999999999999</v>
      </c>
      <c r="E59" s="3" t="s">
        <v>415</v>
      </c>
      <c r="F59" s="3" t="s">
        <v>412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ht="43.2">
      <c r="A60" s="3" t="s">
        <v>433</v>
      </c>
      <c r="B60" s="3" t="s">
        <v>82</v>
      </c>
      <c r="C60" s="3" t="s">
        <v>437</v>
      </c>
      <c r="D60" s="6">
        <v>-0.35799999999999998</v>
      </c>
      <c r="E60" s="3" t="s">
        <v>415</v>
      </c>
      <c r="F60" s="3" t="s">
        <v>73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ht="43.2">
      <c r="A61" s="3" t="s">
        <v>433</v>
      </c>
      <c r="B61" s="3" t="s">
        <v>82</v>
      </c>
      <c r="C61" s="3" t="s">
        <v>438</v>
      </c>
      <c r="D61" s="6">
        <v>-0.17199999999999999</v>
      </c>
      <c r="E61" s="3" t="s">
        <v>415</v>
      </c>
      <c r="F61" s="3" t="s">
        <v>412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ht="28.8">
      <c r="A62" s="3" t="s">
        <v>433</v>
      </c>
      <c r="B62" s="3" t="s">
        <v>82</v>
      </c>
      <c r="C62" s="3" t="s">
        <v>76</v>
      </c>
      <c r="D62" s="6">
        <v>-0.28599999999999998</v>
      </c>
      <c r="E62" s="3" t="s">
        <v>415</v>
      </c>
      <c r="F62" s="3" t="s">
        <v>412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ht="43.2">
      <c r="A63" s="3" t="s">
        <v>433</v>
      </c>
      <c r="B63" s="3" t="s">
        <v>82</v>
      </c>
      <c r="C63" s="3" t="s">
        <v>439</v>
      </c>
      <c r="D63" s="6">
        <v>-0.29699999999999999</v>
      </c>
      <c r="E63" s="3" t="s">
        <v>415</v>
      </c>
      <c r="F63" s="3" t="s">
        <v>412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ht="28.8">
      <c r="A64" s="3" t="s">
        <v>410</v>
      </c>
      <c r="B64" s="3" t="s">
        <v>170</v>
      </c>
      <c r="C64" s="3" t="s">
        <v>84</v>
      </c>
      <c r="D64" s="6">
        <v>-0.63700000000000001</v>
      </c>
      <c r="E64" s="3" t="s">
        <v>415</v>
      </c>
      <c r="F64" s="3" t="s">
        <v>61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ht="28.8">
      <c r="A65" s="3" t="s">
        <v>410</v>
      </c>
      <c r="B65" s="3" t="s">
        <v>170</v>
      </c>
      <c r="C65" s="3" t="s">
        <v>413</v>
      </c>
      <c r="D65" s="6">
        <v>3.6999999999999998E-2</v>
      </c>
      <c r="E65" s="3" t="s">
        <v>411</v>
      </c>
      <c r="F65" s="3" t="s">
        <v>412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ht="28.8">
      <c r="A66" s="3" t="s">
        <v>410</v>
      </c>
      <c r="B66" s="3" t="s">
        <v>170</v>
      </c>
      <c r="C66" s="3" t="s">
        <v>414</v>
      </c>
      <c r="D66" s="6">
        <v>3.7999999999999999E-2</v>
      </c>
      <c r="E66" s="3" t="s">
        <v>411</v>
      </c>
      <c r="F66" s="3" t="s">
        <v>412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ht="28.8">
      <c r="A67" s="3" t="s">
        <v>410</v>
      </c>
      <c r="B67" s="3" t="s">
        <v>170</v>
      </c>
      <c r="C67" s="3" t="s">
        <v>416</v>
      </c>
      <c r="D67" s="6">
        <v>4.2999999999999997E-2</v>
      </c>
      <c r="E67" s="3" t="s">
        <v>411</v>
      </c>
      <c r="F67" s="3" t="s">
        <v>412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ht="28.8">
      <c r="A68" s="3" t="s">
        <v>410</v>
      </c>
      <c r="B68" s="3" t="s">
        <v>170</v>
      </c>
      <c r="C68" s="3" t="s">
        <v>72</v>
      </c>
      <c r="D68" s="6">
        <v>-0.24099999999999999</v>
      </c>
      <c r="E68" s="3" t="s">
        <v>415</v>
      </c>
      <c r="F68" s="3" t="s">
        <v>412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ht="28.8">
      <c r="A69" s="3" t="s">
        <v>410</v>
      </c>
      <c r="B69" s="3" t="s">
        <v>170</v>
      </c>
      <c r="C69" s="3" t="s">
        <v>85</v>
      </c>
      <c r="D69" s="6">
        <v>0.42399999999999999</v>
      </c>
      <c r="E69" s="3" t="s">
        <v>411</v>
      </c>
      <c r="F69" s="3" t="s">
        <v>73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ht="28.8">
      <c r="A70" s="3" t="s">
        <v>410</v>
      </c>
      <c r="B70" s="3" t="s">
        <v>170</v>
      </c>
      <c r="C70" s="3" t="s">
        <v>417</v>
      </c>
      <c r="D70" s="6">
        <v>0.254</v>
      </c>
      <c r="E70" s="3" t="s">
        <v>411</v>
      </c>
      <c r="F70" s="3" t="s">
        <v>412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ht="43.2">
      <c r="A71" s="3" t="s">
        <v>410</v>
      </c>
      <c r="B71" s="3" t="s">
        <v>170</v>
      </c>
      <c r="C71" s="3" t="s">
        <v>418</v>
      </c>
      <c r="D71" s="6">
        <v>0.24299999999999999</v>
      </c>
      <c r="E71" s="3" t="s">
        <v>411</v>
      </c>
      <c r="F71" s="3" t="s">
        <v>412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ht="28.8">
      <c r="A72" s="3" t="s">
        <v>410</v>
      </c>
      <c r="B72" s="3" t="s">
        <v>170</v>
      </c>
      <c r="C72" s="3" t="s">
        <v>419</v>
      </c>
      <c r="D72" s="6">
        <v>0.30099999999999999</v>
      </c>
      <c r="E72" s="3" t="s">
        <v>411</v>
      </c>
      <c r="F72" s="3" t="s">
        <v>73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ht="28.8">
      <c r="A73" s="3" t="s">
        <v>410</v>
      </c>
      <c r="B73" s="3" t="s">
        <v>170</v>
      </c>
      <c r="C73" s="3" t="s">
        <v>420</v>
      </c>
      <c r="D73" s="6">
        <v>0.217</v>
      </c>
      <c r="E73" s="3" t="s">
        <v>411</v>
      </c>
      <c r="F73" s="3" t="s">
        <v>412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ht="28.8">
      <c r="A74" s="3" t="s">
        <v>410</v>
      </c>
      <c r="B74" s="3" t="s">
        <v>170</v>
      </c>
      <c r="C74" s="3" t="s">
        <v>421</v>
      </c>
      <c r="D74" s="6">
        <v>0.156</v>
      </c>
      <c r="E74" s="3" t="s">
        <v>411</v>
      </c>
      <c r="F74" s="3" t="s">
        <v>412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ht="28.8">
      <c r="A75" s="3" t="s">
        <v>410</v>
      </c>
      <c r="B75" s="3" t="s">
        <v>170</v>
      </c>
      <c r="C75" s="3" t="s">
        <v>422</v>
      </c>
      <c r="D75" s="6">
        <v>-0.22900000000000001</v>
      </c>
      <c r="E75" s="3" t="s">
        <v>415</v>
      </c>
      <c r="F75" s="3" t="s">
        <v>412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ht="28.8">
      <c r="A76" s="3" t="s">
        <v>410</v>
      </c>
      <c r="B76" s="3" t="s">
        <v>170</v>
      </c>
      <c r="C76" s="3" t="s">
        <v>423</v>
      </c>
      <c r="D76" s="6">
        <v>0.42099999999999999</v>
      </c>
      <c r="E76" s="3" t="s">
        <v>411</v>
      </c>
      <c r="F76" s="3" t="s">
        <v>73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ht="28.8">
      <c r="A77" s="3" t="s">
        <v>410</v>
      </c>
      <c r="B77" s="3" t="s">
        <v>170</v>
      </c>
      <c r="C77" s="3" t="s">
        <v>424</v>
      </c>
      <c r="D77" s="6">
        <v>-0.13400000000000001</v>
      </c>
      <c r="E77" s="3" t="s">
        <v>415</v>
      </c>
      <c r="F77" s="3" t="s">
        <v>412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ht="28.8">
      <c r="A78" s="3" t="s">
        <v>410</v>
      </c>
      <c r="B78" s="3" t="s">
        <v>170</v>
      </c>
      <c r="C78" s="3" t="s">
        <v>425</v>
      </c>
      <c r="D78" s="6">
        <v>2.5000000000000001E-2</v>
      </c>
      <c r="E78" s="3" t="s">
        <v>411</v>
      </c>
      <c r="F78" s="3" t="s">
        <v>412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ht="28.8">
      <c r="A79" s="3" t="s">
        <v>410</v>
      </c>
      <c r="B79" s="3" t="s">
        <v>170</v>
      </c>
      <c r="C79" s="3" t="s">
        <v>426</v>
      </c>
      <c r="D79" s="6">
        <v>-0.39700000000000002</v>
      </c>
      <c r="E79" s="3" t="s">
        <v>415</v>
      </c>
      <c r="F79" s="3" t="s">
        <v>73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ht="28.8">
      <c r="A80" s="3" t="s">
        <v>410</v>
      </c>
      <c r="B80" s="3" t="s">
        <v>170</v>
      </c>
      <c r="C80" s="3" t="s">
        <v>427</v>
      </c>
      <c r="D80" s="6">
        <v>0.125</v>
      </c>
      <c r="E80" s="3" t="s">
        <v>411</v>
      </c>
      <c r="F80" s="3" t="s">
        <v>412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ht="28.8">
      <c r="A81" s="3" t="s">
        <v>410</v>
      </c>
      <c r="B81" s="3" t="s">
        <v>170</v>
      </c>
      <c r="C81" s="3" t="s">
        <v>428</v>
      </c>
      <c r="D81" s="6">
        <v>0.154</v>
      </c>
      <c r="E81" s="3" t="s">
        <v>411</v>
      </c>
      <c r="F81" s="3" t="s">
        <v>412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ht="28.8">
      <c r="A82" s="3" t="s">
        <v>410</v>
      </c>
      <c r="B82" s="3" t="s">
        <v>170</v>
      </c>
      <c r="C82" s="3" t="s">
        <v>429</v>
      </c>
      <c r="D82" s="6">
        <v>0.13800000000000001</v>
      </c>
      <c r="E82" s="3" t="s">
        <v>411</v>
      </c>
      <c r="F82" s="3" t="s">
        <v>412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ht="28.8">
      <c r="A83" s="3" t="s">
        <v>410</v>
      </c>
      <c r="B83" s="3" t="s">
        <v>170</v>
      </c>
      <c r="C83" s="3" t="s">
        <v>430</v>
      </c>
      <c r="D83" s="6">
        <v>-7.0000000000000001E-3</v>
      </c>
      <c r="E83" s="3" t="s">
        <v>415</v>
      </c>
      <c r="F83" s="3" t="s">
        <v>412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ht="28.8">
      <c r="A84" s="3" t="s">
        <v>410</v>
      </c>
      <c r="B84" s="3" t="s">
        <v>170</v>
      </c>
      <c r="C84" s="3" t="s">
        <v>431</v>
      </c>
      <c r="D84" s="6">
        <v>0.20699999999999999</v>
      </c>
      <c r="E84" s="3" t="s">
        <v>411</v>
      </c>
      <c r="F84" s="3" t="s">
        <v>412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ht="28.8">
      <c r="A85" s="3" t="s">
        <v>410</v>
      </c>
      <c r="B85" s="3" t="s">
        <v>170</v>
      </c>
      <c r="C85" s="3" t="s">
        <v>432</v>
      </c>
      <c r="D85" s="6">
        <v>0.23200000000000001</v>
      </c>
      <c r="E85" s="3" t="s">
        <v>411</v>
      </c>
      <c r="F85" s="3" t="s">
        <v>412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ht="43.2">
      <c r="A86" s="3" t="s">
        <v>433</v>
      </c>
      <c r="B86" s="3" t="s">
        <v>170</v>
      </c>
      <c r="C86" s="3" t="s">
        <v>74</v>
      </c>
      <c r="D86" s="6">
        <v>-0.79600000000000004</v>
      </c>
      <c r="E86" s="3" t="s">
        <v>415</v>
      </c>
      <c r="F86" s="3" t="s">
        <v>440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ht="43.2">
      <c r="A87" s="3" t="s">
        <v>433</v>
      </c>
      <c r="B87" s="3" t="s">
        <v>170</v>
      </c>
      <c r="C87" s="3" t="s">
        <v>434</v>
      </c>
      <c r="D87" s="6">
        <v>0.34300000000000003</v>
      </c>
      <c r="E87" s="3" t="s">
        <v>411</v>
      </c>
      <c r="F87" s="3" t="s">
        <v>73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ht="43.2">
      <c r="A88" s="3" t="s">
        <v>433</v>
      </c>
      <c r="B88" s="3" t="s">
        <v>170</v>
      </c>
      <c r="C88" s="3" t="s">
        <v>435</v>
      </c>
      <c r="D88" s="6">
        <v>0.188</v>
      </c>
      <c r="E88" s="3" t="s">
        <v>411</v>
      </c>
      <c r="F88" s="3" t="s">
        <v>412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ht="43.2">
      <c r="A89" s="3" t="s">
        <v>433</v>
      </c>
      <c r="B89" s="3" t="s">
        <v>170</v>
      </c>
      <c r="C89" s="3" t="s">
        <v>436</v>
      </c>
      <c r="D89" s="6">
        <v>0.221</v>
      </c>
      <c r="E89" s="3" t="s">
        <v>411</v>
      </c>
      <c r="F89" s="3" t="s">
        <v>412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ht="43.2">
      <c r="A90" s="3" t="s">
        <v>433</v>
      </c>
      <c r="B90" s="3" t="s">
        <v>170</v>
      </c>
      <c r="C90" s="3" t="s">
        <v>437</v>
      </c>
      <c r="D90" s="6">
        <v>0.29799999999999999</v>
      </c>
      <c r="E90" s="3" t="s">
        <v>411</v>
      </c>
      <c r="F90" s="3" t="s">
        <v>412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ht="43.2">
      <c r="A91" s="3" t="s">
        <v>433</v>
      </c>
      <c r="B91" s="3" t="s">
        <v>170</v>
      </c>
      <c r="C91" s="3" t="s">
        <v>438</v>
      </c>
      <c r="D91" s="6">
        <v>0.20599999999999999</v>
      </c>
      <c r="E91" s="3" t="s">
        <v>411</v>
      </c>
      <c r="F91" s="3" t="s">
        <v>412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ht="28.8">
      <c r="A92" s="3" t="s">
        <v>433</v>
      </c>
      <c r="B92" s="3" t="s">
        <v>170</v>
      </c>
      <c r="C92" s="3" t="s">
        <v>76</v>
      </c>
      <c r="D92" s="6">
        <v>0.434</v>
      </c>
      <c r="E92" s="3" t="s">
        <v>411</v>
      </c>
      <c r="F92" s="3" t="s">
        <v>73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ht="43.2">
      <c r="A93" s="3" t="s">
        <v>433</v>
      </c>
      <c r="B93" s="3" t="s">
        <v>170</v>
      </c>
      <c r="C93" s="3" t="s">
        <v>439</v>
      </c>
      <c r="D93" s="6">
        <v>0.373</v>
      </c>
      <c r="E93" s="3" t="s">
        <v>411</v>
      </c>
      <c r="F93" s="3" t="s">
        <v>73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ht="57.6">
      <c r="A94" s="3" t="s">
        <v>410</v>
      </c>
      <c r="B94" s="3" t="s">
        <v>441</v>
      </c>
      <c r="C94" s="3" t="s">
        <v>84</v>
      </c>
      <c r="D94" s="6">
        <v>-0.46</v>
      </c>
      <c r="E94" s="3" t="s">
        <v>415</v>
      </c>
      <c r="F94" s="3" t="s">
        <v>75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ht="57.6">
      <c r="A95" s="3" t="s">
        <v>410</v>
      </c>
      <c r="B95" s="3" t="s">
        <v>441</v>
      </c>
      <c r="C95" s="3" t="s">
        <v>413</v>
      </c>
      <c r="D95" s="6">
        <v>-8.0000000000000002E-3</v>
      </c>
      <c r="E95" s="3" t="s">
        <v>415</v>
      </c>
      <c r="F95" s="3" t="s">
        <v>412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ht="57.6">
      <c r="A96" s="3" t="s">
        <v>410</v>
      </c>
      <c r="B96" s="3" t="s">
        <v>441</v>
      </c>
      <c r="C96" s="3" t="s">
        <v>414</v>
      </c>
      <c r="D96" s="6">
        <v>0.125</v>
      </c>
      <c r="E96" s="3" t="s">
        <v>411</v>
      </c>
      <c r="F96" s="3" t="s">
        <v>412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ht="57.6">
      <c r="A97" s="3" t="s">
        <v>410</v>
      </c>
      <c r="B97" s="3" t="s">
        <v>441</v>
      </c>
      <c r="C97" s="3" t="s">
        <v>416</v>
      </c>
      <c r="D97" s="6">
        <v>-0.183</v>
      </c>
      <c r="E97" s="3" t="s">
        <v>415</v>
      </c>
      <c r="F97" s="3" t="s">
        <v>412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ht="57.6">
      <c r="A98" s="3" t="s">
        <v>410</v>
      </c>
      <c r="B98" s="3" t="s">
        <v>441</v>
      </c>
      <c r="C98" s="3" t="s">
        <v>72</v>
      </c>
      <c r="D98" s="6">
        <v>-0.19600000000000001</v>
      </c>
      <c r="E98" s="3" t="s">
        <v>415</v>
      </c>
      <c r="F98" s="3" t="s">
        <v>412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ht="57.6">
      <c r="A99" s="3" t="s">
        <v>410</v>
      </c>
      <c r="B99" s="3" t="s">
        <v>441</v>
      </c>
      <c r="C99" s="3" t="s">
        <v>85</v>
      </c>
      <c r="D99" s="6">
        <v>0.35799999999999998</v>
      </c>
      <c r="E99" s="3" t="s">
        <v>411</v>
      </c>
      <c r="F99" s="3" t="s">
        <v>73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ht="57.6">
      <c r="A100" s="3" t="s">
        <v>410</v>
      </c>
      <c r="B100" s="3" t="s">
        <v>441</v>
      </c>
      <c r="C100" s="3" t="s">
        <v>417</v>
      </c>
      <c r="D100" s="6">
        <v>0.16900000000000001</v>
      </c>
      <c r="E100" s="3" t="s">
        <v>411</v>
      </c>
      <c r="F100" s="3" t="s">
        <v>412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ht="57.6">
      <c r="A101" s="3" t="s">
        <v>410</v>
      </c>
      <c r="B101" s="3" t="s">
        <v>441</v>
      </c>
      <c r="C101" s="3" t="s">
        <v>418</v>
      </c>
      <c r="D101" s="6">
        <v>-1.7000000000000001E-2</v>
      </c>
      <c r="E101" s="3" t="s">
        <v>415</v>
      </c>
      <c r="F101" s="3" t="s">
        <v>412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ht="57.6">
      <c r="A102" s="3" t="s">
        <v>410</v>
      </c>
      <c r="B102" s="3" t="s">
        <v>441</v>
      </c>
      <c r="C102" s="3" t="s">
        <v>419</v>
      </c>
      <c r="D102" s="6">
        <v>0.19</v>
      </c>
      <c r="E102" s="3" t="s">
        <v>411</v>
      </c>
      <c r="F102" s="3" t="s">
        <v>412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ht="57.6">
      <c r="A103" s="3" t="s">
        <v>410</v>
      </c>
      <c r="B103" s="3" t="s">
        <v>441</v>
      </c>
      <c r="C103" s="3" t="s">
        <v>420</v>
      </c>
      <c r="D103" s="6">
        <v>0.20100000000000001</v>
      </c>
      <c r="E103" s="3" t="s">
        <v>411</v>
      </c>
      <c r="F103" s="3" t="s">
        <v>412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ht="57.6">
      <c r="A104" s="3" t="s">
        <v>410</v>
      </c>
      <c r="B104" s="3" t="s">
        <v>441</v>
      </c>
      <c r="C104" s="3" t="s">
        <v>421</v>
      </c>
      <c r="D104" s="6">
        <v>5.8000000000000003E-2</v>
      </c>
      <c r="E104" s="3" t="s">
        <v>411</v>
      </c>
      <c r="F104" s="3" t="s">
        <v>412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ht="57.6">
      <c r="A105" s="3" t="s">
        <v>410</v>
      </c>
      <c r="B105" s="3" t="s">
        <v>441</v>
      </c>
      <c r="C105" s="3" t="s">
        <v>422</v>
      </c>
      <c r="D105" s="6">
        <v>3.6999999999999998E-2</v>
      </c>
      <c r="E105" s="3" t="s">
        <v>411</v>
      </c>
      <c r="F105" s="3" t="s">
        <v>412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ht="57.6">
      <c r="A106" s="3" t="s">
        <v>410</v>
      </c>
      <c r="B106" s="3" t="s">
        <v>441</v>
      </c>
      <c r="C106" s="3" t="s">
        <v>423</v>
      </c>
      <c r="D106" s="6">
        <v>0.247</v>
      </c>
      <c r="E106" s="3" t="s">
        <v>411</v>
      </c>
      <c r="F106" s="3" t="s">
        <v>412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ht="57.6">
      <c r="A107" s="3" t="s">
        <v>410</v>
      </c>
      <c r="B107" s="3" t="s">
        <v>441</v>
      </c>
      <c r="C107" s="3" t="s">
        <v>424</v>
      </c>
      <c r="D107" s="6">
        <v>-5.1999999999999998E-2</v>
      </c>
      <c r="E107" s="3" t="s">
        <v>415</v>
      </c>
      <c r="F107" s="3" t="s">
        <v>412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ht="57.6">
      <c r="A108" s="3" t="s">
        <v>410</v>
      </c>
      <c r="B108" s="3" t="s">
        <v>441</v>
      </c>
      <c r="C108" s="3" t="s">
        <v>425</v>
      </c>
      <c r="D108" s="6">
        <v>0.30099999999999999</v>
      </c>
      <c r="E108" s="3" t="s">
        <v>411</v>
      </c>
      <c r="F108" s="3" t="s">
        <v>73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ht="57.6">
      <c r="A109" s="3" t="s">
        <v>410</v>
      </c>
      <c r="B109" s="3" t="s">
        <v>441</v>
      </c>
      <c r="C109" s="3" t="s">
        <v>426</v>
      </c>
      <c r="D109" s="6">
        <v>4.3999999999999997E-2</v>
      </c>
      <c r="E109" s="3" t="s">
        <v>411</v>
      </c>
      <c r="F109" s="3" t="s">
        <v>412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ht="57.6">
      <c r="A110" s="3" t="s">
        <v>410</v>
      </c>
      <c r="B110" s="3" t="s">
        <v>441</v>
      </c>
      <c r="C110" s="3" t="s">
        <v>427</v>
      </c>
      <c r="D110" s="6">
        <v>9.4E-2</v>
      </c>
      <c r="E110" s="3" t="s">
        <v>411</v>
      </c>
      <c r="F110" s="3" t="s">
        <v>412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ht="57.6">
      <c r="A111" s="3" t="s">
        <v>410</v>
      </c>
      <c r="B111" s="3" t="s">
        <v>441</v>
      </c>
      <c r="C111" s="3" t="s">
        <v>428</v>
      </c>
      <c r="D111" s="6">
        <v>6.5000000000000002E-2</v>
      </c>
      <c r="E111" s="3" t="s">
        <v>411</v>
      </c>
      <c r="F111" s="3" t="s">
        <v>412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ht="57.6">
      <c r="A112" s="3" t="s">
        <v>410</v>
      </c>
      <c r="B112" s="3" t="s">
        <v>441</v>
      </c>
      <c r="C112" s="3" t="s">
        <v>429</v>
      </c>
      <c r="D112" s="6">
        <v>9.6000000000000002E-2</v>
      </c>
      <c r="E112" s="3" t="s">
        <v>411</v>
      </c>
      <c r="F112" s="3" t="s">
        <v>412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ht="57.6">
      <c r="A113" s="3" t="s">
        <v>410</v>
      </c>
      <c r="B113" s="3" t="s">
        <v>441</v>
      </c>
      <c r="C113" s="3" t="s">
        <v>430</v>
      </c>
      <c r="D113" s="6">
        <v>7.2999999999999995E-2</v>
      </c>
      <c r="E113" s="3" t="s">
        <v>411</v>
      </c>
      <c r="F113" s="3" t="s">
        <v>412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ht="57.6">
      <c r="A114" s="3" t="s">
        <v>410</v>
      </c>
      <c r="B114" s="3" t="s">
        <v>441</v>
      </c>
      <c r="C114" s="3" t="s">
        <v>431</v>
      </c>
      <c r="D114" s="6">
        <v>1.0999999999999999E-2</v>
      </c>
      <c r="E114" s="3" t="s">
        <v>411</v>
      </c>
      <c r="F114" s="3" t="s">
        <v>412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ht="57.6">
      <c r="A115" s="3" t="s">
        <v>410</v>
      </c>
      <c r="B115" s="3" t="s">
        <v>441</v>
      </c>
      <c r="C115" s="3" t="s">
        <v>432</v>
      </c>
      <c r="D115" s="6">
        <v>0.28100000000000003</v>
      </c>
      <c r="E115" s="3" t="s">
        <v>411</v>
      </c>
      <c r="F115" s="3" t="s">
        <v>412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ht="57.6">
      <c r="A116" s="3" t="s">
        <v>433</v>
      </c>
      <c r="B116" s="3" t="s">
        <v>441</v>
      </c>
      <c r="C116" s="3" t="s">
        <v>74</v>
      </c>
      <c r="D116" s="6">
        <v>-0.376</v>
      </c>
      <c r="E116" s="3" t="s">
        <v>415</v>
      </c>
      <c r="F116" s="3" t="s">
        <v>73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ht="57.6">
      <c r="A117" s="3" t="s">
        <v>433</v>
      </c>
      <c r="B117" s="3" t="s">
        <v>441</v>
      </c>
      <c r="C117" s="3" t="s">
        <v>434</v>
      </c>
      <c r="D117" s="6">
        <v>0.193</v>
      </c>
      <c r="E117" s="3" t="s">
        <v>411</v>
      </c>
      <c r="F117" s="3" t="s">
        <v>412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ht="57.6">
      <c r="A118" s="3" t="s">
        <v>433</v>
      </c>
      <c r="B118" s="3" t="s">
        <v>441</v>
      </c>
      <c r="C118" s="3" t="s">
        <v>435</v>
      </c>
      <c r="D118" s="6">
        <v>4.8000000000000001E-2</v>
      </c>
      <c r="E118" s="3" t="s">
        <v>411</v>
      </c>
      <c r="F118" s="3" t="s">
        <v>412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ht="57.6">
      <c r="A119" s="3" t="s">
        <v>433</v>
      </c>
      <c r="B119" s="3" t="s">
        <v>441</v>
      </c>
      <c r="C119" s="3" t="s">
        <v>436</v>
      </c>
      <c r="D119" s="6">
        <v>6.8000000000000005E-2</v>
      </c>
      <c r="E119" s="3" t="s">
        <v>411</v>
      </c>
      <c r="F119" s="3" t="s">
        <v>412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ht="57.6">
      <c r="A120" s="3" t="s">
        <v>433</v>
      </c>
      <c r="B120" s="3" t="s">
        <v>441</v>
      </c>
      <c r="C120" s="3" t="s">
        <v>437</v>
      </c>
      <c r="D120" s="6">
        <v>6.8000000000000005E-2</v>
      </c>
      <c r="E120" s="3" t="s">
        <v>411</v>
      </c>
      <c r="F120" s="3" t="s">
        <v>412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ht="57.6">
      <c r="A121" s="3" t="s">
        <v>433</v>
      </c>
      <c r="B121" s="3" t="s">
        <v>441</v>
      </c>
      <c r="C121" s="3" t="s">
        <v>438</v>
      </c>
      <c r="D121" s="6">
        <v>0.191</v>
      </c>
      <c r="E121" s="3" t="s">
        <v>411</v>
      </c>
      <c r="F121" s="3" t="s">
        <v>412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ht="57.6">
      <c r="A122" s="3" t="s">
        <v>433</v>
      </c>
      <c r="B122" s="3" t="s">
        <v>441</v>
      </c>
      <c r="C122" s="3" t="s">
        <v>76</v>
      </c>
      <c r="D122" s="6">
        <v>0.26800000000000002</v>
      </c>
      <c r="E122" s="3" t="s">
        <v>411</v>
      </c>
      <c r="F122" s="3" t="s">
        <v>412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ht="57.6">
      <c r="A123" s="3" t="s">
        <v>433</v>
      </c>
      <c r="B123" s="3" t="s">
        <v>441</v>
      </c>
      <c r="C123" s="3" t="s">
        <v>439</v>
      </c>
      <c r="D123" s="6">
        <v>0.112</v>
      </c>
      <c r="E123" s="3" t="s">
        <v>411</v>
      </c>
      <c r="F123" s="3" t="s">
        <v>412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ht="43.2">
      <c r="A124" s="3" t="s">
        <v>410</v>
      </c>
      <c r="B124" s="3" t="s">
        <v>442</v>
      </c>
      <c r="C124" s="3" t="s">
        <v>84</v>
      </c>
      <c r="D124" s="6">
        <v>-0.308</v>
      </c>
      <c r="E124" s="3" t="s">
        <v>415</v>
      </c>
      <c r="F124" s="3" t="s">
        <v>73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ht="43.2">
      <c r="A125" s="3" t="s">
        <v>410</v>
      </c>
      <c r="B125" s="3" t="s">
        <v>442</v>
      </c>
      <c r="C125" s="3" t="s">
        <v>413</v>
      </c>
      <c r="D125" s="6">
        <v>-0.107</v>
      </c>
      <c r="E125" s="3" t="s">
        <v>415</v>
      </c>
      <c r="F125" s="3" t="s">
        <v>412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ht="43.2">
      <c r="A126" s="3" t="s">
        <v>410</v>
      </c>
      <c r="B126" s="3" t="s">
        <v>442</v>
      </c>
      <c r="C126" s="3" t="s">
        <v>414</v>
      </c>
      <c r="D126" s="6">
        <v>0.151</v>
      </c>
      <c r="E126" s="3" t="s">
        <v>411</v>
      </c>
      <c r="F126" s="3" t="s">
        <v>412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ht="43.2">
      <c r="A127" s="3" t="s">
        <v>410</v>
      </c>
      <c r="B127" s="3" t="s">
        <v>442</v>
      </c>
      <c r="C127" s="3" t="s">
        <v>416</v>
      </c>
      <c r="D127" s="6">
        <v>-2.9000000000000001E-2</v>
      </c>
      <c r="E127" s="3" t="s">
        <v>415</v>
      </c>
      <c r="F127" s="3" t="s">
        <v>412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ht="43.2">
      <c r="A128" s="3" t="s">
        <v>410</v>
      </c>
      <c r="B128" s="3" t="s">
        <v>442</v>
      </c>
      <c r="C128" s="3" t="s">
        <v>72</v>
      </c>
      <c r="D128" s="6">
        <v>-0.2</v>
      </c>
      <c r="E128" s="3" t="s">
        <v>415</v>
      </c>
      <c r="F128" s="3" t="s">
        <v>412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ht="43.2">
      <c r="A129" s="3" t="s">
        <v>410</v>
      </c>
      <c r="B129" s="3" t="s">
        <v>442</v>
      </c>
      <c r="C129" s="3" t="s">
        <v>85</v>
      </c>
      <c r="D129" s="6">
        <v>0.251</v>
      </c>
      <c r="E129" s="3" t="s">
        <v>411</v>
      </c>
      <c r="F129" s="3" t="s">
        <v>412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ht="43.2">
      <c r="A130" s="3" t="s">
        <v>410</v>
      </c>
      <c r="B130" s="3" t="s">
        <v>442</v>
      </c>
      <c r="C130" s="3" t="s">
        <v>417</v>
      </c>
      <c r="D130" s="6">
        <v>1.9E-2</v>
      </c>
      <c r="E130" s="3" t="s">
        <v>411</v>
      </c>
      <c r="F130" s="3" t="s">
        <v>412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ht="43.2">
      <c r="A131" s="3" t="s">
        <v>410</v>
      </c>
      <c r="B131" s="3" t="s">
        <v>442</v>
      </c>
      <c r="C131" s="3" t="s">
        <v>418</v>
      </c>
      <c r="D131" s="6">
        <v>5.1999999999999998E-2</v>
      </c>
      <c r="E131" s="3" t="s">
        <v>411</v>
      </c>
      <c r="F131" s="3" t="s">
        <v>412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ht="43.2">
      <c r="A132" s="3" t="s">
        <v>410</v>
      </c>
      <c r="B132" s="3" t="s">
        <v>442</v>
      </c>
      <c r="C132" s="3" t="s">
        <v>419</v>
      </c>
      <c r="D132" s="6">
        <v>0.246</v>
      </c>
      <c r="E132" s="3" t="s">
        <v>411</v>
      </c>
      <c r="F132" s="3" t="s">
        <v>412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ht="43.2">
      <c r="A133" s="3" t="s">
        <v>410</v>
      </c>
      <c r="B133" s="3" t="s">
        <v>442</v>
      </c>
      <c r="C133" s="3" t="s">
        <v>420</v>
      </c>
      <c r="D133" s="6">
        <v>5.0999999999999997E-2</v>
      </c>
      <c r="E133" s="3" t="s">
        <v>411</v>
      </c>
      <c r="F133" s="3" t="s">
        <v>412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ht="43.2">
      <c r="A134" s="3" t="s">
        <v>410</v>
      </c>
      <c r="B134" s="3" t="s">
        <v>442</v>
      </c>
      <c r="C134" s="3" t="s">
        <v>421</v>
      </c>
      <c r="D134" s="6">
        <v>6.3E-2</v>
      </c>
      <c r="E134" s="3" t="s">
        <v>411</v>
      </c>
      <c r="F134" s="3" t="s">
        <v>412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ht="43.2">
      <c r="A135" s="3" t="s">
        <v>410</v>
      </c>
      <c r="B135" s="3" t="s">
        <v>442</v>
      </c>
      <c r="C135" s="3" t="s">
        <v>422</v>
      </c>
      <c r="D135" s="6">
        <v>8.1000000000000003E-2</v>
      </c>
      <c r="E135" s="3" t="s">
        <v>411</v>
      </c>
      <c r="F135" s="3" t="s">
        <v>412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ht="43.2">
      <c r="A136" s="3" t="s">
        <v>410</v>
      </c>
      <c r="B136" s="3" t="s">
        <v>442</v>
      </c>
      <c r="C136" s="3" t="s">
        <v>423</v>
      </c>
      <c r="D136" s="6">
        <v>0.255</v>
      </c>
      <c r="E136" s="3" t="s">
        <v>411</v>
      </c>
      <c r="F136" s="3" t="s">
        <v>412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ht="43.2">
      <c r="A137" s="3" t="s">
        <v>410</v>
      </c>
      <c r="B137" s="3" t="s">
        <v>442</v>
      </c>
      <c r="C137" s="3" t="s">
        <v>424</v>
      </c>
      <c r="D137" s="6">
        <v>6.0000000000000001E-3</v>
      </c>
      <c r="E137" s="3" t="s">
        <v>411</v>
      </c>
      <c r="F137" s="3" t="s">
        <v>412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ht="43.2">
      <c r="A138" s="3" t="s">
        <v>410</v>
      </c>
      <c r="B138" s="3" t="s">
        <v>442</v>
      </c>
      <c r="C138" s="3" t="s">
        <v>425</v>
      </c>
      <c r="D138" s="6">
        <v>0.26900000000000002</v>
      </c>
      <c r="E138" s="3" t="s">
        <v>411</v>
      </c>
      <c r="F138" s="3" t="s">
        <v>412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ht="43.2">
      <c r="A139" s="3" t="s">
        <v>410</v>
      </c>
      <c r="B139" s="3" t="s">
        <v>442</v>
      </c>
      <c r="C139" s="3" t="s">
        <v>426</v>
      </c>
      <c r="D139" s="6">
        <v>-0.16700000000000001</v>
      </c>
      <c r="E139" s="3" t="s">
        <v>415</v>
      </c>
      <c r="F139" s="3" t="s">
        <v>412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ht="43.2">
      <c r="A140" s="3" t="s">
        <v>410</v>
      </c>
      <c r="B140" s="3" t="s">
        <v>442</v>
      </c>
      <c r="C140" s="3" t="s">
        <v>427</v>
      </c>
      <c r="D140" s="6">
        <v>0.25700000000000001</v>
      </c>
      <c r="E140" s="3" t="s">
        <v>411</v>
      </c>
      <c r="F140" s="3" t="s">
        <v>412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ht="43.2">
      <c r="A141" s="3" t="s">
        <v>410</v>
      </c>
      <c r="B141" s="3" t="s">
        <v>442</v>
      </c>
      <c r="C141" s="3" t="s">
        <v>428</v>
      </c>
      <c r="D141" s="6">
        <v>0.114</v>
      </c>
      <c r="E141" s="3" t="s">
        <v>411</v>
      </c>
      <c r="F141" s="3" t="s">
        <v>412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ht="43.2">
      <c r="A142" s="3" t="s">
        <v>410</v>
      </c>
      <c r="B142" s="3" t="s">
        <v>442</v>
      </c>
      <c r="C142" s="3" t="s">
        <v>429</v>
      </c>
      <c r="D142" s="6">
        <v>-7.0999999999999994E-2</v>
      </c>
      <c r="E142" s="3" t="s">
        <v>415</v>
      </c>
      <c r="F142" s="3" t="s">
        <v>412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ht="43.2">
      <c r="A143" s="3" t="s">
        <v>410</v>
      </c>
      <c r="B143" s="3" t="s">
        <v>442</v>
      </c>
      <c r="C143" s="3" t="s">
        <v>430</v>
      </c>
      <c r="D143" s="6">
        <v>-0.128</v>
      </c>
      <c r="E143" s="3" t="s">
        <v>415</v>
      </c>
      <c r="F143" s="3" t="s">
        <v>412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ht="43.2">
      <c r="A144" s="3" t="s">
        <v>410</v>
      </c>
      <c r="B144" s="3" t="s">
        <v>442</v>
      </c>
      <c r="C144" s="3" t="s">
        <v>431</v>
      </c>
      <c r="D144" s="6">
        <v>0.03</v>
      </c>
      <c r="E144" s="3" t="s">
        <v>411</v>
      </c>
      <c r="F144" s="3" t="s">
        <v>412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ht="43.2">
      <c r="A145" s="3" t="s">
        <v>410</v>
      </c>
      <c r="B145" s="3" t="s">
        <v>442</v>
      </c>
      <c r="C145" s="3" t="s">
        <v>432</v>
      </c>
      <c r="D145" s="6">
        <v>2.5000000000000001E-2</v>
      </c>
      <c r="E145" s="3" t="s">
        <v>411</v>
      </c>
      <c r="F145" s="3" t="s">
        <v>412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ht="43.2">
      <c r="A146" s="3" t="s">
        <v>433</v>
      </c>
      <c r="B146" s="3" t="s">
        <v>442</v>
      </c>
      <c r="C146" s="3" t="s">
        <v>74</v>
      </c>
      <c r="D146" s="6">
        <v>-0.308</v>
      </c>
      <c r="E146" s="3" t="s">
        <v>415</v>
      </c>
      <c r="F146" s="3" t="s">
        <v>73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ht="43.2">
      <c r="A147" s="3" t="s">
        <v>433</v>
      </c>
      <c r="B147" s="3" t="s">
        <v>442</v>
      </c>
      <c r="C147" s="3" t="s">
        <v>434</v>
      </c>
      <c r="D147" s="6">
        <v>4.4999999999999998E-2</v>
      </c>
      <c r="E147" s="3" t="s">
        <v>411</v>
      </c>
      <c r="F147" s="3" t="s">
        <v>412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ht="43.2">
      <c r="A148" s="3" t="s">
        <v>433</v>
      </c>
      <c r="B148" s="3" t="s">
        <v>442</v>
      </c>
      <c r="C148" s="3" t="s">
        <v>435</v>
      </c>
      <c r="D148" s="6">
        <v>6.3E-2</v>
      </c>
      <c r="E148" s="3" t="s">
        <v>411</v>
      </c>
      <c r="F148" s="3" t="s">
        <v>412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ht="43.2">
      <c r="A149" s="3" t="s">
        <v>433</v>
      </c>
      <c r="B149" s="3" t="s">
        <v>442</v>
      </c>
      <c r="C149" s="3" t="s">
        <v>436</v>
      </c>
      <c r="D149" s="6">
        <v>4.3999999999999997E-2</v>
      </c>
      <c r="E149" s="3" t="s">
        <v>411</v>
      </c>
      <c r="F149" s="3" t="s">
        <v>412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ht="43.2">
      <c r="A150" s="3" t="s">
        <v>433</v>
      </c>
      <c r="B150" s="3" t="s">
        <v>442</v>
      </c>
      <c r="C150" s="3" t="s">
        <v>437</v>
      </c>
      <c r="D150" s="6">
        <v>0.223</v>
      </c>
      <c r="E150" s="3" t="s">
        <v>411</v>
      </c>
      <c r="F150" s="3" t="s">
        <v>412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ht="43.2">
      <c r="A151" s="3" t="s">
        <v>433</v>
      </c>
      <c r="B151" s="3" t="s">
        <v>442</v>
      </c>
      <c r="C151" s="3" t="s">
        <v>438</v>
      </c>
      <c r="D151" s="6">
        <v>4.0000000000000001E-3</v>
      </c>
      <c r="E151" s="3" t="s">
        <v>411</v>
      </c>
      <c r="F151" s="3" t="s">
        <v>412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ht="43.2">
      <c r="A152" s="3" t="s">
        <v>433</v>
      </c>
      <c r="B152" s="3" t="s">
        <v>442</v>
      </c>
      <c r="C152" s="3" t="s">
        <v>76</v>
      </c>
      <c r="D152" s="6">
        <v>0.28999999999999998</v>
      </c>
      <c r="E152" s="3" t="s">
        <v>411</v>
      </c>
      <c r="F152" s="3" t="s">
        <v>412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ht="43.2">
      <c r="A153" s="3" t="s">
        <v>433</v>
      </c>
      <c r="B153" s="3" t="s">
        <v>442</v>
      </c>
      <c r="C153" s="3" t="s">
        <v>439</v>
      </c>
      <c r="D153" s="6">
        <v>0.21099999999999999</v>
      </c>
      <c r="E153" s="3" t="s">
        <v>411</v>
      </c>
      <c r="F153" s="3" t="s">
        <v>412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ht="28.8">
      <c r="A154" s="3" t="s">
        <v>410</v>
      </c>
      <c r="B154" s="3" t="s">
        <v>443</v>
      </c>
      <c r="C154" s="3" t="s">
        <v>84</v>
      </c>
      <c r="D154" s="6">
        <v>-0.193</v>
      </c>
      <c r="E154" s="3" t="s">
        <v>415</v>
      </c>
      <c r="F154" s="3" t="s">
        <v>412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ht="28.8">
      <c r="A155" s="3" t="s">
        <v>410</v>
      </c>
      <c r="B155" s="3" t="s">
        <v>443</v>
      </c>
      <c r="C155" s="3" t="s">
        <v>413</v>
      </c>
      <c r="D155" s="6">
        <v>-0.215</v>
      </c>
      <c r="E155" s="3" t="s">
        <v>415</v>
      </c>
      <c r="F155" s="3" t="s">
        <v>412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ht="28.8">
      <c r="A156" s="3" t="s">
        <v>410</v>
      </c>
      <c r="B156" s="3" t="s">
        <v>443</v>
      </c>
      <c r="C156" s="3" t="s">
        <v>414</v>
      </c>
      <c r="D156" s="6">
        <v>-4.2000000000000003E-2</v>
      </c>
      <c r="E156" s="3" t="s">
        <v>415</v>
      </c>
      <c r="F156" s="3" t="s">
        <v>412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ht="28.8">
      <c r="A157" s="3" t="s">
        <v>410</v>
      </c>
      <c r="B157" s="3" t="s">
        <v>443</v>
      </c>
      <c r="C157" s="3" t="s">
        <v>416</v>
      </c>
      <c r="D157" s="6">
        <v>5.5E-2</v>
      </c>
      <c r="E157" s="3" t="s">
        <v>411</v>
      </c>
      <c r="F157" s="3" t="s">
        <v>412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ht="28.8">
      <c r="A158" s="3" t="s">
        <v>410</v>
      </c>
      <c r="B158" s="3" t="s">
        <v>443</v>
      </c>
      <c r="C158" s="3" t="s">
        <v>72</v>
      </c>
      <c r="D158" s="6">
        <v>-7.8E-2</v>
      </c>
      <c r="E158" s="3" t="s">
        <v>415</v>
      </c>
      <c r="F158" s="3" t="s">
        <v>412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ht="28.8">
      <c r="A159" s="3" t="s">
        <v>410</v>
      </c>
      <c r="B159" s="3" t="s">
        <v>443</v>
      </c>
      <c r="C159" s="3" t="s">
        <v>85</v>
      </c>
      <c r="D159" s="6">
        <v>0.34799999999999998</v>
      </c>
      <c r="E159" s="3" t="s">
        <v>411</v>
      </c>
      <c r="F159" s="3" t="s">
        <v>73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ht="28.8">
      <c r="A160" s="3" t="s">
        <v>410</v>
      </c>
      <c r="B160" s="3" t="s">
        <v>443</v>
      </c>
      <c r="C160" s="3" t="s">
        <v>417</v>
      </c>
      <c r="D160" s="6">
        <v>6.4000000000000001E-2</v>
      </c>
      <c r="E160" s="3" t="s">
        <v>411</v>
      </c>
      <c r="F160" s="3" t="s">
        <v>412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ht="43.2">
      <c r="A161" s="3" t="s">
        <v>410</v>
      </c>
      <c r="B161" s="3" t="s">
        <v>443</v>
      </c>
      <c r="C161" s="3" t="s">
        <v>418</v>
      </c>
      <c r="D161" s="6">
        <v>0.224</v>
      </c>
      <c r="E161" s="3" t="s">
        <v>411</v>
      </c>
      <c r="F161" s="3" t="s">
        <v>412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ht="28.8">
      <c r="A162" s="3" t="s">
        <v>410</v>
      </c>
      <c r="B162" s="3" t="s">
        <v>443</v>
      </c>
      <c r="C162" s="3" t="s">
        <v>419</v>
      </c>
      <c r="D162" s="6">
        <v>0.16800000000000001</v>
      </c>
      <c r="E162" s="3" t="s">
        <v>411</v>
      </c>
      <c r="F162" s="3" t="s">
        <v>412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ht="28.8">
      <c r="A163" s="3" t="s">
        <v>410</v>
      </c>
      <c r="B163" s="3" t="s">
        <v>443</v>
      </c>
      <c r="C163" s="3" t="s">
        <v>420</v>
      </c>
      <c r="D163" s="6">
        <v>8.7999999999999995E-2</v>
      </c>
      <c r="E163" s="3" t="s">
        <v>411</v>
      </c>
      <c r="F163" s="3" t="s">
        <v>412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ht="28.8">
      <c r="A164" s="3" t="s">
        <v>410</v>
      </c>
      <c r="B164" s="3" t="s">
        <v>443</v>
      </c>
      <c r="C164" s="3" t="s">
        <v>421</v>
      </c>
      <c r="D164" s="6">
        <v>6.7000000000000004E-2</v>
      </c>
      <c r="E164" s="3" t="s">
        <v>411</v>
      </c>
      <c r="F164" s="3" t="s">
        <v>412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ht="28.8">
      <c r="A165" s="3" t="s">
        <v>410</v>
      </c>
      <c r="B165" s="3" t="s">
        <v>443</v>
      </c>
      <c r="C165" s="3" t="s">
        <v>422</v>
      </c>
      <c r="D165" s="6">
        <v>-0.24299999999999999</v>
      </c>
      <c r="E165" s="3" t="s">
        <v>415</v>
      </c>
      <c r="F165" s="3" t="s">
        <v>412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ht="28.8">
      <c r="A166" s="3" t="s">
        <v>410</v>
      </c>
      <c r="B166" s="3" t="s">
        <v>443</v>
      </c>
      <c r="C166" s="3" t="s">
        <v>423</v>
      </c>
      <c r="D166" s="6">
        <v>0.13100000000000001</v>
      </c>
      <c r="E166" s="3" t="s">
        <v>411</v>
      </c>
      <c r="F166" s="3" t="s">
        <v>412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ht="28.8">
      <c r="A167" s="3" t="s">
        <v>410</v>
      </c>
      <c r="B167" s="3" t="s">
        <v>443</v>
      </c>
      <c r="C167" s="3" t="s">
        <v>424</v>
      </c>
      <c r="D167" s="6">
        <v>-0.122</v>
      </c>
      <c r="E167" s="3" t="s">
        <v>415</v>
      </c>
      <c r="F167" s="3" t="s">
        <v>412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ht="28.8">
      <c r="A168" s="3" t="s">
        <v>410</v>
      </c>
      <c r="B168" s="3" t="s">
        <v>443</v>
      </c>
      <c r="C168" s="3" t="s">
        <v>425</v>
      </c>
      <c r="D168" s="6">
        <v>-6.8000000000000005E-2</v>
      </c>
      <c r="E168" s="3" t="s">
        <v>415</v>
      </c>
      <c r="F168" s="3" t="s">
        <v>412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ht="28.8">
      <c r="A169" s="3" t="s">
        <v>410</v>
      </c>
      <c r="B169" s="3" t="s">
        <v>443</v>
      </c>
      <c r="C169" s="3" t="s">
        <v>426</v>
      </c>
      <c r="D169" s="6">
        <v>-0.23699999999999999</v>
      </c>
      <c r="E169" s="3" t="s">
        <v>415</v>
      </c>
      <c r="F169" s="3" t="s">
        <v>412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ht="28.8">
      <c r="A170" s="3" t="s">
        <v>410</v>
      </c>
      <c r="B170" s="3" t="s">
        <v>443</v>
      </c>
      <c r="C170" s="3" t="s">
        <v>427</v>
      </c>
      <c r="D170" s="6">
        <v>0.20200000000000001</v>
      </c>
      <c r="E170" s="3" t="s">
        <v>411</v>
      </c>
      <c r="F170" s="3" t="s">
        <v>412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ht="28.8">
      <c r="A171" s="3" t="s">
        <v>410</v>
      </c>
      <c r="B171" s="3" t="s">
        <v>443</v>
      </c>
      <c r="C171" s="3" t="s">
        <v>428</v>
      </c>
      <c r="D171" s="6">
        <v>7.9000000000000001E-2</v>
      </c>
      <c r="E171" s="3" t="s">
        <v>411</v>
      </c>
      <c r="F171" s="3" t="s">
        <v>412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ht="28.8">
      <c r="A172" s="3" t="s">
        <v>410</v>
      </c>
      <c r="B172" s="3" t="s">
        <v>443</v>
      </c>
      <c r="C172" s="3" t="s">
        <v>429</v>
      </c>
      <c r="D172" s="6">
        <v>-8.1000000000000003E-2</v>
      </c>
      <c r="E172" s="3" t="s">
        <v>415</v>
      </c>
      <c r="F172" s="3" t="s">
        <v>412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ht="28.8">
      <c r="A173" s="3" t="s">
        <v>410</v>
      </c>
      <c r="B173" s="3" t="s">
        <v>443</v>
      </c>
      <c r="C173" s="3" t="s">
        <v>430</v>
      </c>
      <c r="D173" s="6">
        <v>-0.123</v>
      </c>
      <c r="E173" s="3" t="s">
        <v>415</v>
      </c>
      <c r="F173" s="3" t="s">
        <v>412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ht="28.8">
      <c r="A174" s="3" t="s">
        <v>410</v>
      </c>
      <c r="B174" s="3" t="s">
        <v>443</v>
      </c>
      <c r="C174" s="3" t="s">
        <v>431</v>
      </c>
      <c r="D174" s="6">
        <v>0.127</v>
      </c>
      <c r="E174" s="3" t="s">
        <v>411</v>
      </c>
      <c r="F174" s="3" t="s">
        <v>412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ht="28.8">
      <c r="A175" s="3" t="s">
        <v>410</v>
      </c>
      <c r="B175" s="3" t="s">
        <v>443</v>
      </c>
      <c r="C175" s="3" t="s">
        <v>432</v>
      </c>
      <c r="D175" s="6">
        <v>0.108</v>
      </c>
      <c r="E175" s="3" t="s">
        <v>411</v>
      </c>
      <c r="F175" s="3" t="s">
        <v>412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ht="43.2">
      <c r="A176" s="3" t="s">
        <v>433</v>
      </c>
      <c r="B176" s="3" t="s">
        <v>443</v>
      </c>
      <c r="C176" s="3" t="s">
        <v>74</v>
      </c>
      <c r="D176" s="6">
        <v>-0.29199999999999998</v>
      </c>
      <c r="E176" s="3" t="s">
        <v>415</v>
      </c>
      <c r="F176" s="3" t="s">
        <v>412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ht="43.2">
      <c r="A177" s="3" t="s">
        <v>433</v>
      </c>
      <c r="B177" s="3" t="s">
        <v>443</v>
      </c>
      <c r="C177" s="3" t="s">
        <v>434</v>
      </c>
      <c r="D177" s="6">
        <v>-9.7000000000000003E-2</v>
      </c>
      <c r="E177" s="3" t="s">
        <v>415</v>
      </c>
      <c r="F177" s="3" t="s">
        <v>412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ht="43.2">
      <c r="A178" s="3" t="s">
        <v>433</v>
      </c>
      <c r="B178" s="3" t="s">
        <v>443</v>
      </c>
      <c r="C178" s="3" t="s">
        <v>435</v>
      </c>
      <c r="D178" s="6">
        <v>-5.8999999999999997E-2</v>
      </c>
      <c r="E178" s="3" t="s">
        <v>415</v>
      </c>
      <c r="F178" s="3" t="s">
        <v>412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ht="43.2">
      <c r="A179" s="3" t="s">
        <v>433</v>
      </c>
      <c r="B179" s="3" t="s">
        <v>443</v>
      </c>
      <c r="C179" s="3" t="s">
        <v>436</v>
      </c>
      <c r="D179" s="6">
        <v>9.7000000000000003E-2</v>
      </c>
      <c r="E179" s="3" t="s">
        <v>411</v>
      </c>
      <c r="F179" s="3" t="s">
        <v>412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ht="43.2">
      <c r="A180" s="3" t="s">
        <v>433</v>
      </c>
      <c r="B180" s="3" t="s">
        <v>443</v>
      </c>
      <c r="C180" s="3" t="s">
        <v>437</v>
      </c>
      <c r="D180" s="6">
        <v>0.112</v>
      </c>
      <c r="E180" s="3" t="s">
        <v>411</v>
      </c>
      <c r="F180" s="3" t="s">
        <v>412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ht="43.2">
      <c r="A181" s="3" t="s">
        <v>433</v>
      </c>
      <c r="B181" s="3" t="s">
        <v>443</v>
      </c>
      <c r="C181" s="3" t="s">
        <v>438</v>
      </c>
      <c r="D181" s="6">
        <v>0.28100000000000003</v>
      </c>
      <c r="E181" s="3" t="s">
        <v>411</v>
      </c>
      <c r="F181" s="3" t="s">
        <v>412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ht="28.8">
      <c r="A182" s="3" t="s">
        <v>433</v>
      </c>
      <c r="B182" s="3" t="s">
        <v>443</v>
      </c>
      <c r="C182" s="3" t="s">
        <v>76</v>
      </c>
      <c r="D182" s="6">
        <v>0.24</v>
      </c>
      <c r="E182" s="3" t="s">
        <v>411</v>
      </c>
      <c r="F182" s="3" t="s">
        <v>412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ht="43.2">
      <c r="A183" s="3" t="s">
        <v>433</v>
      </c>
      <c r="B183" s="3" t="s">
        <v>443</v>
      </c>
      <c r="C183" s="3" t="s">
        <v>439</v>
      </c>
      <c r="D183" s="6">
        <v>0.33300000000000002</v>
      </c>
      <c r="E183" s="3" t="s">
        <v>411</v>
      </c>
      <c r="F183" s="3" t="s">
        <v>73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A0323-3565-4F46-97B3-EE96FFD75F5F}">
  <dimension ref="A1:AO200"/>
  <sheetViews>
    <sheetView workbookViewId="0">
      <selection sqref="A1:XFD1048576"/>
    </sheetView>
  </sheetViews>
  <sheetFormatPr baseColWidth="10" defaultColWidth="9.77734375" defaultRowHeight="14.4"/>
  <cols>
    <col min="1" max="1" width="13.33203125" customWidth="1"/>
    <col min="2" max="2" width="22.21875" customWidth="1"/>
    <col min="3" max="3" width="26.6640625" customWidth="1"/>
    <col min="4" max="6" width="15.5546875" customWidth="1"/>
    <col min="7" max="7" width="46.6640625" customWidth="1"/>
    <col min="8" max="9" width="13.33203125" customWidth="1"/>
    <col min="10" max="10" width="46.6640625" customWidth="1"/>
    <col min="11" max="12" width="13.33203125" customWidth="1"/>
    <col min="13" max="13" width="46.6640625" customWidth="1"/>
    <col min="14" max="15" width="13.33203125" customWidth="1"/>
    <col min="16" max="16" width="15.5546875" customWidth="1"/>
    <col min="17" max="17" width="20" customWidth="1"/>
    <col min="18" max="18" width="15.5546875" customWidth="1"/>
    <col min="19" max="19" width="20" customWidth="1"/>
    <col min="20" max="21" width="15.5546875" customWidth="1"/>
    <col min="22" max="22" width="22.21875" customWidth="1"/>
    <col min="23" max="23" width="38.88671875" customWidth="1"/>
    <col min="24" max="24" width="17.77734375" customWidth="1"/>
    <col min="25" max="25" width="33.33203125" customWidth="1"/>
    <col min="26" max="26" width="72.21875" customWidth="1"/>
    <col min="27" max="27" width="50" customWidth="1"/>
    <col min="28" max="29" width="20" customWidth="1"/>
    <col min="30" max="30" width="24.44140625" customWidth="1"/>
    <col min="31" max="32" width="20" customWidth="1"/>
    <col min="33" max="36" width="37.77734375" customWidth="1"/>
    <col min="37" max="38" width="50" customWidth="1"/>
    <col min="39" max="39" width="61.109375" customWidth="1"/>
    <col min="40" max="40" width="20" customWidth="1"/>
    <col min="41" max="41" width="61.109375" customWidth="1"/>
  </cols>
  <sheetData>
    <row r="1" spans="1:41" ht="41.4">
      <c r="A1" s="8" t="s">
        <v>1</v>
      </c>
      <c r="B1" s="8" t="s">
        <v>2</v>
      </c>
      <c r="C1" s="8" t="s">
        <v>3</v>
      </c>
      <c r="D1" s="8" t="s">
        <v>444</v>
      </c>
      <c r="E1" s="8" t="s">
        <v>445</v>
      </c>
      <c r="F1" s="8" t="s">
        <v>446</v>
      </c>
      <c r="G1" s="8" t="s">
        <v>6</v>
      </c>
      <c r="H1" s="8" t="s">
        <v>447</v>
      </c>
      <c r="I1" s="8" t="s">
        <v>448</v>
      </c>
      <c r="J1" s="8" t="s">
        <v>449</v>
      </c>
      <c r="K1" s="8" t="s">
        <v>450</v>
      </c>
      <c r="L1" s="8" t="s">
        <v>451</v>
      </c>
      <c r="M1" s="8" t="s">
        <v>452</v>
      </c>
      <c r="N1" s="8" t="s">
        <v>453</v>
      </c>
      <c r="O1" s="8" t="s">
        <v>454</v>
      </c>
      <c r="P1" s="8" t="s">
        <v>455</v>
      </c>
      <c r="Q1" s="8" t="s">
        <v>456</v>
      </c>
      <c r="R1" s="8" t="s">
        <v>457</v>
      </c>
      <c r="S1" s="8" t="s">
        <v>458</v>
      </c>
      <c r="T1" s="8" t="s">
        <v>459</v>
      </c>
      <c r="U1" s="8" t="s">
        <v>460</v>
      </c>
      <c r="V1" s="8" t="s">
        <v>461</v>
      </c>
      <c r="W1" s="8" t="s">
        <v>462</v>
      </c>
      <c r="X1" s="8" t="s">
        <v>463</v>
      </c>
      <c r="Y1" s="8" t="s">
        <v>464</v>
      </c>
      <c r="Z1" s="8" t="s">
        <v>465</v>
      </c>
      <c r="AA1" s="8" t="s">
        <v>466</v>
      </c>
      <c r="AB1" s="8" t="s">
        <v>467</v>
      </c>
      <c r="AC1" s="8" t="s">
        <v>40</v>
      </c>
      <c r="AD1" s="8" t="s">
        <v>468</v>
      </c>
      <c r="AE1" s="8" t="s">
        <v>42</v>
      </c>
      <c r="AF1" s="8" t="s">
        <v>469</v>
      </c>
      <c r="AG1" s="8" t="s">
        <v>470</v>
      </c>
      <c r="AH1" s="8" t="s">
        <v>471</v>
      </c>
      <c r="AI1" s="8" t="s">
        <v>472</v>
      </c>
      <c r="AJ1" s="8" t="s">
        <v>473</v>
      </c>
      <c r="AK1" s="8" t="s">
        <v>49</v>
      </c>
      <c r="AL1" s="8" t="s">
        <v>50</v>
      </c>
      <c r="AM1" s="8" t="s">
        <v>474</v>
      </c>
      <c r="AN1" s="8" t="s">
        <v>475</v>
      </c>
      <c r="AO1" s="8" t="s">
        <v>476</v>
      </c>
    </row>
    <row r="2" spans="1:41" ht="28.8">
      <c r="A2" s="9" t="s">
        <v>92</v>
      </c>
      <c r="B2" s="9" t="s">
        <v>55</v>
      </c>
      <c r="C2" s="9" t="s">
        <v>55</v>
      </c>
      <c r="D2" s="10">
        <v>5330</v>
      </c>
      <c r="E2" s="10">
        <v>4285</v>
      </c>
      <c r="F2" s="10">
        <v>3355</v>
      </c>
      <c r="G2" s="9" t="s">
        <v>477</v>
      </c>
      <c r="H2" s="11">
        <v>0.52757973733583485</v>
      </c>
      <c r="I2" s="11">
        <v>0.27335834896810501</v>
      </c>
      <c r="J2" s="9" t="s">
        <v>478</v>
      </c>
      <c r="K2" s="11">
        <v>0.22263710618436411</v>
      </c>
      <c r="L2" s="11">
        <v>0.128588098016336</v>
      </c>
      <c r="M2" s="9" t="s">
        <v>479</v>
      </c>
      <c r="N2" s="11">
        <v>0.28941877794336812</v>
      </c>
      <c r="O2" s="11">
        <v>5.6631892697466824E-3</v>
      </c>
      <c r="P2" s="12">
        <v>7.7392729533794419E-2</v>
      </c>
      <c r="Q2" s="9" t="s">
        <v>412</v>
      </c>
      <c r="R2" s="12">
        <v>8.0000000000000002E-3</v>
      </c>
      <c r="S2" s="9" t="s">
        <v>412</v>
      </c>
      <c r="T2" s="12">
        <v>-0.41199999999999998</v>
      </c>
      <c r="U2" s="12">
        <v>4.1130909844598142E-2</v>
      </c>
      <c r="V2" s="9" t="s">
        <v>412</v>
      </c>
      <c r="W2" s="9" t="s">
        <v>480</v>
      </c>
      <c r="X2" s="9" t="s">
        <v>60</v>
      </c>
      <c r="Y2" s="9" t="s">
        <v>481</v>
      </c>
      <c r="Z2" s="9" t="s">
        <v>482</v>
      </c>
      <c r="AA2" s="9" t="s">
        <v>483</v>
      </c>
      <c r="AB2" s="12">
        <v>0.16385734424288839</v>
      </c>
      <c r="AC2" s="12">
        <v>0.20172977677652076</v>
      </c>
      <c r="AD2" s="12">
        <v>0.21027339219296945</v>
      </c>
      <c r="AE2" s="12">
        <v>0.21639820469928001</v>
      </c>
      <c r="AF2" s="12">
        <v>0.20399524688719139</v>
      </c>
      <c r="AG2" s="9" t="str">
        <f>INDEX('[2]10_Listas'!$A$2:$A$6,MATCH(MAX(AB2:AF2),AB2:AF2,0))</f>
        <v>Desconfianza y castigo</v>
      </c>
      <c r="AH2" s="9" t="s">
        <v>484</v>
      </c>
      <c r="AI2" s="9"/>
      <c r="AJ2" s="9" t="str">
        <f t="shared" ref="AJ2:AJ65" si="0">IF(AI2&lt;&gt;"",AI2,AG2)</f>
        <v>Desconfianza y castigo</v>
      </c>
      <c r="AK2" s="9" t="str">
        <f>IFERROR(INDEX('[2]02_Arquetipos_Miedo_Sesgo'!$C$4:$C$8,MATCH(AJ2,'[2]02_Arquetipos_Miedo_Sesgo'!$A$4:$A$8,0)),"")</f>
        <v>Miedo a ser engañado, robado, manipulado o usado electoralmente.</v>
      </c>
      <c r="AL2" s="9" t="str">
        <f>IFERROR(INDEX('[2]02_Arquetipos_Miedo_Sesgo'!$D$4:$D$8,MATCH(AJ2,'[2]02_Arquetipos_Miedo_Sesgo'!$A$4:$A$8,0)),"")</f>
        <v>Sesgo de confirmación + cinismo político + efecto de indignación moral.</v>
      </c>
      <c r="AM2" s="9" t="str">
        <f>IFERROR(INDEX('[2]02_Arquetipos_Miedo_Sesgo'!$E$4:$E$8,MATCH(AJ2,'[2]02_Arquetipos_Miedo_Sesgo'!$A$4:$A$8,0)),"")</f>
        <v>Transparencia, control político, lucha anticorrupción, vigilancia ciudadana, ejecución presupuestal y sanción a abusos.</v>
      </c>
      <c r="AN2" s="9" t="str">
        <f t="shared" ref="AN2:AN65" si="1">IF(OR($X2="Alto",$X2="Extremo",MAX($AB2:$AF2)&gt;=0.215),"Alta",IF(MAX($AB2:$AF2)&gt;=0.195,"Media","Baja"))</f>
        <v>Alta</v>
      </c>
      <c r="AO2" s="9" t="s">
        <v>485</v>
      </c>
    </row>
    <row r="3" spans="1:41" ht="28.8">
      <c r="A3" s="9" t="s">
        <v>54</v>
      </c>
      <c r="B3" s="9" t="s">
        <v>55</v>
      </c>
      <c r="C3" s="9" t="s">
        <v>56</v>
      </c>
      <c r="D3" s="10">
        <v>6799</v>
      </c>
      <c r="E3" s="10">
        <v>5377</v>
      </c>
      <c r="F3" s="10">
        <v>4106</v>
      </c>
      <c r="G3" s="9" t="s">
        <v>477</v>
      </c>
      <c r="H3" s="11">
        <v>0.48080600088248271</v>
      </c>
      <c r="I3" s="11">
        <v>0.1829680835416973</v>
      </c>
      <c r="J3" s="9" t="s">
        <v>478</v>
      </c>
      <c r="K3" s="11">
        <v>0.2293100241770504</v>
      </c>
      <c r="L3" s="11">
        <v>0.14896782592523711</v>
      </c>
      <c r="M3" s="9" t="s">
        <v>486</v>
      </c>
      <c r="N3" s="11">
        <v>0.30516317584023378</v>
      </c>
      <c r="O3" s="11">
        <v>3.0686799805163149E-2</v>
      </c>
      <c r="P3" s="12">
        <v>7.7392729533794419E-2</v>
      </c>
      <c r="Q3" s="9" t="s">
        <v>412</v>
      </c>
      <c r="R3" s="12">
        <v>-0.45700000000000002</v>
      </c>
      <c r="S3" s="9" t="s">
        <v>75</v>
      </c>
      <c r="T3" s="12">
        <v>0.104</v>
      </c>
      <c r="U3" s="12">
        <v>6.0464243177931483E-2</v>
      </c>
      <c r="V3" s="9" t="s">
        <v>412</v>
      </c>
      <c r="W3" s="9" t="s">
        <v>487</v>
      </c>
      <c r="X3" s="9" t="s">
        <v>60</v>
      </c>
      <c r="Y3" s="9" t="s">
        <v>481</v>
      </c>
      <c r="Z3" s="9" t="s">
        <v>482</v>
      </c>
      <c r="AA3" s="9" t="s">
        <v>483</v>
      </c>
      <c r="AB3" s="12">
        <v>0.17479467931037901</v>
      </c>
      <c r="AC3" s="12">
        <v>0.19919962088448823</v>
      </c>
      <c r="AD3" s="12">
        <v>0.20807070245462228</v>
      </c>
      <c r="AE3" s="12">
        <v>0.22171384978925909</v>
      </c>
      <c r="AF3" s="12">
        <v>0.19802046345980229</v>
      </c>
      <c r="AG3" s="9" t="str">
        <f>INDEX('[2]10_Listas'!$A$2:$A$6,MATCH(MAX(AB3:AF3),AB3:AF3,0))</f>
        <v>Desconfianza y castigo</v>
      </c>
      <c r="AH3" s="9" t="s">
        <v>488</v>
      </c>
      <c r="AI3" s="9"/>
      <c r="AJ3" s="9" t="str">
        <f t="shared" si="0"/>
        <v>Desconfianza y castigo</v>
      </c>
      <c r="AK3" s="9" t="str">
        <f>IFERROR(INDEX('[2]02_Arquetipos_Miedo_Sesgo'!$C$4:$C$8,MATCH(AJ3,'[2]02_Arquetipos_Miedo_Sesgo'!$A$4:$A$8,0)),"")</f>
        <v>Miedo a ser engañado, robado, manipulado o usado electoralmente.</v>
      </c>
      <c r="AL3" s="9" t="str">
        <f>IFERROR(INDEX('[2]02_Arquetipos_Miedo_Sesgo'!$D$4:$D$8,MATCH(AJ3,'[2]02_Arquetipos_Miedo_Sesgo'!$A$4:$A$8,0)),"")</f>
        <v>Sesgo de confirmación + cinismo político + efecto de indignación moral.</v>
      </c>
      <c r="AM3" s="9" t="str">
        <f>IFERROR(INDEX('[2]02_Arquetipos_Miedo_Sesgo'!$E$4:$E$8,MATCH(AJ3,'[2]02_Arquetipos_Miedo_Sesgo'!$A$4:$A$8,0)),"")</f>
        <v>Transparencia, control político, lucha anticorrupción, vigilancia ciudadana, ejecución presupuestal y sanción a abusos.</v>
      </c>
      <c r="AN3" s="9" t="str">
        <f t="shared" si="1"/>
        <v>Alta</v>
      </c>
      <c r="AO3" s="9" t="s">
        <v>485</v>
      </c>
    </row>
    <row r="4" spans="1:41" ht="28.8">
      <c r="A4" s="9" t="s">
        <v>90</v>
      </c>
      <c r="B4" s="9" t="s">
        <v>55</v>
      </c>
      <c r="C4" s="9" t="s">
        <v>91</v>
      </c>
      <c r="D4" s="10">
        <v>8741</v>
      </c>
      <c r="E4" s="10">
        <v>7212</v>
      </c>
      <c r="F4" s="10">
        <v>5753</v>
      </c>
      <c r="G4" s="9" t="s">
        <v>477</v>
      </c>
      <c r="H4" s="11">
        <v>0.48712961903672353</v>
      </c>
      <c r="I4" s="11">
        <v>0.20752774282118749</v>
      </c>
      <c r="J4" s="9" t="s">
        <v>478</v>
      </c>
      <c r="K4" s="11">
        <v>0.22254575707154739</v>
      </c>
      <c r="L4" s="11">
        <v>0.125069328896284</v>
      </c>
      <c r="M4" s="9" t="s">
        <v>486</v>
      </c>
      <c r="N4" s="11">
        <v>0.25830001738223529</v>
      </c>
      <c r="O4" s="11">
        <v>8.3087084999130867E-2</v>
      </c>
      <c r="P4" s="12">
        <v>7.7392729533794419E-2</v>
      </c>
      <c r="Q4" s="9" t="s">
        <v>412</v>
      </c>
      <c r="R4" s="12">
        <v>-0.45700000000000002</v>
      </c>
      <c r="S4" s="9" t="s">
        <v>75</v>
      </c>
      <c r="T4" s="12">
        <v>0.104</v>
      </c>
      <c r="U4" s="12">
        <v>6.0464243177931483E-2</v>
      </c>
      <c r="V4" s="9" t="s">
        <v>412</v>
      </c>
      <c r="W4" s="9" t="s">
        <v>487</v>
      </c>
      <c r="X4" s="9" t="s">
        <v>60</v>
      </c>
      <c r="Y4" s="9" t="s">
        <v>481</v>
      </c>
      <c r="Z4" s="9" t="s">
        <v>482</v>
      </c>
      <c r="AA4" s="9" t="s">
        <v>483</v>
      </c>
      <c r="AB4" s="12">
        <v>0.19137789913043679</v>
      </c>
      <c r="AC4" s="12">
        <v>0.20538447313102687</v>
      </c>
      <c r="AD4" s="12">
        <v>0.21149765153135491</v>
      </c>
      <c r="AE4" s="12">
        <v>0.21625706291473279</v>
      </c>
      <c r="AF4" s="12">
        <v>0.1806385031804284</v>
      </c>
      <c r="AG4" s="9" t="str">
        <f>INDEX('[2]10_Listas'!$A$2:$A$6,MATCH(MAX(AB4:AF4),AB4:AF4,0))</f>
        <v>Desconfianza y castigo</v>
      </c>
      <c r="AH4" s="9" t="s">
        <v>488</v>
      </c>
      <c r="AI4" s="9"/>
      <c r="AJ4" s="9" t="str">
        <f t="shared" si="0"/>
        <v>Desconfianza y castigo</v>
      </c>
      <c r="AK4" s="9" t="str">
        <f>IFERROR(INDEX('[2]02_Arquetipos_Miedo_Sesgo'!$C$4:$C$8,MATCH(AJ4,'[2]02_Arquetipos_Miedo_Sesgo'!$A$4:$A$8,0)),"")</f>
        <v>Miedo a ser engañado, robado, manipulado o usado electoralmente.</v>
      </c>
      <c r="AL4" s="9" t="str">
        <f>IFERROR(INDEX('[2]02_Arquetipos_Miedo_Sesgo'!$D$4:$D$8,MATCH(AJ4,'[2]02_Arquetipos_Miedo_Sesgo'!$A$4:$A$8,0)),"")</f>
        <v>Sesgo de confirmación + cinismo político + efecto de indignación moral.</v>
      </c>
      <c r="AM4" s="9" t="str">
        <f>IFERROR(INDEX('[2]02_Arquetipos_Miedo_Sesgo'!$E$4:$E$8,MATCH(AJ4,'[2]02_Arquetipos_Miedo_Sesgo'!$A$4:$A$8,0)),"")</f>
        <v>Transparencia, control político, lucha anticorrupción, vigilancia ciudadana, ejecución presupuestal y sanción a abusos.</v>
      </c>
      <c r="AN4" s="9" t="str">
        <f t="shared" si="1"/>
        <v>Alta</v>
      </c>
      <c r="AO4" s="9" t="s">
        <v>485</v>
      </c>
    </row>
    <row r="5" spans="1:41" ht="28.8">
      <c r="A5" s="9" t="s">
        <v>88</v>
      </c>
      <c r="B5" s="9" t="s">
        <v>55</v>
      </c>
      <c r="C5" s="9" t="s">
        <v>89</v>
      </c>
      <c r="D5" s="10">
        <v>2883</v>
      </c>
      <c r="E5" s="10">
        <v>2459</v>
      </c>
      <c r="F5" s="10">
        <v>1639</v>
      </c>
      <c r="G5" s="9" t="s">
        <v>477</v>
      </c>
      <c r="H5" s="11">
        <v>0.53208463406174122</v>
      </c>
      <c r="I5" s="11">
        <v>0.27297953520638218</v>
      </c>
      <c r="J5" s="9" t="s">
        <v>478</v>
      </c>
      <c r="K5" s="11">
        <v>0.24684831232208221</v>
      </c>
      <c r="L5" s="11">
        <v>0.1081740544936966</v>
      </c>
      <c r="M5" s="9" t="s">
        <v>486</v>
      </c>
      <c r="N5" s="11">
        <v>0.29774252593044542</v>
      </c>
      <c r="O5" s="11">
        <v>3.4167175106772418E-2</v>
      </c>
      <c r="P5" s="12">
        <v>7.7392729533794419E-2</v>
      </c>
      <c r="Q5" s="9" t="s">
        <v>412</v>
      </c>
      <c r="R5" s="12">
        <v>-0.45700000000000002</v>
      </c>
      <c r="S5" s="9" t="s">
        <v>75</v>
      </c>
      <c r="T5" s="12">
        <v>0.104</v>
      </c>
      <c r="U5" s="12">
        <v>6.0464243177931483E-2</v>
      </c>
      <c r="V5" s="9" t="s">
        <v>412</v>
      </c>
      <c r="W5" s="9" t="s">
        <v>487</v>
      </c>
      <c r="X5" s="9" t="s">
        <v>60</v>
      </c>
      <c r="Y5" s="9" t="s">
        <v>481</v>
      </c>
      <c r="Z5" s="9" t="s">
        <v>482</v>
      </c>
      <c r="AA5" s="9" t="s">
        <v>483</v>
      </c>
      <c r="AB5" s="12">
        <v>0.16456132491257389</v>
      </c>
      <c r="AC5" s="12">
        <v>0.20290691968603136</v>
      </c>
      <c r="AD5" s="12">
        <v>0.21026789386739334</v>
      </c>
      <c r="AE5" s="12">
        <v>0.22297068414142171</v>
      </c>
      <c r="AF5" s="12">
        <v>0.19734335767242911</v>
      </c>
      <c r="AG5" s="9" t="str">
        <f>INDEX('[2]10_Listas'!$A$2:$A$6,MATCH(MAX(AB5:AF5),AB5:AF5,0))</f>
        <v>Desconfianza y castigo</v>
      </c>
      <c r="AH5" s="9" t="s">
        <v>488</v>
      </c>
      <c r="AI5" s="9"/>
      <c r="AJ5" s="9" t="str">
        <f t="shared" si="0"/>
        <v>Desconfianza y castigo</v>
      </c>
      <c r="AK5" s="9" t="str">
        <f>IFERROR(INDEX('[2]02_Arquetipos_Miedo_Sesgo'!$C$4:$C$8,MATCH(AJ5,'[2]02_Arquetipos_Miedo_Sesgo'!$A$4:$A$8,0)),"")</f>
        <v>Miedo a ser engañado, robado, manipulado o usado electoralmente.</v>
      </c>
      <c r="AL5" s="9" t="str">
        <f>IFERROR(INDEX('[2]02_Arquetipos_Miedo_Sesgo'!$D$4:$D$8,MATCH(AJ5,'[2]02_Arquetipos_Miedo_Sesgo'!$A$4:$A$8,0)),"")</f>
        <v>Sesgo de confirmación + cinismo político + efecto de indignación moral.</v>
      </c>
      <c r="AM5" s="9" t="str">
        <f>IFERROR(INDEX('[2]02_Arquetipos_Miedo_Sesgo'!$E$4:$E$8,MATCH(AJ5,'[2]02_Arquetipos_Miedo_Sesgo'!$A$4:$A$8,0)),"")</f>
        <v>Transparencia, control político, lucha anticorrupción, vigilancia ciudadana, ejecución presupuestal y sanción a abusos.</v>
      </c>
      <c r="AN5" s="9" t="str">
        <f t="shared" si="1"/>
        <v>Alta</v>
      </c>
      <c r="AO5" s="9" t="s">
        <v>485</v>
      </c>
    </row>
    <row r="6" spans="1:41" ht="28.8">
      <c r="A6" s="9" t="s">
        <v>93</v>
      </c>
      <c r="B6" s="9" t="s">
        <v>55</v>
      </c>
      <c r="C6" s="9" t="s">
        <v>94</v>
      </c>
      <c r="D6" s="10">
        <v>7098</v>
      </c>
      <c r="E6" s="10">
        <v>5666</v>
      </c>
      <c r="F6" s="10">
        <v>4619</v>
      </c>
      <c r="G6" s="9" t="s">
        <v>477</v>
      </c>
      <c r="H6" s="11">
        <v>0.49295576218653142</v>
      </c>
      <c r="I6" s="11">
        <v>0.22837418991265149</v>
      </c>
      <c r="J6" s="9" t="s">
        <v>478</v>
      </c>
      <c r="K6" s="11">
        <v>0.25785386516060721</v>
      </c>
      <c r="L6" s="11">
        <v>0.16925520649488179</v>
      </c>
      <c r="M6" s="9" t="s">
        <v>486</v>
      </c>
      <c r="N6" s="11">
        <v>0.29963195496860789</v>
      </c>
      <c r="O6" s="11">
        <v>3.6588006061918199E-2</v>
      </c>
      <c r="P6" s="12">
        <v>7.7392729533794419E-2</v>
      </c>
      <c r="Q6" s="9" t="s">
        <v>412</v>
      </c>
      <c r="R6" s="12">
        <v>-0.45700000000000002</v>
      </c>
      <c r="S6" s="9" t="s">
        <v>75</v>
      </c>
      <c r="T6" s="12">
        <v>0.104</v>
      </c>
      <c r="U6" s="12">
        <v>6.0464243177931483E-2</v>
      </c>
      <c r="V6" s="9" t="s">
        <v>412</v>
      </c>
      <c r="W6" s="9" t="s">
        <v>487</v>
      </c>
      <c r="X6" s="9" t="s">
        <v>60</v>
      </c>
      <c r="Y6" s="9" t="s">
        <v>481</v>
      </c>
      <c r="Z6" s="9" t="s">
        <v>482</v>
      </c>
      <c r="AA6" s="9" t="s">
        <v>483</v>
      </c>
      <c r="AB6" s="12">
        <v>0.1682496097807456</v>
      </c>
      <c r="AC6" s="12">
        <v>0.19666893767027357</v>
      </c>
      <c r="AD6" s="12">
        <v>0.20810864425725614</v>
      </c>
      <c r="AE6" s="12">
        <v>0.21601079496853509</v>
      </c>
      <c r="AF6" s="12">
        <v>0.20634339649595079</v>
      </c>
      <c r="AG6" s="9" t="str">
        <f>INDEX('[2]10_Listas'!$A$2:$A$6,MATCH(MAX(AB6:AF6),AB6:AF6,0))</f>
        <v>Desconfianza y castigo</v>
      </c>
      <c r="AH6" s="9" t="s">
        <v>488</v>
      </c>
      <c r="AI6" s="9"/>
      <c r="AJ6" s="9" t="str">
        <f t="shared" si="0"/>
        <v>Desconfianza y castigo</v>
      </c>
      <c r="AK6" s="9" t="str">
        <f>IFERROR(INDEX('[2]02_Arquetipos_Miedo_Sesgo'!$C$4:$C$8,MATCH(AJ6,'[2]02_Arquetipos_Miedo_Sesgo'!$A$4:$A$8,0)),"")</f>
        <v>Miedo a ser engañado, robado, manipulado o usado electoralmente.</v>
      </c>
      <c r="AL6" s="9" t="str">
        <f>IFERROR(INDEX('[2]02_Arquetipos_Miedo_Sesgo'!$D$4:$D$8,MATCH(AJ6,'[2]02_Arquetipos_Miedo_Sesgo'!$A$4:$A$8,0)),"")</f>
        <v>Sesgo de confirmación + cinismo político + efecto de indignación moral.</v>
      </c>
      <c r="AM6" s="9" t="str">
        <f>IFERROR(INDEX('[2]02_Arquetipos_Miedo_Sesgo'!$E$4:$E$8,MATCH(AJ6,'[2]02_Arquetipos_Miedo_Sesgo'!$A$4:$A$8,0)),"")</f>
        <v>Transparencia, control político, lucha anticorrupción, vigilancia ciudadana, ejecución presupuestal y sanción a abusos.</v>
      </c>
      <c r="AN6" s="9" t="str">
        <f t="shared" si="1"/>
        <v>Alta</v>
      </c>
      <c r="AO6" s="9" t="s">
        <v>485</v>
      </c>
    </row>
    <row r="7" spans="1:41" ht="28.8">
      <c r="A7" s="9" t="s">
        <v>80</v>
      </c>
      <c r="B7" s="9" t="s">
        <v>55</v>
      </c>
      <c r="C7" s="9" t="s">
        <v>81</v>
      </c>
      <c r="D7" s="10">
        <v>1238</v>
      </c>
      <c r="E7" s="10">
        <v>971</v>
      </c>
      <c r="F7" s="10">
        <v>763</v>
      </c>
      <c r="G7" s="9" t="s">
        <v>477</v>
      </c>
      <c r="H7" s="11">
        <v>0.58077544426494343</v>
      </c>
      <c r="I7" s="11">
        <v>0.38691437802907908</v>
      </c>
      <c r="J7" s="9" t="s">
        <v>478</v>
      </c>
      <c r="K7" s="11">
        <v>0.23583934088568489</v>
      </c>
      <c r="L7" s="11">
        <v>0.13491246138002061</v>
      </c>
      <c r="M7" s="9" t="s">
        <v>486</v>
      </c>
      <c r="N7" s="11">
        <v>0.26867627785058978</v>
      </c>
      <c r="O7" s="11">
        <v>7.8636959370904647E-3</v>
      </c>
      <c r="P7" s="12">
        <v>7.7392729533794419E-2</v>
      </c>
      <c r="Q7" s="9" t="s">
        <v>412</v>
      </c>
      <c r="R7" s="12">
        <v>-0.45700000000000002</v>
      </c>
      <c r="S7" s="9" t="s">
        <v>75</v>
      </c>
      <c r="T7" s="12">
        <v>0.104</v>
      </c>
      <c r="U7" s="12">
        <v>6.0464243177931483E-2</v>
      </c>
      <c r="V7" s="9" t="s">
        <v>412</v>
      </c>
      <c r="W7" s="9" t="s">
        <v>487</v>
      </c>
      <c r="X7" s="9" t="s">
        <v>60</v>
      </c>
      <c r="Y7" s="9" t="s">
        <v>481</v>
      </c>
      <c r="Z7" s="9" t="s">
        <v>482</v>
      </c>
      <c r="AA7" s="9" t="s">
        <v>483</v>
      </c>
      <c r="AB7" s="12">
        <v>0.1555184513424793</v>
      </c>
      <c r="AC7" s="12">
        <v>0.20132079709522038</v>
      </c>
      <c r="AD7" s="12">
        <v>0.20710488892775006</v>
      </c>
      <c r="AE7" s="12">
        <v>0.24363177255971979</v>
      </c>
      <c r="AF7" s="12">
        <v>0.18919323565618371</v>
      </c>
      <c r="AG7" s="9" t="str">
        <f>INDEX('[2]10_Listas'!$A$2:$A$6,MATCH(MAX(AB7:AF7),AB7:AF7,0))</f>
        <v>Desconfianza y castigo</v>
      </c>
      <c r="AH7" s="9" t="s">
        <v>488</v>
      </c>
      <c r="AI7" s="9"/>
      <c r="AJ7" s="9" t="str">
        <f t="shared" si="0"/>
        <v>Desconfianza y castigo</v>
      </c>
      <c r="AK7" s="9" t="str">
        <f>IFERROR(INDEX('[2]02_Arquetipos_Miedo_Sesgo'!$C$4:$C$8,MATCH(AJ7,'[2]02_Arquetipos_Miedo_Sesgo'!$A$4:$A$8,0)),"")</f>
        <v>Miedo a ser engañado, robado, manipulado o usado electoralmente.</v>
      </c>
      <c r="AL7" s="9" t="str">
        <f>IFERROR(INDEX('[2]02_Arquetipos_Miedo_Sesgo'!$D$4:$D$8,MATCH(AJ7,'[2]02_Arquetipos_Miedo_Sesgo'!$A$4:$A$8,0)),"")</f>
        <v>Sesgo de confirmación + cinismo político + efecto de indignación moral.</v>
      </c>
      <c r="AM7" s="9" t="str">
        <f>IFERROR(INDEX('[2]02_Arquetipos_Miedo_Sesgo'!$E$4:$E$8,MATCH(AJ7,'[2]02_Arquetipos_Miedo_Sesgo'!$A$4:$A$8,0)),"")</f>
        <v>Transparencia, control político, lucha anticorrupción, vigilancia ciudadana, ejecución presupuestal y sanción a abusos.</v>
      </c>
      <c r="AN7" s="9" t="str">
        <f t="shared" si="1"/>
        <v>Alta</v>
      </c>
      <c r="AO7" s="9" t="s">
        <v>485</v>
      </c>
    </row>
    <row r="8" spans="1:41" ht="28.8">
      <c r="A8" s="9" t="s">
        <v>78</v>
      </c>
      <c r="B8" s="9" t="s">
        <v>55</v>
      </c>
      <c r="C8" s="9" t="s">
        <v>79</v>
      </c>
      <c r="D8" s="10">
        <v>5240</v>
      </c>
      <c r="E8" s="10">
        <v>4023</v>
      </c>
      <c r="F8" s="10">
        <v>3260</v>
      </c>
      <c r="G8" s="9" t="s">
        <v>477</v>
      </c>
      <c r="H8" s="11">
        <v>0.56316793893129768</v>
      </c>
      <c r="I8" s="11">
        <v>0.35477099236641219</v>
      </c>
      <c r="J8" s="9" t="s">
        <v>478</v>
      </c>
      <c r="K8" s="11">
        <v>0.22992791449167291</v>
      </c>
      <c r="L8" s="11">
        <v>0.14093959731543629</v>
      </c>
      <c r="M8" s="9" t="s">
        <v>479</v>
      </c>
      <c r="N8" s="11">
        <v>0.28435582822085892</v>
      </c>
      <c r="O8" s="11">
        <v>1.5030674846625789E-2</v>
      </c>
      <c r="P8" s="12">
        <v>7.7392729533794419E-2</v>
      </c>
      <c r="Q8" s="9" t="s">
        <v>412</v>
      </c>
      <c r="R8" s="12">
        <v>8.0000000000000002E-3</v>
      </c>
      <c r="S8" s="9" t="s">
        <v>412</v>
      </c>
      <c r="T8" s="12">
        <v>-0.41199999999999998</v>
      </c>
      <c r="U8" s="12">
        <v>4.1130909844598142E-2</v>
      </c>
      <c r="V8" s="9" t="s">
        <v>412</v>
      </c>
      <c r="W8" s="9" t="s">
        <v>480</v>
      </c>
      <c r="X8" s="9" t="s">
        <v>60</v>
      </c>
      <c r="Y8" s="9" t="s">
        <v>481</v>
      </c>
      <c r="Z8" s="9" t="s">
        <v>482</v>
      </c>
      <c r="AA8" s="9" t="s">
        <v>483</v>
      </c>
      <c r="AB8" s="12">
        <v>0.15743971434712531</v>
      </c>
      <c r="AC8" s="12">
        <v>0.20585868520155115</v>
      </c>
      <c r="AD8" s="12">
        <v>0.213270676348045</v>
      </c>
      <c r="AE8" s="12">
        <v>0.21371948246668759</v>
      </c>
      <c r="AF8" s="12">
        <v>0.20296572253060419</v>
      </c>
      <c r="AG8" s="9" t="str">
        <f>INDEX('[2]10_Listas'!$A$2:$A$6,MATCH(MAX(AB8:AF8),AB8:AF8,0))</f>
        <v>Desconfianza y castigo</v>
      </c>
      <c r="AH8" s="9" t="s">
        <v>484</v>
      </c>
      <c r="AI8" s="9"/>
      <c r="AJ8" s="9" t="str">
        <f t="shared" si="0"/>
        <v>Desconfianza y castigo</v>
      </c>
      <c r="AK8" s="9" t="str">
        <f>IFERROR(INDEX('[2]02_Arquetipos_Miedo_Sesgo'!$C$4:$C$8,MATCH(AJ8,'[2]02_Arquetipos_Miedo_Sesgo'!$A$4:$A$8,0)),"")</f>
        <v>Miedo a ser engañado, robado, manipulado o usado electoralmente.</v>
      </c>
      <c r="AL8" s="9" t="str">
        <f>IFERROR(INDEX('[2]02_Arquetipos_Miedo_Sesgo'!$D$4:$D$8,MATCH(AJ8,'[2]02_Arquetipos_Miedo_Sesgo'!$A$4:$A$8,0)),"")</f>
        <v>Sesgo de confirmación + cinismo político + efecto de indignación moral.</v>
      </c>
      <c r="AM8" s="9" t="str">
        <f>IFERROR(INDEX('[2]02_Arquetipos_Miedo_Sesgo'!$E$4:$E$8,MATCH(AJ8,'[2]02_Arquetipos_Miedo_Sesgo'!$A$4:$A$8,0)),"")</f>
        <v>Transparencia, control político, lucha anticorrupción, vigilancia ciudadana, ejecución presupuestal y sanción a abusos.</v>
      </c>
      <c r="AN8" s="9" t="str">
        <f t="shared" si="1"/>
        <v>Alta</v>
      </c>
      <c r="AO8" s="9" t="s">
        <v>485</v>
      </c>
    </row>
    <row r="9" spans="1:41" ht="28.8">
      <c r="A9" s="9" t="s">
        <v>86</v>
      </c>
      <c r="B9" s="9" t="s">
        <v>55</v>
      </c>
      <c r="C9" s="9" t="s">
        <v>87</v>
      </c>
      <c r="D9" s="10">
        <v>5067</v>
      </c>
      <c r="E9" s="10">
        <v>4111</v>
      </c>
      <c r="F9" s="10">
        <v>3133</v>
      </c>
      <c r="G9" s="9" t="s">
        <v>477</v>
      </c>
      <c r="H9" s="11">
        <v>0.58436944937833035</v>
      </c>
      <c r="I9" s="11">
        <v>0.39076376554174058</v>
      </c>
      <c r="J9" s="9" t="s">
        <v>478</v>
      </c>
      <c r="K9" s="11">
        <v>0.30722451958161029</v>
      </c>
      <c r="L9" s="11">
        <v>0.1963026027730479</v>
      </c>
      <c r="M9" s="9" t="s">
        <v>486</v>
      </c>
      <c r="N9" s="11">
        <v>0.36067666773060958</v>
      </c>
      <c r="O9" s="11">
        <v>0.14682413022661989</v>
      </c>
      <c r="P9" s="12">
        <v>7.7392729533794419E-2</v>
      </c>
      <c r="Q9" s="9" t="s">
        <v>412</v>
      </c>
      <c r="R9" s="12">
        <v>-0.45700000000000002</v>
      </c>
      <c r="S9" s="9" t="s">
        <v>75</v>
      </c>
      <c r="T9" s="12">
        <v>0.104</v>
      </c>
      <c r="U9" s="12">
        <v>6.0464243177931483E-2</v>
      </c>
      <c r="V9" s="9" t="s">
        <v>412</v>
      </c>
      <c r="W9" s="9" t="s">
        <v>487</v>
      </c>
      <c r="X9" s="9" t="s">
        <v>60</v>
      </c>
      <c r="Y9" s="9" t="s">
        <v>481</v>
      </c>
      <c r="Z9" s="9" t="s">
        <v>482</v>
      </c>
      <c r="AA9" s="9" t="s">
        <v>483</v>
      </c>
      <c r="AB9" s="12">
        <v>0.1402700958876692</v>
      </c>
      <c r="AC9" s="12">
        <v>0.20111695843675964</v>
      </c>
      <c r="AD9" s="12">
        <v>0.21115448540783174</v>
      </c>
      <c r="AE9" s="12">
        <v>0.22034239732156891</v>
      </c>
      <c r="AF9" s="12">
        <v>0.2136274359183323</v>
      </c>
      <c r="AG9" s="9" t="str">
        <f>INDEX('[2]10_Listas'!$A$2:$A$6,MATCH(MAX(AB9:AF9),AB9:AF9,0))</f>
        <v>Desconfianza y castigo</v>
      </c>
      <c r="AH9" s="9" t="s">
        <v>484</v>
      </c>
      <c r="AI9" s="9"/>
      <c r="AJ9" s="9" t="str">
        <f t="shared" si="0"/>
        <v>Desconfianza y castigo</v>
      </c>
      <c r="AK9" s="9" t="str">
        <f>IFERROR(INDEX('[2]02_Arquetipos_Miedo_Sesgo'!$C$4:$C$8,MATCH(AJ9,'[2]02_Arquetipos_Miedo_Sesgo'!$A$4:$A$8,0)),"")</f>
        <v>Miedo a ser engañado, robado, manipulado o usado electoralmente.</v>
      </c>
      <c r="AL9" s="9" t="str">
        <f>IFERROR(INDEX('[2]02_Arquetipos_Miedo_Sesgo'!$D$4:$D$8,MATCH(AJ9,'[2]02_Arquetipos_Miedo_Sesgo'!$A$4:$A$8,0)),"")</f>
        <v>Sesgo de confirmación + cinismo político + efecto de indignación moral.</v>
      </c>
      <c r="AM9" s="9" t="str">
        <f>IFERROR(INDEX('[2]02_Arquetipos_Miedo_Sesgo'!$E$4:$E$8,MATCH(AJ9,'[2]02_Arquetipos_Miedo_Sesgo'!$A$4:$A$8,0)),"")</f>
        <v>Transparencia, control político, lucha anticorrupción, vigilancia ciudadana, ejecución presupuestal y sanción a abusos.</v>
      </c>
      <c r="AN9" s="9" t="str">
        <f t="shared" si="1"/>
        <v>Alta</v>
      </c>
      <c r="AO9" s="9" t="s">
        <v>485</v>
      </c>
    </row>
    <row r="10" spans="1:41" ht="28.8">
      <c r="A10" s="9" t="s">
        <v>117</v>
      </c>
      <c r="B10" s="9" t="s">
        <v>96</v>
      </c>
      <c r="C10" s="9" t="s">
        <v>118</v>
      </c>
      <c r="D10" s="10">
        <v>3117</v>
      </c>
      <c r="E10" s="10">
        <v>2718</v>
      </c>
      <c r="F10" s="10">
        <v>1859</v>
      </c>
      <c r="G10" s="9" t="s">
        <v>477</v>
      </c>
      <c r="H10" s="11">
        <v>0.40102662816811041</v>
      </c>
      <c r="I10" s="11">
        <v>4.5556624959897318E-2</v>
      </c>
      <c r="J10" s="9" t="s">
        <v>478</v>
      </c>
      <c r="K10" s="11">
        <v>0.22148638704930099</v>
      </c>
      <c r="L10" s="11">
        <v>0.1066961000735835</v>
      </c>
      <c r="M10" s="9" t="s">
        <v>486</v>
      </c>
      <c r="N10" s="11">
        <v>0.37439483593329748</v>
      </c>
      <c r="O10" s="11">
        <v>0.18235610543302849</v>
      </c>
      <c r="P10" s="12">
        <v>7.7392729533794419E-2</v>
      </c>
      <c r="Q10" s="9" t="s">
        <v>412</v>
      </c>
      <c r="R10" s="12">
        <v>-0.45700000000000002</v>
      </c>
      <c r="S10" s="9" t="s">
        <v>75</v>
      </c>
      <c r="T10" s="12">
        <v>0.104</v>
      </c>
      <c r="U10" s="12">
        <v>6.0464243177931483E-2</v>
      </c>
      <c r="V10" s="9" t="s">
        <v>412</v>
      </c>
      <c r="W10" s="9" t="s">
        <v>487</v>
      </c>
      <c r="X10" s="9" t="s">
        <v>60</v>
      </c>
      <c r="Y10" s="9" t="s">
        <v>489</v>
      </c>
      <c r="Z10" s="9" t="s">
        <v>490</v>
      </c>
      <c r="AA10" s="9" t="s">
        <v>483</v>
      </c>
      <c r="AB10" s="12">
        <v>0.1963097567830307</v>
      </c>
      <c r="AC10" s="12">
        <v>0.19923962258136382</v>
      </c>
      <c r="AD10" s="12">
        <v>0.2087334004069844</v>
      </c>
      <c r="AE10" s="12">
        <v>0.2101472166657678</v>
      </c>
      <c r="AF10" s="12">
        <v>0.19501876538619689</v>
      </c>
      <c r="AG10" s="9" t="str">
        <f>INDEX('[2]10_Listas'!$A$2:$A$6,MATCH(MAX(AB10:AF10),AB10:AF10,0))</f>
        <v>Desconfianza y castigo</v>
      </c>
      <c r="AH10" s="9" t="s">
        <v>491</v>
      </c>
      <c r="AI10" s="9"/>
      <c r="AJ10" s="9" t="str">
        <f t="shared" si="0"/>
        <v>Desconfianza y castigo</v>
      </c>
      <c r="AK10" s="9" t="str">
        <f>IFERROR(INDEX('[2]02_Arquetipos_Miedo_Sesgo'!$C$4:$C$8,MATCH(AJ10,'[2]02_Arquetipos_Miedo_Sesgo'!$A$4:$A$8,0)),"")</f>
        <v>Miedo a ser engañado, robado, manipulado o usado electoralmente.</v>
      </c>
      <c r="AL10" s="9" t="str">
        <f>IFERROR(INDEX('[2]02_Arquetipos_Miedo_Sesgo'!$D$4:$D$8,MATCH(AJ10,'[2]02_Arquetipos_Miedo_Sesgo'!$A$4:$A$8,0)),"")</f>
        <v>Sesgo de confirmación + cinismo político + efecto de indignación moral.</v>
      </c>
      <c r="AM10" s="9" t="str">
        <f>IFERROR(INDEX('[2]02_Arquetipos_Miedo_Sesgo'!$E$4:$E$8,MATCH(AJ10,'[2]02_Arquetipos_Miedo_Sesgo'!$A$4:$A$8,0)),"")</f>
        <v>Transparencia, control político, lucha anticorrupción, vigilancia ciudadana, ejecución presupuestal y sanción a abusos.</v>
      </c>
      <c r="AN10" s="9" t="str">
        <f t="shared" si="1"/>
        <v>Alta</v>
      </c>
      <c r="AO10" s="9" t="s">
        <v>485</v>
      </c>
    </row>
    <row r="11" spans="1:41" ht="28.8">
      <c r="A11" s="9" t="s">
        <v>106</v>
      </c>
      <c r="B11" s="9" t="s">
        <v>96</v>
      </c>
      <c r="C11" s="9" t="s">
        <v>96</v>
      </c>
      <c r="D11" s="10">
        <v>3258</v>
      </c>
      <c r="E11" s="10">
        <v>2754</v>
      </c>
      <c r="F11" s="10">
        <v>2008</v>
      </c>
      <c r="G11" s="9" t="s">
        <v>477</v>
      </c>
      <c r="H11" s="11">
        <v>0.42879066912216091</v>
      </c>
      <c r="I11" s="11">
        <v>6.3535911602209949E-2</v>
      </c>
      <c r="J11" s="9" t="s">
        <v>478</v>
      </c>
      <c r="K11" s="11">
        <v>0.2418300653594771</v>
      </c>
      <c r="L11" s="11">
        <v>0.1096586782861293</v>
      </c>
      <c r="M11" s="9" t="s">
        <v>486</v>
      </c>
      <c r="N11" s="11">
        <v>0.33167330677290829</v>
      </c>
      <c r="O11" s="11">
        <v>0.13147410358565739</v>
      </c>
      <c r="P11" s="12">
        <v>7.7392729533794419E-2</v>
      </c>
      <c r="Q11" s="9" t="s">
        <v>412</v>
      </c>
      <c r="R11" s="12">
        <v>-0.45700000000000002</v>
      </c>
      <c r="S11" s="9" t="s">
        <v>75</v>
      </c>
      <c r="T11" s="12">
        <v>0.104</v>
      </c>
      <c r="U11" s="12">
        <v>6.0464243177931483E-2</v>
      </c>
      <c r="V11" s="9" t="s">
        <v>412</v>
      </c>
      <c r="W11" s="9" t="s">
        <v>487</v>
      </c>
      <c r="X11" s="9" t="s">
        <v>60</v>
      </c>
      <c r="Y11" s="9" t="s">
        <v>489</v>
      </c>
      <c r="Z11" s="9" t="s">
        <v>490</v>
      </c>
      <c r="AA11" s="9" t="s">
        <v>483</v>
      </c>
      <c r="AB11" s="12">
        <v>0.20155869945592891</v>
      </c>
      <c r="AC11" s="12">
        <v>0.19904533301516639</v>
      </c>
      <c r="AD11" s="12">
        <v>0.20795714370763571</v>
      </c>
      <c r="AE11" s="12">
        <v>0.2109294616259399</v>
      </c>
      <c r="AF11" s="12">
        <v>0.18821702915030469</v>
      </c>
      <c r="AG11" s="9" t="str">
        <f>INDEX('[2]10_Listas'!$A$2:$A$6,MATCH(MAX(AB11:AF11),AB11:AF11,0))</f>
        <v>Desconfianza y castigo</v>
      </c>
      <c r="AH11" s="9" t="s">
        <v>488</v>
      </c>
      <c r="AI11" s="9"/>
      <c r="AJ11" s="9" t="str">
        <f t="shared" si="0"/>
        <v>Desconfianza y castigo</v>
      </c>
      <c r="AK11" s="9" t="str">
        <f>IFERROR(INDEX('[2]02_Arquetipos_Miedo_Sesgo'!$C$4:$C$8,MATCH(AJ11,'[2]02_Arquetipos_Miedo_Sesgo'!$A$4:$A$8,0)),"")</f>
        <v>Miedo a ser engañado, robado, manipulado o usado electoralmente.</v>
      </c>
      <c r="AL11" s="9" t="str">
        <f>IFERROR(INDEX('[2]02_Arquetipos_Miedo_Sesgo'!$D$4:$D$8,MATCH(AJ11,'[2]02_Arquetipos_Miedo_Sesgo'!$A$4:$A$8,0)),"")</f>
        <v>Sesgo de confirmación + cinismo político + efecto de indignación moral.</v>
      </c>
      <c r="AM11" s="9" t="str">
        <f>IFERROR(INDEX('[2]02_Arquetipos_Miedo_Sesgo'!$E$4:$E$8,MATCH(AJ11,'[2]02_Arquetipos_Miedo_Sesgo'!$A$4:$A$8,0)),"")</f>
        <v>Transparencia, control político, lucha anticorrupción, vigilancia ciudadana, ejecución presupuestal y sanción a abusos.</v>
      </c>
      <c r="AN11" s="9" t="str">
        <f t="shared" si="1"/>
        <v>Alta</v>
      </c>
      <c r="AO11" s="9" t="s">
        <v>485</v>
      </c>
    </row>
    <row r="12" spans="1:41" ht="28.8">
      <c r="A12" s="9" t="s">
        <v>125</v>
      </c>
      <c r="B12" s="9" t="s">
        <v>96</v>
      </c>
      <c r="C12" s="9" t="s">
        <v>126</v>
      </c>
      <c r="D12" s="10">
        <v>11103</v>
      </c>
      <c r="E12" s="10">
        <v>9715</v>
      </c>
      <c r="F12" s="10">
        <v>6985</v>
      </c>
      <c r="G12" s="9" t="s">
        <v>492</v>
      </c>
      <c r="H12" s="11">
        <v>0.47563721516707202</v>
      </c>
      <c r="I12" s="11">
        <v>0.15347203458524719</v>
      </c>
      <c r="J12" s="9" t="s">
        <v>478</v>
      </c>
      <c r="K12" s="11">
        <v>0.20864642305712819</v>
      </c>
      <c r="L12" s="11">
        <v>7.5450334534225422E-2</v>
      </c>
      <c r="M12" s="9" t="s">
        <v>486</v>
      </c>
      <c r="N12" s="11">
        <v>0.3012168933428776</v>
      </c>
      <c r="O12" s="11">
        <v>6.2562634216177526E-2</v>
      </c>
      <c r="P12" s="12">
        <v>-0.1151436448345239</v>
      </c>
      <c r="Q12" s="9" t="s">
        <v>412</v>
      </c>
      <c r="R12" s="12">
        <v>0.46899999999999997</v>
      </c>
      <c r="S12" s="9" t="s">
        <v>75</v>
      </c>
      <c r="T12" s="12">
        <v>0.104</v>
      </c>
      <c r="U12" s="12">
        <v>0.151</v>
      </c>
      <c r="V12" s="9" t="s">
        <v>73</v>
      </c>
      <c r="W12" s="9" t="s">
        <v>493</v>
      </c>
      <c r="X12" s="9" t="s">
        <v>60</v>
      </c>
      <c r="Y12" s="9" t="s">
        <v>489</v>
      </c>
      <c r="Z12" s="9" t="s">
        <v>490</v>
      </c>
      <c r="AA12" s="9" t="s">
        <v>494</v>
      </c>
      <c r="AB12" s="12">
        <v>0.23478281021476519</v>
      </c>
      <c r="AC12" s="12">
        <v>0.21198504675090679</v>
      </c>
      <c r="AD12" s="12">
        <v>0.20746916939715418</v>
      </c>
      <c r="AE12" s="12">
        <v>0.18057579740193669</v>
      </c>
      <c r="AF12" s="12">
        <v>0.19394280956502999</v>
      </c>
      <c r="AG12" s="9" t="str">
        <f>INDEX('[2]10_Listas'!$A$2:$A$6,MATCH(MAX(AB12:AF12),AB12:AF12,0))</f>
        <v>Protección y orden cotidiano</v>
      </c>
      <c r="AH12" s="9" t="s">
        <v>495</v>
      </c>
      <c r="AI12" s="9"/>
      <c r="AJ12" s="9" t="str">
        <f t="shared" si="0"/>
        <v>Protección y orden cotidiano</v>
      </c>
      <c r="AK12" s="9" t="str">
        <f>IFERROR(INDEX('[2]02_Arquetipos_Miedo_Sesgo'!$C$4:$C$8,MATCH(AJ12,'[2]02_Arquetipos_Miedo_Sesgo'!$A$4:$A$8,0)),"")</f>
        <v>Miedo a la inseguridad, al descontrol barrial y a perder la tranquilidad cotidiana.</v>
      </c>
      <c r="AL12" s="9" t="str">
        <f>IFERROR(INDEX('[2]02_Arquetipos_Miedo_Sesgo'!$D$4:$D$8,MATCH(AJ12,'[2]02_Arquetipos_Miedo_Sesgo'!$A$4:$A$8,0)),"")</f>
        <v>Sesgo de disponibilidad + sesgo de negatividad + preferencia por autoridad.</v>
      </c>
      <c r="AM12" s="9" t="str">
        <f>IFERROR(INDEX('[2]02_Arquetipos_Miedo_Sesgo'!$E$4:$E$8,MATCH(AJ12,'[2]02_Arquetipos_Miedo_Sesgo'!$A$4:$A$8,0)),"")</f>
        <v>Seguridad, convivencia, movilidad, alumbrado, reacción institucional rápida, presencia de autoridad.</v>
      </c>
      <c r="AN12" s="9" t="str">
        <f t="shared" si="1"/>
        <v>Alta</v>
      </c>
      <c r="AO12" s="9" t="s">
        <v>485</v>
      </c>
    </row>
    <row r="13" spans="1:41" ht="28.8">
      <c r="A13" s="9" t="s">
        <v>113</v>
      </c>
      <c r="B13" s="9" t="s">
        <v>96</v>
      </c>
      <c r="C13" s="9" t="s">
        <v>114</v>
      </c>
      <c r="D13" s="10">
        <v>6569</v>
      </c>
      <c r="E13" s="10">
        <v>5214</v>
      </c>
      <c r="F13" s="10">
        <v>4169</v>
      </c>
      <c r="G13" s="9" t="s">
        <v>477</v>
      </c>
      <c r="H13" s="11">
        <v>0.46232303242502659</v>
      </c>
      <c r="I13" s="11">
        <v>0.1845029684883544</v>
      </c>
      <c r="J13" s="9" t="s">
        <v>478</v>
      </c>
      <c r="K13" s="11">
        <v>0.1990794016110472</v>
      </c>
      <c r="L13" s="11">
        <v>7.9018028385116984E-2</v>
      </c>
      <c r="M13" s="9" t="s">
        <v>486</v>
      </c>
      <c r="N13" s="11">
        <v>0.26601103382106023</v>
      </c>
      <c r="O13" s="11">
        <v>1.6071000239865681E-2</v>
      </c>
      <c r="P13" s="12">
        <v>7.7392729533794419E-2</v>
      </c>
      <c r="Q13" s="9" t="s">
        <v>412</v>
      </c>
      <c r="R13" s="12">
        <v>-0.45700000000000002</v>
      </c>
      <c r="S13" s="9" t="s">
        <v>75</v>
      </c>
      <c r="T13" s="12">
        <v>0.104</v>
      </c>
      <c r="U13" s="12">
        <v>6.0464243177931483E-2</v>
      </c>
      <c r="V13" s="9" t="s">
        <v>412</v>
      </c>
      <c r="W13" s="9" t="s">
        <v>487</v>
      </c>
      <c r="X13" s="9" t="s">
        <v>60</v>
      </c>
      <c r="Y13" s="9" t="s">
        <v>489</v>
      </c>
      <c r="Z13" s="9" t="s">
        <v>490</v>
      </c>
      <c r="AA13" s="9" t="s">
        <v>483</v>
      </c>
      <c r="AB13" s="12">
        <v>0.18421497552700919</v>
      </c>
      <c r="AC13" s="12">
        <v>0.21234421053199065</v>
      </c>
      <c r="AD13" s="12">
        <v>0.21625194164561537</v>
      </c>
      <c r="AE13" s="12">
        <v>0.21774659189586851</v>
      </c>
      <c r="AF13" s="12">
        <v>0.17992762389267819</v>
      </c>
      <c r="AG13" s="9" t="str">
        <f>INDEX('[2]10_Listas'!$A$2:$A$6,MATCH(MAX(AB13:AF13),AB13:AF13,0))</f>
        <v>Desconfianza y castigo</v>
      </c>
      <c r="AH13" s="9" t="s">
        <v>491</v>
      </c>
      <c r="AI13" s="9"/>
      <c r="AJ13" s="9" t="str">
        <f t="shared" si="0"/>
        <v>Desconfianza y castigo</v>
      </c>
      <c r="AK13" s="9" t="str">
        <f>IFERROR(INDEX('[2]02_Arquetipos_Miedo_Sesgo'!$C$4:$C$8,MATCH(AJ13,'[2]02_Arquetipos_Miedo_Sesgo'!$A$4:$A$8,0)),"")</f>
        <v>Miedo a ser engañado, robado, manipulado o usado electoralmente.</v>
      </c>
      <c r="AL13" s="9" t="str">
        <f>IFERROR(INDEX('[2]02_Arquetipos_Miedo_Sesgo'!$D$4:$D$8,MATCH(AJ13,'[2]02_Arquetipos_Miedo_Sesgo'!$A$4:$A$8,0)),"")</f>
        <v>Sesgo de confirmación + cinismo político + efecto de indignación moral.</v>
      </c>
      <c r="AM13" s="9" t="str">
        <f>IFERROR(INDEX('[2]02_Arquetipos_Miedo_Sesgo'!$E$4:$E$8,MATCH(AJ13,'[2]02_Arquetipos_Miedo_Sesgo'!$A$4:$A$8,0)),"")</f>
        <v>Transparencia, control político, lucha anticorrupción, vigilancia ciudadana, ejecución presupuestal y sanción a abusos.</v>
      </c>
      <c r="AN13" s="9" t="str">
        <f t="shared" si="1"/>
        <v>Alta</v>
      </c>
      <c r="AO13" s="9" t="s">
        <v>485</v>
      </c>
    </row>
    <row r="14" spans="1:41" ht="28.8">
      <c r="A14" s="9" t="s">
        <v>95</v>
      </c>
      <c r="B14" s="9" t="s">
        <v>96</v>
      </c>
      <c r="C14" s="9" t="s">
        <v>97</v>
      </c>
      <c r="D14" s="10">
        <v>9463</v>
      </c>
      <c r="E14" s="10">
        <v>8303</v>
      </c>
      <c r="F14" s="10">
        <v>5752</v>
      </c>
      <c r="G14" s="9" t="s">
        <v>492</v>
      </c>
      <c r="H14" s="11">
        <v>0.51717214414033608</v>
      </c>
      <c r="I14" s="11">
        <v>0.2311106414456304</v>
      </c>
      <c r="J14" s="9" t="s">
        <v>478</v>
      </c>
      <c r="K14" s="11">
        <v>0.2291942671323618</v>
      </c>
      <c r="L14" s="11">
        <v>9.8759484523666147E-2</v>
      </c>
      <c r="M14" s="9" t="s">
        <v>486</v>
      </c>
      <c r="N14" s="11">
        <v>0.38595271210013909</v>
      </c>
      <c r="O14" s="11">
        <v>0.17680806675938801</v>
      </c>
      <c r="P14" s="12">
        <v>-0.1151436448345239</v>
      </c>
      <c r="Q14" s="9" t="s">
        <v>412</v>
      </c>
      <c r="R14" s="12">
        <v>0.46899999999999997</v>
      </c>
      <c r="S14" s="9" t="s">
        <v>75</v>
      </c>
      <c r="T14" s="12">
        <v>0.104</v>
      </c>
      <c r="U14" s="12">
        <v>0.151</v>
      </c>
      <c r="V14" s="9" t="s">
        <v>73</v>
      </c>
      <c r="W14" s="9" t="s">
        <v>493</v>
      </c>
      <c r="X14" s="9" t="s">
        <v>60</v>
      </c>
      <c r="Y14" s="9" t="s">
        <v>489</v>
      </c>
      <c r="Z14" s="9" t="s">
        <v>490</v>
      </c>
      <c r="AA14" s="9" t="s">
        <v>494</v>
      </c>
      <c r="AB14" s="12">
        <v>0.23739656344973031</v>
      </c>
      <c r="AC14" s="12">
        <v>0.20917093058515074</v>
      </c>
      <c r="AD14" s="12">
        <v>0.20139169821442468</v>
      </c>
      <c r="AE14" s="12">
        <v>0.1732364218767814</v>
      </c>
      <c r="AF14" s="12">
        <v>0.21149970947141619</v>
      </c>
      <c r="AG14" s="9" t="str">
        <f>INDEX('[2]10_Listas'!$A$2:$A$6,MATCH(MAX(AB14:AF14),AB14:AF14,0))</f>
        <v>Protección y orden cotidiano</v>
      </c>
      <c r="AH14" s="9" t="s">
        <v>495</v>
      </c>
      <c r="AI14" s="9"/>
      <c r="AJ14" s="9" t="str">
        <f t="shared" si="0"/>
        <v>Protección y orden cotidiano</v>
      </c>
      <c r="AK14" s="9" t="str">
        <f>IFERROR(INDEX('[2]02_Arquetipos_Miedo_Sesgo'!$C$4:$C$8,MATCH(AJ14,'[2]02_Arquetipos_Miedo_Sesgo'!$A$4:$A$8,0)),"")</f>
        <v>Miedo a la inseguridad, al descontrol barrial y a perder la tranquilidad cotidiana.</v>
      </c>
      <c r="AL14" s="9" t="str">
        <f>IFERROR(INDEX('[2]02_Arquetipos_Miedo_Sesgo'!$D$4:$D$8,MATCH(AJ14,'[2]02_Arquetipos_Miedo_Sesgo'!$A$4:$A$8,0)),"")</f>
        <v>Sesgo de disponibilidad + sesgo de negatividad + preferencia por autoridad.</v>
      </c>
      <c r="AM14" s="9" t="str">
        <f>IFERROR(INDEX('[2]02_Arquetipos_Miedo_Sesgo'!$E$4:$E$8,MATCH(AJ14,'[2]02_Arquetipos_Miedo_Sesgo'!$A$4:$A$8,0)),"")</f>
        <v>Seguridad, convivencia, movilidad, alumbrado, reacción institucional rápida, presencia de autoridad.</v>
      </c>
      <c r="AN14" s="9" t="str">
        <f t="shared" si="1"/>
        <v>Alta</v>
      </c>
      <c r="AO14" s="9" t="s">
        <v>485</v>
      </c>
    </row>
    <row r="15" spans="1:41" ht="28.8">
      <c r="A15" s="9" t="s">
        <v>496</v>
      </c>
      <c r="B15" s="9" t="s">
        <v>96</v>
      </c>
      <c r="C15" s="9" t="s">
        <v>497</v>
      </c>
      <c r="D15" s="10">
        <v>422</v>
      </c>
      <c r="E15" s="10">
        <v>374</v>
      </c>
      <c r="F15" s="10">
        <v>267</v>
      </c>
      <c r="G15" s="9" t="s">
        <v>492</v>
      </c>
      <c r="H15" s="11">
        <v>0.40758293838862558</v>
      </c>
      <c r="I15" s="11">
        <v>2.6066350710900469E-2</v>
      </c>
      <c r="J15" s="9" t="s">
        <v>478</v>
      </c>
      <c r="K15" s="11">
        <v>0.2219251336898396</v>
      </c>
      <c r="L15" s="11">
        <v>9.0909090909090912E-2</v>
      </c>
      <c r="M15" s="9" t="s">
        <v>486</v>
      </c>
      <c r="N15" s="11">
        <v>0.32958801498127338</v>
      </c>
      <c r="O15" s="11">
        <v>0.17602996254681649</v>
      </c>
      <c r="P15" s="12">
        <v>-0.1151436448345239</v>
      </c>
      <c r="Q15" s="9" t="s">
        <v>412</v>
      </c>
      <c r="R15" s="12">
        <v>0.46899999999999997</v>
      </c>
      <c r="S15" s="9" t="s">
        <v>75</v>
      </c>
      <c r="T15" s="12">
        <v>0.104</v>
      </c>
      <c r="U15" s="12">
        <v>0.151</v>
      </c>
      <c r="V15" s="9" t="s">
        <v>73</v>
      </c>
      <c r="W15" s="9" t="s">
        <v>493</v>
      </c>
      <c r="X15" s="9" t="s">
        <v>60</v>
      </c>
      <c r="Y15" s="9" t="s">
        <v>489</v>
      </c>
      <c r="Z15" s="9" t="s">
        <v>490</v>
      </c>
      <c r="AA15" s="9" t="s">
        <v>494</v>
      </c>
      <c r="AB15" s="12">
        <v>0.22251762139885681</v>
      </c>
      <c r="AC15" s="12">
        <v>0.20471139014589712</v>
      </c>
      <c r="AD15" s="12">
        <v>0.2090207950456979</v>
      </c>
      <c r="AE15" s="12">
        <v>0.20670677206077381</v>
      </c>
      <c r="AF15" s="12">
        <v>0.1757552778540071</v>
      </c>
      <c r="AG15" s="9" t="str">
        <f>INDEX('[2]10_Listas'!$A$2:$A$6,MATCH(MAX(AB15:AF15),AB15:AF15,0))</f>
        <v>Protección y orden cotidiano</v>
      </c>
      <c r="AH15" s="9" t="s">
        <v>491</v>
      </c>
      <c r="AI15" s="9"/>
      <c r="AJ15" s="9" t="str">
        <f t="shared" si="0"/>
        <v>Protección y orden cotidiano</v>
      </c>
      <c r="AK15" s="9" t="str">
        <f>IFERROR(INDEX('[2]02_Arquetipos_Miedo_Sesgo'!$C$4:$C$8,MATCH(AJ15,'[2]02_Arquetipos_Miedo_Sesgo'!$A$4:$A$8,0)),"")</f>
        <v>Miedo a la inseguridad, al descontrol barrial y a perder la tranquilidad cotidiana.</v>
      </c>
      <c r="AL15" s="9" t="str">
        <f>IFERROR(INDEX('[2]02_Arquetipos_Miedo_Sesgo'!$D$4:$D$8,MATCH(AJ15,'[2]02_Arquetipos_Miedo_Sesgo'!$A$4:$A$8,0)),"")</f>
        <v>Sesgo de disponibilidad + sesgo de negatividad + preferencia por autoridad.</v>
      </c>
      <c r="AM15" s="9" t="str">
        <f>IFERROR(INDEX('[2]02_Arquetipos_Miedo_Sesgo'!$E$4:$E$8,MATCH(AJ15,'[2]02_Arquetipos_Miedo_Sesgo'!$A$4:$A$8,0)),"")</f>
        <v>Seguridad, convivencia, movilidad, alumbrado, reacción institucional rápida, presencia de autoridad.</v>
      </c>
      <c r="AN15" s="9" t="str">
        <f t="shared" si="1"/>
        <v>Alta</v>
      </c>
      <c r="AO15" s="9" t="s">
        <v>485</v>
      </c>
    </row>
    <row r="16" spans="1:41" ht="28.8">
      <c r="A16" s="9" t="s">
        <v>115</v>
      </c>
      <c r="B16" s="9" t="s">
        <v>96</v>
      </c>
      <c r="C16" s="9" t="s">
        <v>116</v>
      </c>
      <c r="D16" s="10">
        <v>8451</v>
      </c>
      <c r="E16" s="10">
        <v>7490</v>
      </c>
      <c r="F16" s="10">
        <v>5245</v>
      </c>
      <c r="G16" s="9" t="s">
        <v>492</v>
      </c>
      <c r="H16" s="11">
        <v>0.4282333451662525</v>
      </c>
      <c r="I16" s="11">
        <v>8.9338539817773011E-2</v>
      </c>
      <c r="J16" s="9" t="s">
        <v>478</v>
      </c>
      <c r="K16" s="11">
        <v>0.20574098798397861</v>
      </c>
      <c r="L16" s="11">
        <v>6.3684913217623484E-2</v>
      </c>
      <c r="M16" s="9" t="s">
        <v>486</v>
      </c>
      <c r="N16" s="11">
        <v>0.32526215443279322</v>
      </c>
      <c r="O16" s="11">
        <v>9.5900857959961894E-2</v>
      </c>
      <c r="P16" s="12">
        <v>-0.1151436448345239</v>
      </c>
      <c r="Q16" s="9" t="s">
        <v>412</v>
      </c>
      <c r="R16" s="12">
        <v>0.46899999999999997</v>
      </c>
      <c r="S16" s="9" t="s">
        <v>75</v>
      </c>
      <c r="T16" s="12">
        <v>0.104</v>
      </c>
      <c r="U16" s="12">
        <v>0.151</v>
      </c>
      <c r="V16" s="9" t="s">
        <v>73</v>
      </c>
      <c r="W16" s="9" t="s">
        <v>493</v>
      </c>
      <c r="X16" s="9" t="s">
        <v>60</v>
      </c>
      <c r="Y16" s="9" t="s">
        <v>489</v>
      </c>
      <c r="Z16" s="9" t="s">
        <v>490</v>
      </c>
      <c r="AA16" s="9" t="s">
        <v>494</v>
      </c>
      <c r="AB16" s="12">
        <v>0.21867083728908149</v>
      </c>
      <c r="AC16" s="12">
        <v>0.21013134766061076</v>
      </c>
      <c r="AD16" s="12">
        <v>0.21002812508501376</v>
      </c>
      <c r="AE16" s="12">
        <v>0.19610972424433429</v>
      </c>
      <c r="AF16" s="12">
        <v>0.18964316079335769</v>
      </c>
      <c r="AG16" s="9" t="str">
        <f>INDEX('[2]10_Listas'!$A$2:$A$6,MATCH(MAX(AB16:AF16),AB16:AF16,0))</f>
        <v>Protección y orden cotidiano</v>
      </c>
      <c r="AH16" s="9" t="s">
        <v>491</v>
      </c>
      <c r="AI16" s="9"/>
      <c r="AJ16" s="9" t="str">
        <f t="shared" si="0"/>
        <v>Protección y orden cotidiano</v>
      </c>
      <c r="AK16" s="9" t="str">
        <f>IFERROR(INDEX('[2]02_Arquetipos_Miedo_Sesgo'!$C$4:$C$8,MATCH(AJ16,'[2]02_Arquetipos_Miedo_Sesgo'!$A$4:$A$8,0)),"")</f>
        <v>Miedo a la inseguridad, al descontrol barrial y a perder la tranquilidad cotidiana.</v>
      </c>
      <c r="AL16" s="9" t="str">
        <f>IFERROR(INDEX('[2]02_Arquetipos_Miedo_Sesgo'!$D$4:$D$8,MATCH(AJ16,'[2]02_Arquetipos_Miedo_Sesgo'!$A$4:$A$8,0)),"")</f>
        <v>Sesgo de disponibilidad + sesgo de negatividad + preferencia por autoridad.</v>
      </c>
      <c r="AM16" s="9" t="str">
        <f>IFERROR(INDEX('[2]02_Arquetipos_Miedo_Sesgo'!$E$4:$E$8,MATCH(AJ16,'[2]02_Arquetipos_Miedo_Sesgo'!$A$4:$A$8,0)),"")</f>
        <v>Seguridad, convivencia, movilidad, alumbrado, reacción institucional rápida, presencia de autoridad.</v>
      </c>
      <c r="AN16" s="9" t="str">
        <f t="shared" si="1"/>
        <v>Alta</v>
      </c>
      <c r="AO16" s="9" t="s">
        <v>485</v>
      </c>
    </row>
    <row r="17" spans="1:41" ht="28.8">
      <c r="A17" s="9" t="s">
        <v>111</v>
      </c>
      <c r="B17" s="9" t="s">
        <v>96</v>
      </c>
      <c r="C17" s="9" t="s">
        <v>112</v>
      </c>
      <c r="D17" s="10">
        <v>1344</v>
      </c>
      <c r="E17" s="10">
        <v>1100</v>
      </c>
      <c r="F17" s="10">
        <v>848</v>
      </c>
      <c r="G17" s="9" t="s">
        <v>477</v>
      </c>
      <c r="H17" s="11">
        <v>0.5178571428571429</v>
      </c>
      <c r="I17" s="11">
        <v>0.26339285714285721</v>
      </c>
      <c r="J17" s="9" t="s">
        <v>498</v>
      </c>
      <c r="K17" s="11">
        <v>0.18909090909090909</v>
      </c>
      <c r="L17" s="11">
        <v>9.0909090909090939E-3</v>
      </c>
      <c r="M17" s="9" t="s">
        <v>479</v>
      </c>
      <c r="N17" s="11">
        <v>0.37382075471698112</v>
      </c>
      <c r="O17" s="11">
        <v>0.11792452830188679</v>
      </c>
      <c r="P17" s="12">
        <v>-0.13394069063305511</v>
      </c>
      <c r="Q17" s="9" t="s">
        <v>412</v>
      </c>
      <c r="R17" s="12">
        <v>8.0000000000000002E-3</v>
      </c>
      <c r="S17" s="9" t="s">
        <v>412</v>
      </c>
      <c r="T17" s="12">
        <v>7.6999999999999999E-2</v>
      </c>
      <c r="U17" s="12">
        <v>4.1000000000000002E-2</v>
      </c>
      <c r="V17" s="9" t="s">
        <v>412</v>
      </c>
      <c r="W17" s="9" t="s">
        <v>493</v>
      </c>
      <c r="X17" s="9" t="s">
        <v>60</v>
      </c>
      <c r="Y17" s="9" t="s">
        <v>489</v>
      </c>
      <c r="Z17" s="9" t="s">
        <v>490</v>
      </c>
      <c r="AA17" s="9" t="s">
        <v>483</v>
      </c>
      <c r="AB17" s="12">
        <v>0.17139483131644481</v>
      </c>
      <c r="AC17" s="12">
        <v>0.20703763949195869</v>
      </c>
      <c r="AD17" s="12">
        <v>0.21205989468250599</v>
      </c>
      <c r="AE17" s="12">
        <v>0.21790309347814071</v>
      </c>
      <c r="AF17" s="12">
        <v>0.19516412373906281</v>
      </c>
      <c r="AG17" s="9" t="str">
        <f>INDEX('[2]10_Listas'!$A$2:$A$6,MATCH(MAX(AB17:AF17),AB17:AF17,0))</f>
        <v>Desconfianza y castigo</v>
      </c>
      <c r="AH17" s="9" t="s">
        <v>488</v>
      </c>
      <c r="AI17" s="9"/>
      <c r="AJ17" s="9" t="str">
        <f t="shared" si="0"/>
        <v>Desconfianza y castigo</v>
      </c>
      <c r="AK17" s="9" t="str">
        <f>IFERROR(INDEX('[2]02_Arquetipos_Miedo_Sesgo'!$C$4:$C$8,MATCH(AJ17,'[2]02_Arquetipos_Miedo_Sesgo'!$A$4:$A$8,0)),"")</f>
        <v>Miedo a ser engañado, robado, manipulado o usado electoralmente.</v>
      </c>
      <c r="AL17" s="9" t="str">
        <f>IFERROR(INDEX('[2]02_Arquetipos_Miedo_Sesgo'!$D$4:$D$8,MATCH(AJ17,'[2]02_Arquetipos_Miedo_Sesgo'!$A$4:$A$8,0)),"")</f>
        <v>Sesgo de confirmación + cinismo político + efecto de indignación moral.</v>
      </c>
      <c r="AM17" s="9" t="str">
        <f>IFERROR(INDEX('[2]02_Arquetipos_Miedo_Sesgo'!$E$4:$E$8,MATCH(AJ17,'[2]02_Arquetipos_Miedo_Sesgo'!$A$4:$A$8,0)),"")</f>
        <v>Transparencia, control político, lucha anticorrupción, vigilancia ciudadana, ejecución presupuestal y sanción a abusos.</v>
      </c>
      <c r="AN17" s="9" t="str">
        <f t="shared" si="1"/>
        <v>Alta</v>
      </c>
      <c r="AO17" s="9" t="s">
        <v>485</v>
      </c>
    </row>
    <row r="18" spans="1:41" ht="28.8">
      <c r="A18" s="9" t="s">
        <v>119</v>
      </c>
      <c r="B18" s="9" t="s">
        <v>96</v>
      </c>
      <c r="C18" s="9" t="s">
        <v>120</v>
      </c>
      <c r="D18" s="10">
        <v>6535</v>
      </c>
      <c r="E18" s="10">
        <v>5568</v>
      </c>
      <c r="F18" s="10">
        <v>4247</v>
      </c>
      <c r="G18" s="9" t="s">
        <v>492</v>
      </c>
      <c r="H18" s="11">
        <v>0.38041315990818669</v>
      </c>
      <c r="I18" s="11">
        <v>9.1813312930377755E-4</v>
      </c>
      <c r="J18" s="9" t="s">
        <v>478</v>
      </c>
      <c r="K18" s="11">
        <v>0.20096982758620691</v>
      </c>
      <c r="L18" s="11">
        <v>6.1422413793103453E-2</v>
      </c>
      <c r="M18" s="9" t="s">
        <v>486</v>
      </c>
      <c r="N18" s="11">
        <v>0.27925594537320458</v>
      </c>
      <c r="O18" s="11">
        <v>8.6413939251236194E-2</v>
      </c>
      <c r="P18" s="12">
        <v>-0.1151436448345239</v>
      </c>
      <c r="Q18" s="9" t="s">
        <v>412</v>
      </c>
      <c r="R18" s="12">
        <v>0.46899999999999997</v>
      </c>
      <c r="S18" s="9" t="s">
        <v>75</v>
      </c>
      <c r="T18" s="12">
        <v>0.104</v>
      </c>
      <c r="U18" s="12">
        <v>0.151</v>
      </c>
      <c r="V18" s="9" t="s">
        <v>73</v>
      </c>
      <c r="W18" s="9" t="s">
        <v>493</v>
      </c>
      <c r="X18" s="9" t="s">
        <v>60</v>
      </c>
      <c r="Y18" s="9" t="s">
        <v>489</v>
      </c>
      <c r="Z18" s="9" t="s">
        <v>490</v>
      </c>
      <c r="AA18" s="9" t="s">
        <v>494</v>
      </c>
      <c r="AB18" s="12">
        <v>0.21232680978181101</v>
      </c>
      <c r="AC18" s="12">
        <v>0.21227812019028786</v>
      </c>
      <c r="AD18" s="12">
        <v>0.21689460313101244</v>
      </c>
      <c r="AE18" s="12">
        <v>0.20112698518880009</v>
      </c>
      <c r="AF18" s="12">
        <v>0.17559137649868581</v>
      </c>
      <c r="AG18" s="9" t="str">
        <f>INDEX('[2]10_Listas'!$A$2:$A$6,MATCH(MAX(AB18:AF18),AB18:AF18,0))</f>
        <v>Supervivencia económica y servicios básicos</v>
      </c>
      <c r="AH18" s="9" t="s">
        <v>491</v>
      </c>
      <c r="AI18" s="9"/>
      <c r="AJ18" s="9" t="str">
        <f t="shared" si="0"/>
        <v>Supervivencia económica y servicios básicos</v>
      </c>
      <c r="AK18" s="9" t="str">
        <f>IFERROR(INDEX('[2]02_Arquetipos_Miedo_Sesgo'!$C$4:$C$8,MATCH(AJ18,'[2]02_Arquetipos_Miedo_Sesgo'!$A$4:$A$8,0)),"")</f>
        <v>Miedo a no llegar a fin de mes, perder ingresos, empleo, movilidad o acceso a servicios básicos.</v>
      </c>
      <c r="AL18" s="9" t="str">
        <f>IFERROR(INDEX('[2]02_Arquetipos_Miedo_Sesgo'!$D$4:$D$8,MATCH(AJ18,'[2]02_Arquetipos_Miedo_Sesgo'!$A$4:$A$8,0)),"")</f>
        <v>Sesgo de escasez + presente dominante + aversión al riesgo económico.</v>
      </c>
      <c r="AM18" s="9" t="str">
        <f>IFERROR(INDEX('[2]02_Arquetipos_Miedo_Sesgo'!$E$4:$E$8,MATCH(AJ18,'[2]02_Arquetipos_Miedo_Sesgo'!$A$4:$A$8,0)),"")</f>
        <v>Empleo, emprendimiento, economía popular, transporte, costo de vida, salud, educación técnica y subsidios focalizados.</v>
      </c>
      <c r="AN18" s="9" t="str">
        <f t="shared" si="1"/>
        <v>Alta</v>
      </c>
      <c r="AO18" s="9" t="s">
        <v>485</v>
      </c>
    </row>
    <row r="19" spans="1:41" ht="28.8">
      <c r="A19" s="9" t="s">
        <v>123</v>
      </c>
      <c r="B19" s="9" t="s">
        <v>96</v>
      </c>
      <c r="C19" s="9" t="s">
        <v>124</v>
      </c>
      <c r="D19" s="10">
        <v>5743</v>
      </c>
      <c r="E19" s="10">
        <v>5018</v>
      </c>
      <c r="F19" s="10">
        <v>3501</v>
      </c>
      <c r="G19" s="9" t="s">
        <v>492</v>
      </c>
      <c r="H19" s="11">
        <v>0.44802368100296008</v>
      </c>
      <c r="I19" s="11">
        <v>9.8728887341110905E-2</v>
      </c>
      <c r="J19" s="9" t="s">
        <v>478</v>
      </c>
      <c r="K19" s="11">
        <v>0.21383021123953769</v>
      </c>
      <c r="L19" s="11">
        <v>8.549222797927461E-2</v>
      </c>
      <c r="M19" s="9" t="s">
        <v>486</v>
      </c>
      <c r="N19" s="11">
        <v>0.35475578406169672</v>
      </c>
      <c r="O19" s="11">
        <v>0.13767495001428159</v>
      </c>
      <c r="P19" s="12">
        <v>-0.1151436448345239</v>
      </c>
      <c r="Q19" s="9" t="s">
        <v>412</v>
      </c>
      <c r="R19" s="12">
        <v>0.46899999999999997</v>
      </c>
      <c r="S19" s="9" t="s">
        <v>75</v>
      </c>
      <c r="T19" s="12">
        <v>0.104</v>
      </c>
      <c r="U19" s="12">
        <v>0.151</v>
      </c>
      <c r="V19" s="9" t="s">
        <v>73</v>
      </c>
      <c r="W19" s="9" t="s">
        <v>493</v>
      </c>
      <c r="X19" s="9" t="s">
        <v>60</v>
      </c>
      <c r="Y19" s="9" t="s">
        <v>489</v>
      </c>
      <c r="Z19" s="9" t="s">
        <v>490</v>
      </c>
      <c r="AA19" s="9" t="s">
        <v>494</v>
      </c>
      <c r="AB19" s="12">
        <v>0.22330536099788931</v>
      </c>
      <c r="AC19" s="12">
        <v>0.20283716641033361</v>
      </c>
      <c r="AD19" s="12">
        <v>0.20449899279561753</v>
      </c>
      <c r="AE19" s="12">
        <v>0.1944704618456482</v>
      </c>
      <c r="AF19" s="12">
        <v>0.19586974849485941</v>
      </c>
      <c r="AG19" s="9" t="str">
        <f>INDEX('[2]10_Listas'!$A$2:$A$6,MATCH(MAX(AB19:AF19),AB19:AF19,0))</f>
        <v>Protección y orden cotidiano</v>
      </c>
      <c r="AH19" s="9" t="s">
        <v>495</v>
      </c>
      <c r="AI19" s="9"/>
      <c r="AJ19" s="9" t="str">
        <f t="shared" si="0"/>
        <v>Protección y orden cotidiano</v>
      </c>
      <c r="AK19" s="9" t="str">
        <f>IFERROR(INDEX('[2]02_Arquetipos_Miedo_Sesgo'!$C$4:$C$8,MATCH(AJ19,'[2]02_Arquetipos_Miedo_Sesgo'!$A$4:$A$8,0)),"")</f>
        <v>Miedo a la inseguridad, al descontrol barrial y a perder la tranquilidad cotidiana.</v>
      </c>
      <c r="AL19" s="9" t="str">
        <f>IFERROR(INDEX('[2]02_Arquetipos_Miedo_Sesgo'!$D$4:$D$8,MATCH(AJ19,'[2]02_Arquetipos_Miedo_Sesgo'!$A$4:$A$8,0)),"")</f>
        <v>Sesgo de disponibilidad + sesgo de negatividad + preferencia por autoridad.</v>
      </c>
      <c r="AM19" s="9" t="str">
        <f>IFERROR(INDEX('[2]02_Arquetipos_Miedo_Sesgo'!$E$4:$E$8,MATCH(AJ19,'[2]02_Arquetipos_Miedo_Sesgo'!$A$4:$A$8,0)),"")</f>
        <v>Seguridad, convivencia, movilidad, alumbrado, reacción institucional rápida, presencia de autoridad.</v>
      </c>
      <c r="AN19" s="9" t="str">
        <f t="shared" si="1"/>
        <v>Alta</v>
      </c>
      <c r="AO19" s="9" t="s">
        <v>485</v>
      </c>
    </row>
    <row r="20" spans="1:41" ht="28.8">
      <c r="A20" s="9" t="s">
        <v>109</v>
      </c>
      <c r="B20" s="9" t="s">
        <v>96</v>
      </c>
      <c r="C20" s="9" t="s">
        <v>110</v>
      </c>
      <c r="D20" s="10">
        <v>8925</v>
      </c>
      <c r="E20" s="10">
        <v>7819</v>
      </c>
      <c r="F20" s="10">
        <v>5811</v>
      </c>
      <c r="G20" s="9" t="s">
        <v>492</v>
      </c>
      <c r="H20" s="11">
        <v>0.40291316526610638</v>
      </c>
      <c r="I20" s="11">
        <v>2.9915966386554641E-2</v>
      </c>
      <c r="J20" s="9" t="s">
        <v>478</v>
      </c>
      <c r="K20" s="11">
        <v>0.18263205013428829</v>
      </c>
      <c r="L20" s="11">
        <v>4.3355927868013823E-2</v>
      </c>
      <c r="M20" s="9" t="s">
        <v>486</v>
      </c>
      <c r="N20" s="11">
        <v>0.28153501979005341</v>
      </c>
      <c r="O20" s="11">
        <v>8.4839098261917073E-2</v>
      </c>
      <c r="P20" s="12">
        <v>-0.1151436448345239</v>
      </c>
      <c r="Q20" s="9" t="s">
        <v>412</v>
      </c>
      <c r="R20" s="12">
        <v>0.46899999999999997</v>
      </c>
      <c r="S20" s="9" t="s">
        <v>75</v>
      </c>
      <c r="T20" s="12">
        <v>0.104</v>
      </c>
      <c r="U20" s="12">
        <v>0.151</v>
      </c>
      <c r="V20" s="9" t="s">
        <v>73</v>
      </c>
      <c r="W20" s="9" t="s">
        <v>493</v>
      </c>
      <c r="X20" s="9" t="s">
        <v>60</v>
      </c>
      <c r="Y20" s="9" t="s">
        <v>489</v>
      </c>
      <c r="Z20" s="9" t="s">
        <v>490</v>
      </c>
      <c r="AA20" s="9" t="s">
        <v>494</v>
      </c>
      <c r="AB20" s="12">
        <v>0.22721323189443871</v>
      </c>
      <c r="AC20" s="12">
        <v>0.2092317773204781</v>
      </c>
      <c r="AD20" s="12">
        <v>0.21152895237174671</v>
      </c>
      <c r="AE20" s="12">
        <v>0.2032223673758741</v>
      </c>
      <c r="AF20" s="12">
        <v>0.17102236662247941</v>
      </c>
      <c r="AG20" s="9" t="str">
        <f>INDEX('[2]10_Listas'!$A$2:$A$6,MATCH(MAX(AB20:AF20),AB20:AF20,0))</f>
        <v>Protección y orden cotidiano</v>
      </c>
      <c r="AH20" s="9" t="s">
        <v>491</v>
      </c>
      <c r="AI20" s="9"/>
      <c r="AJ20" s="9" t="str">
        <f t="shared" si="0"/>
        <v>Protección y orden cotidiano</v>
      </c>
      <c r="AK20" s="9" t="str">
        <f>IFERROR(INDEX('[2]02_Arquetipos_Miedo_Sesgo'!$C$4:$C$8,MATCH(AJ20,'[2]02_Arquetipos_Miedo_Sesgo'!$A$4:$A$8,0)),"")</f>
        <v>Miedo a la inseguridad, al descontrol barrial y a perder la tranquilidad cotidiana.</v>
      </c>
      <c r="AL20" s="9" t="str">
        <f>IFERROR(INDEX('[2]02_Arquetipos_Miedo_Sesgo'!$D$4:$D$8,MATCH(AJ20,'[2]02_Arquetipos_Miedo_Sesgo'!$A$4:$A$8,0)),"")</f>
        <v>Sesgo de disponibilidad + sesgo de negatividad + preferencia por autoridad.</v>
      </c>
      <c r="AM20" s="9" t="str">
        <f>IFERROR(INDEX('[2]02_Arquetipos_Miedo_Sesgo'!$E$4:$E$8,MATCH(AJ20,'[2]02_Arquetipos_Miedo_Sesgo'!$A$4:$A$8,0)),"")</f>
        <v>Seguridad, convivencia, movilidad, alumbrado, reacción institucional rápida, presencia de autoridad.</v>
      </c>
      <c r="AN20" s="9" t="str">
        <f t="shared" si="1"/>
        <v>Alta</v>
      </c>
      <c r="AO20" s="9" t="s">
        <v>485</v>
      </c>
    </row>
    <row r="21" spans="1:41" ht="28.8">
      <c r="A21" s="9" t="s">
        <v>121</v>
      </c>
      <c r="B21" s="9" t="s">
        <v>96</v>
      </c>
      <c r="C21" s="9" t="s">
        <v>122</v>
      </c>
      <c r="D21" s="10">
        <v>12441</v>
      </c>
      <c r="E21" s="10">
        <v>10735</v>
      </c>
      <c r="F21" s="10">
        <v>7251</v>
      </c>
      <c r="G21" s="9" t="s">
        <v>477</v>
      </c>
      <c r="H21" s="11">
        <v>0.44393537496985769</v>
      </c>
      <c r="I21" s="11">
        <v>0.111566594325215</v>
      </c>
      <c r="J21" s="9" t="s">
        <v>478</v>
      </c>
      <c r="K21" s="11">
        <v>0.19757801583605031</v>
      </c>
      <c r="L21" s="11">
        <v>5.2631578947368418E-2</v>
      </c>
      <c r="M21" s="9" t="s">
        <v>486</v>
      </c>
      <c r="N21" s="11">
        <v>0.32133498827747897</v>
      </c>
      <c r="O21" s="11">
        <v>0.10053785684733139</v>
      </c>
      <c r="P21" s="12">
        <v>7.7392729533794419E-2</v>
      </c>
      <c r="Q21" s="9" t="s">
        <v>412</v>
      </c>
      <c r="R21" s="12">
        <v>-0.45700000000000002</v>
      </c>
      <c r="S21" s="9" t="s">
        <v>75</v>
      </c>
      <c r="T21" s="12">
        <v>0.104</v>
      </c>
      <c r="U21" s="12">
        <v>6.0464243177931483E-2</v>
      </c>
      <c r="V21" s="9" t="s">
        <v>412</v>
      </c>
      <c r="W21" s="9" t="s">
        <v>487</v>
      </c>
      <c r="X21" s="9" t="s">
        <v>60</v>
      </c>
      <c r="Y21" s="9" t="s">
        <v>489</v>
      </c>
      <c r="Z21" s="9" t="s">
        <v>490</v>
      </c>
      <c r="AA21" s="9" t="s">
        <v>483</v>
      </c>
      <c r="AB21" s="12">
        <v>0.19202766731933829</v>
      </c>
      <c r="AC21" s="12">
        <v>0.20753456076619536</v>
      </c>
      <c r="AD21" s="12">
        <v>0.21199751264611169</v>
      </c>
      <c r="AE21" s="12">
        <v>0.22181155062540039</v>
      </c>
      <c r="AF21" s="12">
        <v>0.1797522311109008</v>
      </c>
      <c r="AG21" s="9" t="str">
        <f>INDEX('[2]10_Listas'!$A$2:$A$6,MATCH(MAX(AB21:AF21),AB21:AF21,0))</f>
        <v>Desconfianza y castigo</v>
      </c>
      <c r="AH21" s="9" t="s">
        <v>488</v>
      </c>
      <c r="AI21" s="9"/>
      <c r="AJ21" s="9" t="str">
        <f t="shared" si="0"/>
        <v>Desconfianza y castigo</v>
      </c>
      <c r="AK21" s="9" t="str">
        <f>IFERROR(INDEX('[2]02_Arquetipos_Miedo_Sesgo'!$C$4:$C$8,MATCH(AJ21,'[2]02_Arquetipos_Miedo_Sesgo'!$A$4:$A$8,0)),"")</f>
        <v>Miedo a ser engañado, robado, manipulado o usado electoralmente.</v>
      </c>
      <c r="AL21" s="9" t="str">
        <f>IFERROR(INDEX('[2]02_Arquetipos_Miedo_Sesgo'!$D$4:$D$8,MATCH(AJ21,'[2]02_Arquetipos_Miedo_Sesgo'!$A$4:$A$8,0)),"")</f>
        <v>Sesgo de confirmación + cinismo político + efecto de indignación moral.</v>
      </c>
      <c r="AM21" s="9" t="str">
        <f>IFERROR(INDEX('[2]02_Arquetipos_Miedo_Sesgo'!$E$4:$E$8,MATCH(AJ21,'[2]02_Arquetipos_Miedo_Sesgo'!$A$4:$A$8,0)),"")</f>
        <v>Transparencia, control político, lucha anticorrupción, vigilancia ciudadana, ejecución presupuestal y sanción a abusos.</v>
      </c>
      <c r="AN21" s="9" t="str">
        <f t="shared" si="1"/>
        <v>Alta</v>
      </c>
      <c r="AO21" s="9" t="s">
        <v>485</v>
      </c>
    </row>
    <row r="22" spans="1:41" ht="28.8">
      <c r="A22" s="9" t="s">
        <v>104</v>
      </c>
      <c r="B22" s="9" t="s">
        <v>96</v>
      </c>
      <c r="C22" s="9" t="s">
        <v>105</v>
      </c>
      <c r="D22" s="10">
        <v>1157</v>
      </c>
      <c r="E22" s="10">
        <v>976</v>
      </c>
      <c r="F22" s="10">
        <v>670</v>
      </c>
      <c r="G22" s="9" t="s">
        <v>477</v>
      </c>
      <c r="H22" s="11">
        <v>0.43042350907519439</v>
      </c>
      <c r="I22" s="11">
        <v>8.0380293863439922E-2</v>
      </c>
      <c r="J22" s="9" t="s">
        <v>478</v>
      </c>
      <c r="K22" s="11">
        <v>0.2448770491803279</v>
      </c>
      <c r="L22" s="11">
        <v>9.4262295081967235E-2</v>
      </c>
      <c r="M22" s="9" t="s">
        <v>486</v>
      </c>
      <c r="N22" s="11">
        <v>0.34626865671641788</v>
      </c>
      <c r="O22" s="11">
        <v>0.1283582089552239</v>
      </c>
      <c r="P22" s="12">
        <v>7.7392729533794419E-2</v>
      </c>
      <c r="Q22" s="9" t="s">
        <v>412</v>
      </c>
      <c r="R22" s="12">
        <v>-0.45700000000000002</v>
      </c>
      <c r="S22" s="9" t="s">
        <v>75</v>
      </c>
      <c r="T22" s="12">
        <v>0.104</v>
      </c>
      <c r="U22" s="12">
        <v>6.0464243177931483E-2</v>
      </c>
      <c r="V22" s="9" t="s">
        <v>412</v>
      </c>
      <c r="W22" s="9" t="s">
        <v>487</v>
      </c>
      <c r="X22" s="9" t="s">
        <v>60</v>
      </c>
      <c r="Y22" s="9" t="s">
        <v>489</v>
      </c>
      <c r="Z22" s="9" t="s">
        <v>490</v>
      </c>
      <c r="AA22" s="9" t="s">
        <v>483</v>
      </c>
      <c r="AB22" s="12">
        <v>0.1986041846879249</v>
      </c>
      <c r="AC22" s="12">
        <v>0.19816192504769661</v>
      </c>
      <c r="AD22" s="12">
        <v>0.20884418345066483</v>
      </c>
      <c r="AE22" s="12">
        <v>0.20060626867786799</v>
      </c>
      <c r="AF22" s="12">
        <v>0.1975099865212038</v>
      </c>
      <c r="AG22" s="9" t="str">
        <f>INDEX('[2]10_Listas'!$A$2:$A$6,MATCH(MAX(AB22:AF22),AB22:AF22,0))</f>
        <v>Supervivencia económica y servicios básicos</v>
      </c>
      <c r="AH22" s="9" t="s">
        <v>491</v>
      </c>
      <c r="AI22" s="9"/>
      <c r="AJ22" s="9" t="str">
        <f t="shared" si="0"/>
        <v>Supervivencia económica y servicios básicos</v>
      </c>
      <c r="AK22" s="9" t="str">
        <f>IFERROR(INDEX('[2]02_Arquetipos_Miedo_Sesgo'!$C$4:$C$8,MATCH(AJ22,'[2]02_Arquetipos_Miedo_Sesgo'!$A$4:$A$8,0)),"")</f>
        <v>Miedo a no llegar a fin de mes, perder ingresos, empleo, movilidad o acceso a servicios básicos.</v>
      </c>
      <c r="AL22" s="9" t="str">
        <f>IFERROR(INDEX('[2]02_Arquetipos_Miedo_Sesgo'!$D$4:$D$8,MATCH(AJ22,'[2]02_Arquetipos_Miedo_Sesgo'!$A$4:$A$8,0)),"")</f>
        <v>Sesgo de escasez + presente dominante + aversión al riesgo económico.</v>
      </c>
      <c r="AM22" s="9" t="str">
        <f>IFERROR(INDEX('[2]02_Arquetipos_Miedo_Sesgo'!$E$4:$E$8,MATCH(AJ22,'[2]02_Arquetipos_Miedo_Sesgo'!$A$4:$A$8,0)),"")</f>
        <v>Empleo, emprendimiento, economía popular, transporte, costo de vida, salud, educación técnica y subsidios focalizados.</v>
      </c>
      <c r="AN22" s="9" t="str">
        <f t="shared" si="1"/>
        <v>Alta</v>
      </c>
      <c r="AO22" s="9" t="s">
        <v>485</v>
      </c>
    </row>
    <row r="23" spans="1:41" ht="28.8">
      <c r="A23" s="9" t="s">
        <v>107</v>
      </c>
      <c r="B23" s="9" t="s">
        <v>96</v>
      </c>
      <c r="C23" s="9" t="s">
        <v>108</v>
      </c>
      <c r="D23" s="10">
        <v>4583</v>
      </c>
      <c r="E23" s="10">
        <v>3874</v>
      </c>
      <c r="F23" s="10">
        <v>2759</v>
      </c>
      <c r="G23" s="9" t="s">
        <v>477</v>
      </c>
      <c r="H23" s="11">
        <v>0.41413921012437271</v>
      </c>
      <c r="I23" s="11">
        <v>9.1643028583897002E-2</v>
      </c>
      <c r="J23" s="9" t="s">
        <v>499</v>
      </c>
      <c r="K23" s="11">
        <v>0.19334021683014971</v>
      </c>
      <c r="L23" s="11">
        <v>1.316468766133194E-2</v>
      </c>
      <c r="M23" s="9" t="s">
        <v>486</v>
      </c>
      <c r="N23" s="11">
        <v>0.27727437477346872</v>
      </c>
      <c r="O23" s="11">
        <v>7.0677781805001838E-2</v>
      </c>
      <c r="P23" s="12">
        <v>-0.28034370684903998</v>
      </c>
      <c r="Q23" s="9" t="s">
        <v>412</v>
      </c>
      <c r="R23" s="12">
        <v>-0.45700000000000002</v>
      </c>
      <c r="S23" s="9" t="s">
        <v>75</v>
      </c>
      <c r="T23" s="12">
        <v>0.28000000000000003</v>
      </c>
      <c r="U23" s="12">
        <v>9.3333333333333338E-2</v>
      </c>
      <c r="V23" s="9" t="s">
        <v>412</v>
      </c>
      <c r="W23" s="9" t="s">
        <v>500</v>
      </c>
      <c r="X23" s="9" t="s">
        <v>60</v>
      </c>
      <c r="Y23" s="9" t="s">
        <v>489</v>
      </c>
      <c r="Z23" s="9" t="s">
        <v>490</v>
      </c>
      <c r="AA23" s="9" t="s">
        <v>483</v>
      </c>
      <c r="AB23" s="12">
        <v>0.2017755364812541</v>
      </c>
      <c r="AC23" s="12">
        <v>0.21421557716752604</v>
      </c>
      <c r="AD23" s="12">
        <v>0.2177691326490109</v>
      </c>
      <c r="AE23" s="12">
        <v>0.20581674345995291</v>
      </c>
      <c r="AF23" s="12">
        <v>0.17652858451694839</v>
      </c>
      <c r="AG23" s="9" t="str">
        <f>INDEX('[2]10_Listas'!$A$2:$A$6,MATCH(MAX(AB23:AF23),AB23:AF23,0))</f>
        <v>Supervivencia económica y servicios básicos</v>
      </c>
      <c r="AH23" s="9" t="s">
        <v>491</v>
      </c>
      <c r="AI23" s="9"/>
      <c r="AJ23" s="9" t="str">
        <f t="shared" si="0"/>
        <v>Supervivencia económica y servicios básicos</v>
      </c>
      <c r="AK23" s="9" t="str">
        <f>IFERROR(INDEX('[2]02_Arquetipos_Miedo_Sesgo'!$C$4:$C$8,MATCH(AJ23,'[2]02_Arquetipos_Miedo_Sesgo'!$A$4:$A$8,0)),"")</f>
        <v>Miedo a no llegar a fin de mes, perder ingresos, empleo, movilidad o acceso a servicios básicos.</v>
      </c>
      <c r="AL23" s="9" t="str">
        <f>IFERROR(INDEX('[2]02_Arquetipos_Miedo_Sesgo'!$D$4:$D$8,MATCH(AJ23,'[2]02_Arquetipos_Miedo_Sesgo'!$A$4:$A$8,0)),"")</f>
        <v>Sesgo de escasez + presente dominante + aversión al riesgo económico.</v>
      </c>
      <c r="AM23" s="9" t="str">
        <f>IFERROR(INDEX('[2]02_Arquetipos_Miedo_Sesgo'!$E$4:$E$8,MATCH(AJ23,'[2]02_Arquetipos_Miedo_Sesgo'!$A$4:$A$8,0)),"")</f>
        <v>Empleo, emprendimiento, economía popular, transporte, costo de vida, salud, educación técnica y subsidios focalizados.</v>
      </c>
      <c r="AN23" s="9" t="str">
        <f t="shared" si="1"/>
        <v>Alta</v>
      </c>
      <c r="AO23" s="9" t="s">
        <v>485</v>
      </c>
    </row>
    <row r="24" spans="1:41" ht="28.8">
      <c r="A24" s="9" t="s">
        <v>140</v>
      </c>
      <c r="B24" s="9" t="s">
        <v>128</v>
      </c>
      <c r="C24" s="9" t="s">
        <v>141</v>
      </c>
      <c r="D24" s="10">
        <v>2897</v>
      </c>
      <c r="E24" s="10">
        <v>2414</v>
      </c>
      <c r="F24" s="10">
        <v>1758</v>
      </c>
      <c r="G24" s="9" t="s">
        <v>477</v>
      </c>
      <c r="H24" s="11">
        <v>0.49879185364169831</v>
      </c>
      <c r="I24" s="11">
        <v>0.20365895754228511</v>
      </c>
      <c r="J24" s="9" t="s">
        <v>478</v>
      </c>
      <c r="K24" s="11">
        <v>0.20298260149130071</v>
      </c>
      <c r="L24" s="11">
        <v>9.9420049710024841E-2</v>
      </c>
      <c r="M24" s="9" t="s">
        <v>486</v>
      </c>
      <c r="N24" s="11">
        <v>0.26393629124004547</v>
      </c>
      <c r="O24" s="11">
        <v>6.5984072810011396E-2</v>
      </c>
      <c r="P24" s="12">
        <v>7.7392729533794419E-2</v>
      </c>
      <c r="Q24" s="9" t="s">
        <v>412</v>
      </c>
      <c r="R24" s="12">
        <v>-0.45700000000000002</v>
      </c>
      <c r="S24" s="9" t="s">
        <v>75</v>
      </c>
      <c r="T24" s="12">
        <v>0.104</v>
      </c>
      <c r="U24" s="12">
        <v>6.0464243177931483E-2</v>
      </c>
      <c r="V24" s="9" t="s">
        <v>412</v>
      </c>
      <c r="W24" s="9" t="s">
        <v>487</v>
      </c>
      <c r="X24" s="9" t="s">
        <v>60</v>
      </c>
      <c r="Y24" s="9" t="s">
        <v>501</v>
      </c>
      <c r="Z24" s="9" t="s">
        <v>502</v>
      </c>
      <c r="AA24" s="9" t="s">
        <v>483</v>
      </c>
      <c r="AB24" s="12">
        <v>0.18734592644241629</v>
      </c>
      <c r="AC24" s="12">
        <v>0.20910938058089204</v>
      </c>
      <c r="AD24" s="12">
        <v>0.21157162675836425</v>
      </c>
      <c r="AE24" s="12">
        <v>0.2319409266230277</v>
      </c>
      <c r="AF24" s="12">
        <v>0.17095473216275919</v>
      </c>
      <c r="AG24" s="9" t="str">
        <f>INDEX('[2]10_Listas'!$A$2:$A$6,MATCH(MAX(AB24:AF24),AB24:AF24,0))</f>
        <v>Desconfianza y castigo</v>
      </c>
      <c r="AH24" s="9" t="s">
        <v>488</v>
      </c>
      <c r="AI24" s="9"/>
      <c r="AJ24" s="9" t="str">
        <f t="shared" si="0"/>
        <v>Desconfianza y castigo</v>
      </c>
      <c r="AK24" s="9" t="str">
        <f>IFERROR(INDEX('[2]02_Arquetipos_Miedo_Sesgo'!$C$4:$C$8,MATCH(AJ24,'[2]02_Arquetipos_Miedo_Sesgo'!$A$4:$A$8,0)),"")</f>
        <v>Miedo a ser engañado, robado, manipulado o usado electoralmente.</v>
      </c>
      <c r="AL24" s="9" t="str">
        <f>IFERROR(INDEX('[2]02_Arquetipos_Miedo_Sesgo'!$D$4:$D$8,MATCH(AJ24,'[2]02_Arquetipos_Miedo_Sesgo'!$A$4:$A$8,0)),"")</f>
        <v>Sesgo de confirmación + cinismo político + efecto de indignación moral.</v>
      </c>
      <c r="AM24" s="9" t="str">
        <f>IFERROR(INDEX('[2]02_Arquetipos_Miedo_Sesgo'!$E$4:$E$8,MATCH(AJ24,'[2]02_Arquetipos_Miedo_Sesgo'!$A$4:$A$8,0)),"")</f>
        <v>Transparencia, control político, lucha anticorrupción, vigilancia ciudadana, ejecución presupuestal y sanción a abusos.</v>
      </c>
      <c r="AN24" s="9" t="str">
        <f t="shared" si="1"/>
        <v>Alta</v>
      </c>
      <c r="AO24" s="9" t="s">
        <v>485</v>
      </c>
    </row>
    <row r="25" spans="1:41" ht="28.8">
      <c r="A25" s="9" t="s">
        <v>127</v>
      </c>
      <c r="B25" s="9" t="s">
        <v>128</v>
      </c>
      <c r="C25" s="9" t="s">
        <v>129</v>
      </c>
      <c r="D25" s="10">
        <v>4958</v>
      </c>
      <c r="E25" s="10">
        <v>4283</v>
      </c>
      <c r="F25" s="10">
        <v>3185</v>
      </c>
      <c r="G25" s="9" t="s">
        <v>477</v>
      </c>
      <c r="H25" s="11">
        <v>0.50262202501008468</v>
      </c>
      <c r="I25" s="11">
        <v>0.2162162162162162</v>
      </c>
      <c r="J25" s="9" t="s">
        <v>478</v>
      </c>
      <c r="K25" s="11">
        <v>0.1849171141723091</v>
      </c>
      <c r="L25" s="11">
        <v>6.9110436609852915E-2</v>
      </c>
      <c r="M25" s="9" t="s">
        <v>486</v>
      </c>
      <c r="N25" s="11">
        <v>0.2414442700156986</v>
      </c>
      <c r="O25" s="11">
        <v>1.9466248037676631E-2</v>
      </c>
      <c r="P25" s="12">
        <v>7.7392729533794419E-2</v>
      </c>
      <c r="Q25" s="9" t="s">
        <v>412</v>
      </c>
      <c r="R25" s="12">
        <v>-0.45700000000000002</v>
      </c>
      <c r="S25" s="9" t="s">
        <v>75</v>
      </c>
      <c r="T25" s="12">
        <v>0.104</v>
      </c>
      <c r="U25" s="12">
        <v>6.0464243177931483E-2</v>
      </c>
      <c r="V25" s="9" t="s">
        <v>412</v>
      </c>
      <c r="W25" s="9" t="s">
        <v>487</v>
      </c>
      <c r="X25" s="9" t="s">
        <v>60</v>
      </c>
      <c r="Y25" s="9" t="s">
        <v>501</v>
      </c>
      <c r="Z25" s="9" t="s">
        <v>502</v>
      </c>
      <c r="AA25" s="9" t="s">
        <v>483</v>
      </c>
      <c r="AB25" s="12">
        <v>0.19331469965709841</v>
      </c>
      <c r="AC25" s="12">
        <v>0.21849733115994779</v>
      </c>
      <c r="AD25" s="12">
        <v>0.21842539793713103</v>
      </c>
      <c r="AE25" s="12">
        <v>0.21773201191712999</v>
      </c>
      <c r="AF25" s="12">
        <v>0.1648521411674658</v>
      </c>
      <c r="AG25" s="9" t="str">
        <f>INDEX('[2]10_Listas'!$A$2:$A$6,MATCH(MAX(AB25:AF25),AB25:AF25,0))</f>
        <v>Estabilidad y continuidad</v>
      </c>
      <c r="AH25" s="9" t="s">
        <v>491</v>
      </c>
      <c r="AI25" s="9"/>
      <c r="AJ25" s="9" t="str">
        <f t="shared" si="0"/>
        <v>Estabilidad y continuidad</v>
      </c>
      <c r="AK25" s="9" t="str">
        <f>IFERROR(INDEX('[2]02_Arquetipos_Miedo_Sesgo'!$C$4:$C$8,MATCH(AJ25,'[2]02_Arquetipos_Miedo_Sesgo'!$A$4:$A$8,0)),"")</f>
        <v>Miedo a perder beneficios, subsidios, estabilidad institucional o condiciones de vida ya alcanzadas.</v>
      </c>
      <c r="AL25" s="9" t="str">
        <f>IFERROR(INDEX('[2]02_Arquetipos_Miedo_Sesgo'!$D$4:$D$8,MATCH(AJ25,'[2]02_Arquetipos_Miedo_Sesgo'!$A$4:$A$8,0)),"")</f>
        <v>Aversión a la pérdida + sesgo de statu quo + confirmación.</v>
      </c>
      <c r="AM25" s="9" t="str">
        <f>IFERROR(INDEX('[2]02_Arquetipos_Miedo_Sesgo'!$E$4:$E$8,MATCH(AJ25,'[2]02_Arquetipos_Miedo_Sesgo'!$A$4:$A$8,0)),"")</f>
        <v>Continuidad administrativa, servicios públicos, infraestructura, salud, educación y programas sociales.</v>
      </c>
      <c r="AN25" s="9" t="str">
        <f t="shared" si="1"/>
        <v>Alta</v>
      </c>
      <c r="AO25" s="9" t="s">
        <v>485</v>
      </c>
    </row>
    <row r="26" spans="1:41" ht="28.8">
      <c r="A26" s="9" t="s">
        <v>142</v>
      </c>
      <c r="B26" s="9" t="s">
        <v>128</v>
      </c>
      <c r="C26" s="9" t="s">
        <v>128</v>
      </c>
      <c r="D26" s="10">
        <v>10472</v>
      </c>
      <c r="E26" s="10">
        <v>8959</v>
      </c>
      <c r="F26" s="10">
        <v>6708</v>
      </c>
      <c r="G26" s="9" t="s">
        <v>477</v>
      </c>
      <c r="H26" s="11">
        <v>0.45483193277310918</v>
      </c>
      <c r="I26" s="11">
        <v>0.1194614209320092</v>
      </c>
      <c r="J26" s="9" t="s">
        <v>478</v>
      </c>
      <c r="K26" s="11">
        <v>0.21408639357071099</v>
      </c>
      <c r="L26" s="11">
        <v>0.1150798080142873</v>
      </c>
      <c r="M26" s="9" t="s">
        <v>486</v>
      </c>
      <c r="N26" s="11">
        <v>0.27802623732856291</v>
      </c>
      <c r="O26" s="11">
        <v>3.4883720930232558E-2</v>
      </c>
      <c r="P26" s="12">
        <v>7.7392729533794419E-2</v>
      </c>
      <c r="Q26" s="9" t="s">
        <v>412</v>
      </c>
      <c r="R26" s="12">
        <v>-0.45700000000000002</v>
      </c>
      <c r="S26" s="9" t="s">
        <v>75</v>
      </c>
      <c r="T26" s="12">
        <v>0.104</v>
      </c>
      <c r="U26" s="12">
        <v>6.0464243177931483E-2</v>
      </c>
      <c r="V26" s="9" t="s">
        <v>412</v>
      </c>
      <c r="W26" s="9" t="s">
        <v>487</v>
      </c>
      <c r="X26" s="9" t="s">
        <v>60</v>
      </c>
      <c r="Y26" s="9" t="s">
        <v>501</v>
      </c>
      <c r="Z26" s="9" t="s">
        <v>502</v>
      </c>
      <c r="AA26" s="9" t="s">
        <v>483</v>
      </c>
      <c r="AB26" s="12">
        <v>0.1981288092605972</v>
      </c>
      <c r="AC26" s="12">
        <v>0.20491569010185548</v>
      </c>
      <c r="AD26" s="12">
        <v>0.2114760394568391</v>
      </c>
      <c r="AE26" s="12">
        <v>0.20987667426939211</v>
      </c>
      <c r="AF26" s="12">
        <v>0.18358472606062551</v>
      </c>
      <c r="AG26" s="9" t="str">
        <f>INDEX('[2]10_Listas'!$A$2:$A$6,MATCH(MAX(AB26:AF26),AB26:AF26,0))</f>
        <v>Supervivencia económica y servicios básicos</v>
      </c>
      <c r="AH26" s="9" t="s">
        <v>491</v>
      </c>
      <c r="AI26" s="9"/>
      <c r="AJ26" s="9" t="str">
        <f t="shared" si="0"/>
        <v>Supervivencia económica y servicios básicos</v>
      </c>
      <c r="AK26" s="9" t="str">
        <f>IFERROR(INDEX('[2]02_Arquetipos_Miedo_Sesgo'!$C$4:$C$8,MATCH(AJ26,'[2]02_Arquetipos_Miedo_Sesgo'!$A$4:$A$8,0)),"")</f>
        <v>Miedo a no llegar a fin de mes, perder ingresos, empleo, movilidad o acceso a servicios básicos.</v>
      </c>
      <c r="AL26" s="9" t="str">
        <f>IFERROR(INDEX('[2]02_Arquetipos_Miedo_Sesgo'!$D$4:$D$8,MATCH(AJ26,'[2]02_Arquetipos_Miedo_Sesgo'!$A$4:$A$8,0)),"")</f>
        <v>Sesgo de escasez + presente dominante + aversión al riesgo económico.</v>
      </c>
      <c r="AM26" s="9" t="str">
        <f>IFERROR(INDEX('[2]02_Arquetipos_Miedo_Sesgo'!$E$4:$E$8,MATCH(AJ26,'[2]02_Arquetipos_Miedo_Sesgo'!$A$4:$A$8,0)),"")</f>
        <v>Empleo, emprendimiento, economía popular, transporte, costo de vida, salud, educación técnica y subsidios focalizados.</v>
      </c>
      <c r="AN26" s="9" t="str">
        <f t="shared" si="1"/>
        <v>Alta</v>
      </c>
      <c r="AO26" s="9" t="s">
        <v>485</v>
      </c>
    </row>
    <row r="27" spans="1:41" ht="28.8">
      <c r="A27" s="9" t="s">
        <v>145</v>
      </c>
      <c r="B27" s="9" t="s">
        <v>128</v>
      </c>
      <c r="C27" s="9" t="s">
        <v>146</v>
      </c>
      <c r="D27" s="10">
        <v>5052</v>
      </c>
      <c r="E27" s="10">
        <v>4317</v>
      </c>
      <c r="F27" s="10">
        <v>3377</v>
      </c>
      <c r="G27" s="9" t="s">
        <v>477</v>
      </c>
      <c r="H27" s="11">
        <v>0.46159936658749012</v>
      </c>
      <c r="I27" s="11">
        <v>0.1512272367379256</v>
      </c>
      <c r="J27" s="9" t="s">
        <v>478</v>
      </c>
      <c r="K27" s="11">
        <v>0.18693537178596251</v>
      </c>
      <c r="L27" s="11">
        <v>7.1114199675700721E-2</v>
      </c>
      <c r="M27" s="9" t="s">
        <v>479</v>
      </c>
      <c r="N27" s="11">
        <v>0.35416049748297312</v>
      </c>
      <c r="O27" s="11">
        <v>0.1249629848978383</v>
      </c>
      <c r="P27" s="12">
        <v>7.7392729533794419E-2</v>
      </c>
      <c r="Q27" s="9" t="s">
        <v>412</v>
      </c>
      <c r="R27" s="12">
        <v>8.0000000000000002E-3</v>
      </c>
      <c r="S27" s="9" t="s">
        <v>412</v>
      </c>
      <c r="T27" s="12">
        <v>-0.41199999999999998</v>
      </c>
      <c r="U27" s="12">
        <v>4.1130909844598142E-2</v>
      </c>
      <c r="V27" s="9" t="s">
        <v>412</v>
      </c>
      <c r="W27" s="9" t="s">
        <v>480</v>
      </c>
      <c r="X27" s="9" t="s">
        <v>60</v>
      </c>
      <c r="Y27" s="9" t="s">
        <v>501</v>
      </c>
      <c r="Z27" s="9" t="s">
        <v>502</v>
      </c>
      <c r="AA27" s="9" t="s">
        <v>483</v>
      </c>
      <c r="AB27" s="12">
        <v>0.18817726468537521</v>
      </c>
      <c r="AC27" s="12">
        <v>0.20713308853834397</v>
      </c>
      <c r="AD27" s="12">
        <v>0.21250244216669786</v>
      </c>
      <c r="AE27" s="12">
        <v>0.21305628505033711</v>
      </c>
      <c r="AF27" s="12">
        <v>0.1882737045160997</v>
      </c>
      <c r="AG27" s="9" t="str">
        <f>INDEX('[2]10_Listas'!$A$2:$A$6,MATCH(MAX(AB27:AF27),AB27:AF27,0))</f>
        <v>Desconfianza y castigo</v>
      </c>
      <c r="AH27" s="9" t="s">
        <v>491</v>
      </c>
      <c r="AI27" s="9"/>
      <c r="AJ27" s="9" t="str">
        <f t="shared" si="0"/>
        <v>Desconfianza y castigo</v>
      </c>
      <c r="AK27" s="9" t="str">
        <f>IFERROR(INDEX('[2]02_Arquetipos_Miedo_Sesgo'!$C$4:$C$8,MATCH(AJ27,'[2]02_Arquetipos_Miedo_Sesgo'!$A$4:$A$8,0)),"")</f>
        <v>Miedo a ser engañado, robado, manipulado o usado electoralmente.</v>
      </c>
      <c r="AL27" s="9" t="str">
        <f>IFERROR(INDEX('[2]02_Arquetipos_Miedo_Sesgo'!$D$4:$D$8,MATCH(AJ27,'[2]02_Arquetipos_Miedo_Sesgo'!$A$4:$A$8,0)),"")</f>
        <v>Sesgo de confirmación + cinismo político + efecto de indignación moral.</v>
      </c>
      <c r="AM27" s="9" t="str">
        <f>IFERROR(INDEX('[2]02_Arquetipos_Miedo_Sesgo'!$E$4:$E$8,MATCH(AJ27,'[2]02_Arquetipos_Miedo_Sesgo'!$A$4:$A$8,0)),"")</f>
        <v>Transparencia, control político, lucha anticorrupción, vigilancia ciudadana, ejecución presupuestal y sanción a abusos.</v>
      </c>
      <c r="AN27" s="9" t="str">
        <f t="shared" si="1"/>
        <v>Alta</v>
      </c>
      <c r="AO27" s="9" t="s">
        <v>485</v>
      </c>
    </row>
    <row r="28" spans="1:41" ht="28.8">
      <c r="A28" s="9" t="s">
        <v>143</v>
      </c>
      <c r="B28" s="9" t="s">
        <v>128</v>
      </c>
      <c r="C28" s="9" t="s">
        <v>144</v>
      </c>
      <c r="D28" s="10">
        <v>10920</v>
      </c>
      <c r="E28" s="10">
        <v>8931</v>
      </c>
      <c r="F28" s="10">
        <v>6840</v>
      </c>
      <c r="G28" s="9" t="s">
        <v>477</v>
      </c>
      <c r="H28" s="11">
        <v>0.47600732600732598</v>
      </c>
      <c r="I28" s="11">
        <v>0.18901098901098901</v>
      </c>
      <c r="J28" s="9" t="s">
        <v>478</v>
      </c>
      <c r="K28" s="11">
        <v>0.19673048930690851</v>
      </c>
      <c r="L28" s="11">
        <v>8.1849736871570947E-2</v>
      </c>
      <c r="M28" s="9" t="s">
        <v>486</v>
      </c>
      <c r="N28" s="11">
        <v>0.24839181286549711</v>
      </c>
      <c r="O28" s="11">
        <v>6.8274853801169599E-2</v>
      </c>
      <c r="P28" s="12">
        <v>7.7392729533794419E-2</v>
      </c>
      <c r="Q28" s="9" t="s">
        <v>412</v>
      </c>
      <c r="R28" s="12">
        <v>-0.45700000000000002</v>
      </c>
      <c r="S28" s="9" t="s">
        <v>75</v>
      </c>
      <c r="T28" s="12">
        <v>0.104</v>
      </c>
      <c r="U28" s="12">
        <v>6.0464243177931483E-2</v>
      </c>
      <c r="V28" s="9" t="s">
        <v>412</v>
      </c>
      <c r="W28" s="9" t="s">
        <v>487</v>
      </c>
      <c r="X28" s="9" t="s">
        <v>60</v>
      </c>
      <c r="Y28" s="9" t="s">
        <v>501</v>
      </c>
      <c r="Z28" s="9" t="s">
        <v>502</v>
      </c>
      <c r="AA28" s="9" t="s">
        <v>483</v>
      </c>
      <c r="AB28" s="12">
        <v>0.19526574987286169</v>
      </c>
      <c r="AC28" s="12">
        <v>0.21202429844221476</v>
      </c>
      <c r="AD28" s="12">
        <v>0.21489608453230122</v>
      </c>
      <c r="AE28" s="12">
        <v>0.2183098600061581</v>
      </c>
      <c r="AF28" s="12">
        <v>0.17096450770029581</v>
      </c>
      <c r="AG28" s="9" t="str">
        <f>INDEX('[2]10_Listas'!$A$2:$A$6,MATCH(MAX(AB28:AF28),AB28:AF28,0))</f>
        <v>Desconfianza y castigo</v>
      </c>
      <c r="AH28" s="9" t="s">
        <v>491</v>
      </c>
      <c r="AI28" s="9"/>
      <c r="AJ28" s="9" t="str">
        <f t="shared" si="0"/>
        <v>Desconfianza y castigo</v>
      </c>
      <c r="AK28" s="9" t="str">
        <f>IFERROR(INDEX('[2]02_Arquetipos_Miedo_Sesgo'!$C$4:$C$8,MATCH(AJ28,'[2]02_Arquetipos_Miedo_Sesgo'!$A$4:$A$8,0)),"")</f>
        <v>Miedo a ser engañado, robado, manipulado o usado electoralmente.</v>
      </c>
      <c r="AL28" s="9" t="str">
        <f>IFERROR(INDEX('[2]02_Arquetipos_Miedo_Sesgo'!$D$4:$D$8,MATCH(AJ28,'[2]02_Arquetipos_Miedo_Sesgo'!$A$4:$A$8,0)),"")</f>
        <v>Sesgo de confirmación + cinismo político + efecto de indignación moral.</v>
      </c>
      <c r="AM28" s="9" t="str">
        <f>IFERROR(INDEX('[2]02_Arquetipos_Miedo_Sesgo'!$E$4:$E$8,MATCH(AJ28,'[2]02_Arquetipos_Miedo_Sesgo'!$A$4:$A$8,0)),"")</f>
        <v>Transparencia, control político, lucha anticorrupción, vigilancia ciudadana, ejecución presupuestal y sanción a abusos.</v>
      </c>
      <c r="AN28" s="9" t="str">
        <f t="shared" si="1"/>
        <v>Alta</v>
      </c>
      <c r="AO28" s="9" t="s">
        <v>485</v>
      </c>
    </row>
    <row r="29" spans="1:41" ht="28.8">
      <c r="A29" s="9" t="s">
        <v>147</v>
      </c>
      <c r="B29" s="9" t="s">
        <v>128</v>
      </c>
      <c r="C29" s="9" t="s">
        <v>148</v>
      </c>
      <c r="D29" s="10">
        <v>2969</v>
      </c>
      <c r="E29" s="10">
        <v>2455</v>
      </c>
      <c r="F29" s="10">
        <v>1918</v>
      </c>
      <c r="G29" s="9" t="s">
        <v>477</v>
      </c>
      <c r="H29" s="11">
        <v>0.47995958235095992</v>
      </c>
      <c r="I29" s="11">
        <v>0.1859211855843719</v>
      </c>
      <c r="J29" s="9" t="s">
        <v>478</v>
      </c>
      <c r="K29" s="11">
        <v>0.1877800407331976</v>
      </c>
      <c r="L29" s="11">
        <v>9.083503054989818E-2</v>
      </c>
      <c r="M29" s="9" t="s">
        <v>486</v>
      </c>
      <c r="N29" s="11">
        <v>0.25443169968717422</v>
      </c>
      <c r="O29" s="11">
        <v>2.3461939520333711E-2</v>
      </c>
      <c r="P29" s="12">
        <v>7.7392729533794419E-2</v>
      </c>
      <c r="Q29" s="9" t="s">
        <v>412</v>
      </c>
      <c r="R29" s="12">
        <v>-0.45700000000000002</v>
      </c>
      <c r="S29" s="9" t="s">
        <v>75</v>
      </c>
      <c r="T29" s="12">
        <v>0.104</v>
      </c>
      <c r="U29" s="12">
        <v>6.0464243177931483E-2</v>
      </c>
      <c r="V29" s="9" t="s">
        <v>412</v>
      </c>
      <c r="W29" s="9" t="s">
        <v>487</v>
      </c>
      <c r="X29" s="9" t="s">
        <v>60</v>
      </c>
      <c r="Y29" s="9" t="s">
        <v>501</v>
      </c>
      <c r="Z29" s="9" t="s">
        <v>502</v>
      </c>
      <c r="AA29" s="9" t="s">
        <v>483</v>
      </c>
      <c r="AB29" s="12">
        <v>0.1900891107989077</v>
      </c>
      <c r="AC29" s="12">
        <v>0.20857853316925343</v>
      </c>
      <c r="AD29" s="12">
        <v>0.21238608952635885</v>
      </c>
      <c r="AE29" s="12">
        <v>0.22305869816731999</v>
      </c>
      <c r="AF29" s="12">
        <v>0.1760255909812791</v>
      </c>
      <c r="AG29" s="9" t="str">
        <f>INDEX('[2]10_Listas'!$A$2:$A$6,MATCH(MAX(AB29:AF29),AB29:AF29,0))</f>
        <v>Desconfianza y castigo</v>
      </c>
      <c r="AH29" s="9" t="s">
        <v>488</v>
      </c>
      <c r="AI29" s="9"/>
      <c r="AJ29" s="9" t="str">
        <f t="shared" si="0"/>
        <v>Desconfianza y castigo</v>
      </c>
      <c r="AK29" s="9" t="str">
        <f>IFERROR(INDEX('[2]02_Arquetipos_Miedo_Sesgo'!$C$4:$C$8,MATCH(AJ29,'[2]02_Arquetipos_Miedo_Sesgo'!$A$4:$A$8,0)),"")</f>
        <v>Miedo a ser engañado, robado, manipulado o usado electoralmente.</v>
      </c>
      <c r="AL29" s="9" t="str">
        <f>IFERROR(INDEX('[2]02_Arquetipos_Miedo_Sesgo'!$D$4:$D$8,MATCH(AJ29,'[2]02_Arquetipos_Miedo_Sesgo'!$A$4:$A$8,0)),"")</f>
        <v>Sesgo de confirmación + cinismo político + efecto de indignación moral.</v>
      </c>
      <c r="AM29" s="9" t="str">
        <f>IFERROR(INDEX('[2]02_Arquetipos_Miedo_Sesgo'!$E$4:$E$8,MATCH(AJ29,'[2]02_Arquetipos_Miedo_Sesgo'!$A$4:$A$8,0)),"")</f>
        <v>Transparencia, control político, lucha anticorrupción, vigilancia ciudadana, ejecución presupuestal y sanción a abusos.</v>
      </c>
      <c r="AN29" s="9" t="str">
        <f t="shared" si="1"/>
        <v>Alta</v>
      </c>
      <c r="AO29" s="9" t="s">
        <v>485</v>
      </c>
    </row>
    <row r="30" spans="1:41" ht="28.8">
      <c r="A30" s="9" t="s">
        <v>138</v>
      </c>
      <c r="B30" s="9" t="s">
        <v>128</v>
      </c>
      <c r="C30" s="9" t="s">
        <v>139</v>
      </c>
      <c r="D30" s="10">
        <v>4811</v>
      </c>
      <c r="E30" s="10">
        <v>3959</v>
      </c>
      <c r="F30" s="10">
        <v>3338</v>
      </c>
      <c r="G30" s="9" t="s">
        <v>477</v>
      </c>
      <c r="H30" s="11">
        <v>0.46809395136146331</v>
      </c>
      <c r="I30" s="11">
        <v>0.17480773228019131</v>
      </c>
      <c r="J30" s="9" t="s">
        <v>478</v>
      </c>
      <c r="K30" s="11">
        <v>0.21596362717858039</v>
      </c>
      <c r="L30" s="11">
        <v>0.11189694367264461</v>
      </c>
      <c r="M30" s="9" t="s">
        <v>486</v>
      </c>
      <c r="N30" s="11">
        <v>0.2507489514679449</v>
      </c>
      <c r="O30" s="11">
        <v>6.6506890353505127E-2</v>
      </c>
      <c r="P30" s="12">
        <v>7.7392729533794419E-2</v>
      </c>
      <c r="Q30" s="9" t="s">
        <v>412</v>
      </c>
      <c r="R30" s="12">
        <v>-0.45700000000000002</v>
      </c>
      <c r="S30" s="9" t="s">
        <v>75</v>
      </c>
      <c r="T30" s="12">
        <v>0.104</v>
      </c>
      <c r="U30" s="12">
        <v>6.0464243177931483E-2</v>
      </c>
      <c r="V30" s="9" t="s">
        <v>412</v>
      </c>
      <c r="W30" s="9" t="s">
        <v>487</v>
      </c>
      <c r="X30" s="9" t="s">
        <v>60</v>
      </c>
      <c r="Y30" s="9" t="s">
        <v>501</v>
      </c>
      <c r="Z30" s="9" t="s">
        <v>502</v>
      </c>
      <c r="AA30" s="9" t="s">
        <v>483</v>
      </c>
      <c r="AB30" s="12">
        <v>0.20298049962330739</v>
      </c>
      <c r="AC30" s="12">
        <v>0.21039184119871124</v>
      </c>
      <c r="AD30" s="12">
        <v>0.21395405724287178</v>
      </c>
      <c r="AE30" s="12">
        <v>0.21617024405720481</v>
      </c>
      <c r="AF30" s="12">
        <v>0.16787912935309229</v>
      </c>
      <c r="AG30" s="9" t="str">
        <f>INDEX('[2]10_Listas'!$A$2:$A$6,MATCH(MAX(AB30:AF30),AB30:AF30,0))</f>
        <v>Desconfianza y castigo</v>
      </c>
      <c r="AH30" s="9" t="s">
        <v>491</v>
      </c>
      <c r="AI30" s="9"/>
      <c r="AJ30" s="9" t="str">
        <f t="shared" si="0"/>
        <v>Desconfianza y castigo</v>
      </c>
      <c r="AK30" s="9" t="str">
        <f>IFERROR(INDEX('[2]02_Arquetipos_Miedo_Sesgo'!$C$4:$C$8,MATCH(AJ30,'[2]02_Arquetipos_Miedo_Sesgo'!$A$4:$A$8,0)),"")</f>
        <v>Miedo a ser engañado, robado, manipulado o usado electoralmente.</v>
      </c>
      <c r="AL30" s="9" t="str">
        <f>IFERROR(INDEX('[2]02_Arquetipos_Miedo_Sesgo'!$D$4:$D$8,MATCH(AJ30,'[2]02_Arquetipos_Miedo_Sesgo'!$A$4:$A$8,0)),"")</f>
        <v>Sesgo de confirmación + cinismo político + efecto de indignación moral.</v>
      </c>
      <c r="AM30" s="9" t="str">
        <f>IFERROR(INDEX('[2]02_Arquetipos_Miedo_Sesgo'!$E$4:$E$8,MATCH(AJ30,'[2]02_Arquetipos_Miedo_Sesgo'!$A$4:$A$8,0)),"")</f>
        <v>Transparencia, control político, lucha anticorrupción, vigilancia ciudadana, ejecución presupuestal y sanción a abusos.</v>
      </c>
      <c r="AN30" s="9" t="str">
        <f t="shared" si="1"/>
        <v>Alta</v>
      </c>
      <c r="AO30" s="9" t="s">
        <v>485</v>
      </c>
    </row>
    <row r="31" spans="1:41" ht="28.8">
      <c r="A31" s="9" t="s">
        <v>503</v>
      </c>
      <c r="B31" s="9" t="s">
        <v>128</v>
      </c>
      <c r="C31" s="9" t="s">
        <v>504</v>
      </c>
      <c r="D31" s="10">
        <v>91</v>
      </c>
      <c r="E31" s="10">
        <v>79</v>
      </c>
      <c r="F31" s="10">
        <v>63</v>
      </c>
      <c r="G31" s="9" t="s">
        <v>477</v>
      </c>
      <c r="H31" s="11">
        <v>0.51648351648351654</v>
      </c>
      <c r="I31" s="11">
        <v>0.28571428571428581</v>
      </c>
      <c r="J31" s="9" t="s">
        <v>478</v>
      </c>
      <c r="K31" s="11">
        <v>0.15189873417721519</v>
      </c>
      <c r="L31" s="11">
        <v>5.0632911392405069E-2</v>
      </c>
      <c r="M31" s="9" t="s">
        <v>486</v>
      </c>
      <c r="N31" s="11">
        <v>0.23809523809523811</v>
      </c>
      <c r="O31" s="11">
        <v>3.1746031746031737E-2</v>
      </c>
      <c r="P31" s="12">
        <v>7.7392729533794419E-2</v>
      </c>
      <c r="Q31" s="9" t="s">
        <v>412</v>
      </c>
      <c r="R31" s="12">
        <v>-0.45700000000000002</v>
      </c>
      <c r="S31" s="9" t="s">
        <v>75</v>
      </c>
      <c r="T31" s="12">
        <v>0.104</v>
      </c>
      <c r="U31" s="12">
        <v>6.0464243177931483E-2</v>
      </c>
      <c r="V31" s="9" t="s">
        <v>412</v>
      </c>
      <c r="W31" s="9" t="s">
        <v>487</v>
      </c>
      <c r="X31" s="9" t="s">
        <v>60</v>
      </c>
      <c r="Y31" s="9" t="s">
        <v>501</v>
      </c>
      <c r="Z31" s="9" t="s">
        <v>502</v>
      </c>
      <c r="AA31" s="9" t="s">
        <v>483</v>
      </c>
      <c r="AB31" s="12">
        <v>0.17890191505043049</v>
      </c>
      <c r="AC31" s="12">
        <v>0.22780316734657186</v>
      </c>
      <c r="AD31" s="12">
        <v>0.22593011738085531</v>
      </c>
      <c r="AE31" s="12">
        <v>0.20884712732181351</v>
      </c>
      <c r="AF31" s="12">
        <v>0.17041260956638099</v>
      </c>
      <c r="AG31" s="9" t="str">
        <f>INDEX('[2]10_Listas'!$A$2:$A$6,MATCH(MAX(AB31:AF31),AB31:AF31,0))</f>
        <v>Estabilidad y continuidad</v>
      </c>
      <c r="AH31" s="9" t="s">
        <v>491</v>
      </c>
      <c r="AI31" s="9"/>
      <c r="AJ31" s="9" t="str">
        <f t="shared" si="0"/>
        <v>Estabilidad y continuidad</v>
      </c>
      <c r="AK31" s="9" t="str">
        <f>IFERROR(INDEX('[2]02_Arquetipos_Miedo_Sesgo'!$C$4:$C$8,MATCH(AJ31,'[2]02_Arquetipos_Miedo_Sesgo'!$A$4:$A$8,0)),"")</f>
        <v>Miedo a perder beneficios, subsidios, estabilidad institucional o condiciones de vida ya alcanzadas.</v>
      </c>
      <c r="AL31" s="9" t="str">
        <f>IFERROR(INDEX('[2]02_Arquetipos_Miedo_Sesgo'!$D$4:$D$8,MATCH(AJ31,'[2]02_Arquetipos_Miedo_Sesgo'!$A$4:$A$8,0)),"")</f>
        <v>Aversión a la pérdida + sesgo de statu quo + confirmación.</v>
      </c>
      <c r="AM31" s="9" t="str">
        <f>IFERROR(INDEX('[2]02_Arquetipos_Miedo_Sesgo'!$E$4:$E$8,MATCH(AJ31,'[2]02_Arquetipos_Miedo_Sesgo'!$A$4:$A$8,0)),"")</f>
        <v>Continuidad administrativa, servicios públicos, infraestructura, salud, educación y programas sociales.</v>
      </c>
      <c r="AN31" s="9" t="str">
        <f t="shared" si="1"/>
        <v>Alta</v>
      </c>
      <c r="AO31" s="9" t="s">
        <v>485</v>
      </c>
    </row>
    <row r="32" spans="1:41" ht="28.8">
      <c r="A32" s="9" t="s">
        <v>166</v>
      </c>
      <c r="B32" s="9" t="s">
        <v>150</v>
      </c>
      <c r="C32" s="9" t="s">
        <v>167</v>
      </c>
      <c r="D32" s="10">
        <v>7150</v>
      </c>
      <c r="E32" s="10">
        <v>5906</v>
      </c>
      <c r="F32" s="10">
        <v>4470</v>
      </c>
      <c r="G32" s="9" t="s">
        <v>477</v>
      </c>
      <c r="H32" s="11">
        <v>0.50783216783216778</v>
      </c>
      <c r="I32" s="11">
        <v>0.24713286713286711</v>
      </c>
      <c r="J32" s="9" t="s">
        <v>478</v>
      </c>
      <c r="K32" s="11">
        <v>0.21080257365391131</v>
      </c>
      <c r="L32" s="11">
        <v>7.7378936674568244E-2</v>
      </c>
      <c r="M32" s="9" t="s">
        <v>486</v>
      </c>
      <c r="N32" s="11">
        <v>0.25570469798657719</v>
      </c>
      <c r="O32" s="11">
        <v>3.7136465324384797E-2</v>
      </c>
      <c r="P32" s="12">
        <v>7.7392729533794419E-2</v>
      </c>
      <c r="Q32" s="9" t="s">
        <v>412</v>
      </c>
      <c r="R32" s="12">
        <v>-0.45700000000000002</v>
      </c>
      <c r="S32" s="9" t="s">
        <v>75</v>
      </c>
      <c r="T32" s="12">
        <v>0.104</v>
      </c>
      <c r="U32" s="12">
        <v>6.0464243177931483E-2</v>
      </c>
      <c r="V32" s="9" t="s">
        <v>412</v>
      </c>
      <c r="W32" s="9" t="s">
        <v>487</v>
      </c>
      <c r="X32" s="9" t="s">
        <v>60</v>
      </c>
      <c r="Y32" s="9" t="s">
        <v>481</v>
      </c>
      <c r="Z32" s="9" t="s">
        <v>482</v>
      </c>
      <c r="AA32" s="9" t="s">
        <v>483</v>
      </c>
      <c r="AB32" s="12">
        <v>0.18353540533186111</v>
      </c>
      <c r="AC32" s="12">
        <v>0.21045013187494777</v>
      </c>
      <c r="AD32" s="12">
        <v>0.21482058558719999</v>
      </c>
      <c r="AE32" s="12">
        <v>0.21503910973533799</v>
      </c>
      <c r="AF32" s="12">
        <v>0.18108093462793209</v>
      </c>
      <c r="AG32" s="9" t="str">
        <f>INDEX('[2]10_Listas'!$A$2:$A$6,MATCH(MAX(AB32:AF32),AB32:AF32,0))</f>
        <v>Desconfianza y castigo</v>
      </c>
      <c r="AH32" s="9" t="s">
        <v>488</v>
      </c>
      <c r="AI32" s="9"/>
      <c r="AJ32" s="9" t="str">
        <f t="shared" si="0"/>
        <v>Desconfianza y castigo</v>
      </c>
      <c r="AK32" s="9" t="str">
        <f>IFERROR(INDEX('[2]02_Arquetipos_Miedo_Sesgo'!$C$4:$C$8,MATCH(AJ32,'[2]02_Arquetipos_Miedo_Sesgo'!$A$4:$A$8,0)),"")</f>
        <v>Miedo a ser engañado, robado, manipulado o usado electoralmente.</v>
      </c>
      <c r="AL32" s="9" t="str">
        <f>IFERROR(INDEX('[2]02_Arquetipos_Miedo_Sesgo'!$D$4:$D$8,MATCH(AJ32,'[2]02_Arquetipos_Miedo_Sesgo'!$A$4:$A$8,0)),"")</f>
        <v>Sesgo de confirmación + cinismo político + efecto de indignación moral.</v>
      </c>
      <c r="AM32" s="9" t="str">
        <f>IFERROR(INDEX('[2]02_Arquetipos_Miedo_Sesgo'!$E$4:$E$8,MATCH(AJ32,'[2]02_Arquetipos_Miedo_Sesgo'!$A$4:$A$8,0)),"")</f>
        <v>Transparencia, control político, lucha anticorrupción, vigilancia ciudadana, ejecución presupuestal y sanción a abusos.</v>
      </c>
      <c r="AN32" s="9" t="str">
        <f t="shared" si="1"/>
        <v>Alta</v>
      </c>
      <c r="AO32" s="9" t="s">
        <v>485</v>
      </c>
    </row>
    <row r="33" spans="1:41" ht="28.8">
      <c r="A33" s="9" t="s">
        <v>158</v>
      </c>
      <c r="B33" s="9" t="s">
        <v>150</v>
      </c>
      <c r="C33" s="9" t="s">
        <v>159</v>
      </c>
      <c r="D33" s="10">
        <v>5789</v>
      </c>
      <c r="E33" s="10">
        <v>5039</v>
      </c>
      <c r="F33" s="10">
        <v>3434</v>
      </c>
      <c r="G33" s="9" t="s">
        <v>477</v>
      </c>
      <c r="H33" s="11">
        <v>0.5031957160131284</v>
      </c>
      <c r="I33" s="11">
        <v>0.2195543271722232</v>
      </c>
      <c r="J33" s="9" t="s">
        <v>505</v>
      </c>
      <c r="K33" s="11">
        <v>0.28418336971621361</v>
      </c>
      <c r="L33" s="11">
        <v>0.1194681484421512</v>
      </c>
      <c r="M33" s="9" t="s">
        <v>479</v>
      </c>
      <c r="N33" s="11">
        <v>0.27664531158998251</v>
      </c>
      <c r="O33" s="11">
        <v>3.3779848573092568E-2</v>
      </c>
      <c r="P33" s="12">
        <v>5.9190022687130792E-2</v>
      </c>
      <c r="Q33" s="9" t="s">
        <v>412</v>
      </c>
      <c r="R33" s="12">
        <v>8.0000000000000002E-3</v>
      </c>
      <c r="S33" s="9" t="s">
        <v>412</v>
      </c>
      <c r="T33" s="12">
        <v>-0.14699999999999999</v>
      </c>
      <c r="U33" s="12">
        <v>3.5063340895710261E-2</v>
      </c>
      <c r="V33" s="9" t="s">
        <v>412</v>
      </c>
      <c r="W33" s="9" t="s">
        <v>480</v>
      </c>
      <c r="X33" s="9" t="s">
        <v>60</v>
      </c>
      <c r="Y33" s="9" t="s">
        <v>481</v>
      </c>
      <c r="Z33" s="9" t="s">
        <v>482</v>
      </c>
      <c r="AA33" s="9" t="s">
        <v>483</v>
      </c>
      <c r="AB33" s="12">
        <v>0.18692827431148989</v>
      </c>
      <c r="AC33" s="12">
        <v>0.21489839757575904</v>
      </c>
      <c r="AD33" s="12">
        <v>0.21596365488186178</v>
      </c>
      <c r="AE33" s="12">
        <v>0.21964108327327669</v>
      </c>
      <c r="AF33" s="12">
        <v>0.17404218486063111</v>
      </c>
      <c r="AG33" s="9" t="str">
        <f>INDEX('[2]10_Listas'!$A$2:$A$6,MATCH(MAX(AB33:AF33),AB33:AF33,0))</f>
        <v>Desconfianza y castigo</v>
      </c>
      <c r="AH33" s="9" t="s">
        <v>491</v>
      </c>
      <c r="AI33" s="9"/>
      <c r="AJ33" s="9" t="str">
        <f t="shared" si="0"/>
        <v>Desconfianza y castigo</v>
      </c>
      <c r="AK33" s="9" t="str">
        <f>IFERROR(INDEX('[2]02_Arquetipos_Miedo_Sesgo'!$C$4:$C$8,MATCH(AJ33,'[2]02_Arquetipos_Miedo_Sesgo'!$A$4:$A$8,0)),"")</f>
        <v>Miedo a ser engañado, robado, manipulado o usado electoralmente.</v>
      </c>
      <c r="AL33" s="9" t="str">
        <f>IFERROR(INDEX('[2]02_Arquetipos_Miedo_Sesgo'!$D$4:$D$8,MATCH(AJ33,'[2]02_Arquetipos_Miedo_Sesgo'!$A$4:$A$8,0)),"")</f>
        <v>Sesgo de confirmación + cinismo político + efecto de indignación moral.</v>
      </c>
      <c r="AM33" s="9" t="str">
        <f>IFERROR(INDEX('[2]02_Arquetipos_Miedo_Sesgo'!$E$4:$E$8,MATCH(AJ33,'[2]02_Arquetipos_Miedo_Sesgo'!$A$4:$A$8,0)),"")</f>
        <v>Transparencia, control político, lucha anticorrupción, vigilancia ciudadana, ejecución presupuestal y sanción a abusos.</v>
      </c>
      <c r="AN33" s="9" t="str">
        <f t="shared" si="1"/>
        <v>Alta</v>
      </c>
      <c r="AO33" s="9" t="s">
        <v>485</v>
      </c>
    </row>
    <row r="34" spans="1:41" ht="28.8">
      <c r="A34" s="9" t="s">
        <v>164</v>
      </c>
      <c r="B34" s="9" t="s">
        <v>150</v>
      </c>
      <c r="C34" s="9" t="s">
        <v>165</v>
      </c>
      <c r="D34" s="10">
        <v>5366</v>
      </c>
      <c r="E34" s="10">
        <v>4472</v>
      </c>
      <c r="F34" s="10">
        <v>3768</v>
      </c>
      <c r="G34" s="9" t="s">
        <v>477</v>
      </c>
      <c r="H34" s="11">
        <v>0.48005963473723451</v>
      </c>
      <c r="I34" s="11">
        <v>0.200708162504659</v>
      </c>
      <c r="J34" s="9" t="s">
        <v>478</v>
      </c>
      <c r="K34" s="11">
        <v>0.22003577817531311</v>
      </c>
      <c r="L34" s="11">
        <v>0.1131484794275492</v>
      </c>
      <c r="M34" s="9" t="s">
        <v>479</v>
      </c>
      <c r="N34" s="11">
        <v>0.28476645435244158</v>
      </c>
      <c r="O34" s="11">
        <v>4.1135881104033989E-2</v>
      </c>
      <c r="P34" s="12">
        <v>7.7392729533794419E-2</v>
      </c>
      <c r="Q34" s="9" t="s">
        <v>412</v>
      </c>
      <c r="R34" s="12">
        <v>8.0000000000000002E-3</v>
      </c>
      <c r="S34" s="9" t="s">
        <v>412</v>
      </c>
      <c r="T34" s="12">
        <v>-0.41199999999999998</v>
      </c>
      <c r="U34" s="12">
        <v>4.1130909844598142E-2</v>
      </c>
      <c r="V34" s="9" t="s">
        <v>412</v>
      </c>
      <c r="W34" s="9" t="s">
        <v>480</v>
      </c>
      <c r="X34" s="9" t="s">
        <v>60</v>
      </c>
      <c r="Y34" s="9" t="s">
        <v>481</v>
      </c>
      <c r="Z34" s="9" t="s">
        <v>482</v>
      </c>
      <c r="AA34" s="9" t="s">
        <v>483</v>
      </c>
      <c r="AB34" s="12">
        <v>0.1772528033974119</v>
      </c>
      <c r="AC34" s="12">
        <v>0.20418240502721244</v>
      </c>
      <c r="AD34" s="12">
        <v>0.2128181257326662</v>
      </c>
      <c r="AE34" s="12">
        <v>0.20692613058691539</v>
      </c>
      <c r="AF34" s="12">
        <v>0.19935612201035141</v>
      </c>
      <c r="AG34" s="9" t="str">
        <f>INDEX('[2]10_Listas'!$A$2:$A$6,MATCH(MAX(AB34:AF34),AB34:AF34,0))</f>
        <v>Supervivencia económica y servicios básicos</v>
      </c>
      <c r="AH34" s="9" t="s">
        <v>491</v>
      </c>
      <c r="AI34" s="9"/>
      <c r="AJ34" s="9" t="str">
        <f t="shared" si="0"/>
        <v>Supervivencia económica y servicios básicos</v>
      </c>
      <c r="AK34" s="9" t="str">
        <f>IFERROR(INDEX('[2]02_Arquetipos_Miedo_Sesgo'!$C$4:$C$8,MATCH(AJ34,'[2]02_Arquetipos_Miedo_Sesgo'!$A$4:$A$8,0)),"")</f>
        <v>Miedo a no llegar a fin de mes, perder ingresos, empleo, movilidad o acceso a servicios básicos.</v>
      </c>
      <c r="AL34" s="9" t="str">
        <f>IFERROR(INDEX('[2]02_Arquetipos_Miedo_Sesgo'!$D$4:$D$8,MATCH(AJ34,'[2]02_Arquetipos_Miedo_Sesgo'!$A$4:$A$8,0)),"")</f>
        <v>Sesgo de escasez + presente dominante + aversión al riesgo económico.</v>
      </c>
      <c r="AM34" s="9" t="str">
        <f>IFERROR(INDEX('[2]02_Arquetipos_Miedo_Sesgo'!$E$4:$E$8,MATCH(AJ34,'[2]02_Arquetipos_Miedo_Sesgo'!$A$4:$A$8,0)),"")</f>
        <v>Empleo, emprendimiento, economía popular, transporte, costo de vida, salud, educación técnica y subsidios focalizados.</v>
      </c>
      <c r="AN34" s="9" t="str">
        <f t="shared" si="1"/>
        <v>Alta</v>
      </c>
      <c r="AO34" s="9" t="s">
        <v>485</v>
      </c>
    </row>
    <row r="35" spans="1:41" ht="28.8">
      <c r="A35" s="9" t="s">
        <v>162</v>
      </c>
      <c r="B35" s="9" t="s">
        <v>150</v>
      </c>
      <c r="C35" s="9" t="s">
        <v>163</v>
      </c>
      <c r="D35" s="10">
        <v>5740</v>
      </c>
      <c r="E35" s="10">
        <v>4563</v>
      </c>
      <c r="F35" s="10">
        <v>3651</v>
      </c>
      <c r="G35" s="9" t="s">
        <v>477</v>
      </c>
      <c r="H35" s="11">
        <v>0.56986062717770036</v>
      </c>
      <c r="I35" s="11">
        <v>0.36794425087108018</v>
      </c>
      <c r="J35" s="9" t="s">
        <v>478</v>
      </c>
      <c r="K35" s="11">
        <v>0.20293666447512601</v>
      </c>
      <c r="L35" s="11">
        <v>7.626561472715318E-2</v>
      </c>
      <c r="M35" s="9" t="s">
        <v>479</v>
      </c>
      <c r="N35" s="11">
        <v>0.31799506984387838</v>
      </c>
      <c r="O35" s="11">
        <v>7.0117775951794026E-2</v>
      </c>
      <c r="P35" s="12">
        <v>7.7392729533794419E-2</v>
      </c>
      <c r="Q35" s="9" t="s">
        <v>412</v>
      </c>
      <c r="R35" s="12">
        <v>8.0000000000000002E-3</v>
      </c>
      <c r="S35" s="9" t="s">
        <v>412</v>
      </c>
      <c r="T35" s="12">
        <v>-0.41199999999999998</v>
      </c>
      <c r="U35" s="12">
        <v>4.1130909844598142E-2</v>
      </c>
      <c r="V35" s="9" t="s">
        <v>412</v>
      </c>
      <c r="W35" s="9" t="s">
        <v>480</v>
      </c>
      <c r="X35" s="9" t="s">
        <v>60</v>
      </c>
      <c r="Y35" s="9" t="s">
        <v>481</v>
      </c>
      <c r="Z35" s="9" t="s">
        <v>482</v>
      </c>
      <c r="AA35" s="9" t="s">
        <v>483</v>
      </c>
      <c r="AB35" s="12">
        <v>0.1549441234896321</v>
      </c>
      <c r="AC35" s="12">
        <v>0.21440976202341783</v>
      </c>
      <c r="AD35" s="12">
        <v>0.21717733032443212</v>
      </c>
      <c r="AE35" s="12">
        <v>0.2208654094481082</v>
      </c>
      <c r="AF35" s="12">
        <v>0.1926722105161468</v>
      </c>
      <c r="AG35" s="9" t="str">
        <f>INDEX('[2]10_Listas'!$A$2:$A$6,MATCH(MAX(AB35:AF35),AB35:AF35,0))</f>
        <v>Desconfianza y castigo</v>
      </c>
      <c r="AH35" s="9" t="s">
        <v>484</v>
      </c>
      <c r="AI35" s="9"/>
      <c r="AJ35" s="9" t="str">
        <f t="shared" si="0"/>
        <v>Desconfianza y castigo</v>
      </c>
      <c r="AK35" s="9" t="str">
        <f>IFERROR(INDEX('[2]02_Arquetipos_Miedo_Sesgo'!$C$4:$C$8,MATCH(AJ35,'[2]02_Arquetipos_Miedo_Sesgo'!$A$4:$A$8,0)),"")</f>
        <v>Miedo a ser engañado, robado, manipulado o usado electoralmente.</v>
      </c>
      <c r="AL35" s="9" t="str">
        <f>IFERROR(INDEX('[2]02_Arquetipos_Miedo_Sesgo'!$D$4:$D$8,MATCH(AJ35,'[2]02_Arquetipos_Miedo_Sesgo'!$A$4:$A$8,0)),"")</f>
        <v>Sesgo de confirmación + cinismo político + efecto de indignación moral.</v>
      </c>
      <c r="AM35" s="9" t="str">
        <f>IFERROR(INDEX('[2]02_Arquetipos_Miedo_Sesgo'!$E$4:$E$8,MATCH(AJ35,'[2]02_Arquetipos_Miedo_Sesgo'!$A$4:$A$8,0)),"")</f>
        <v>Transparencia, control político, lucha anticorrupción, vigilancia ciudadana, ejecución presupuestal y sanción a abusos.</v>
      </c>
      <c r="AN35" s="9" t="str">
        <f t="shared" si="1"/>
        <v>Alta</v>
      </c>
      <c r="AO35" s="9" t="s">
        <v>485</v>
      </c>
    </row>
    <row r="36" spans="1:41" ht="28.8">
      <c r="A36" s="9" t="s">
        <v>160</v>
      </c>
      <c r="B36" s="9" t="s">
        <v>150</v>
      </c>
      <c r="C36" s="9" t="s">
        <v>161</v>
      </c>
      <c r="D36" s="10">
        <v>5473</v>
      </c>
      <c r="E36" s="10">
        <v>4536</v>
      </c>
      <c r="F36" s="10">
        <v>3175</v>
      </c>
      <c r="G36" s="9" t="s">
        <v>477</v>
      </c>
      <c r="H36" s="11">
        <v>0.5737255618490773</v>
      </c>
      <c r="I36" s="11">
        <v>0.36725744564224372</v>
      </c>
      <c r="J36" s="9" t="s">
        <v>478</v>
      </c>
      <c r="K36" s="11">
        <v>0.23368606701940031</v>
      </c>
      <c r="L36" s="11">
        <v>0.1005291005291005</v>
      </c>
      <c r="M36" s="9" t="s">
        <v>486</v>
      </c>
      <c r="N36" s="11">
        <v>0.32346456692913378</v>
      </c>
      <c r="O36" s="11">
        <v>8.7244094488188956E-2</v>
      </c>
      <c r="P36" s="12">
        <v>7.7392729533794419E-2</v>
      </c>
      <c r="Q36" s="9" t="s">
        <v>412</v>
      </c>
      <c r="R36" s="12">
        <v>-0.45700000000000002</v>
      </c>
      <c r="S36" s="9" t="s">
        <v>75</v>
      </c>
      <c r="T36" s="12">
        <v>0.104</v>
      </c>
      <c r="U36" s="12">
        <v>6.0464243177931483E-2</v>
      </c>
      <c r="V36" s="9" t="s">
        <v>412</v>
      </c>
      <c r="W36" s="9" t="s">
        <v>487</v>
      </c>
      <c r="X36" s="9" t="s">
        <v>60</v>
      </c>
      <c r="Y36" s="9" t="s">
        <v>481</v>
      </c>
      <c r="Z36" s="9" t="s">
        <v>482</v>
      </c>
      <c r="AA36" s="9" t="s">
        <v>483</v>
      </c>
      <c r="AB36" s="12">
        <v>0.15004166506728711</v>
      </c>
      <c r="AC36" s="12">
        <v>0.20486563953433817</v>
      </c>
      <c r="AD36" s="12">
        <v>0.20968110072601251</v>
      </c>
      <c r="AE36" s="12">
        <v>0.2401429744006375</v>
      </c>
      <c r="AF36" s="12">
        <v>0.19375318869531821</v>
      </c>
      <c r="AG36" s="9" t="str">
        <f>INDEX('[2]10_Listas'!$A$2:$A$6,MATCH(MAX(AB36:AF36),AB36:AF36,0))</f>
        <v>Desconfianza y castigo</v>
      </c>
      <c r="AH36" s="9" t="s">
        <v>488</v>
      </c>
      <c r="AI36" s="9"/>
      <c r="AJ36" s="9" t="str">
        <f t="shared" si="0"/>
        <v>Desconfianza y castigo</v>
      </c>
      <c r="AK36" s="9" t="str">
        <f>IFERROR(INDEX('[2]02_Arquetipos_Miedo_Sesgo'!$C$4:$C$8,MATCH(AJ36,'[2]02_Arquetipos_Miedo_Sesgo'!$A$4:$A$8,0)),"")</f>
        <v>Miedo a ser engañado, robado, manipulado o usado electoralmente.</v>
      </c>
      <c r="AL36" s="9" t="str">
        <f>IFERROR(INDEX('[2]02_Arquetipos_Miedo_Sesgo'!$D$4:$D$8,MATCH(AJ36,'[2]02_Arquetipos_Miedo_Sesgo'!$A$4:$A$8,0)),"")</f>
        <v>Sesgo de confirmación + cinismo político + efecto de indignación moral.</v>
      </c>
      <c r="AM36" s="9" t="str">
        <f>IFERROR(INDEX('[2]02_Arquetipos_Miedo_Sesgo'!$E$4:$E$8,MATCH(AJ36,'[2]02_Arquetipos_Miedo_Sesgo'!$A$4:$A$8,0)),"")</f>
        <v>Transparencia, control político, lucha anticorrupción, vigilancia ciudadana, ejecución presupuestal y sanción a abusos.</v>
      </c>
      <c r="AN36" s="9" t="str">
        <f t="shared" si="1"/>
        <v>Alta</v>
      </c>
      <c r="AO36" s="9" t="s">
        <v>485</v>
      </c>
    </row>
    <row r="37" spans="1:41" ht="28.8">
      <c r="A37" s="9" t="s">
        <v>168</v>
      </c>
      <c r="B37" s="9" t="s">
        <v>150</v>
      </c>
      <c r="C37" s="9" t="s">
        <v>169</v>
      </c>
      <c r="D37" s="10">
        <v>1185</v>
      </c>
      <c r="E37" s="10">
        <v>983</v>
      </c>
      <c r="F37" s="10">
        <v>792</v>
      </c>
      <c r="G37" s="9" t="s">
        <v>477</v>
      </c>
      <c r="H37" s="11">
        <v>0.52151898734177216</v>
      </c>
      <c r="I37" s="11">
        <v>0.23291139240506331</v>
      </c>
      <c r="J37" s="9" t="s">
        <v>478</v>
      </c>
      <c r="K37" s="11">
        <v>0.21668362156663279</v>
      </c>
      <c r="L37" s="11">
        <v>2.644964394710073E-2</v>
      </c>
      <c r="M37" s="9" t="s">
        <v>506</v>
      </c>
      <c r="N37" s="11">
        <v>0.27020202020202022</v>
      </c>
      <c r="O37" s="11">
        <v>5.6818181818181851E-2</v>
      </c>
      <c r="P37" s="12">
        <v>7.7392729533794419E-2</v>
      </c>
      <c r="Q37" s="9" t="s">
        <v>412</v>
      </c>
      <c r="R37" s="12">
        <v>0.127</v>
      </c>
      <c r="S37" s="9" t="s">
        <v>412</v>
      </c>
      <c r="T37" s="12">
        <v>-0.224</v>
      </c>
      <c r="U37" s="12">
        <v>7.3797576511264798E-2</v>
      </c>
      <c r="V37" s="9" t="s">
        <v>412</v>
      </c>
      <c r="W37" s="9" t="s">
        <v>480</v>
      </c>
      <c r="X37" s="9" t="s">
        <v>60</v>
      </c>
      <c r="Y37" s="9" t="s">
        <v>481</v>
      </c>
      <c r="Z37" s="9" t="s">
        <v>482</v>
      </c>
      <c r="AA37" s="9" t="s">
        <v>483</v>
      </c>
      <c r="AB37" s="12">
        <v>0.1844752863224409</v>
      </c>
      <c r="AC37" s="12">
        <v>0.2257432090146996</v>
      </c>
      <c r="AD37" s="12">
        <v>0.2242490511927038</v>
      </c>
      <c r="AE37" s="12">
        <v>0.2089952525238318</v>
      </c>
      <c r="AF37" s="12">
        <v>0.16775731959108309</v>
      </c>
      <c r="AG37" s="9" t="str">
        <f>INDEX('[2]10_Listas'!$A$2:$A$6,MATCH(MAX(AB37:AF37),AB37:AF37,0))</f>
        <v>Estabilidad y continuidad</v>
      </c>
      <c r="AH37" s="9" t="s">
        <v>491</v>
      </c>
      <c r="AI37" s="9"/>
      <c r="AJ37" s="9" t="str">
        <f t="shared" si="0"/>
        <v>Estabilidad y continuidad</v>
      </c>
      <c r="AK37" s="9" t="str">
        <f>IFERROR(INDEX('[2]02_Arquetipos_Miedo_Sesgo'!$C$4:$C$8,MATCH(AJ37,'[2]02_Arquetipos_Miedo_Sesgo'!$A$4:$A$8,0)),"")</f>
        <v>Miedo a perder beneficios, subsidios, estabilidad institucional o condiciones de vida ya alcanzadas.</v>
      </c>
      <c r="AL37" s="9" t="str">
        <f>IFERROR(INDEX('[2]02_Arquetipos_Miedo_Sesgo'!$D$4:$D$8,MATCH(AJ37,'[2]02_Arquetipos_Miedo_Sesgo'!$A$4:$A$8,0)),"")</f>
        <v>Aversión a la pérdida + sesgo de statu quo + confirmación.</v>
      </c>
      <c r="AM37" s="9" t="str">
        <f>IFERROR(INDEX('[2]02_Arquetipos_Miedo_Sesgo'!$E$4:$E$8,MATCH(AJ37,'[2]02_Arquetipos_Miedo_Sesgo'!$A$4:$A$8,0)),"")</f>
        <v>Continuidad administrativa, servicios públicos, infraestructura, salud, educación y programas sociales.</v>
      </c>
      <c r="AN37" s="9" t="str">
        <f t="shared" si="1"/>
        <v>Alta</v>
      </c>
      <c r="AO37" s="9" t="s">
        <v>485</v>
      </c>
    </row>
    <row r="38" spans="1:41" ht="28.8">
      <c r="A38" s="9" t="s">
        <v>149</v>
      </c>
      <c r="B38" s="9" t="s">
        <v>150</v>
      </c>
      <c r="C38" s="9" t="s">
        <v>151</v>
      </c>
      <c r="D38" s="10">
        <v>6093</v>
      </c>
      <c r="E38" s="10">
        <v>4837</v>
      </c>
      <c r="F38" s="10">
        <v>3709</v>
      </c>
      <c r="G38" s="9" t="s">
        <v>477</v>
      </c>
      <c r="H38" s="11">
        <v>0.50320039389463322</v>
      </c>
      <c r="I38" s="11">
        <v>0.23124897423272611</v>
      </c>
      <c r="J38" s="9" t="s">
        <v>478</v>
      </c>
      <c r="K38" s="11">
        <v>0.18978705809385979</v>
      </c>
      <c r="L38" s="11">
        <v>3.9487285507545988E-2</v>
      </c>
      <c r="M38" s="9" t="s">
        <v>479</v>
      </c>
      <c r="N38" s="11">
        <v>0.29927204098139659</v>
      </c>
      <c r="O38" s="11">
        <v>6.5516311674305744E-2</v>
      </c>
      <c r="P38" s="12">
        <v>7.7392729533794419E-2</v>
      </c>
      <c r="Q38" s="9" t="s">
        <v>412</v>
      </c>
      <c r="R38" s="12">
        <v>8.0000000000000002E-3</v>
      </c>
      <c r="S38" s="9" t="s">
        <v>412</v>
      </c>
      <c r="T38" s="12">
        <v>-0.41199999999999998</v>
      </c>
      <c r="U38" s="12">
        <v>4.1130909844598142E-2</v>
      </c>
      <c r="V38" s="9" t="s">
        <v>412</v>
      </c>
      <c r="W38" s="9" t="s">
        <v>480</v>
      </c>
      <c r="X38" s="9" t="s">
        <v>60</v>
      </c>
      <c r="Y38" s="9" t="s">
        <v>481</v>
      </c>
      <c r="Z38" s="9" t="s">
        <v>482</v>
      </c>
      <c r="AA38" s="9" t="s">
        <v>483</v>
      </c>
      <c r="AB38" s="12">
        <v>0.1836059312045849</v>
      </c>
      <c r="AC38" s="12">
        <v>0.21230238707167448</v>
      </c>
      <c r="AD38" s="12">
        <v>0.21531524752234341</v>
      </c>
      <c r="AE38" s="12">
        <v>0.21618202634911629</v>
      </c>
      <c r="AF38" s="12">
        <v>0.18051201718545759</v>
      </c>
      <c r="AG38" s="9" t="str">
        <f>INDEX('[2]10_Listas'!$A$2:$A$6,MATCH(MAX(AB38:AF38),AB38:AF38,0))</f>
        <v>Desconfianza y castigo</v>
      </c>
      <c r="AH38" s="9" t="s">
        <v>491</v>
      </c>
      <c r="AI38" s="9"/>
      <c r="AJ38" s="9" t="str">
        <f t="shared" si="0"/>
        <v>Desconfianza y castigo</v>
      </c>
      <c r="AK38" s="9" t="str">
        <f>IFERROR(INDEX('[2]02_Arquetipos_Miedo_Sesgo'!$C$4:$C$8,MATCH(AJ38,'[2]02_Arquetipos_Miedo_Sesgo'!$A$4:$A$8,0)),"")</f>
        <v>Miedo a ser engañado, robado, manipulado o usado electoralmente.</v>
      </c>
      <c r="AL38" s="9" t="str">
        <f>IFERROR(INDEX('[2]02_Arquetipos_Miedo_Sesgo'!$D$4:$D$8,MATCH(AJ38,'[2]02_Arquetipos_Miedo_Sesgo'!$A$4:$A$8,0)),"")</f>
        <v>Sesgo de confirmación + cinismo político + efecto de indignación moral.</v>
      </c>
      <c r="AM38" s="9" t="str">
        <f>IFERROR(INDEX('[2]02_Arquetipos_Miedo_Sesgo'!$E$4:$E$8,MATCH(AJ38,'[2]02_Arquetipos_Miedo_Sesgo'!$A$4:$A$8,0)),"")</f>
        <v>Transparencia, control político, lucha anticorrupción, vigilancia ciudadana, ejecución presupuestal y sanción a abusos.</v>
      </c>
      <c r="AN38" s="9" t="str">
        <f t="shared" si="1"/>
        <v>Alta</v>
      </c>
      <c r="AO38" s="9" t="s">
        <v>485</v>
      </c>
    </row>
    <row r="39" spans="1:41" ht="28.8">
      <c r="A39" s="9" t="s">
        <v>507</v>
      </c>
      <c r="B39" s="9" t="s">
        <v>150</v>
      </c>
      <c r="C39" s="9" t="s">
        <v>508</v>
      </c>
      <c r="D39" s="10">
        <v>517</v>
      </c>
      <c r="E39" s="10">
        <v>466</v>
      </c>
      <c r="F39" s="10">
        <v>344</v>
      </c>
      <c r="G39" s="9" t="s">
        <v>477</v>
      </c>
      <c r="H39" s="11">
        <v>0.46808510638297868</v>
      </c>
      <c r="I39" s="11">
        <v>0.17214700193423599</v>
      </c>
      <c r="J39" s="9" t="s">
        <v>509</v>
      </c>
      <c r="K39" s="11">
        <v>0.2188841201716738</v>
      </c>
      <c r="L39" s="11">
        <v>6.0085836909871272E-2</v>
      </c>
      <c r="M39" s="9" t="s">
        <v>486</v>
      </c>
      <c r="N39" s="11">
        <v>0.27325581395348841</v>
      </c>
      <c r="O39" s="11">
        <v>2.3255813953488361E-2</v>
      </c>
      <c r="P39" s="12">
        <v>8.1657697559660736E-2</v>
      </c>
      <c r="Q39" s="9" t="s">
        <v>412</v>
      </c>
      <c r="R39" s="12">
        <v>-0.45700000000000002</v>
      </c>
      <c r="S39" s="9" t="s">
        <v>75</v>
      </c>
      <c r="T39" s="12">
        <v>-5.0000000000000001E-3</v>
      </c>
      <c r="U39" s="12">
        <v>2.7219232519886911E-2</v>
      </c>
      <c r="V39" s="9" t="s">
        <v>412</v>
      </c>
      <c r="W39" s="9" t="s">
        <v>510</v>
      </c>
      <c r="X39" s="9" t="s">
        <v>60</v>
      </c>
      <c r="Y39" s="9" t="s">
        <v>481</v>
      </c>
      <c r="Z39" s="9" t="s">
        <v>482</v>
      </c>
      <c r="AA39" s="9" t="s">
        <v>483</v>
      </c>
      <c r="AB39" s="12">
        <v>0.18147570763204801</v>
      </c>
      <c r="AC39" s="12">
        <v>0.2236336644748684</v>
      </c>
      <c r="AD39" s="12">
        <v>0.22223758768696691</v>
      </c>
      <c r="AE39" s="12">
        <v>0.22040109151467771</v>
      </c>
      <c r="AF39" s="12">
        <v>0.17015357685758559</v>
      </c>
      <c r="AG39" s="9" t="str">
        <f>INDEX('[2]10_Listas'!$A$2:$A$6,MATCH(MAX(AB39:AF39),AB39:AF39,0))</f>
        <v>Estabilidad y continuidad</v>
      </c>
      <c r="AH39" s="9" t="s">
        <v>491</v>
      </c>
      <c r="AI39" s="9"/>
      <c r="AJ39" s="9" t="str">
        <f t="shared" si="0"/>
        <v>Estabilidad y continuidad</v>
      </c>
      <c r="AK39" s="9" t="str">
        <f>IFERROR(INDEX('[2]02_Arquetipos_Miedo_Sesgo'!$C$4:$C$8,MATCH(AJ39,'[2]02_Arquetipos_Miedo_Sesgo'!$A$4:$A$8,0)),"")</f>
        <v>Miedo a perder beneficios, subsidios, estabilidad institucional o condiciones de vida ya alcanzadas.</v>
      </c>
      <c r="AL39" s="9" t="str">
        <f>IFERROR(INDEX('[2]02_Arquetipos_Miedo_Sesgo'!$D$4:$D$8,MATCH(AJ39,'[2]02_Arquetipos_Miedo_Sesgo'!$A$4:$A$8,0)),"")</f>
        <v>Aversión a la pérdida + sesgo de statu quo + confirmación.</v>
      </c>
      <c r="AM39" s="9" t="str">
        <f>IFERROR(INDEX('[2]02_Arquetipos_Miedo_Sesgo'!$E$4:$E$8,MATCH(AJ39,'[2]02_Arquetipos_Miedo_Sesgo'!$A$4:$A$8,0)),"")</f>
        <v>Continuidad administrativa, servicios públicos, infraestructura, salud, educación y programas sociales.</v>
      </c>
      <c r="AN39" s="9" t="str">
        <f t="shared" si="1"/>
        <v>Alta</v>
      </c>
      <c r="AO39" s="9" t="s">
        <v>485</v>
      </c>
    </row>
    <row r="40" spans="1:41" ht="28.8">
      <c r="A40" s="9" t="s">
        <v>511</v>
      </c>
      <c r="B40" s="9" t="s">
        <v>150</v>
      </c>
      <c r="C40" s="9" t="s">
        <v>512</v>
      </c>
      <c r="D40" s="10">
        <v>3661</v>
      </c>
      <c r="E40" s="10">
        <v>2972</v>
      </c>
      <c r="F40" s="10">
        <v>2162</v>
      </c>
      <c r="G40" s="9" t="s">
        <v>477</v>
      </c>
      <c r="H40" s="11">
        <v>0.60338705271783666</v>
      </c>
      <c r="I40" s="11">
        <v>0.40917782026768651</v>
      </c>
      <c r="J40" s="9" t="s">
        <v>478</v>
      </c>
      <c r="K40" s="11">
        <v>0.23250336473755051</v>
      </c>
      <c r="L40" s="11">
        <v>9.0847913862718732E-2</v>
      </c>
      <c r="M40" s="9" t="s">
        <v>486</v>
      </c>
      <c r="N40" s="11">
        <v>0.30111008325624422</v>
      </c>
      <c r="O40" s="11">
        <v>5.5041628122109172E-2</v>
      </c>
      <c r="P40" s="12">
        <v>7.7392729533794419E-2</v>
      </c>
      <c r="Q40" s="9" t="s">
        <v>412</v>
      </c>
      <c r="R40" s="12">
        <v>-0.45700000000000002</v>
      </c>
      <c r="S40" s="9" t="s">
        <v>75</v>
      </c>
      <c r="T40" s="12">
        <v>0.104</v>
      </c>
      <c r="U40" s="12">
        <v>6.0464243177931483E-2</v>
      </c>
      <c r="V40" s="9" t="s">
        <v>412</v>
      </c>
      <c r="W40" s="9" t="s">
        <v>487</v>
      </c>
      <c r="X40" s="9" t="s">
        <v>60</v>
      </c>
      <c r="Y40" s="9" t="s">
        <v>481</v>
      </c>
      <c r="Z40" s="9" t="s">
        <v>482</v>
      </c>
      <c r="AA40" s="9" t="s">
        <v>483</v>
      </c>
      <c r="AB40" s="12">
        <v>0.1460551536696858</v>
      </c>
      <c r="AC40" s="12">
        <v>0.22297223252563247</v>
      </c>
      <c r="AD40" s="12">
        <v>0.22217191105442052</v>
      </c>
      <c r="AE40" s="12">
        <v>0.22663560375961719</v>
      </c>
      <c r="AF40" s="12">
        <v>0.183465525912621</v>
      </c>
      <c r="AG40" s="9" t="str">
        <f>INDEX('[2]10_Listas'!$A$2:$A$6,MATCH(MAX(AB40:AF40),AB40:AF40,0))</f>
        <v>Desconfianza y castigo</v>
      </c>
      <c r="AH40" s="9" t="s">
        <v>484</v>
      </c>
      <c r="AI40" s="9"/>
      <c r="AJ40" s="9" t="str">
        <f t="shared" si="0"/>
        <v>Desconfianza y castigo</v>
      </c>
      <c r="AK40" s="9" t="str">
        <f>IFERROR(INDEX('[2]02_Arquetipos_Miedo_Sesgo'!$C$4:$C$8,MATCH(AJ40,'[2]02_Arquetipos_Miedo_Sesgo'!$A$4:$A$8,0)),"")</f>
        <v>Miedo a ser engañado, robado, manipulado o usado electoralmente.</v>
      </c>
      <c r="AL40" s="9" t="str">
        <f>IFERROR(INDEX('[2]02_Arquetipos_Miedo_Sesgo'!$D$4:$D$8,MATCH(AJ40,'[2]02_Arquetipos_Miedo_Sesgo'!$A$4:$A$8,0)),"")</f>
        <v>Sesgo de confirmación + cinismo político + efecto de indignación moral.</v>
      </c>
      <c r="AM40" s="9" t="str">
        <f>IFERROR(INDEX('[2]02_Arquetipos_Miedo_Sesgo'!$E$4:$E$8,MATCH(AJ40,'[2]02_Arquetipos_Miedo_Sesgo'!$A$4:$A$8,0)),"")</f>
        <v>Transparencia, control político, lucha anticorrupción, vigilancia ciudadana, ejecución presupuestal y sanción a abusos.</v>
      </c>
      <c r="AN40" s="9" t="str">
        <f t="shared" si="1"/>
        <v>Alta</v>
      </c>
      <c r="AO40" s="9" t="s">
        <v>485</v>
      </c>
    </row>
    <row r="41" spans="1:41" ht="28.8">
      <c r="A41" s="9" t="s">
        <v>171</v>
      </c>
      <c r="B41" s="9" t="s">
        <v>172</v>
      </c>
      <c r="C41" s="9" t="s">
        <v>173</v>
      </c>
      <c r="D41" s="10">
        <v>2389</v>
      </c>
      <c r="E41" s="10">
        <v>1987</v>
      </c>
      <c r="F41" s="10">
        <v>1898</v>
      </c>
      <c r="G41" s="9" t="s">
        <v>477</v>
      </c>
      <c r="H41" s="11">
        <v>0.36919213059857681</v>
      </c>
      <c r="I41" s="11">
        <v>7.4089577228966086E-2</v>
      </c>
      <c r="J41" s="9" t="s">
        <v>478</v>
      </c>
      <c r="K41" s="11">
        <v>0.2068444891796678</v>
      </c>
      <c r="L41" s="11">
        <v>4.5294413688978352E-2</v>
      </c>
      <c r="M41" s="9" t="s">
        <v>479</v>
      </c>
      <c r="N41" s="11">
        <v>0.20706006322444681</v>
      </c>
      <c r="O41" s="11">
        <v>1.7913593256059009E-2</v>
      </c>
      <c r="P41" s="12">
        <v>7.7392729533794419E-2</v>
      </c>
      <c r="Q41" s="9" t="s">
        <v>412</v>
      </c>
      <c r="R41" s="12">
        <v>8.0000000000000002E-3</v>
      </c>
      <c r="S41" s="9" t="s">
        <v>412</v>
      </c>
      <c r="T41" s="12">
        <v>-0.41199999999999998</v>
      </c>
      <c r="U41" s="12">
        <v>4.1130909844598142E-2</v>
      </c>
      <c r="V41" s="9" t="s">
        <v>412</v>
      </c>
      <c r="W41" s="9" t="s">
        <v>480</v>
      </c>
      <c r="X41" s="9" t="s">
        <v>513</v>
      </c>
      <c r="Y41" s="9" t="s">
        <v>514</v>
      </c>
      <c r="Z41" s="9" t="s">
        <v>515</v>
      </c>
      <c r="AA41" s="9" t="s">
        <v>516</v>
      </c>
      <c r="AB41" s="12">
        <v>0.18953694446110039</v>
      </c>
      <c r="AC41" s="12">
        <v>0.20841742501402633</v>
      </c>
      <c r="AD41" s="12">
        <v>0.21620518211057305</v>
      </c>
      <c r="AE41" s="12">
        <v>0.21444177115388099</v>
      </c>
      <c r="AF41" s="12">
        <v>0.1849700767232961</v>
      </c>
      <c r="AG41" s="9" t="str">
        <f>INDEX('[2]10_Listas'!$A$2:$A$6,MATCH(MAX(AB41:AF41),AB41:AF41,0))</f>
        <v>Supervivencia económica y servicios básicos</v>
      </c>
      <c r="AH41" s="9" t="s">
        <v>491</v>
      </c>
      <c r="AI41" s="9"/>
      <c r="AJ41" s="9" t="str">
        <f t="shared" si="0"/>
        <v>Supervivencia económica y servicios básicos</v>
      </c>
      <c r="AK41" s="9" t="str">
        <f>IFERROR(INDEX('[2]02_Arquetipos_Miedo_Sesgo'!$C$4:$C$8,MATCH(AJ41,'[2]02_Arquetipos_Miedo_Sesgo'!$A$4:$A$8,0)),"")</f>
        <v>Miedo a no llegar a fin de mes, perder ingresos, empleo, movilidad o acceso a servicios básicos.</v>
      </c>
      <c r="AL41" s="9" t="str">
        <f>IFERROR(INDEX('[2]02_Arquetipos_Miedo_Sesgo'!$D$4:$D$8,MATCH(AJ41,'[2]02_Arquetipos_Miedo_Sesgo'!$A$4:$A$8,0)),"")</f>
        <v>Sesgo de escasez + presente dominante + aversión al riesgo económico.</v>
      </c>
      <c r="AM41" s="9" t="str">
        <f>IFERROR(INDEX('[2]02_Arquetipos_Miedo_Sesgo'!$E$4:$E$8,MATCH(AJ41,'[2]02_Arquetipos_Miedo_Sesgo'!$A$4:$A$8,0)),"")</f>
        <v>Empleo, emprendimiento, economía popular, transporte, costo de vida, salud, educación técnica y subsidios focalizados.</v>
      </c>
      <c r="AN41" s="9" t="str">
        <f t="shared" si="1"/>
        <v>Alta</v>
      </c>
      <c r="AO41" s="9" t="s">
        <v>485</v>
      </c>
    </row>
    <row r="42" spans="1:41" ht="28.8">
      <c r="A42" s="9" t="s">
        <v>178</v>
      </c>
      <c r="B42" s="9" t="s">
        <v>179</v>
      </c>
      <c r="C42" s="9" t="s">
        <v>180</v>
      </c>
      <c r="D42" s="10">
        <v>2945</v>
      </c>
      <c r="E42" s="10">
        <v>2491</v>
      </c>
      <c r="F42" s="10">
        <v>2093</v>
      </c>
      <c r="G42" s="9" t="s">
        <v>477</v>
      </c>
      <c r="H42" s="11">
        <v>0.54974533106960954</v>
      </c>
      <c r="I42" s="11">
        <v>0.3415959252971138</v>
      </c>
      <c r="J42" s="9" t="s">
        <v>517</v>
      </c>
      <c r="K42" s="11">
        <v>0.22521075873143309</v>
      </c>
      <c r="L42" s="11">
        <v>2.6495383380168599E-2</v>
      </c>
      <c r="M42" s="9" t="s">
        <v>486</v>
      </c>
      <c r="N42" s="11">
        <v>0.43956043956043961</v>
      </c>
      <c r="O42" s="11">
        <v>0.19063545150501671</v>
      </c>
      <c r="P42" s="12">
        <v>0.25806021801569468</v>
      </c>
      <c r="Q42" s="9" t="s">
        <v>412</v>
      </c>
      <c r="R42" s="12">
        <v>-0.45700000000000002</v>
      </c>
      <c r="S42" s="9" t="s">
        <v>75</v>
      </c>
      <c r="T42" s="12">
        <v>9.2999999999999999E-2</v>
      </c>
      <c r="U42" s="12">
        <v>0.11702007267189821</v>
      </c>
      <c r="V42" s="9" t="s">
        <v>73</v>
      </c>
      <c r="W42" s="9" t="s">
        <v>487</v>
      </c>
      <c r="X42" s="9" t="s">
        <v>513</v>
      </c>
      <c r="Y42" s="9" t="s">
        <v>514</v>
      </c>
      <c r="Z42" s="9" t="s">
        <v>515</v>
      </c>
      <c r="AA42" s="9" t="s">
        <v>483</v>
      </c>
      <c r="AB42" s="12">
        <v>0.14833460574741539</v>
      </c>
      <c r="AC42" s="12">
        <v>0.20627804587221774</v>
      </c>
      <c r="AD42" s="12">
        <v>0.21240218437447847</v>
      </c>
      <c r="AE42" s="12">
        <v>0.22126615736686869</v>
      </c>
      <c r="AF42" s="12">
        <v>0.20935253291732561</v>
      </c>
      <c r="AG42" s="9" t="str">
        <f>INDEX('[2]10_Listas'!$A$2:$A$6,MATCH(MAX(AB42:AF42),AB42:AF42,0))</f>
        <v>Desconfianza y castigo</v>
      </c>
      <c r="AH42" s="9" t="s">
        <v>488</v>
      </c>
      <c r="AI42" s="9"/>
      <c r="AJ42" s="9" t="str">
        <f t="shared" si="0"/>
        <v>Desconfianza y castigo</v>
      </c>
      <c r="AK42" s="9" t="str">
        <f>IFERROR(INDEX('[2]02_Arquetipos_Miedo_Sesgo'!$C$4:$C$8,MATCH(AJ42,'[2]02_Arquetipos_Miedo_Sesgo'!$A$4:$A$8,0)),"")</f>
        <v>Miedo a ser engañado, robado, manipulado o usado electoralmente.</v>
      </c>
      <c r="AL42" s="9" t="str">
        <f>IFERROR(INDEX('[2]02_Arquetipos_Miedo_Sesgo'!$D$4:$D$8,MATCH(AJ42,'[2]02_Arquetipos_Miedo_Sesgo'!$A$4:$A$8,0)),"")</f>
        <v>Sesgo de confirmación + cinismo político + efecto de indignación moral.</v>
      </c>
      <c r="AM42" s="9" t="str">
        <f>IFERROR(INDEX('[2]02_Arquetipos_Miedo_Sesgo'!$E$4:$E$8,MATCH(AJ42,'[2]02_Arquetipos_Miedo_Sesgo'!$A$4:$A$8,0)),"")</f>
        <v>Transparencia, control político, lucha anticorrupción, vigilancia ciudadana, ejecución presupuestal y sanción a abusos.</v>
      </c>
      <c r="AN42" s="9" t="str">
        <f t="shared" si="1"/>
        <v>Alta</v>
      </c>
      <c r="AO42" s="9" t="s">
        <v>485</v>
      </c>
    </row>
    <row r="43" spans="1:41" ht="28.8">
      <c r="A43" s="9" t="s">
        <v>181</v>
      </c>
      <c r="B43" s="9" t="s">
        <v>182</v>
      </c>
      <c r="C43" s="9" t="s">
        <v>183</v>
      </c>
      <c r="D43" s="10">
        <v>131</v>
      </c>
      <c r="E43" s="10">
        <v>118</v>
      </c>
      <c r="F43" s="10">
        <v>0</v>
      </c>
      <c r="G43" s="9" t="s">
        <v>492</v>
      </c>
      <c r="H43" s="11">
        <v>0.38167938931297712</v>
      </c>
      <c r="I43" s="11">
        <v>0.13740458015267179</v>
      </c>
      <c r="J43" s="9" t="s">
        <v>478</v>
      </c>
      <c r="K43" s="11">
        <v>0.2711864406779661</v>
      </c>
      <c r="L43" s="11">
        <v>3.3898305084745763E-2</v>
      </c>
      <c r="M43" s="9" t="s">
        <v>486</v>
      </c>
      <c r="N43" s="11">
        <v>0</v>
      </c>
      <c r="O43" s="11">
        <v>0</v>
      </c>
      <c r="P43" s="12">
        <v>-0.1151436448345239</v>
      </c>
      <c r="Q43" s="9" t="s">
        <v>412</v>
      </c>
      <c r="R43" s="12"/>
      <c r="S43" s="9" t="s">
        <v>518</v>
      </c>
      <c r="T43" s="12">
        <v>0.104</v>
      </c>
      <c r="U43" s="12">
        <v>0.151</v>
      </c>
      <c r="V43" s="9" t="s">
        <v>73</v>
      </c>
      <c r="W43" s="9" t="s">
        <v>493</v>
      </c>
      <c r="X43" s="9" t="s">
        <v>513</v>
      </c>
      <c r="Y43" s="9" t="s">
        <v>514</v>
      </c>
      <c r="Z43" s="9" t="s">
        <v>515</v>
      </c>
      <c r="AA43" s="9" t="s">
        <v>494</v>
      </c>
      <c r="AB43" s="12">
        <v>0.26017329719008869</v>
      </c>
      <c r="AC43" s="12">
        <v>0.23333792233884237</v>
      </c>
      <c r="AD43" s="12">
        <v>0.22077467636409881</v>
      </c>
      <c r="AE43" s="12">
        <v>0.25337607653922189</v>
      </c>
      <c r="AF43" s="12">
        <v>8.247446279158413E-2</v>
      </c>
      <c r="AG43" s="9" t="str">
        <f>INDEX('[2]10_Listas'!$A$2:$A$6,MATCH(MAX(AB43:AF43),AB43:AF43,0))</f>
        <v>Protección y orden cotidiano</v>
      </c>
      <c r="AH43" s="9" t="s">
        <v>491</v>
      </c>
      <c r="AI43" s="9"/>
      <c r="AJ43" s="9" t="str">
        <f t="shared" si="0"/>
        <v>Protección y orden cotidiano</v>
      </c>
      <c r="AK43" s="9" t="str">
        <f>IFERROR(INDEX('[2]02_Arquetipos_Miedo_Sesgo'!$C$4:$C$8,MATCH(AJ43,'[2]02_Arquetipos_Miedo_Sesgo'!$A$4:$A$8,0)),"")</f>
        <v>Miedo a la inseguridad, al descontrol barrial y a perder la tranquilidad cotidiana.</v>
      </c>
      <c r="AL43" s="9" t="str">
        <f>IFERROR(INDEX('[2]02_Arquetipos_Miedo_Sesgo'!$D$4:$D$8,MATCH(AJ43,'[2]02_Arquetipos_Miedo_Sesgo'!$A$4:$A$8,0)),"")</f>
        <v>Sesgo de disponibilidad + sesgo de negatividad + preferencia por autoridad.</v>
      </c>
      <c r="AM43" s="9" t="str">
        <f>IFERROR(INDEX('[2]02_Arquetipos_Miedo_Sesgo'!$E$4:$E$8,MATCH(AJ43,'[2]02_Arquetipos_Miedo_Sesgo'!$A$4:$A$8,0)),"")</f>
        <v>Seguridad, convivencia, movilidad, alumbrado, reacción institucional rápida, presencia de autoridad.</v>
      </c>
      <c r="AN43" s="9" t="str">
        <f t="shared" si="1"/>
        <v>Alta</v>
      </c>
      <c r="AO43" s="9" t="s">
        <v>485</v>
      </c>
    </row>
    <row r="44" spans="1:41" ht="28.8">
      <c r="A44" s="9" t="s">
        <v>184</v>
      </c>
      <c r="B44" s="9" t="s">
        <v>185</v>
      </c>
      <c r="C44" s="9" t="s">
        <v>186</v>
      </c>
      <c r="D44" s="10">
        <v>788</v>
      </c>
      <c r="E44" s="10">
        <v>660</v>
      </c>
      <c r="F44" s="10">
        <v>748</v>
      </c>
      <c r="G44" s="9" t="s">
        <v>477</v>
      </c>
      <c r="H44" s="11">
        <v>0.49619289340101519</v>
      </c>
      <c r="I44" s="11">
        <v>0.27791878172588841</v>
      </c>
      <c r="J44" s="9" t="s">
        <v>478</v>
      </c>
      <c r="K44" s="11">
        <v>0.22727272727272729</v>
      </c>
      <c r="L44" s="11">
        <v>6.363636363636363E-2</v>
      </c>
      <c r="M44" s="9" t="s">
        <v>479</v>
      </c>
      <c r="N44" s="11">
        <v>0.28877005347593582</v>
      </c>
      <c r="O44" s="11">
        <v>4.5454545454545442E-2</v>
      </c>
      <c r="P44" s="12">
        <v>7.7392729533794419E-2</v>
      </c>
      <c r="Q44" s="9" t="s">
        <v>412</v>
      </c>
      <c r="R44" s="12">
        <v>8.0000000000000002E-3</v>
      </c>
      <c r="S44" s="9" t="s">
        <v>412</v>
      </c>
      <c r="T44" s="12">
        <v>-0.41199999999999998</v>
      </c>
      <c r="U44" s="12">
        <v>4.1130909844598142E-2</v>
      </c>
      <c r="V44" s="9" t="s">
        <v>412</v>
      </c>
      <c r="W44" s="9" t="s">
        <v>480</v>
      </c>
      <c r="X44" s="9" t="s">
        <v>513</v>
      </c>
      <c r="Y44" s="9" t="s">
        <v>514</v>
      </c>
      <c r="Z44" s="9" t="s">
        <v>515</v>
      </c>
      <c r="AA44" s="9" t="s">
        <v>483</v>
      </c>
      <c r="AB44" s="12">
        <v>0.15435320047025539</v>
      </c>
      <c r="AC44" s="12">
        <v>0.2215777173429733</v>
      </c>
      <c r="AD44" s="12">
        <v>0.22755513411238473</v>
      </c>
      <c r="AE44" s="12">
        <v>0.18776883478431319</v>
      </c>
      <c r="AF44" s="12">
        <v>0.20701282259448359</v>
      </c>
      <c r="AG44" s="9" t="str">
        <f>INDEX('[2]10_Listas'!$A$2:$A$6,MATCH(MAX(AB44:AF44),AB44:AF44,0))</f>
        <v>Supervivencia económica y servicios básicos</v>
      </c>
      <c r="AH44" s="9" t="s">
        <v>491</v>
      </c>
      <c r="AI44" s="9"/>
      <c r="AJ44" s="9" t="str">
        <f t="shared" si="0"/>
        <v>Supervivencia económica y servicios básicos</v>
      </c>
      <c r="AK44" s="9" t="str">
        <f>IFERROR(INDEX('[2]02_Arquetipos_Miedo_Sesgo'!$C$4:$C$8,MATCH(AJ44,'[2]02_Arquetipos_Miedo_Sesgo'!$A$4:$A$8,0)),"")</f>
        <v>Miedo a no llegar a fin de mes, perder ingresos, empleo, movilidad o acceso a servicios básicos.</v>
      </c>
      <c r="AL44" s="9" t="str">
        <f>IFERROR(INDEX('[2]02_Arquetipos_Miedo_Sesgo'!$D$4:$D$8,MATCH(AJ44,'[2]02_Arquetipos_Miedo_Sesgo'!$A$4:$A$8,0)),"")</f>
        <v>Sesgo de escasez + presente dominante + aversión al riesgo económico.</v>
      </c>
      <c r="AM44" s="9" t="str">
        <f>IFERROR(INDEX('[2]02_Arquetipos_Miedo_Sesgo'!$E$4:$E$8,MATCH(AJ44,'[2]02_Arquetipos_Miedo_Sesgo'!$A$4:$A$8,0)),"")</f>
        <v>Empleo, emprendimiento, economía popular, transporte, costo de vida, salud, educación técnica y subsidios focalizados.</v>
      </c>
      <c r="AN44" s="9" t="str">
        <f t="shared" si="1"/>
        <v>Alta</v>
      </c>
      <c r="AO44" s="9" t="s">
        <v>485</v>
      </c>
    </row>
    <row r="45" spans="1:41" ht="28.8">
      <c r="A45" s="9" t="s">
        <v>519</v>
      </c>
      <c r="B45" s="9" t="s">
        <v>188</v>
      </c>
      <c r="C45" s="9" t="s">
        <v>520</v>
      </c>
      <c r="D45" s="10">
        <v>607</v>
      </c>
      <c r="E45" s="10">
        <v>557</v>
      </c>
      <c r="F45" s="10">
        <v>420</v>
      </c>
      <c r="G45" s="9" t="s">
        <v>492</v>
      </c>
      <c r="H45" s="11">
        <v>0.46952224052718289</v>
      </c>
      <c r="I45" s="11">
        <v>0.1845140032948929</v>
      </c>
      <c r="J45" s="9" t="s">
        <v>478</v>
      </c>
      <c r="K45" s="11">
        <v>0.22621184919210061</v>
      </c>
      <c r="L45" s="11">
        <v>7.3608617594254938E-2</v>
      </c>
      <c r="M45" s="9" t="s">
        <v>486</v>
      </c>
      <c r="N45" s="11">
        <v>0.35952380952380952</v>
      </c>
      <c r="O45" s="11">
        <v>9.0476190476190488E-2</v>
      </c>
      <c r="P45" s="12">
        <v>-0.1151436448345239</v>
      </c>
      <c r="Q45" s="9" t="s">
        <v>412</v>
      </c>
      <c r="R45" s="12">
        <v>0.46899999999999997</v>
      </c>
      <c r="S45" s="9" t="s">
        <v>75</v>
      </c>
      <c r="T45" s="12">
        <v>0.104</v>
      </c>
      <c r="U45" s="12">
        <v>0.151</v>
      </c>
      <c r="V45" s="9" t="s">
        <v>73</v>
      </c>
      <c r="W45" s="9" t="s">
        <v>493</v>
      </c>
      <c r="X45" s="9" t="s">
        <v>513</v>
      </c>
      <c r="Y45" s="9" t="s">
        <v>514</v>
      </c>
      <c r="Z45" s="9" t="s">
        <v>515</v>
      </c>
      <c r="AA45" s="9" t="s">
        <v>494</v>
      </c>
      <c r="AB45" s="12">
        <v>0.22532275342666799</v>
      </c>
      <c r="AC45" s="12">
        <v>0.21367151509517887</v>
      </c>
      <c r="AD45" s="12">
        <v>0.20840975465732628</v>
      </c>
      <c r="AE45" s="12">
        <v>0.17459688136060381</v>
      </c>
      <c r="AF45" s="12">
        <v>0.20855151276632339</v>
      </c>
      <c r="AG45" s="9" t="str">
        <f>INDEX('[2]10_Listas'!$A$2:$A$6,MATCH(MAX(AB45:AF45),AB45:AF45,0))</f>
        <v>Protección y orden cotidiano</v>
      </c>
      <c r="AH45" s="9" t="s">
        <v>495</v>
      </c>
      <c r="AI45" s="9"/>
      <c r="AJ45" s="9" t="str">
        <f t="shared" si="0"/>
        <v>Protección y orden cotidiano</v>
      </c>
      <c r="AK45" s="9" t="str">
        <f>IFERROR(INDEX('[2]02_Arquetipos_Miedo_Sesgo'!$C$4:$C$8,MATCH(AJ45,'[2]02_Arquetipos_Miedo_Sesgo'!$A$4:$A$8,0)),"")</f>
        <v>Miedo a la inseguridad, al descontrol barrial y a perder la tranquilidad cotidiana.</v>
      </c>
      <c r="AL45" s="9" t="str">
        <f>IFERROR(INDEX('[2]02_Arquetipos_Miedo_Sesgo'!$D$4:$D$8,MATCH(AJ45,'[2]02_Arquetipos_Miedo_Sesgo'!$A$4:$A$8,0)),"")</f>
        <v>Sesgo de disponibilidad + sesgo de negatividad + preferencia por autoridad.</v>
      </c>
      <c r="AM45" s="9" t="str">
        <f>IFERROR(INDEX('[2]02_Arquetipos_Miedo_Sesgo'!$E$4:$E$8,MATCH(AJ45,'[2]02_Arquetipos_Miedo_Sesgo'!$A$4:$A$8,0)),"")</f>
        <v>Seguridad, convivencia, movilidad, alumbrado, reacción institucional rápida, presencia de autoridad.</v>
      </c>
      <c r="AN45" s="9" t="str">
        <f t="shared" si="1"/>
        <v>Alta</v>
      </c>
      <c r="AO45" s="9" t="s">
        <v>485</v>
      </c>
    </row>
    <row r="46" spans="1:41" ht="28.8">
      <c r="A46" s="9" t="s">
        <v>187</v>
      </c>
      <c r="B46" s="9" t="s">
        <v>188</v>
      </c>
      <c r="C46" s="9" t="s">
        <v>189</v>
      </c>
      <c r="D46" s="10">
        <v>2755</v>
      </c>
      <c r="E46" s="10">
        <v>2459</v>
      </c>
      <c r="F46" s="10">
        <v>2246</v>
      </c>
      <c r="G46" s="9" t="s">
        <v>477</v>
      </c>
      <c r="H46" s="11">
        <v>0.49147005444646102</v>
      </c>
      <c r="I46" s="11">
        <v>0.19637023593466421</v>
      </c>
      <c r="J46" s="9" t="s">
        <v>478</v>
      </c>
      <c r="K46" s="11">
        <v>0.28222854819032128</v>
      </c>
      <c r="L46" s="11">
        <v>8.0927206181374556E-2</v>
      </c>
      <c r="M46" s="9" t="s">
        <v>486</v>
      </c>
      <c r="N46" s="11">
        <v>0.3530721282279608</v>
      </c>
      <c r="O46" s="11">
        <v>6.1442564559216373E-2</v>
      </c>
      <c r="P46" s="12">
        <v>7.7392729533794419E-2</v>
      </c>
      <c r="Q46" s="9" t="s">
        <v>412</v>
      </c>
      <c r="R46" s="12">
        <v>-0.45700000000000002</v>
      </c>
      <c r="S46" s="9" t="s">
        <v>75</v>
      </c>
      <c r="T46" s="12">
        <v>0.104</v>
      </c>
      <c r="U46" s="12">
        <v>6.0464243177931483E-2</v>
      </c>
      <c r="V46" s="9" t="s">
        <v>412</v>
      </c>
      <c r="W46" s="9" t="s">
        <v>487</v>
      </c>
      <c r="X46" s="9" t="s">
        <v>513</v>
      </c>
      <c r="Y46" s="9" t="s">
        <v>514</v>
      </c>
      <c r="Z46" s="9" t="s">
        <v>515</v>
      </c>
      <c r="AA46" s="9" t="s">
        <v>483</v>
      </c>
      <c r="AB46" s="12">
        <v>0.1740476213365004</v>
      </c>
      <c r="AC46" s="12">
        <v>0.20161428748025251</v>
      </c>
      <c r="AD46" s="12">
        <v>0.21508976615592526</v>
      </c>
      <c r="AE46" s="12">
        <v>0.17534186668399371</v>
      </c>
      <c r="AF46" s="12">
        <v>0.22282355902801931</v>
      </c>
      <c r="AG46" s="9" t="str">
        <f>INDEX('[2]10_Listas'!$A$2:$A$6,MATCH(MAX(AB46:AF46),AB46:AF46,0))</f>
        <v>Pertenencia y dignidad territorial</v>
      </c>
      <c r="AH46" s="9" t="s">
        <v>484</v>
      </c>
      <c r="AI46" s="9"/>
      <c r="AJ46" s="9" t="str">
        <f t="shared" si="0"/>
        <v>Pertenencia y dignidad territorial</v>
      </c>
      <c r="AK46" s="9" t="str">
        <f>IFERROR(INDEX('[2]02_Arquetipos_Miedo_Sesgo'!$C$4:$C$8,MATCH(AJ46,'[2]02_Arquetipos_Miedo_Sesgo'!$A$4:$A$8,0)),"")</f>
        <v>Miedo a ser olvidado, desplazado simbólicamente, estigmatizado o excluido de la inversión pública.</v>
      </c>
      <c r="AL46" s="9" t="str">
        <f>IFERROR(INDEX('[2]02_Arquetipos_Miedo_Sesgo'!$D$4:$D$8,MATCH(AJ46,'[2]02_Arquetipos_Miedo_Sesgo'!$A$4:$A$8,0)),"")</f>
        <v>Sesgo de identidad grupal + razonamiento protector de identidad + efecto halo de liderazgos cercanos.</v>
      </c>
      <c r="AM46" s="9" t="str">
        <f>IFERROR(INDEX('[2]02_Arquetipos_Miedo_Sesgo'!$E$4:$E$8,MATCH(AJ46,'[2]02_Arquetipos_Miedo_Sesgo'!$A$4:$A$8,0)),"")</f>
        <v>Inversión barrial, cultura, deporte, juventud, espacio público, vías locales, equipamientos y reconocimiento comunitario.</v>
      </c>
      <c r="AN46" s="9" t="str">
        <f t="shared" si="1"/>
        <v>Alta</v>
      </c>
      <c r="AO46" s="9" t="s">
        <v>485</v>
      </c>
    </row>
    <row r="47" spans="1:41" ht="28.8">
      <c r="A47" s="9" t="s">
        <v>195</v>
      </c>
      <c r="B47" s="9" t="s">
        <v>191</v>
      </c>
      <c r="C47" s="9" t="s">
        <v>196</v>
      </c>
      <c r="D47" s="10">
        <v>3329</v>
      </c>
      <c r="E47" s="10">
        <v>2789</v>
      </c>
      <c r="F47" s="10">
        <v>2233</v>
      </c>
      <c r="G47" s="9" t="s">
        <v>477</v>
      </c>
      <c r="H47" s="11">
        <v>0.46920997296485428</v>
      </c>
      <c r="I47" s="11">
        <v>0.22198858516070899</v>
      </c>
      <c r="J47" s="9" t="s">
        <v>478</v>
      </c>
      <c r="K47" s="11">
        <v>0.25098601649336683</v>
      </c>
      <c r="L47" s="11">
        <v>0.1111509501613482</v>
      </c>
      <c r="M47" s="9" t="s">
        <v>486</v>
      </c>
      <c r="N47" s="11">
        <v>0.32243618450514999</v>
      </c>
      <c r="O47" s="11">
        <v>0.13166144200626961</v>
      </c>
      <c r="P47" s="12">
        <v>7.7392729533794419E-2</v>
      </c>
      <c r="Q47" s="9" t="s">
        <v>412</v>
      </c>
      <c r="R47" s="12">
        <v>-0.45700000000000002</v>
      </c>
      <c r="S47" s="9" t="s">
        <v>75</v>
      </c>
      <c r="T47" s="12">
        <v>0.104</v>
      </c>
      <c r="U47" s="12">
        <v>6.0464243177931483E-2</v>
      </c>
      <c r="V47" s="9" t="s">
        <v>412</v>
      </c>
      <c r="W47" s="9" t="s">
        <v>487</v>
      </c>
      <c r="X47" s="9" t="s">
        <v>60</v>
      </c>
      <c r="Y47" s="9" t="s">
        <v>481</v>
      </c>
      <c r="Z47" s="9" t="s">
        <v>482</v>
      </c>
      <c r="AA47" s="9" t="s">
        <v>483</v>
      </c>
      <c r="AB47" s="12">
        <v>0.1673344479258837</v>
      </c>
      <c r="AC47" s="12">
        <v>0.20849284255233236</v>
      </c>
      <c r="AD47" s="12">
        <v>0.21426921619697062</v>
      </c>
      <c r="AE47" s="12">
        <v>0.2291023536871199</v>
      </c>
      <c r="AF47" s="12">
        <v>0.18760642610809411</v>
      </c>
      <c r="AG47" s="9" t="str">
        <f>INDEX('[2]10_Listas'!$A$2:$A$6,MATCH(MAX(AB47:AF47),AB47:AF47,0))</f>
        <v>Desconfianza y castigo</v>
      </c>
      <c r="AH47" s="9" t="s">
        <v>488</v>
      </c>
      <c r="AI47" s="9"/>
      <c r="AJ47" s="9" t="str">
        <f t="shared" si="0"/>
        <v>Desconfianza y castigo</v>
      </c>
      <c r="AK47" s="9" t="str">
        <f>IFERROR(INDEX('[2]02_Arquetipos_Miedo_Sesgo'!$C$4:$C$8,MATCH(AJ47,'[2]02_Arquetipos_Miedo_Sesgo'!$A$4:$A$8,0)),"")</f>
        <v>Miedo a ser engañado, robado, manipulado o usado electoralmente.</v>
      </c>
      <c r="AL47" s="9" t="str">
        <f>IFERROR(INDEX('[2]02_Arquetipos_Miedo_Sesgo'!$D$4:$D$8,MATCH(AJ47,'[2]02_Arquetipos_Miedo_Sesgo'!$A$4:$A$8,0)),"")</f>
        <v>Sesgo de confirmación + cinismo político + efecto de indignación moral.</v>
      </c>
      <c r="AM47" s="9" t="str">
        <f>IFERROR(INDEX('[2]02_Arquetipos_Miedo_Sesgo'!$E$4:$E$8,MATCH(AJ47,'[2]02_Arquetipos_Miedo_Sesgo'!$A$4:$A$8,0)),"")</f>
        <v>Transparencia, control político, lucha anticorrupción, vigilancia ciudadana, ejecución presupuestal y sanción a abusos.</v>
      </c>
      <c r="AN47" s="9" t="str">
        <f t="shared" si="1"/>
        <v>Alta</v>
      </c>
      <c r="AO47" s="9" t="s">
        <v>485</v>
      </c>
    </row>
    <row r="48" spans="1:41" ht="28.8">
      <c r="A48" s="9" t="s">
        <v>197</v>
      </c>
      <c r="B48" s="9" t="s">
        <v>191</v>
      </c>
      <c r="C48" s="9" t="s">
        <v>198</v>
      </c>
      <c r="D48" s="10">
        <v>5441</v>
      </c>
      <c r="E48" s="10">
        <v>4531</v>
      </c>
      <c r="F48" s="10">
        <v>3484</v>
      </c>
      <c r="G48" s="9" t="s">
        <v>477</v>
      </c>
      <c r="H48" s="11">
        <v>0.55596397721007162</v>
      </c>
      <c r="I48" s="11">
        <v>0.34240029406359118</v>
      </c>
      <c r="J48" s="9" t="s">
        <v>499</v>
      </c>
      <c r="K48" s="11">
        <v>0.24122710218494811</v>
      </c>
      <c r="L48" s="11">
        <v>4.5905981019642467E-2</v>
      </c>
      <c r="M48" s="9" t="s">
        <v>479</v>
      </c>
      <c r="N48" s="11">
        <v>0.27698048220436278</v>
      </c>
      <c r="O48" s="11">
        <v>3.9035591274397208E-2</v>
      </c>
      <c r="P48" s="12">
        <v>-0.28034370684903998</v>
      </c>
      <c r="Q48" s="9" t="s">
        <v>412</v>
      </c>
      <c r="R48" s="12">
        <v>8.0000000000000002E-3</v>
      </c>
      <c r="S48" s="9" t="s">
        <v>412</v>
      </c>
      <c r="T48" s="12">
        <v>6.6000000000000003E-2</v>
      </c>
      <c r="U48" s="12">
        <v>3.7333333333333343E-2</v>
      </c>
      <c r="V48" s="9" t="s">
        <v>412</v>
      </c>
      <c r="W48" s="9" t="s">
        <v>493</v>
      </c>
      <c r="X48" s="9" t="s">
        <v>60</v>
      </c>
      <c r="Y48" s="9" t="s">
        <v>481</v>
      </c>
      <c r="Z48" s="9" t="s">
        <v>482</v>
      </c>
      <c r="AA48" s="9" t="s">
        <v>483</v>
      </c>
      <c r="AB48" s="12">
        <v>0.1650278964673223</v>
      </c>
      <c r="AC48" s="12">
        <v>0.21756410714559321</v>
      </c>
      <c r="AD48" s="12">
        <v>0.21889000726477023</v>
      </c>
      <c r="AE48" s="12">
        <v>0.22018753741935301</v>
      </c>
      <c r="AF48" s="12">
        <v>0.1821497132120759</v>
      </c>
      <c r="AG48" s="9" t="str">
        <f>INDEX('[2]10_Listas'!$A$2:$A$6,MATCH(MAX(AB48:AF48),AB48:AF48,0))</f>
        <v>Desconfianza y castigo</v>
      </c>
      <c r="AH48" s="9" t="s">
        <v>488</v>
      </c>
      <c r="AI48" s="9"/>
      <c r="AJ48" s="9" t="str">
        <f t="shared" si="0"/>
        <v>Desconfianza y castigo</v>
      </c>
      <c r="AK48" s="9" t="str">
        <f>IFERROR(INDEX('[2]02_Arquetipos_Miedo_Sesgo'!$C$4:$C$8,MATCH(AJ48,'[2]02_Arquetipos_Miedo_Sesgo'!$A$4:$A$8,0)),"")</f>
        <v>Miedo a ser engañado, robado, manipulado o usado electoralmente.</v>
      </c>
      <c r="AL48" s="9" t="str">
        <f>IFERROR(INDEX('[2]02_Arquetipos_Miedo_Sesgo'!$D$4:$D$8,MATCH(AJ48,'[2]02_Arquetipos_Miedo_Sesgo'!$A$4:$A$8,0)),"")</f>
        <v>Sesgo de confirmación + cinismo político + efecto de indignación moral.</v>
      </c>
      <c r="AM48" s="9" t="str">
        <f>IFERROR(INDEX('[2]02_Arquetipos_Miedo_Sesgo'!$E$4:$E$8,MATCH(AJ48,'[2]02_Arquetipos_Miedo_Sesgo'!$A$4:$A$8,0)),"")</f>
        <v>Transparencia, control político, lucha anticorrupción, vigilancia ciudadana, ejecución presupuestal y sanción a abusos.</v>
      </c>
      <c r="AN48" s="9" t="str">
        <f t="shared" si="1"/>
        <v>Alta</v>
      </c>
      <c r="AO48" s="9" t="s">
        <v>485</v>
      </c>
    </row>
    <row r="49" spans="1:41" ht="28.8">
      <c r="A49" s="9" t="s">
        <v>203</v>
      </c>
      <c r="B49" s="9" t="s">
        <v>191</v>
      </c>
      <c r="C49" s="9" t="s">
        <v>204</v>
      </c>
      <c r="D49" s="10">
        <v>8690</v>
      </c>
      <c r="E49" s="10">
        <v>7049</v>
      </c>
      <c r="F49" s="10">
        <v>5514</v>
      </c>
      <c r="G49" s="9" t="s">
        <v>477</v>
      </c>
      <c r="H49" s="11">
        <v>0.4962025316455696</v>
      </c>
      <c r="I49" s="11">
        <v>0.25500575373993101</v>
      </c>
      <c r="J49" s="9" t="s">
        <v>478</v>
      </c>
      <c r="K49" s="11">
        <v>0.20896581075329829</v>
      </c>
      <c r="L49" s="11">
        <v>2.5393672861398792E-2</v>
      </c>
      <c r="M49" s="9" t="s">
        <v>486</v>
      </c>
      <c r="N49" s="11">
        <v>0.25172288719622782</v>
      </c>
      <c r="O49" s="11">
        <v>6.4200217627856354E-2</v>
      </c>
      <c r="P49" s="12">
        <v>7.7392729533794419E-2</v>
      </c>
      <c r="Q49" s="9" t="s">
        <v>412</v>
      </c>
      <c r="R49" s="12">
        <v>-0.45700000000000002</v>
      </c>
      <c r="S49" s="9" t="s">
        <v>75</v>
      </c>
      <c r="T49" s="12">
        <v>0.104</v>
      </c>
      <c r="U49" s="12">
        <v>6.0464243177931483E-2</v>
      </c>
      <c r="V49" s="9" t="s">
        <v>412</v>
      </c>
      <c r="W49" s="9" t="s">
        <v>487</v>
      </c>
      <c r="X49" s="9" t="s">
        <v>60</v>
      </c>
      <c r="Y49" s="9" t="s">
        <v>481</v>
      </c>
      <c r="Z49" s="9" t="s">
        <v>482</v>
      </c>
      <c r="AA49" s="9" t="s">
        <v>483</v>
      </c>
      <c r="AB49" s="12">
        <v>0.18644557989360111</v>
      </c>
      <c r="AC49" s="12">
        <v>0.22035664113932357</v>
      </c>
      <c r="AD49" s="12">
        <v>0.2195254311836444</v>
      </c>
      <c r="AE49" s="12">
        <v>0.22799583444354521</v>
      </c>
      <c r="AF49" s="12">
        <v>0.16029508870961551</v>
      </c>
      <c r="AG49" s="9" t="str">
        <f>INDEX('[2]10_Listas'!$A$2:$A$6,MATCH(MAX(AB49:AF49),AB49:AF49,0))</f>
        <v>Desconfianza y castigo</v>
      </c>
      <c r="AH49" s="9" t="s">
        <v>491</v>
      </c>
      <c r="AI49" s="9"/>
      <c r="AJ49" s="9" t="str">
        <f t="shared" si="0"/>
        <v>Desconfianza y castigo</v>
      </c>
      <c r="AK49" s="9" t="str">
        <f>IFERROR(INDEX('[2]02_Arquetipos_Miedo_Sesgo'!$C$4:$C$8,MATCH(AJ49,'[2]02_Arquetipos_Miedo_Sesgo'!$A$4:$A$8,0)),"")</f>
        <v>Miedo a ser engañado, robado, manipulado o usado electoralmente.</v>
      </c>
      <c r="AL49" s="9" t="str">
        <f>IFERROR(INDEX('[2]02_Arquetipos_Miedo_Sesgo'!$D$4:$D$8,MATCH(AJ49,'[2]02_Arquetipos_Miedo_Sesgo'!$A$4:$A$8,0)),"")</f>
        <v>Sesgo de confirmación + cinismo político + efecto de indignación moral.</v>
      </c>
      <c r="AM49" s="9" t="str">
        <f>IFERROR(INDEX('[2]02_Arquetipos_Miedo_Sesgo'!$E$4:$E$8,MATCH(AJ49,'[2]02_Arquetipos_Miedo_Sesgo'!$A$4:$A$8,0)),"")</f>
        <v>Transparencia, control político, lucha anticorrupción, vigilancia ciudadana, ejecución presupuestal y sanción a abusos.</v>
      </c>
      <c r="AN49" s="9" t="str">
        <f t="shared" si="1"/>
        <v>Alta</v>
      </c>
      <c r="AO49" s="9" t="s">
        <v>485</v>
      </c>
    </row>
    <row r="50" spans="1:41" ht="28.8">
      <c r="A50" s="9" t="s">
        <v>521</v>
      </c>
      <c r="B50" s="9" t="s">
        <v>191</v>
      </c>
      <c r="C50" s="9" t="s">
        <v>522</v>
      </c>
      <c r="D50" s="10">
        <v>1113</v>
      </c>
      <c r="E50" s="10">
        <v>933</v>
      </c>
      <c r="F50" s="10">
        <v>738</v>
      </c>
      <c r="G50" s="9" t="s">
        <v>477</v>
      </c>
      <c r="H50" s="11">
        <v>0.57502246181491468</v>
      </c>
      <c r="I50" s="11">
        <v>0.38185085354896681</v>
      </c>
      <c r="J50" s="9" t="s">
        <v>523</v>
      </c>
      <c r="K50" s="11">
        <v>0.217577706323687</v>
      </c>
      <c r="L50" s="11">
        <v>3.6441586280814557E-2</v>
      </c>
      <c r="M50" s="9" t="s">
        <v>486</v>
      </c>
      <c r="N50" s="11">
        <v>0.25203252032520318</v>
      </c>
      <c r="O50" s="11">
        <v>1.490514905149048E-2</v>
      </c>
      <c r="P50" s="12">
        <v>0.41038668090044012</v>
      </c>
      <c r="Q50" s="9" t="s">
        <v>73</v>
      </c>
      <c r="R50" s="12">
        <v>-0.45700000000000002</v>
      </c>
      <c r="S50" s="9" t="s">
        <v>75</v>
      </c>
      <c r="T50" s="12">
        <v>-0.21099999999999999</v>
      </c>
      <c r="U50" s="12">
        <v>0.1367955603001467</v>
      </c>
      <c r="V50" s="9" t="s">
        <v>73</v>
      </c>
      <c r="W50" s="9" t="s">
        <v>510</v>
      </c>
      <c r="X50" s="9" t="s">
        <v>60</v>
      </c>
      <c r="Y50" s="9" t="s">
        <v>481</v>
      </c>
      <c r="Z50" s="9" t="s">
        <v>482</v>
      </c>
      <c r="AA50" s="9" t="s">
        <v>483</v>
      </c>
      <c r="AB50" s="12">
        <v>0.1630095945091522</v>
      </c>
      <c r="AC50" s="12">
        <v>0.22614035029696145</v>
      </c>
      <c r="AD50" s="12">
        <v>0.22547435021004927</v>
      </c>
      <c r="AE50" s="12">
        <v>0.20737630790125061</v>
      </c>
      <c r="AF50" s="12">
        <v>0.18102117296483461</v>
      </c>
      <c r="AG50" s="9" t="str">
        <f>INDEX('[2]10_Listas'!$A$2:$A$6,MATCH(MAX(AB50:AF50),AB50:AF50,0))</f>
        <v>Estabilidad y continuidad</v>
      </c>
      <c r="AH50" s="9" t="s">
        <v>491</v>
      </c>
      <c r="AI50" s="9"/>
      <c r="AJ50" s="9" t="str">
        <f t="shared" si="0"/>
        <v>Estabilidad y continuidad</v>
      </c>
      <c r="AK50" s="9" t="str">
        <f>IFERROR(INDEX('[2]02_Arquetipos_Miedo_Sesgo'!$C$4:$C$8,MATCH(AJ50,'[2]02_Arquetipos_Miedo_Sesgo'!$A$4:$A$8,0)),"")</f>
        <v>Miedo a perder beneficios, subsidios, estabilidad institucional o condiciones de vida ya alcanzadas.</v>
      </c>
      <c r="AL50" s="9" t="str">
        <f>IFERROR(INDEX('[2]02_Arquetipos_Miedo_Sesgo'!$D$4:$D$8,MATCH(AJ50,'[2]02_Arquetipos_Miedo_Sesgo'!$A$4:$A$8,0)),"")</f>
        <v>Aversión a la pérdida + sesgo de statu quo + confirmación.</v>
      </c>
      <c r="AM50" s="9" t="str">
        <f>IFERROR(INDEX('[2]02_Arquetipos_Miedo_Sesgo'!$E$4:$E$8,MATCH(AJ50,'[2]02_Arquetipos_Miedo_Sesgo'!$A$4:$A$8,0)),"")</f>
        <v>Continuidad administrativa, servicios públicos, infraestructura, salud, educación y programas sociales.</v>
      </c>
      <c r="AN50" s="9" t="str">
        <f t="shared" si="1"/>
        <v>Alta</v>
      </c>
      <c r="AO50" s="9" t="s">
        <v>485</v>
      </c>
    </row>
    <row r="51" spans="1:41" ht="28.8">
      <c r="A51" s="9" t="s">
        <v>199</v>
      </c>
      <c r="B51" s="9" t="s">
        <v>191</v>
      </c>
      <c r="C51" s="9" t="s">
        <v>200</v>
      </c>
      <c r="D51" s="10">
        <v>11610</v>
      </c>
      <c r="E51" s="10">
        <v>9692</v>
      </c>
      <c r="F51" s="10">
        <v>7618</v>
      </c>
      <c r="G51" s="9" t="s">
        <v>477</v>
      </c>
      <c r="H51" s="11">
        <v>0.51688199827734715</v>
      </c>
      <c r="I51" s="11">
        <v>0.27433247200689059</v>
      </c>
      <c r="J51" s="9" t="s">
        <v>478</v>
      </c>
      <c r="K51" s="11">
        <v>0.20986380520016509</v>
      </c>
      <c r="L51" s="11">
        <v>8.5637639290136208E-2</v>
      </c>
      <c r="M51" s="9" t="s">
        <v>479</v>
      </c>
      <c r="N51" s="11">
        <v>0.27881333683381471</v>
      </c>
      <c r="O51" s="11">
        <v>9.5825676030454332E-3</v>
      </c>
      <c r="P51" s="12">
        <v>7.7392729533794419E-2</v>
      </c>
      <c r="Q51" s="9" t="s">
        <v>412</v>
      </c>
      <c r="R51" s="12">
        <v>8.0000000000000002E-3</v>
      </c>
      <c r="S51" s="9" t="s">
        <v>412</v>
      </c>
      <c r="T51" s="12">
        <v>-0.41199999999999998</v>
      </c>
      <c r="U51" s="12">
        <v>4.1130909844598142E-2</v>
      </c>
      <c r="V51" s="9" t="s">
        <v>412</v>
      </c>
      <c r="W51" s="9" t="s">
        <v>480</v>
      </c>
      <c r="X51" s="9" t="s">
        <v>60</v>
      </c>
      <c r="Y51" s="9" t="s">
        <v>481</v>
      </c>
      <c r="Z51" s="9" t="s">
        <v>482</v>
      </c>
      <c r="AA51" s="9" t="s">
        <v>483</v>
      </c>
      <c r="AB51" s="12">
        <v>0.16842975082713341</v>
      </c>
      <c r="AC51" s="12">
        <v>0.21489741495871301</v>
      </c>
      <c r="AD51" s="12">
        <v>0.21894887835142948</v>
      </c>
      <c r="AE51" s="12">
        <v>0.20989560611522329</v>
      </c>
      <c r="AF51" s="12">
        <v>0.19077035823424149</v>
      </c>
      <c r="AG51" s="9" t="str">
        <f>INDEX('[2]10_Listas'!$A$2:$A$6,MATCH(MAX(AB51:AF51),AB51:AF51,0))</f>
        <v>Supervivencia económica y servicios básicos</v>
      </c>
      <c r="AH51" s="9" t="s">
        <v>491</v>
      </c>
      <c r="AI51" s="9"/>
      <c r="AJ51" s="9" t="str">
        <f t="shared" si="0"/>
        <v>Supervivencia económica y servicios básicos</v>
      </c>
      <c r="AK51" s="9" t="str">
        <f>IFERROR(INDEX('[2]02_Arquetipos_Miedo_Sesgo'!$C$4:$C$8,MATCH(AJ51,'[2]02_Arquetipos_Miedo_Sesgo'!$A$4:$A$8,0)),"")</f>
        <v>Miedo a no llegar a fin de mes, perder ingresos, empleo, movilidad o acceso a servicios básicos.</v>
      </c>
      <c r="AL51" s="9" t="str">
        <f>IFERROR(INDEX('[2]02_Arquetipos_Miedo_Sesgo'!$D$4:$D$8,MATCH(AJ51,'[2]02_Arquetipos_Miedo_Sesgo'!$A$4:$A$8,0)),"")</f>
        <v>Sesgo de escasez + presente dominante + aversión al riesgo económico.</v>
      </c>
      <c r="AM51" s="9" t="str">
        <f>IFERROR(INDEX('[2]02_Arquetipos_Miedo_Sesgo'!$E$4:$E$8,MATCH(AJ51,'[2]02_Arquetipos_Miedo_Sesgo'!$A$4:$A$8,0)),"")</f>
        <v>Empleo, emprendimiento, economía popular, transporte, costo de vida, salud, educación técnica y subsidios focalizados.</v>
      </c>
      <c r="AN51" s="9" t="str">
        <f t="shared" si="1"/>
        <v>Alta</v>
      </c>
      <c r="AO51" s="9" t="s">
        <v>485</v>
      </c>
    </row>
    <row r="52" spans="1:41" ht="28.8">
      <c r="A52" s="9" t="s">
        <v>524</v>
      </c>
      <c r="B52" s="9" t="s">
        <v>191</v>
      </c>
      <c r="C52" s="9" t="s">
        <v>525</v>
      </c>
      <c r="D52" s="10">
        <v>737</v>
      </c>
      <c r="E52" s="10">
        <v>620</v>
      </c>
      <c r="F52" s="10">
        <v>534</v>
      </c>
      <c r="G52" s="9" t="s">
        <v>477</v>
      </c>
      <c r="H52" s="11">
        <v>0.44097693351424688</v>
      </c>
      <c r="I52" s="11">
        <v>0.1804613297150611</v>
      </c>
      <c r="J52" s="9" t="s">
        <v>478</v>
      </c>
      <c r="K52" s="11">
        <v>0.217741935483871</v>
      </c>
      <c r="L52" s="11">
        <v>2.903225806451612E-2</v>
      </c>
      <c r="M52" s="9" t="s">
        <v>479</v>
      </c>
      <c r="N52" s="11">
        <v>0.23970037453183521</v>
      </c>
      <c r="O52" s="11">
        <v>1.685393258426968E-2</v>
      </c>
      <c r="P52" s="12">
        <v>7.7392729533794419E-2</v>
      </c>
      <c r="Q52" s="9" t="s">
        <v>412</v>
      </c>
      <c r="R52" s="12">
        <v>8.0000000000000002E-3</v>
      </c>
      <c r="S52" s="9" t="s">
        <v>412</v>
      </c>
      <c r="T52" s="12">
        <v>-0.41199999999999998</v>
      </c>
      <c r="U52" s="12">
        <v>4.1130909844598142E-2</v>
      </c>
      <c r="V52" s="9" t="s">
        <v>412</v>
      </c>
      <c r="W52" s="9" t="s">
        <v>480</v>
      </c>
      <c r="X52" s="9" t="s">
        <v>60</v>
      </c>
      <c r="Y52" s="9" t="s">
        <v>481</v>
      </c>
      <c r="Z52" s="9" t="s">
        <v>482</v>
      </c>
      <c r="AA52" s="9" t="s">
        <v>483</v>
      </c>
      <c r="AB52" s="12">
        <v>0.19664488661568549</v>
      </c>
      <c r="AC52" s="12">
        <v>0.21878263029473019</v>
      </c>
      <c r="AD52" s="12">
        <v>0.22130105913451437</v>
      </c>
      <c r="AE52" s="12">
        <v>0.20747096022302269</v>
      </c>
      <c r="AF52" s="12">
        <v>0.16951433535388249</v>
      </c>
      <c r="AG52" s="9" t="str">
        <f>INDEX('[2]10_Listas'!$A$2:$A$6,MATCH(MAX(AB52:AF52),AB52:AF52,0))</f>
        <v>Supervivencia económica y servicios básicos</v>
      </c>
      <c r="AH52" s="9" t="s">
        <v>491</v>
      </c>
      <c r="AI52" s="9"/>
      <c r="AJ52" s="9" t="str">
        <f t="shared" si="0"/>
        <v>Supervivencia económica y servicios básicos</v>
      </c>
      <c r="AK52" s="9" t="str">
        <f>IFERROR(INDEX('[2]02_Arquetipos_Miedo_Sesgo'!$C$4:$C$8,MATCH(AJ52,'[2]02_Arquetipos_Miedo_Sesgo'!$A$4:$A$8,0)),"")</f>
        <v>Miedo a no llegar a fin de mes, perder ingresos, empleo, movilidad o acceso a servicios básicos.</v>
      </c>
      <c r="AL52" s="9" t="str">
        <f>IFERROR(INDEX('[2]02_Arquetipos_Miedo_Sesgo'!$D$4:$D$8,MATCH(AJ52,'[2]02_Arquetipos_Miedo_Sesgo'!$A$4:$A$8,0)),"")</f>
        <v>Sesgo de escasez + presente dominante + aversión al riesgo económico.</v>
      </c>
      <c r="AM52" s="9" t="str">
        <f>IFERROR(INDEX('[2]02_Arquetipos_Miedo_Sesgo'!$E$4:$E$8,MATCH(AJ52,'[2]02_Arquetipos_Miedo_Sesgo'!$A$4:$A$8,0)),"")</f>
        <v>Empleo, emprendimiento, economía popular, transporte, costo de vida, salud, educación técnica y subsidios focalizados.</v>
      </c>
      <c r="AN52" s="9" t="str">
        <f t="shared" si="1"/>
        <v>Alta</v>
      </c>
      <c r="AO52" s="9" t="s">
        <v>485</v>
      </c>
    </row>
    <row r="53" spans="1:41" ht="28.8">
      <c r="A53" s="9" t="s">
        <v>201</v>
      </c>
      <c r="B53" s="9" t="s">
        <v>191</v>
      </c>
      <c r="C53" s="9" t="s">
        <v>202</v>
      </c>
      <c r="D53" s="10">
        <v>2766</v>
      </c>
      <c r="E53" s="10">
        <v>2258</v>
      </c>
      <c r="F53" s="10">
        <v>1692</v>
      </c>
      <c r="G53" s="9" t="s">
        <v>477</v>
      </c>
      <c r="H53" s="11">
        <v>0.5072306579898771</v>
      </c>
      <c r="I53" s="11">
        <v>0.26247288503253802</v>
      </c>
      <c r="J53" s="9" t="s">
        <v>478</v>
      </c>
      <c r="K53" s="11">
        <v>0.23250664304694421</v>
      </c>
      <c r="L53" s="11">
        <v>9.9202834366696191E-2</v>
      </c>
      <c r="M53" s="9" t="s">
        <v>486</v>
      </c>
      <c r="N53" s="11">
        <v>0.27777777777777779</v>
      </c>
      <c r="O53" s="11">
        <v>1.8321513002364061E-2</v>
      </c>
      <c r="P53" s="12">
        <v>7.7392729533794419E-2</v>
      </c>
      <c r="Q53" s="9" t="s">
        <v>412</v>
      </c>
      <c r="R53" s="12">
        <v>-0.45700000000000002</v>
      </c>
      <c r="S53" s="9" t="s">
        <v>75</v>
      </c>
      <c r="T53" s="12">
        <v>0.104</v>
      </c>
      <c r="U53" s="12">
        <v>6.0464243177931483E-2</v>
      </c>
      <c r="V53" s="9" t="s">
        <v>412</v>
      </c>
      <c r="W53" s="9" t="s">
        <v>487</v>
      </c>
      <c r="X53" s="9" t="s">
        <v>60</v>
      </c>
      <c r="Y53" s="9" t="s">
        <v>481</v>
      </c>
      <c r="Z53" s="9" t="s">
        <v>482</v>
      </c>
      <c r="AA53" s="9" t="s">
        <v>483</v>
      </c>
      <c r="AB53" s="12">
        <v>0.16485930585565459</v>
      </c>
      <c r="AC53" s="12">
        <v>0.21239687983318331</v>
      </c>
      <c r="AD53" s="12">
        <v>0.21705234432436823</v>
      </c>
      <c r="AE53" s="12">
        <v>0.21898640904145061</v>
      </c>
      <c r="AF53" s="12">
        <v>0.1902933286639511</v>
      </c>
      <c r="AG53" s="9" t="str">
        <f>INDEX('[2]10_Listas'!$A$2:$A$6,MATCH(MAX(AB53:AF53),AB53:AF53,0))</f>
        <v>Desconfianza y castigo</v>
      </c>
      <c r="AH53" s="9" t="s">
        <v>488</v>
      </c>
      <c r="AI53" s="9"/>
      <c r="AJ53" s="9" t="str">
        <f t="shared" si="0"/>
        <v>Desconfianza y castigo</v>
      </c>
      <c r="AK53" s="9" t="str">
        <f>IFERROR(INDEX('[2]02_Arquetipos_Miedo_Sesgo'!$C$4:$C$8,MATCH(AJ53,'[2]02_Arquetipos_Miedo_Sesgo'!$A$4:$A$8,0)),"")</f>
        <v>Miedo a ser engañado, robado, manipulado o usado electoralmente.</v>
      </c>
      <c r="AL53" s="9" t="str">
        <f>IFERROR(INDEX('[2]02_Arquetipos_Miedo_Sesgo'!$D$4:$D$8,MATCH(AJ53,'[2]02_Arquetipos_Miedo_Sesgo'!$A$4:$A$8,0)),"")</f>
        <v>Sesgo de confirmación + cinismo político + efecto de indignación moral.</v>
      </c>
      <c r="AM53" s="9" t="str">
        <f>IFERROR(INDEX('[2]02_Arquetipos_Miedo_Sesgo'!$E$4:$E$8,MATCH(AJ53,'[2]02_Arquetipos_Miedo_Sesgo'!$A$4:$A$8,0)),"")</f>
        <v>Transparencia, control político, lucha anticorrupción, vigilancia ciudadana, ejecución presupuestal y sanción a abusos.</v>
      </c>
      <c r="AN53" s="9" t="str">
        <f t="shared" si="1"/>
        <v>Alta</v>
      </c>
      <c r="AO53" s="9" t="s">
        <v>485</v>
      </c>
    </row>
    <row r="54" spans="1:41" ht="28.8">
      <c r="A54" s="9" t="s">
        <v>190</v>
      </c>
      <c r="B54" s="9" t="s">
        <v>191</v>
      </c>
      <c r="C54" s="9" t="s">
        <v>192</v>
      </c>
      <c r="D54" s="10">
        <v>7531</v>
      </c>
      <c r="E54" s="10">
        <v>6593</v>
      </c>
      <c r="F54" s="10">
        <v>5401</v>
      </c>
      <c r="G54" s="9" t="s">
        <v>477</v>
      </c>
      <c r="H54" s="11">
        <v>0.49369273668835478</v>
      </c>
      <c r="I54" s="11">
        <v>0.22228123755145399</v>
      </c>
      <c r="J54" s="9" t="s">
        <v>499</v>
      </c>
      <c r="K54" s="11">
        <v>0.21674503261034431</v>
      </c>
      <c r="L54" s="11">
        <v>1.0768997421507659E-2</v>
      </c>
      <c r="M54" s="9" t="s">
        <v>479</v>
      </c>
      <c r="N54" s="11">
        <v>0.26402518052212548</v>
      </c>
      <c r="O54" s="11">
        <v>7.4060359192740233E-4</v>
      </c>
      <c r="P54" s="12">
        <v>-0.28034370684903998</v>
      </c>
      <c r="Q54" s="9" t="s">
        <v>412</v>
      </c>
      <c r="R54" s="12">
        <v>8.0000000000000002E-3</v>
      </c>
      <c r="S54" s="9" t="s">
        <v>412</v>
      </c>
      <c r="T54" s="12">
        <v>6.6000000000000003E-2</v>
      </c>
      <c r="U54" s="12">
        <v>3.7333333333333343E-2</v>
      </c>
      <c r="V54" s="9" t="s">
        <v>412</v>
      </c>
      <c r="W54" s="9" t="s">
        <v>493</v>
      </c>
      <c r="X54" s="9" t="s">
        <v>60</v>
      </c>
      <c r="Y54" s="9" t="s">
        <v>481</v>
      </c>
      <c r="Z54" s="9" t="s">
        <v>482</v>
      </c>
      <c r="AA54" s="9" t="s">
        <v>483</v>
      </c>
      <c r="AB54" s="12">
        <v>0.18198490554257099</v>
      </c>
      <c r="AC54" s="12">
        <v>0.21235332424663653</v>
      </c>
      <c r="AD54" s="12">
        <v>0.21789314289854222</v>
      </c>
      <c r="AE54" s="12">
        <v>0.20058890648144859</v>
      </c>
      <c r="AF54" s="12">
        <v>0.19026827911801519</v>
      </c>
      <c r="AG54" s="9" t="str">
        <f>INDEX('[2]10_Listas'!$A$2:$A$6,MATCH(MAX(AB54:AF54),AB54:AF54,0))</f>
        <v>Supervivencia económica y servicios básicos</v>
      </c>
      <c r="AH54" s="9" t="s">
        <v>491</v>
      </c>
      <c r="AI54" s="9"/>
      <c r="AJ54" s="9" t="str">
        <f t="shared" si="0"/>
        <v>Supervivencia económica y servicios básicos</v>
      </c>
      <c r="AK54" s="9" t="str">
        <f>IFERROR(INDEX('[2]02_Arquetipos_Miedo_Sesgo'!$C$4:$C$8,MATCH(AJ54,'[2]02_Arquetipos_Miedo_Sesgo'!$A$4:$A$8,0)),"")</f>
        <v>Miedo a no llegar a fin de mes, perder ingresos, empleo, movilidad o acceso a servicios básicos.</v>
      </c>
      <c r="AL54" s="9" t="str">
        <f>IFERROR(INDEX('[2]02_Arquetipos_Miedo_Sesgo'!$D$4:$D$8,MATCH(AJ54,'[2]02_Arquetipos_Miedo_Sesgo'!$A$4:$A$8,0)),"")</f>
        <v>Sesgo de escasez + presente dominante + aversión al riesgo económico.</v>
      </c>
      <c r="AM54" s="9" t="str">
        <f>IFERROR(INDEX('[2]02_Arquetipos_Miedo_Sesgo'!$E$4:$E$8,MATCH(AJ54,'[2]02_Arquetipos_Miedo_Sesgo'!$A$4:$A$8,0)),"")</f>
        <v>Empleo, emprendimiento, economía popular, transporte, costo de vida, salud, educación técnica y subsidios focalizados.</v>
      </c>
      <c r="AN54" s="9" t="str">
        <f t="shared" si="1"/>
        <v>Alta</v>
      </c>
      <c r="AO54" s="9" t="s">
        <v>485</v>
      </c>
    </row>
    <row r="55" spans="1:41" ht="28.8">
      <c r="A55" s="9" t="s">
        <v>526</v>
      </c>
      <c r="B55" s="9" t="s">
        <v>206</v>
      </c>
      <c r="C55" s="9" t="s">
        <v>527</v>
      </c>
      <c r="D55" s="10">
        <v>383</v>
      </c>
      <c r="E55" s="10">
        <v>342</v>
      </c>
      <c r="F55" s="10">
        <v>285</v>
      </c>
      <c r="G55" s="9" t="s">
        <v>492</v>
      </c>
      <c r="H55" s="11">
        <v>0.5822454308093995</v>
      </c>
      <c r="I55" s="11">
        <v>0.37859007832898173</v>
      </c>
      <c r="J55" s="9" t="s">
        <v>478</v>
      </c>
      <c r="K55" s="11">
        <v>0.30994152046783618</v>
      </c>
      <c r="L55" s="11">
        <v>0.15789473684210531</v>
      </c>
      <c r="M55" s="9" t="s">
        <v>486</v>
      </c>
      <c r="N55" s="11">
        <v>0.42456140350877192</v>
      </c>
      <c r="O55" s="11">
        <v>0.27017543859649118</v>
      </c>
      <c r="P55" s="12">
        <v>-0.1151436448345239</v>
      </c>
      <c r="Q55" s="9" t="s">
        <v>412</v>
      </c>
      <c r="R55" s="12">
        <v>0.46899999999999997</v>
      </c>
      <c r="S55" s="9" t="s">
        <v>75</v>
      </c>
      <c r="T55" s="12">
        <v>0.104</v>
      </c>
      <c r="U55" s="12">
        <v>0.151</v>
      </c>
      <c r="V55" s="9" t="s">
        <v>73</v>
      </c>
      <c r="W55" s="9" t="s">
        <v>493</v>
      </c>
      <c r="X55" s="9" t="s">
        <v>131</v>
      </c>
      <c r="Y55" s="9" t="s">
        <v>528</v>
      </c>
      <c r="Z55" s="9" t="s">
        <v>529</v>
      </c>
      <c r="AA55" s="9" t="s">
        <v>494</v>
      </c>
      <c r="AB55" s="12">
        <v>0.24980953520227411</v>
      </c>
      <c r="AC55" s="12">
        <v>0.20939789901034792</v>
      </c>
      <c r="AD55" s="12">
        <v>0.18886788244570621</v>
      </c>
      <c r="AE55" s="12">
        <v>0.1485454598313431</v>
      </c>
      <c r="AF55" s="12">
        <v>0.23830296568376211</v>
      </c>
      <c r="AG55" s="9" t="str">
        <f>INDEX('[2]10_Listas'!$A$2:$A$6,MATCH(MAX(AB55:AF55),AB55:AF55,0))</f>
        <v>Protección y orden cotidiano</v>
      </c>
      <c r="AH55" s="9" t="s">
        <v>495</v>
      </c>
      <c r="AI55" s="9"/>
      <c r="AJ55" s="9" t="str">
        <f t="shared" si="0"/>
        <v>Protección y orden cotidiano</v>
      </c>
      <c r="AK55" s="9" t="str">
        <f>IFERROR(INDEX('[2]02_Arquetipos_Miedo_Sesgo'!$C$4:$C$8,MATCH(AJ55,'[2]02_Arquetipos_Miedo_Sesgo'!$A$4:$A$8,0)),"")</f>
        <v>Miedo a la inseguridad, al descontrol barrial y a perder la tranquilidad cotidiana.</v>
      </c>
      <c r="AL55" s="9" t="str">
        <f>IFERROR(INDEX('[2]02_Arquetipos_Miedo_Sesgo'!$D$4:$D$8,MATCH(AJ55,'[2]02_Arquetipos_Miedo_Sesgo'!$A$4:$A$8,0)),"")</f>
        <v>Sesgo de disponibilidad + sesgo de negatividad + preferencia por autoridad.</v>
      </c>
      <c r="AM55" s="9" t="str">
        <f>IFERROR(INDEX('[2]02_Arquetipos_Miedo_Sesgo'!$E$4:$E$8,MATCH(AJ55,'[2]02_Arquetipos_Miedo_Sesgo'!$A$4:$A$8,0)),"")</f>
        <v>Seguridad, convivencia, movilidad, alumbrado, reacción institucional rápida, presencia de autoridad.</v>
      </c>
      <c r="AN55" s="9" t="str">
        <f t="shared" si="1"/>
        <v>Alta</v>
      </c>
      <c r="AO55" s="9" t="s">
        <v>485</v>
      </c>
    </row>
    <row r="56" spans="1:41" ht="28.8">
      <c r="A56" s="9" t="s">
        <v>530</v>
      </c>
      <c r="B56" s="9" t="s">
        <v>206</v>
      </c>
      <c r="C56" s="9" t="s">
        <v>531</v>
      </c>
      <c r="D56" s="10">
        <v>1353</v>
      </c>
      <c r="E56" s="10">
        <v>1186</v>
      </c>
      <c r="F56" s="10">
        <v>972</v>
      </c>
      <c r="G56" s="9" t="s">
        <v>492</v>
      </c>
      <c r="H56" s="11">
        <v>0.55136733185513676</v>
      </c>
      <c r="I56" s="11">
        <v>0.31781226903178128</v>
      </c>
      <c r="J56" s="9" t="s">
        <v>478</v>
      </c>
      <c r="K56" s="11">
        <v>0.27065767284991571</v>
      </c>
      <c r="L56" s="11">
        <v>0.13153456998313659</v>
      </c>
      <c r="M56" s="9" t="s">
        <v>486</v>
      </c>
      <c r="N56" s="11">
        <v>0.44650205761316869</v>
      </c>
      <c r="O56" s="11">
        <v>0.2479423868312757</v>
      </c>
      <c r="P56" s="12">
        <v>-0.1151436448345239</v>
      </c>
      <c r="Q56" s="9" t="s">
        <v>412</v>
      </c>
      <c r="R56" s="12">
        <v>0.46899999999999997</v>
      </c>
      <c r="S56" s="9" t="s">
        <v>75</v>
      </c>
      <c r="T56" s="12">
        <v>0.104</v>
      </c>
      <c r="U56" s="12">
        <v>0.151</v>
      </c>
      <c r="V56" s="9" t="s">
        <v>73</v>
      </c>
      <c r="W56" s="9" t="s">
        <v>493</v>
      </c>
      <c r="X56" s="9" t="s">
        <v>131</v>
      </c>
      <c r="Y56" s="9" t="s">
        <v>528</v>
      </c>
      <c r="Z56" s="9" t="s">
        <v>529</v>
      </c>
      <c r="AA56" s="9" t="s">
        <v>494</v>
      </c>
      <c r="AB56" s="12">
        <v>0.23757798729423649</v>
      </c>
      <c r="AC56" s="12">
        <v>0.21114305506016356</v>
      </c>
      <c r="AD56" s="12">
        <v>0.19253058554762584</v>
      </c>
      <c r="AE56" s="12">
        <v>0.16401640494472899</v>
      </c>
      <c r="AF56" s="12">
        <v>0.22804553711423131</v>
      </c>
      <c r="AG56" s="9" t="str">
        <f>INDEX('[2]10_Listas'!$A$2:$A$6,MATCH(MAX(AB56:AF56),AB56:AF56,0))</f>
        <v>Protección y orden cotidiano</v>
      </c>
      <c r="AH56" s="9" t="s">
        <v>495</v>
      </c>
      <c r="AI56" s="9"/>
      <c r="AJ56" s="9" t="str">
        <f t="shared" si="0"/>
        <v>Protección y orden cotidiano</v>
      </c>
      <c r="AK56" s="9" t="str">
        <f>IFERROR(INDEX('[2]02_Arquetipos_Miedo_Sesgo'!$C$4:$C$8,MATCH(AJ56,'[2]02_Arquetipos_Miedo_Sesgo'!$A$4:$A$8,0)),"")</f>
        <v>Miedo a la inseguridad, al descontrol barrial y a perder la tranquilidad cotidiana.</v>
      </c>
      <c r="AL56" s="9" t="str">
        <f>IFERROR(INDEX('[2]02_Arquetipos_Miedo_Sesgo'!$D$4:$D$8,MATCH(AJ56,'[2]02_Arquetipos_Miedo_Sesgo'!$A$4:$A$8,0)),"")</f>
        <v>Sesgo de disponibilidad + sesgo de negatividad + preferencia por autoridad.</v>
      </c>
      <c r="AM56" s="9" t="str">
        <f>IFERROR(INDEX('[2]02_Arquetipos_Miedo_Sesgo'!$E$4:$E$8,MATCH(AJ56,'[2]02_Arquetipos_Miedo_Sesgo'!$A$4:$A$8,0)),"")</f>
        <v>Seguridad, convivencia, movilidad, alumbrado, reacción institucional rápida, presencia de autoridad.</v>
      </c>
      <c r="AN56" s="9" t="str">
        <f t="shared" si="1"/>
        <v>Alta</v>
      </c>
      <c r="AO56" s="9" t="s">
        <v>485</v>
      </c>
    </row>
    <row r="57" spans="1:41" ht="28.8">
      <c r="A57" s="9" t="s">
        <v>205</v>
      </c>
      <c r="B57" s="9" t="s">
        <v>206</v>
      </c>
      <c r="C57" s="9" t="s">
        <v>207</v>
      </c>
      <c r="D57" s="10">
        <v>3463</v>
      </c>
      <c r="E57" s="10">
        <v>3201</v>
      </c>
      <c r="F57" s="10">
        <v>2615</v>
      </c>
      <c r="G57" s="9" t="s">
        <v>492</v>
      </c>
      <c r="H57" s="11">
        <v>0.60381172393878135</v>
      </c>
      <c r="I57" s="11">
        <v>0.44008085475021652</v>
      </c>
      <c r="J57" s="9" t="s">
        <v>478</v>
      </c>
      <c r="K57" s="11">
        <v>0.24304904717275849</v>
      </c>
      <c r="L57" s="11">
        <v>5.217119650109342E-2</v>
      </c>
      <c r="M57" s="9" t="s">
        <v>486</v>
      </c>
      <c r="N57" s="11">
        <v>0.44894837476099431</v>
      </c>
      <c r="O57" s="11">
        <v>0.25774378585086039</v>
      </c>
      <c r="P57" s="12">
        <v>-0.1151436448345239</v>
      </c>
      <c r="Q57" s="9" t="s">
        <v>412</v>
      </c>
      <c r="R57" s="12">
        <v>0.46899999999999997</v>
      </c>
      <c r="S57" s="9" t="s">
        <v>75</v>
      </c>
      <c r="T57" s="12">
        <v>0.104</v>
      </c>
      <c r="U57" s="12">
        <v>0.151</v>
      </c>
      <c r="V57" s="9" t="s">
        <v>73</v>
      </c>
      <c r="W57" s="9" t="s">
        <v>493</v>
      </c>
      <c r="X57" s="9" t="s">
        <v>131</v>
      </c>
      <c r="Y57" s="9" t="s">
        <v>528</v>
      </c>
      <c r="Z57" s="9" t="s">
        <v>529</v>
      </c>
      <c r="AA57" s="9" t="s">
        <v>494</v>
      </c>
      <c r="AB57" s="12">
        <v>0.25084209524058682</v>
      </c>
      <c r="AC57" s="12">
        <v>0.22148963410373157</v>
      </c>
      <c r="AD57" s="12">
        <v>0.19227875537628827</v>
      </c>
      <c r="AE57" s="12">
        <v>0.14201467069243909</v>
      </c>
      <c r="AF57" s="12">
        <v>0.2414828373184682</v>
      </c>
      <c r="AG57" s="9" t="str">
        <f>INDEX('[2]10_Listas'!$A$2:$A$6,MATCH(MAX(AB57:AF57),AB57:AF57,0))</f>
        <v>Protección y orden cotidiano</v>
      </c>
      <c r="AH57" s="9" t="s">
        <v>495</v>
      </c>
      <c r="AI57" s="9"/>
      <c r="AJ57" s="9" t="str">
        <f t="shared" si="0"/>
        <v>Protección y orden cotidiano</v>
      </c>
      <c r="AK57" s="9" t="str">
        <f>IFERROR(INDEX('[2]02_Arquetipos_Miedo_Sesgo'!$C$4:$C$8,MATCH(AJ57,'[2]02_Arquetipos_Miedo_Sesgo'!$A$4:$A$8,0)),"")</f>
        <v>Miedo a la inseguridad, al descontrol barrial y a perder la tranquilidad cotidiana.</v>
      </c>
      <c r="AL57" s="9" t="str">
        <f>IFERROR(INDEX('[2]02_Arquetipos_Miedo_Sesgo'!$D$4:$D$8,MATCH(AJ57,'[2]02_Arquetipos_Miedo_Sesgo'!$A$4:$A$8,0)),"")</f>
        <v>Sesgo de disponibilidad + sesgo de negatividad + preferencia por autoridad.</v>
      </c>
      <c r="AM57" s="9" t="str">
        <f>IFERROR(INDEX('[2]02_Arquetipos_Miedo_Sesgo'!$E$4:$E$8,MATCH(AJ57,'[2]02_Arquetipos_Miedo_Sesgo'!$A$4:$A$8,0)),"")</f>
        <v>Seguridad, convivencia, movilidad, alumbrado, reacción institucional rápida, presencia de autoridad.</v>
      </c>
      <c r="AN57" s="9" t="str">
        <f t="shared" si="1"/>
        <v>Alta</v>
      </c>
      <c r="AO57" s="9" t="s">
        <v>485</v>
      </c>
    </row>
    <row r="58" spans="1:41" ht="28.8">
      <c r="A58" s="9" t="s">
        <v>218</v>
      </c>
      <c r="B58" s="9" t="s">
        <v>206</v>
      </c>
      <c r="C58" s="9" t="s">
        <v>219</v>
      </c>
      <c r="D58" s="10">
        <v>12207</v>
      </c>
      <c r="E58" s="10">
        <v>11203</v>
      </c>
      <c r="F58" s="10">
        <v>9123</v>
      </c>
      <c r="G58" s="9" t="s">
        <v>492</v>
      </c>
      <c r="H58" s="11">
        <v>0.59416728106823957</v>
      </c>
      <c r="I58" s="11">
        <v>0.41574506430736469</v>
      </c>
      <c r="J58" s="9" t="s">
        <v>478</v>
      </c>
      <c r="K58" s="11">
        <v>0.23582968847630101</v>
      </c>
      <c r="L58" s="11">
        <v>6.150138355797552E-2</v>
      </c>
      <c r="M58" s="9" t="s">
        <v>486</v>
      </c>
      <c r="N58" s="11">
        <v>0.41411816288501591</v>
      </c>
      <c r="O58" s="11">
        <v>0.19149402608790969</v>
      </c>
      <c r="P58" s="12">
        <v>-0.1151436448345239</v>
      </c>
      <c r="Q58" s="9" t="s">
        <v>412</v>
      </c>
      <c r="R58" s="12">
        <v>0.46899999999999997</v>
      </c>
      <c r="S58" s="9" t="s">
        <v>75</v>
      </c>
      <c r="T58" s="12">
        <v>0.104</v>
      </c>
      <c r="U58" s="12">
        <v>0.151</v>
      </c>
      <c r="V58" s="9" t="s">
        <v>73</v>
      </c>
      <c r="W58" s="9" t="s">
        <v>493</v>
      </c>
      <c r="X58" s="9" t="s">
        <v>131</v>
      </c>
      <c r="Y58" s="9" t="s">
        <v>528</v>
      </c>
      <c r="Z58" s="9" t="s">
        <v>529</v>
      </c>
      <c r="AA58" s="9" t="s">
        <v>494</v>
      </c>
      <c r="AB58" s="12">
        <v>0.25424577826356187</v>
      </c>
      <c r="AC58" s="12">
        <v>0.22283188547580188</v>
      </c>
      <c r="AD58" s="12">
        <v>0.19412537830788185</v>
      </c>
      <c r="AE58" s="12">
        <v>0.144129636598789</v>
      </c>
      <c r="AF58" s="12">
        <v>0.23218933529957941</v>
      </c>
      <c r="AG58" s="9" t="str">
        <f>INDEX('[2]10_Listas'!$A$2:$A$6,MATCH(MAX(AB58:AF58),AB58:AF58,0))</f>
        <v>Protección y orden cotidiano</v>
      </c>
      <c r="AH58" s="9" t="s">
        <v>495</v>
      </c>
      <c r="AI58" s="9"/>
      <c r="AJ58" s="9" t="str">
        <f t="shared" si="0"/>
        <v>Protección y orden cotidiano</v>
      </c>
      <c r="AK58" s="9" t="str">
        <f>IFERROR(INDEX('[2]02_Arquetipos_Miedo_Sesgo'!$C$4:$C$8,MATCH(AJ58,'[2]02_Arquetipos_Miedo_Sesgo'!$A$4:$A$8,0)),"")</f>
        <v>Miedo a la inseguridad, al descontrol barrial y a perder la tranquilidad cotidiana.</v>
      </c>
      <c r="AL58" s="9" t="str">
        <f>IFERROR(INDEX('[2]02_Arquetipos_Miedo_Sesgo'!$D$4:$D$8,MATCH(AJ58,'[2]02_Arquetipos_Miedo_Sesgo'!$A$4:$A$8,0)),"")</f>
        <v>Sesgo de disponibilidad + sesgo de negatividad + preferencia por autoridad.</v>
      </c>
      <c r="AM58" s="9" t="str">
        <f>IFERROR(INDEX('[2]02_Arquetipos_Miedo_Sesgo'!$E$4:$E$8,MATCH(AJ58,'[2]02_Arquetipos_Miedo_Sesgo'!$A$4:$A$8,0)),"")</f>
        <v>Seguridad, convivencia, movilidad, alumbrado, reacción institucional rápida, presencia de autoridad.</v>
      </c>
      <c r="AN58" s="9" t="str">
        <f t="shared" si="1"/>
        <v>Alta</v>
      </c>
      <c r="AO58" s="9" t="s">
        <v>485</v>
      </c>
    </row>
    <row r="59" spans="1:41" ht="28.8">
      <c r="A59" s="9" t="s">
        <v>216</v>
      </c>
      <c r="B59" s="9" t="s">
        <v>206</v>
      </c>
      <c r="C59" s="9" t="s">
        <v>217</v>
      </c>
      <c r="D59" s="10">
        <v>12028</v>
      </c>
      <c r="E59" s="10">
        <v>10928</v>
      </c>
      <c r="F59" s="10">
        <v>8722</v>
      </c>
      <c r="G59" s="9" t="s">
        <v>492</v>
      </c>
      <c r="H59" s="11">
        <v>0.51097439308280679</v>
      </c>
      <c r="I59" s="11">
        <v>0.27552377785167942</v>
      </c>
      <c r="J59" s="9" t="s">
        <v>478</v>
      </c>
      <c r="K59" s="11">
        <v>0.24167276720351391</v>
      </c>
      <c r="L59" s="11">
        <v>7.6866764275256211E-2</v>
      </c>
      <c r="M59" s="9" t="s">
        <v>486</v>
      </c>
      <c r="N59" s="11">
        <v>0.41687686310479249</v>
      </c>
      <c r="O59" s="11">
        <v>0.18975005732630129</v>
      </c>
      <c r="P59" s="12">
        <v>-0.1151436448345239</v>
      </c>
      <c r="Q59" s="9" t="s">
        <v>412</v>
      </c>
      <c r="R59" s="12">
        <v>0.46899999999999997</v>
      </c>
      <c r="S59" s="9" t="s">
        <v>75</v>
      </c>
      <c r="T59" s="12">
        <v>0.104</v>
      </c>
      <c r="U59" s="12">
        <v>0.151</v>
      </c>
      <c r="V59" s="9" t="s">
        <v>73</v>
      </c>
      <c r="W59" s="9" t="s">
        <v>493</v>
      </c>
      <c r="X59" s="9" t="s">
        <v>131</v>
      </c>
      <c r="Y59" s="9" t="s">
        <v>528</v>
      </c>
      <c r="Z59" s="9" t="s">
        <v>529</v>
      </c>
      <c r="AA59" s="9" t="s">
        <v>494</v>
      </c>
      <c r="AB59" s="12">
        <v>0.23061598573833911</v>
      </c>
      <c r="AC59" s="12">
        <v>0.21639960860921023</v>
      </c>
      <c r="AD59" s="12">
        <v>0.19945298076770993</v>
      </c>
      <c r="AE59" s="12">
        <v>0.16087789729829691</v>
      </c>
      <c r="AF59" s="12">
        <v>0.2246939729179247</v>
      </c>
      <c r="AG59" s="9" t="str">
        <f>INDEX('[2]10_Listas'!$A$2:$A$6,MATCH(MAX(AB59:AF59),AB59:AF59,0))</f>
        <v>Protección y orden cotidiano</v>
      </c>
      <c r="AH59" s="9" t="s">
        <v>495</v>
      </c>
      <c r="AI59" s="9"/>
      <c r="AJ59" s="9" t="str">
        <f t="shared" si="0"/>
        <v>Protección y orden cotidiano</v>
      </c>
      <c r="AK59" s="9" t="str">
        <f>IFERROR(INDEX('[2]02_Arquetipos_Miedo_Sesgo'!$C$4:$C$8,MATCH(AJ59,'[2]02_Arquetipos_Miedo_Sesgo'!$A$4:$A$8,0)),"")</f>
        <v>Miedo a la inseguridad, al descontrol barrial y a perder la tranquilidad cotidiana.</v>
      </c>
      <c r="AL59" s="9" t="str">
        <f>IFERROR(INDEX('[2]02_Arquetipos_Miedo_Sesgo'!$D$4:$D$8,MATCH(AJ59,'[2]02_Arquetipos_Miedo_Sesgo'!$A$4:$A$8,0)),"")</f>
        <v>Sesgo de disponibilidad + sesgo de negatividad + preferencia por autoridad.</v>
      </c>
      <c r="AM59" s="9" t="str">
        <f>IFERROR(INDEX('[2]02_Arquetipos_Miedo_Sesgo'!$E$4:$E$8,MATCH(AJ59,'[2]02_Arquetipos_Miedo_Sesgo'!$A$4:$A$8,0)),"")</f>
        <v>Seguridad, convivencia, movilidad, alumbrado, reacción institucional rápida, presencia de autoridad.</v>
      </c>
      <c r="AN59" s="9" t="str">
        <f t="shared" si="1"/>
        <v>Alta</v>
      </c>
      <c r="AO59" s="9" t="s">
        <v>485</v>
      </c>
    </row>
    <row r="60" spans="1:41" ht="28.8">
      <c r="A60" s="9" t="s">
        <v>214</v>
      </c>
      <c r="B60" s="9" t="s">
        <v>206</v>
      </c>
      <c r="C60" s="9" t="s">
        <v>215</v>
      </c>
      <c r="D60" s="10">
        <v>9634</v>
      </c>
      <c r="E60" s="10">
        <v>8839</v>
      </c>
      <c r="F60" s="10">
        <v>7472</v>
      </c>
      <c r="G60" s="9" t="s">
        <v>492</v>
      </c>
      <c r="H60" s="11">
        <v>0.6619265102761055</v>
      </c>
      <c r="I60" s="11">
        <v>0.52013701473946439</v>
      </c>
      <c r="J60" s="9" t="s">
        <v>478</v>
      </c>
      <c r="K60" s="11">
        <v>0.22445978051815821</v>
      </c>
      <c r="L60" s="11">
        <v>6.0866613870347308E-2</v>
      </c>
      <c r="M60" s="9" t="s">
        <v>486</v>
      </c>
      <c r="N60" s="11">
        <v>0.395610278372591</v>
      </c>
      <c r="O60" s="11">
        <v>0.16648822269807281</v>
      </c>
      <c r="P60" s="12">
        <v>-0.1151436448345239</v>
      </c>
      <c r="Q60" s="9" t="s">
        <v>412</v>
      </c>
      <c r="R60" s="12">
        <v>0.46899999999999997</v>
      </c>
      <c r="S60" s="9" t="s">
        <v>75</v>
      </c>
      <c r="T60" s="12">
        <v>0.104</v>
      </c>
      <c r="U60" s="12">
        <v>0.151</v>
      </c>
      <c r="V60" s="9" t="s">
        <v>73</v>
      </c>
      <c r="W60" s="9" t="s">
        <v>493</v>
      </c>
      <c r="X60" s="9" t="s">
        <v>131</v>
      </c>
      <c r="Y60" s="9" t="s">
        <v>528</v>
      </c>
      <c r="Z60" s="9" t="s">
        <v>529</v>
      </c>
      <c r="AA60" s="9" t="s">
        <v>494</v>
      </c>
      <c r="AB60" s="12">
        <v>0.2778339501245593</v>
      </c>
      <c r="AC60" s="12">
        <v>0.23208242118244832</v>
      </c>
      <c r="AD60" s="12">
        <v>0.19232268420350163</v>
      </c>
      <c r="AE60" s="12">
        <v>0.12862141708227121</v>
      </c>
      <c r="AF60" s="12">
        <v>0.2311844853998932</v>
      </c>
      <c r="AG60" s="9" t="str">
        <f>INDEX('[2]10_Listas'!$A$2:$A$6,MATCH(MAX(AB60:AF60),AB60:AF60,0))</f>
        <v>Protección y orden cotidiano</v>
      </c>
      <c r="AH60" s="9" t="s">
        <v>495</v>
      </c>
      <c r="AI60" s="9"/>
      <c r="AJ60" s="9" t="str">
        <f t="shared" si="0"/>
        <v>Protección y orden cotidiano</v>
      </c>
      <c r="AK60" s="9" t="str">
        <f>IFERROR(INDEX('[2]02_Arquetipos_Miedo_Sesgo'!$C$4:$C$8,MATCH(AJ60,'[2]02_Arquetipos_Miedo_Sesgo'!$A$4:$A$8,0)),"")</f>
        <v>Miedo a la inseguridad, al descontrol barrial y a perder la tranquilidad cotidiana.</v>
      </c>
      <c r="AL60" s="9" t="str">
        <f>IFERROR(INDEX('[2]02_Arquetipos_Miedo_Sesgo'!$D$4:$D$8,MATCH(AJ60,'[2]02_Arquetipos_Miedo_Sesgo'!$A$4:$A$8,0)),"")</f>
        <v>Sesgo de disponibilidad + sesgo de negatividad + preferencia por autoridad.</v>
      </c>
      <c r="AM60" s="9" t="str">
        <f>IFERROR(INDEX('[2]02_Arquetipos_Miedo_Sesgo'!$E$4:$E$8,MATCH(AJ60,'[2]02_Arquetipos_Miedo_Sesgo'!$A$4:$A$8,0)),"")</f>
        <v>Seguridad, convivencia, movilidad, alumbrado, reacción institucional rápida, presencia de autoridad.</v>
      </c>
      <c r="AN60" s="9" t="str">
        <f t="shared" si="1"/>
        <v>Alta</v>
      </c>
      <c r="AO60" s="9" t="s">
        <v>485</v>
      </c>
    </row>
    <row r="61" spans="1:41" ht="28.8">
      <c r="A61" s="9" t="s">
        <v>229</v>
      </c>
      <c r="B61" s="9" t="s">
        <v>221</v>
      </c>
      <c r="C61" s="9" t="s">
        <v>230</v>
      </c>
      <c r="D61" s="10">
        <v>2357</v>
      </c>
      <c r="E61" s="10">
        <v>2005</v>
      </c>
      <c r="F61" s="10">
        <v>1611</v>
      </c>
      <c r="G61" s="9" t="s">
        <v>477</v>
      </c>
      <c r="H61" s="11">
        <v>0.41238862961391598</v>
      </c>
      <c r="I61" s="11">
        <v>6.9579974543911738E-2</v>
      </c>
      <c r="J61" s="9" t="s">
        <v>478</v>
      </c>
      <c r="K61" s="11">
        <v>0.19201995012468831</v>
      </c>
      <c r="L61" s="11">
        <v>4.2892768079800497E-2</v>
      </c>
      <c r="M61" s="9" t="s">
        <v>486</v>
      </c>
      <c r="N61" s="11">
        <v>0.27063935443823711</v>
      </c>
      <c r="O61" s="11">
        <v>0</v>
      </c>
      <c r="P61" s="12">
        <v>7.7392729533794419E-2</v>
      </c>
      <c r="Q61" s="9" t="s">
        <v>412</v>
      </c>
      <c r="R61" s="12">
        <v>-0.45700000000000002</v>
      </c>
      <c r="S61" s="9" t="s">
        <v>75</v>
      </c>
      <c r="T61" s="12">
        <v>0.104</v>
      </c>
      <c r="U61" s="12">
        <v>6.0464243177931483E-2</v>
      </c>
      <c r="V61" s="9" t="s">
        <v>412</v>
      </c>
      <c r="W61" s="9" t="s">
        <v>487</v>
      </c>
      <c r="X61" s="9" t="s">
        <v>131</v>
      </c>
      <c r="Y61" s="9" t="s">
        <v>532</v>
      </c>
      <c r="Z61" s="9" t="s">
        <v>533</v>
      </c>
      <c r="AA61" s="9" t="s">
        <v>483</v>
      </c>
      <c r="AB61" s="12">
        <v>0.20029219613185331</v>
      </c>
      <c r="AC61" s="12">
        <v>0.21094025101390401</v>
      </c>
      <c r="AD61" s="12">
        <v>0.20973189411737936</v>
      </c>
      <c r="AE61" s="12">
        <v>0.20839246390905411</v>
      </c>
      <c r="AF61" s="12">
        <v>0.17930770762519391</v>
      </c>
      <c r="AG61" s="9" t="str">
        <f>INDEX('[2]10_Listas'!$A$2:$A$6,MATCH(MAX(AB61:AF61),AB61:AF61,0))</f>
        <v>Estabilidad y continuidad</v>
      </c>
      <c r="AH61" s="9" t="s">
        <v>491</v>
      </c>
      <c r="AI61" s="9"/>
      <c r="AJ61" s="9" t="str">
        <f t="shared" si="0"/>
        <v>Estabilidad y continuidad</v>
      </c>
      <c r="AK61" s="9" t="str">
        <f>IFERROR(INDEX('[2]02_Arquetipos_Miedo_Sesgo'!$C$4:$C$8,MATCH(AJ61,'[2]02_Arquetipos_Miedo_Sesgo'!$A$4:$A$8,0)),"")</f>
        <v>Miedo a perder beneficios, subsidios, estabilidad institucional o condiciones de vida ya alcanzadas.</v>
      </c>
      <c r="AL61" s="9" t="str">
        <f>IFERROR(INDEX('[2]02_Arquetipos_Miedo_Sesgo'!$D$4:$D$8,MATCH(AJ61,'[2]02_Arquetipos_Miedo_Sesgo'!$A$4:$A$8,0)),"")</f>
        <v>Aversión a la pérdida + sesgo de statu quo + confirmación.</v>
      </c>
      <c r="AM61" s="9" t="str">
        <f>IFERROR(INDEX('[2]02_Arquetipos_Miedo_Sesgo'!$E$4:$E$8,MATCH(AJ61,'[2]02_Arquetipos_Miedo_Sesgo'!$A$4:$A$8,0)),"")</f>
        <v>Continuidad administrativa, servicios públicos, infraestructura, salud, educación y programas sociales.</v>
      </c>
      <c r="AN61" s="9" t="str">
        <f t="shared" si="1"/>
        <v>Media</v>
      </c>
      <c r="AO61" s="9" t="s">
        <v>485</v>
      </c>
    </row>
    <row r="62" spans="1:41" ht="28.8">
      <c r="A62" s="9" t="s">
        <v>231</v>
      </c>
      <c r="B62" s="9" t="s">
        <v>221</v>
      </c>
      <c r="C62" s="9" t="s">
        <v>232</v>
      </c>
      <c r="D62" s="10">
        <v>6635</v>
      </c>
      <c r="E62" s="10">
        <v>5478</v>
      </c>
      <c r="F62" s="10">
        <v>4108</v>
      </c>
      <c r="G62" s="9" t="s">
        <v>477</v>
      </c>
      <c r="H62" s="11">
        <v>0.40150715900527512</v>
      </c>
      <c r="I62" s="11">
        <v>3.2705350414468697E-2</v>
      </c>
      <c r="J62" s="9" t="s">
        <v>478</v>
      </c>
      <c r="K62" s="11">
        <v>0.22088353413654621</v>
      </c>
      <c r="L62" s="11">
        <v>8.4154801022270909E-2</v>
      </c>
      <c r="M62" s="9" t="s">
        <v>486</v>
      </c>
      <c r="N62" s="11">
        <v>0.35126582278481011</v>
      </c>
      <c r="O62" s="11">
        <v>0.129746835443038</v>
      </c>
      <c r="P62" s="12">
        <v>7.7392729533794419E-2</v>
      </c>
      <c r="Q62" s="9" t="s">
        <v>412</v>
      </c>
      <c r="R62" s="12">
        <v>-0.45700000000000002</v>
      </c>
      <c r="S62" s="9" t="s">
        <v>75</v>
      </c>
      <c r="T62" s="12">
        <v>0.104</v>
      </c>
      <c r="U62" s="12">
        <v>6.0464243177931483E-2</v>
      </c>
      <c r="V62" s="9" t="s">
        <v>412</v>
      </c>
      <c r="W62" s="9" t="s">
        <v>487</v>
      </c>
      <c r="X62" s="9" t="s">
        <v>131</v>
      </c>
      <c r="Y62" s="9" t="s">
        <v>532</v>
      </c>
      <c r="Z62" s="9" t="s">
        <v>533</v>
      </c>
      <c r="AA62" s="9" t="s">
        <v>483</v>
      </c>
      <c r="AB62" s="12">
        <v>0.19698885843480141</v>
      </c>
      <c r="AC62" s="12">
        <v>0.2022302529839195</v>
      </c>
      <c r="AD62" s="12">
        <v>0.20413332388539679</v>
      </c>
      <c r="AE62" s="12">
        <v>0.21383845164579759</v>
      </c>
      <c r="AF62" s="12">
        <v>0.18877531878073231</v>
      </c>
      <c r="AG62" s="9" t="str">
        <f>INDEX('[2]10_Listas'!$A$2:$A$6,MATCH(MAX(AB62:AF62),AB62:AF62,0))</f>
        <v>Desconfianza y castigo</v>
      </c>
      <c r="AH62" s="9" t="s">
        <v>491</v>
      </c>
      <c r="AI62" s="9"/>
      <c r="AJ62" s="9" t="str">
        <f t="shared" si="0"/>
        <v>Desconfianza y castigo</v>
      </c>
      <c r="AK62" s="9" t="str">
        <f>IFERROR(INDEX('[2]02_Arquetipos_Miedo_Sesgo'!$C$4:$C$8,MATCH(AJ62,'[2]02_Arquetipos_Miedo_Sesgo'!$A$4:$A$8,0)),"")</f>
        <v>Miedo a ser engañado, robado, manipulado o usado electoralmente.</v>
      </c>
      <c r="AL62" s="9" t="str">
        <f>IFERROR(INDEX('[2]02_Arquetipos_Miedo_Sesgo'!$D$4:$D$8,MATCH(AJ62,'[2]02_Arquetipos_Miedo_Sesgo'!$A$4:$A$8,0)),"")</f>
        <v>Sesgo de confirmación + cinismo político + efecto de indignación moral.</v>
      </c>
      <c r="AM62" s="9" t="str">
        <f>IFERROR(INDEX('[2]02_Arquetipos_Miedo_Sesgo'!$E$4:$E$8,MATCH(AJ62,'[2]02_Arquetipos_Miedo_Sesgo'!$A$4:$A$8,0)),"")</f>
        <v>Transparencia, control político, lucha anticorrupción, vigilancia ciudadana, ejecución presupuestal y sanción a abusos.</v>
      </c>
      <c r="AN62" s="9" t="str">
        <f t="shared" si="1"/>
        <v>Media</v>
      </c>
      <c r="AO62" s="9" t="s">
        <v>485</v>
      </c>
    </row>
    <row r="63" spans="1:41" ht="28.8">
      <c r="A63" s="9" t="s">
        <v>233</v>
      </c>
      <c r="B63" s="9" t="s">
        <v>221</v>
      </c>
      <c r="C63" s="9" t="s">
        <v>234</v>
      </c>
      <c r="D63" s="10">
        <v>6638</v>
      </c>
      <c r="E63" s="10">
        <v>5502</v>
      </c>
      <c r="F63" s="10">
        <v>4461</v>
      </c>
      <c r="G63" s="9" t="s">
        <v>477</v>
      </c>
      <c r="H63" s="11">
        <v>0.4138294667068394</v>
      </c>
      <c r="I63" s="11">
        <v>8.0295269659535984E-2</v>
      </c>
      <c r="J63" s="9" t="s">
        <v>478</v>
      </c>
      <c r="K63" s="11">
        <v>0.22446383133406031</v>
      </c>
      <c r="L63" s="11">
        <v>0.11668484187568159</v>
      </c>
      <c r="M63" s="9" t="s">
        <v>486</v>
      </c>
      <c r="N63" s="11">
        <v>0.31450347455727418</v>
      </c>
      <c r="O63" s="11">
        <v>6.9042815512217026E-2</v>
      </c>
      <c r="P63" s="12">
        <v>7.7392729533794419E-2</v>
      </c>
      <c r="Q63" s="9" t="s">
        <v>412</v>
      </c>
      <c r="R63" s="12">
        <v>-0.45700000000000002</v>
      </c>
      <c r="S63" s="9" t="s">
        <v>75</v>
      </c>
      <c r="T63" s="12">
        <v>0.104</v>
      </c>
      <c r="U63" s="12">
        <v>6.0464243177931483E-2</v>
      </c>
      <c r="V63" s="9" t="s">
        <v>412</v>
      </c>
      <c r="W63" s="9" t="s">
        <v>487</v>
      </c>
      <c r="X63" s="9" t="s">
        <v>131</v>
      </c>
      <c r="Y63" s="9" t="s">
        <v>532</v>
      </c>
      <c r="Z63" s="9" t="s">
        <v>533</v>
      </c>
      <c r="AA63" s="9" t="s">
        <v>483</v>
      </c>
      <c r="AB63" s="12">
        <v>0.19616034354004819</v>
      </c>
      <c r="AC63" s="12">
        <v>0.20239875820476608</v>
      </c>
      <c r="AD63" s="12">
        <v>0.20454335443393704</v>
      </c>
      <c r="AE63" s="12">
        <v>0.21335972527673661</v>
      </c>
      <c r="AF63" s="12">
        <v>0.1874680089748017</v>
      </c>
      <c r="AG63" s="9" t="str">
        <f>INDEX('[2]10_Listas'!$A$2:$A$6,MATCH(MAX(AB63:AF63),AB63:AF63,0))</f>
        <v>Desconfianza y castigo</v>
      </c>
      <c r="AH63" s="9" t="s">
        <v>491</v>
      </c>
      <c r="AI63" s="9"/>
      <c r="AJ63" s="9" t="str">
        <f t="shared" si="0"/>
        <v>Desconfianza y castigo</v>
      </c>
      <c r="AK63" s="9" t="str">
        <f>IFERROR(INDEX('[2]02_Arquetipos_Miedo_Sesgo'!$C$4:$C$8,MATCH(AJ63,'[2]02_Arquetipos_Miedo_Sesgo'!$A$4:$A$8,0)),"")</f>
        <v>Miedo a ser engañado, robado, manipulado o usado electoralmente.</v>
      </c>
      <c r="AL63" s="9" t="str">
        <f>IFERROR(INDEX('[2]02_Arquetipos_Miedo_Sesgo'!$D$4:$D$8,MATCH(AJ63,'[2]02_Arquetipos_Miedo_Sesgo'!$A$4:$A$8,0)),"")</f>
        <v>Sesgo de confirmación + cinismo político + efecto de indignación moral.</v>
      </c>
      <c r="AM63" s="9" t="str">
        <f>IFERROR(INDEX('[2]02_Arquetipos_Miedo_Sesgo'!$E$4:$E$8,MATCH(AJ63,'[2]02_Arquetipos_Miedo_Sesgo'!$A$4:$A$8,0)),"")</f>
        <v>Transparencia, control político, lucha anticorrupción, vigilancia ciudadana, ejecución presupuestal y sanción a abusos.</v>
      </c>
      <c r="AN63" s="9" t="str">
        <f t="shared" si="1"/>
        <v>Media</v>
      </c>
      <c r="AO63" s="9" t="s">
        <v>485</v>
      </c>
    </row>
    <row r="64" spans="1:41" ht="28.8">
      <c r="A64" s="9" t="s">
        <v>220</v>
      </c>
      <c r="B64" s="9" t="s">
        <v>221</v>
      </c>
      <c r="C64" s="9" t="s">
        <v>222</v>
      </c>
      <c r="D64" s="10">
        <v>6659</v>
      </c>
      <c r="E64" s="10">
        <v>5616</v>
      </c>
      <c r="F64" s="10">
        <v>4520</v>
      </c>
      <c r="G64" s="9" t="s">
        <v>477</v>
      </c>
      <c r="H64" s="11">
        <v>0.38759573509535972</v>
      </c>
      <c r="I64" s="11">
        <v>1.4266406367322401E-2</v>
      </c>
      <c r="J64" s="9" t="s">
        <v>478</v>
      </c>
      <c r="K64" s="11">
        <v>0.20245726495726499</v>
      </c>
      <c r="L64" s="11">
        <v>8.2799145299145296E-2</v>
      </c>
      <c r="M64" s="9" t="s">
        <v>486</v>
      </c>
      <c r="N64" s="11">
        <v>0.30044247787610617</v>
      </c>
      <c r="O64" s="11">
        <v>6.2168141592920327E-2</v>
      </c>
      <c r="P64" s="12">
        <v>7.7392729533794419E-2</v>
      </c>
      <c r="Q64" s="9" t="s">
        <v>412</v>
      </c>
      <c r="R64" s="12">
        <v>-0.45700000000000002</v>
      </c>
      <c r="S64" s="9" t="s">
        <v>75</v>
      </c>
      <c r="T64" s="12">
        <v>0.104</v>
      </c>
      <c r="U64" s="12">
        <v>6.0464243177931483E-2</v>
      </c>
      <c r="V64" s="9" t="s">
        <v>412</v>
      </c>
      <c r="W64" s="9" t="s">
        <v>487</v>
      </c>
      <c r="X64" s="9" t="s">
        <v>131</v>
      </c>
      <c r="Y64" s="9" t="s">
        <v>532</v>
      </c>
      <c r="Z64" s="9" t="s">
        <v>533</v>
      </c>
      <c r="AA64" s="9" t="s">
        <v>483</v>
      </c>
      <c r="AB64" s="12">
        <v>0.19746720330552969</v>
      </c>
      <c r="AC64" s="12">
        <v>0.20296257667642909</v>
      </c>
      <c r="AD64" s="12">
        <v>0.20600622225160983</v>
      </c>
      <c r="AE64" s="12">
        <v>0.20374850892914481</v>
      </c>
      <c r="AF64" s="12">
        <v>0.19443125022661251</v>
      </c>
      <c r="AG64" s="9" t="str">
        <f>INDEX('[2]10_Listas'!$A$2:$A$6,MATCH(MAX(AB64:AF64),AB64:AF64,0))</f>
        <v>Supervivencia económica y servicios básicos</v>
      </c>
      <c r="AH64" s="9" t="s">
        <v>491</v>
      </c>
      <c r="AI64" s="9"/>
      <c r="AJ64" s="9" t="str">
        <f t="shared" si="0"/>
        <v>Supervivencia económica y servicios básicos</v>
      </c>
      <c r="AK64" s="9" t="str">
        <f>IFERROR(INDEX('[2]02_Arquetipos_Miedo_Sesgo'!$C$4:$C$8,MATCH(AJ64,'[2]02_Arquetipos_Miedo_Sesgo'!$A$4:$A$8,0)),"")</f>
        <v>Miedo a no llegar a fin de mes, perder ingresos, empleo, movilidad o acceso a servicios básicos.</v>
      </c>
      <c r="AL64" s="9" t="str">
        <f>IFERROR(INDEX('[2]02_Arquetipos_Miedo_Sesgo'!$D$4:$D$8,MATCH(AJ64,'[2]02_Arquetipos_Miedo_Sesgo'!$A$4:$A$8,0)),"")</f>
        <v>Sesgo de escasez + presente dominante + aversión al riesgo económico.</v>
      </c>
      <c r="AM64" s="9" t="str">
        <f>IFERROR(INDEX('[2]02_Arquetipos_Miedo_Sesgo'!$E$4:$E$8,MATCH(AJ64,'[2]02_Arquetipos_Miedo_Sesgo'!$A$4:$A$8,0)),"")</f>
        <v>Empleo, emprendimiento, economía popular, transporte, costo de vida, salud, educación técnica y subsidios focalizados.</v>
      </c>
      <c r="AN64" s="9" t="str">
        <f t="shared" si="1"/>
        <v>Media</v>
      </c>
      <c r="AO64" s="9" t="s">
        <v>485</v>
      </c>
    </row>
    <row r="65" spans="1:41" ht="28.8">
      <c r="A65" s="9" t="s">
        <v>251</v>
      </c>
      <c r="B65" s="9" t="s">
        <v>236</v>
      </c>
      <c r="C65" s="9" t="s">
        <v>252</v>
      </c>
      <c r="D65" s="10">
        <v>9595</v>
      </c>
      <c r="E65" s="10">
        <v>8349</v>
      </c>
      <c r="F65" s="10">
        <v>6597</v>
      </c>
      <c r="G65" s="9" t="s">
        <v>492</v>
      </c>
      <c r="H65" s="11">
        <v>0.44471078686816051</v>
      </c>
      <c r="I65" s="11">
        <v>0.1136008337675873</v>
      </c>
      <c r="J65" s="9" t="s">
        <v>478</v>
      </c>
      <c r="K65" s="11">
        <v>0.19020241945143129</v>
      </c>
      <c r="L65" s="11">
        <v>4.8269253802850659E-2</v>
      </c>
      <c r="M65" s="9" t="s">
        <v>486</v>
      </c>
      <c r="N65" s="11">
        <v>0.23116568137031979</v>
      </c>
      <c r="O65" s="11">
        <v>1.3187812642110049E-2</v>
      </c>
      <c r="P65" s="12">
        <v>-0.1151436448345239</v>
      </c>
      <c r="Q65" s="9" t="s">
        <v>412</v>
      </c>
      <c r="R65" s="12">
        <v>0.46899999999999997</v>
      </c>
      <c r="S65" s="9" t="s">
        <v>75</v>
      </c>
      <c r="T65" s="12">
        <v>0.104</v>
      </c>
      <c r="U65" s="12">
        <v>0.151</v>
      </c>
      <c r="V65" s="9" t="s">
        <v>73</v>
      </c>
      <c r="W65" s="9" t="s">
        <v>493</v>
      </c>
      <c r="X65" s="9" t="s">
        <v>60</v>
      </c>
      <c r="Y65" s="9" t="s">
        <v>489</v>
      </c>
      <c r="Z65" s="9" t="s">
        <v>490</v>
      </c>
      <c r="AA65" s="9" t="s">
        <v>494</v>
      </c>
      <c r="AB65" s="12">
        <v>0.22988851688439851</v>
      </c>
      <c r="AC65" s="12">
        <v>0.22449908129031595</v>
      </c>
      <c r="AD65" s="12">
        <v>0.21743752862473201</v>
      </c>
      <c r="AE65" s="12">
        <v>0.18726971923887301</v>
      </c>
      <c r="AF65" s="12">
        <v>0.17436789404775199</v>
      </c>
      <c r="AG65" s="9" t="str">
        <f>INDEX('[2]10_Listas'!$A$2:$A$6,MATCH(MAX(AB65:AF65),AB65:AF65,0))</f>
        <v>Protección y orden cotidiano</v>
      </c>
      <c r="AH65" s="9" t="s">
        <v>491</v>
      </c>
      <c r="AI65" s="9"/>
      <c r="AJ65" s="9" t="str">
        <f t="shared" si="0"/>
        <v>Protección y orden cotidiano</v>
      </c>
      <c r="AK65" s="9" t="str">
        <f>IFERROR(INDEX('[2]02_Arquetipos_Miedo_Sesgo'!$C$4:$C$8,MATCH(AJ65,'[2]02_Arquetipos_Miedo_Sesgo'!$A$4:$A$8,0)),"")</f>
        <v>Miedo a la inseguridad, al descontrol barrial y a perder la tranquilidad cotidiana.</v>
      </c>
      <c r="AL65" s="9" t="str">
        <f>IFERROR(INDEX('[2]02_Arquetipos_Miedo_Sesgo'!$D$4:$D$8,MATCH(AJ65,'[2]02_Arquetipos_Miedo_Sesgo'!$A$4:$A$8,0)),"")</f>
        <v>Sesgo de disponibilidad + sesgo de negatividad + preferencia por autoridad.</v>
      </c>
      <c r="AM65" s="9" t="str">
        <f>IFERROR(INDEX('[2]02_Arquetipos_Miedo_Sesgo'!$E$4:$E$8,MATCH(AJ65,'[2]02_Arquetipos_Miedo_Sesgo'!$A$4:$A$8,0)),"")</f>
        <v>Seguridad, convivencia, movilidad, alumbrado, reacción institucional rápida, presencia de autoridad.</v>
      </c>
      <c r="AN65" s="9" t="str">
        <f t="shared" si="1"/>
        <v>Alta</v>
      </c>
      <c r="AO65" s="9" t="s">
        <v>485</v>
      </c>
    </row>
    <row r="66" spans="1:41" ht="28.8">
      <c r="A66" s="9" t="s">
        <v>247</v>
      </c>
      <c r="B66" s="9" t="s">
        <v>236</v>
      </c>
      <c r="C66" s="9" t="s">
        <v>248</v>
      </c>
      <c r="D66" s="10">
        <v>618</v>
      </c>
      <c r="E66" s="10">
        <v>503</v>
      </c>
      <c r="F66" s="10">
        <v>361</v>
      </c>
      <c r="G66" s="9" t="s">
        <v>477</v>
      </c>
      <c r="H66" s="11">
        <v>0.51779935275080902</v>
      </c>
      <c r="I66" s="11">
        <v>0.27669902912621358</v>
      </c>
      <c r="J66" s="9" t="s">
        <v>478</v>
      </c>
      <c r="K66" s="11">
        <v>0.22067594433399601</v>
      </c>
      <c r="L66" s="11">
        <v>9.5427435387673953E-2</v>
      </c>
      <c r="M66" s="9" t="s">
        <v>486</v>
      </c>
      <c r="N66" s="11">
        <v>0.26869806094182819</v>
      </c>
      <c r="O66" s="11">
        <v>6.9252077562326847E-2</v>
      </c>
      <c r="P66" s="12">
        <v>7.7392729533794419E-2</v>
      </c>
      <c r="Q66" s="9" t="s">
        <v>412</v>
      </c>
      <c r="R66" s="12">
        <v>-0.45700000000000002</v>
      </c>
      <c r="S66" s="9" t="s">
        <v>75</v>
      </c>
      <c r="T66" s="12">
        <v>0.104</v>
      </c>
      <c r="U66" s="12">
        <v>6.0464243177931483E-2</v>
      </c>
      <c r="V66" s="9" t="s">
        <v>412</v>
      </c>
      <c r="W66" s="9" t="s">
        <v>487</v>
      </c>
      <c r="X66" s="9" t="s">
        <v>60</v>
      </c>
      <c r="Y66" s="9" t="s">
        <v>489</v>
      </c>
      <c r="Z66" s="9" t="s">
        <v>490</v>
      </c>
      <c r="AA66" s="9" t="s">
        <v>483</v>
      </c>
      <c r="AB66" s="12">
        <v>0.1630022149983088</v>
      </c>
      <c r="AC66" s="12">
        <v>0.21144122105213681</v>
      </c>
      <c r="AD66" s="12">
        <v>0.21528773526835782</v>
      </c>
      <c r="AE66" s="12">
        <v>0.22748711098242069</v>
      </c>
      <c r="AF66" s="12">
        <v>0.18741374571716329</v>
      </c>
      <c r="AG66" s="9" t="str">
        <f>INDEX('[2]10_Listas'!$A$2:$A$6,MATCH(MAX(AB66:AF66),AB66:AF66,0))</f>
        <v>Desconfianza y castigo</v>
      </c>
      <c r="AH66" s="9" t="s">
        <v>488</v>
      </c>
      <c r="AI66" s="9"/>
      <c r="AJ66" s="9" t="str">
        <f t="shared" ref="AJ66:AJ129" si="2">IF(AI66&lt;&gt;"",AI66,AG66)</f>
        <v>Desconfianza y castigo</v>
      </c>
      <c r="AK66" s="9" t="str">
        <f>IFERROR(INDEX('[2]02_Arquetipos_Miedo_Sesgo'!$C$4:$C$8,MATCH(AJ66,'[2]02_Arquetipos_Miedo_Sesgo'!$A$4:$A$8,0)),"")</f>
        <v>Miedo a ser engañado, robado, manipulado o usado electoralmente.</v>
      </c>
      <c r="AL66" s="9" t="str">
        <f>IFERROR(INDEX('[2]02_Arquetipos_Miedo_Sesgo'!$D$4:$D$8,MATCH(AJ66,'[2]02_Arquetipos_Miedo_Sesgo'!$A$4:$A$8,0)),"")</f>
        <v>Sesgo de confirmación + cinismo político + efecto de indignación moral.</v>
      </c>
      <c r="AM66" s="9" t="str">
        <f>IFERROR(INDEX('[2]02_Arquetipos_Miedo_Sesgo'!$E$4:$E$8,MATCH(AJ66,'[2]02_Arquetipos_Miedo_Sesgo'!$A$4:$A$8,0)),"")</f>
        <v>Transparencia, control político, lucha anticorrupción, vigilancia ciudadana, ejecución presupuestal y sanción a abusos.</v>
      </c>
      <c r="AN66" s="9" t="str">
        <f t="shared" ref="AN66:AN129" si="3">IF(OR($X66="Alto",$X66="Extremo",MAX($AB66:$AF66)&gt;=0.215),"Alta",IF(MAX($AB66:$AF66)&gt;=0.195,"Media","Baja"))</f>
        <v>Alta</v>
      </c>
      <c r="AO66" s="9" t="s">
        <v>485</v>
      </c>
    </row>
    <row r="67" spans="1:41" ht="28.8">
      <c r="A67" s="9" t="s">
        <v>235</v>
      </c>
      <c r="B67" s="9" t="s">
        <v>236</v>
      </c>
      <c r="C67" s="9" t="s">
        <v>237</v>
      </c>
      <c r="D67" s="10">
        <v>5190</v>
      </c>
      <c r="E67" s="10">
        <v>4304</v>
      </c>
      <c r="F67" s="10">
        <v>2956</v>
      </c>
      <c r="G67" s="9" t="s">
        <v>477</v>
      </c>
      <c r="H67" s="11">
        <v>0.47360308285163782</v>
      </c>
      <c r="I67" s="11">
        <v>0.16801541425818881</v>
      </c>
      <c r="J67" s="9" t="s">
        <v>478</v>
      </c>
      <c r="K67" s="11">
        <v>0.22630111524163571</v>
      </c>
      <c r="L67" s="11">
        <v>9.6421933085501843E-2</v>
      </c>
      <c r="M67" s="9" t="s">
        <v>486</v>
      </c>
      <c r="N67" s="11">
        <v>0.32307171853856559</v>
      </c>
      <c r="O67" s="11">
        <v>7.9837618403247657E-2</v>
      </c>
      <c r="P67" s="12">
        <v>7.7392729533794419E-2</v>
      </c>
      <c r="Q67" s="9" t="s">
        <v>412</v>
      </c>
      <c r="R67" s="12">
        <v>-0.45700000000000002</v>
      </c>
      <c r="S67" s="9" t="s">
        <v>75</v>
      </c>
      <c r="T67" s="12">
        <v>0.104</v>
      </c>
      <c r="U67" s="12">
        <v>6.0464243177931483E-2</v>
      </c>
      <c r="V67" s="9" t="s">
        <v>412</v>
      </c>
      <c r="W67" s="9" t="s">
        <v>487</v>
      </c>
      <c r="X67" s="9" t="s">
        <v>60</v>
      </c>
      <c r="Y67" s="9" t="s">
        <v>489</v>
      </c>
      <c r="Z67" s="9" t="s">
        <v>490</v>
      </c>
      <c r="AA67" s="9" t="s">
        <v>483</v>
      </c>
      <c r="AB67" s="12">
        <v>0.1768537369495681</v>
      </c>
      <c r="AC67" s="12">
        <v>0.20157363703165387</v>
      </c>
      <c r="AD67" s="12">
        <v>0.2097893810992838</v>
      </c>
      <c r="AE67" s="12">
        <v>0.2179440763580528</v>
      </c>
      <c r="AF67" s="12">
        <v>0.19708640882758299</v>
      </c>
      <c r="AG67" s="9" t="str">
        <f>INDEX('[2]10_Listas'!$A$2:$A$6,MATCH(MAX(AB67:AF67),AB67:AF67,0))</f>
        <v>Desconfianza y castigo</v>
      </c>
      <c r="AH67" s="9" t="s">
        <v>488</v>
      </c>
      <c r="AI67" s="9"/>
      <c r="AJ67" s="9" t="str">
        <f t="shared" si="2"/>
        <v>Desconfianza y castigo</v>
      </c>
      <c r="AK67" s="9" t="str">
        <f>IFERROR(INDEX('[2]02_Arquetipos_Miedo_Sesgo'!$C$4:$C$8,MATCH(AJ67,'[2]02_Arquetipos_Miedo_Sesgo'!$A$4:$A$8,0)),"")</f>
        <v>Miedo a ser engañado, robado, manipulado o usado electoralmente.</v>
      </c>
      <c r="AL67" s="9" t="str">
        <f>IFERROR(INDEX('[2]02_Arquetipos_Miedo_Sesgo'!$D$4:$D$8,MATCH(AJ67,'[2]02_Arquetipos_Miedo_Sesgo'!$A$4:$A$8,0)),"")</f>
        <v>Sesgo de confirmación + cinismo político + efecto de indignación moral.</v>
      </c>
      <c r="AM67" s="9" t="str">
        <f>IFERROR(INDEX('[2]02_Arquetipos_Miedo_Sesgo'!$E$4:$E$8,MATCH(AJ67,'[2]02_Arquetipos_Miedo_Sesgo'!$A$4:$A$8,0)),"")</f>
        <v>Transparencia, control político, lucha anticorrupción, vigilancia ciudadana, ejecución presupuestal y sanción a abusos.</v>
      </c>
      <c r="AN67" s="9" t="str">
        <f t="shared" si="3"/>
        <v>Alta</v>
      </c>
      <c r="AO67" s="9" t="s">
        <v>485</v>
      </c>
    </row>
    <row r="68" spans="1:41" ht="28.8">
      <c r="A68" s="9" t="s">
        <v>242</v>
      </c>
      <c r="B68" s="9" t="s">
        <v>236</v>
      </c>
      <c r="C68" s="9" t="s">
        <v>236</v>
      </c>
      <c r="D68" s="10">
        <v>2180</v>
      </c>
      <c r="E68" s="10">
        <v>1947</v>
      </c>
      <c r="F68" s="10">
        <v>1440</v>
      </c>
      <c r="G68" s="9" t="s">
        <v>477</v>
      </c>
      <c r="H68" s="11">
        <v>0.47431192660550459</v>
      </c>
      <c r="I68" s="11">
        <v>0.20504587155963311</v>
      </c>
      <c r="J68" s="9" t="s">
        <v>478</v>
      </c>
      <c r="K68" s="11">
        <v>0.22444786851566509</v>
      </c>
      <c r="L68" s="11">
        <v>9.2963533641499729E-2</v>
      </c>
      <c r="M68" s="9" t="s">
        <v>486</v>
      </c>
      <c r="N68" s="11">
        <v>0.2986111111111111</v>
      </c>
      <c r="O68" s="11">
        <v>9.5138888888888884E-2</v>
      </c>
      <c r="P68" s="12">
        <v>7.7392729533794419E-2</v>
      </c>
      <c r="Q68" s="9" t="s">
        <v>412</v>
      </c>
      <c r="R68" s="12">
        <v>-0.45700000000000002</v>
      </c>
      <c r="S68" s="9" t="s">
        <v>75</v>
      </c>
      <c r="T68" s="12">
        <v>0.104</v>
      </c>
      <c r="U68" s="12">
        <v>6.0464243177931483E-2</v>
      </c>
      <c r="V68" s="9" t="s">
        <v>412</v>
      </c>
      <c r="W68" s="9" t="s">
        <v>487</v>
      </c>
      <c r="X68" s="9" t="s">
        <v>60</v>
      </c>
      <c r="Y68" s="9" t="s">
        <v>489</v>
      </c>
      <c r="Z68" s="9" t="s">
        <v>490</v>
      </c>
      <c r="AA68" s="9" t="s">
        <v>483</v>
      </c>
      <c r="AB68" s="12">
        <v>0.1711715018955853</v>
      </c>
      <c r="AC68" s="12">
        <v>0.21483458390460419</v>
      </c>
      <c r="AD68" s="12">
        <v>0.21792843400463599</v>
      </c>
      <c r="AE68" s="12">
        <v>0.22266017600561391</v>
      </c>
      <c r="AF68" s="12">
        <v>0.18347083038043679</v>
      </c>
      <c r="AG68" s="9" t="str">
        <f>INDEX('[2]10_Listas'!$A$2:$A$6,MATCH(MAX(AB68:AF68),AB68:AF68,0))</f>
        <v>Desconfianza y castigo</v>
      </c>
      <c r="AH68" s="9" t="s">
        <v>491</v>
      </c>
      <c r="AI68" s="9"/>
      <c r="AJ68" s="9" t="str">
        <f t="shared" si="2"/>
        <v>Desconfianza y castigo</v>
      </c>
      <c r="AK68" s="9" t="str">
        <f>IFERROR(INDEX('[2]02_Arquetipos_Miedo_Sesgo'!$C$4:$C$8,MATCH(AJ68,'[2]02_Arquetipos_Miedo_Sesgo'!$A$4:$A$8,0)),"")</f>
        <v>Miedo a ser engañado, robado, manipulado o usado electoralmente.</v>
      </c>
      <c r="AL68" s="9" t="str">
        <f>IFERROR(INDEX('[2]02_Arquetipos_Miedo_Sesgo'!$D$4:$D$8,MATCH(AJ68,'[2]02_Arquetipos_Miedo_Sesgo'!$A$4:$A$8,0)),"")</f>
        <v>Sesgo de confirmación + cinismo político + efecto de indignación moral.</v>
      </c>
      <c r="AM68" s="9" t="str">
        <f>IFERROR(INDEX('[2]02_Arquetipos_Miedo_Sesgo'!$E$4:$E$8,MATCH(AJ68,'[2]02_Arquetipos_Miedo_Sesgo'!$A$4:$A$8,0)),"")</f>
        <v>Transparencia, control político, lucha anticorrupción, vigilancia ciudadana, ejecución presupuestal y sanción a abusos.</v>
      </c>
      <c r="AN68" s="9" t="str">
        <f t="shared" si="3"/>
        <v>Alta</v>
      </c>
      <c r="AO68" s="9" t="s">
        <v>485</v>
      </c>
    </row>
    <row r="69" spans="1:41" ht="28.8">
      <c r="A69" s="9" t="s">
        <v>243</v>
      </c>
      <c r="B69" s="9" t="s">
        <v>236</v>
      </c>
      <c r="C69" s="9" t="s">
        <v>244</v>
      </c>
      <c r="D69" s="10">
        <v>14529</v>
      </c>
      <c r="E69" s="10">
        <v>12627</v>
      </c>
      <c r="F69" s="10">
        <v>8627</v>
      </c>
      <c r="G69" s="9" t="s">
        <v>492</v>
      </c>
      <c r="H69" s="11">
        <v>0.39699910523780019</v>
      </c>
      <c r="I69" s="11">
        <v>2.271319430105279E-3</v>
      </c>
      <c r="J69" s="9" t="s">
        <v>478</v>
      </c>
      <c r="K69" s="11">
        <v>0.2280826799714897</v>
      </c>
      <c r="L69" s="11">
        <v>9.9548586362556452E-2</v>
      </c>
      <c r="M69" s="9" t="s">
        <v>486</v>
      </c>
      <c r="N69" s="11">
        <v>0.31169583864611111</v>
      </c>
      <c r="O69" s="11">
        <v>6.7462617364089483E-2</v>
      </c>
      <c r="P69" s="12">
        <v>-0.1151436448345239</v>
      </c>
      <c r="Q69" s="9" t="s">
        <v>412</v>
      </c>
      <c r="R69" s="12">
        <v>0.46899999999999997</v>
      </c>
      <c r="S69" s="9" t="s">
        <v>75</v>
      </c>
      <c r="T69" s="12">
        <v>0.104</v>
      </c>
      <c r="U69" s="12">
        <v>0.151</v>
      </c>
      <c r="V69" s="9" t="s">
        <v>73</v>
      </c>
      <c r="W69" s="9" t="s">
        <v>493</v>
      </c>
      <c r="X69" s="9" t="s">
        <v>60</v>
      </c>
      <c r="Y69" s="9" t="s">
        <v>489</v>
      </c>
      <c r="Z69" s="9" t="s">
        <v>490</v>
      </c>
      <c r="AA69" s="9" t="s">
        <v>483</v>
      </c>
      <c r="AB69" s="12">
        <v>0.20695285666797031</v>
      </c>
      <c r="AC69" s="12">
        <v>0.20315070942881333</v>
      </c>
      <c r="AD69" s="12">
        <v>0.21178261547136704</v>
      </c>
      <c r="AE69" s="12">
        <v>0.19786671382247009</v>
      </c>
      <c r="AF69" s="12">
        <v>0.19067725108145739</v>
      </c>
      <c r="AG69" s="9" t="str">
        <f>INDEX('[2]10_Listas'!$A$2:$A$6,MATCH(MAX(AB69:AF69),AB69:AF69,0))</f>
        <v>Supervivencia económica y servicios básicos</v>
      </c>
      <c r="AH69" s="9" t="s">
        <v>491</v>
      </c>
      <c r="AI69" s="9"/>
      <c r="AJ69" s="9" t="str">
        <f t="shared" si="2"/>
        <v>Supervivencia económica y servicios básicos</v>
      </c>
      <c r="AK69" s="9" t="str">
        <f>IFERROR(INDEX('[2]02_Arquetipos_Miedo_Sesgo'!$C$4:$C$8,MATCH(AJ69,'[2]02_Arquetipos_Miedo_Sesgo'!$A$4:$A$8,0)),"")</f>
        <v>Miedo a no llegar a fin de mes, perder ingresos, empleo, movilidad o acceso a servicios básicos.</v>
      </c>
      <c r="AL69" s="9" t="str">
        <f>IFERROR(INDEX('[2]02_Arquetipos_Miedo_Sesgo'!$D$4:$D$8,MATCH(AJ69,'[2]02_Arquetipos_Miedo_Sesgo'!$A$4:$A$8,0)),"")</f>
        <v>Sesgo de escasez + presente dominante + aversión al riesgo económico.</v>
      </c>
      <c r="AM69" s="9" t="str">
        <f>IFERROR(INDEX('[2]02_Arquetipos_Miedo_Sesgo'!$E$4:$E$8,MATCH(AJ69,'[2]02_Arquetipos_Miedo_Sesgo'!$A$4:$A$8,0)),"")</f>
        <v>Empleo, emprendimiento, economía popular, transporte, costo de vida, salud, educación técnica y subsidios focalizados.</v>
      </c>
      <c r="AN69" s="9" t="str">
        <f t="shared" si="3"/>
        <v>Alta</v>
      </c>
      <c r="AO69" s="9" t="s">
        <v>485</v>
      </c>
    </row>
    <row r="70" spans="1:41" ht="28.8">
      <c r="A70" s="9" t="s">
        <v>245</v>
      </c>
      <c r="B70" s="9" t="s">
        <v>236</v>
      </c>
      <c r="C70" s="9" t="s">
        <v>246</v>
      </c>
      <c r="D70" s="10">
        <v>7331</v>
      </c>
      <c r="E70" s="10">
        <v>6232</v>
      </c>
      <c r="F70" s="10">
        <v>4557</v>
      </c>
      <c r="G70" s="9" t="s">
        <v>477</v>
      </c>
      <c r="H70" s="11">
        <v>0.4135861410448779</v>
      </c>
      <c r="I70" s="11">
        <v>7.5433092347565123E-2</v>
      </c>
      <c r="J70" s="9" t="s">
        <v>478</v>
      </c>
      <c r="K70" s="11">
        <v>0.19897304236200261</v>
      </c>
      <c r="L70" s="11">
        <v>8.1033376123234899E-2</v>
      </c>
      <c r="M70" s="9" t="s">
        <v>479</v>
      </c>
      <c r="N70" s="11">
        <v>0.2749615975422427</v>
      </c>
      <c r="O70" s="11">
        <v>2.94053105113013E-2</v>
      </c>
      <c r="P70" s="12">
        <v>7.7392729533794419E-2</v>
      </c>
      <c r="Q70" s="9" t="s">
        <v>412</v>
      </c>
      <c r="R70" s="12">
        <v>8.0000000000000002E-3</v>
      </c>
      <c r="S70" s="9" t="s">
        <v>412</v>
      </c>
      <c r="T70" s="12">
        <v>-0.41199999999999998</v>
      </c>
      <c r="U70" s="12">
        <v>4.1130909844598142E-2</v>
      </c>
      <c r="V70" s="9" t="s">
        <v>412</v>
      </c>
      <c r="W70" s="9" t="s">
        <v>480</v>
      </c>
      <c r="X70" s="9" t="s">
        <v>60</v>
      </c>
      <c r="Y70" s="9" t="s">
        <v>489</v>
      </c>
      <c r="Z70" s="9" t="s">
        <v>490</v>
      </c>
      <c r="AA70" s="9" t="s">
        <v>483</v>
      </c>
      <c r="AB70" s="12">
        <v>0.1948886568255391</v>
      </c>
      <c r="AC70" s="12">
        <v>0.20754687297013896</v>
      </c>
      <c r="AD70" s="12">
        <v>0.21415839760637961</v>
      </c>
      <c r="AE70" s="12">
        <v>0.2090494442608255</v>
      </c>
      <c r="AF70" s="12">
        <v>0.18593060788737331</v>
      </c>
      <c r="AG70" s="9" t="str">
        <f>INDEX('[2]10_Listas'!$A$2:$A$6,MATCH(MAX(AB70:AF70),AB70:AF70,0))</f>
        <v>Supervivencia económica y servicios básicos</v>
      </c>
      <c r="AH70" s="9" t="s">
        <v>491</v>
      </c>
      <c r="AI70" s="9"/>
      <c r="AJ70" s="9" t="str">
        <f t="shared" si="2"/>
        <v>Supervivencia económica y servicios básicos</v>
      </c>
      <c r="AK70" s="9" t="str">
        <f>IFERROR(INDEX('[2]02_Arquetipos_Miedo_Sesgo'!$C$4:$C$8,MATCH(AJ70,'[2]02_Arquetipos_Miedo_Sesgo'!$A$4:$A$8,0)),"")</f>
        <v>Miedo a no llegar a fin de mes, perder ingresos, empleo, movilidad o acceso a servicios básicos.</v>
      </c>
      <c r="AL70" s="9" t="str">
        <f>IFERROR(INDEX('[2]02_Arquetipos_Miedo_Sesgo'!$D$4:$D$8,MATCH(AJ70,'[2]02_Arquetipos_Miedo_Sesgo'!$A$4:$A$8,0)),"")</f>
        <v>Sesgo de escasez + presente dominante + aversión al riesgo económico.</v>
      </c>
      <c r="AM70" s="9" t="str">
        <f>IFERROR(INDEX('[2]02_Arquetipos_Miedo_Sesgo'!$E$4:$E$8,MATCH(AJ70,'[2]02_Arquetipos_Miedo_Sesgo'!$A$4:$A$8,0)),"")</f>
        <v>Empleo, emprendimiento, economía popular, transporte, costo de vida, salud, educación técnica y subsidios focalizados.</v>
      </c>
      <c r="AN70" s="9" t="str">
        <f t="shared" si="3"/>
        <v>Alta</v>
      </c>
      <c r="AO70" s="9" t="s">
        <v>485</v>
      </c>
    </row>
    <row r="71" spans="1:41" ht="28.8">
      <c r="A71" s="9" t="s">
        <v>249</v>
      </c>
      <c r="B71" s="9" t="s">
        <v>236</v>
      </c>
      <c r="C71" s="9" t="s">
        <v>250</v>
      </c>
      <c r="D71" s="10">
        <v>1082</v>
      </c>
      <c r="E71" s="10">
        <v>911</v>
      </c>
      <c r="F71" s="10">
        <v>664</v>
      </c>
      <c r="G71" s="9" t="s">
        <v>477</v>
      </c>
      <c r="H71" s="11">
        <v>0.46395563770794818</v>
      </c>
      <c r="I71" s="11">
        <v>0.1229205175600739</v>
      </c>
      <c r="J71" s="9" t="s">
        <v>478</v>
      </c>
      <c r="K71" s="11">
        <v>0.21405049396267839</v>
      </c>
      <c r="L71" s="11">
        <v>8.2327113062568597E-2</v>
      </c>
      <c r="M71" s="9" t="s">
        <v>486</v>
      </c>
      <c r="N71" s="11">
        <v>0.25903614457831331</v>
      </c>
      <c r="O71" s="11">
        <v>3.3132530120481923E-2</v>
      </c>
      <c r="P71" s="12">
        <v>7.7392729533794419E-2</v>
      </c>
      <c r="Q71" s="9" t="s">
        <v>412</v>
      </c>
      <c r="R71" s="12">
        <v>-0.45700000000000002</v>
      </c>
      <c r="S71" s="9" t="s">
        <v>75</v>
      </c>
      <c r="T71" s="12">
        <v>0.104</v>
      </c>
      <c r="U71" s="12">
        <v>6.0464243177931483E-2</v>
      </c>
      <c r="V71" s="9" t="s">
        <v>412</v>
      </c>
      <c r="W71" s="9" t="s">
        <v>487</v>
      </c>
      <c r="X71" s="9" t="s">
        <v>60</v>
      </c>
      <c r="Y71" s="9" t="s">
        <v>489</v>
      </c>
      <c r="Z71" s="9" t="s">
        <v>490</v>
      </c>
      <c r="AA71" s="9" t="s">
        <v>483</v>
      </c>
      <c r="AB71" s="12">
        <v>0.20026296395230109</v>
      </c>
      <c r="AC71" s="12">
        <v>0.2073306717911102</v>
      </c>
      <c r="AD71" s="12">
        <v>0.21303077279530433</v>
      </c>
      <c r="AE71" s="12">
        <v>0.2061957034027026</v>
      </c>
      <c r="AF71" s="12">
        <v>0.18120637119984531</v>
      </c>
      <c r="AG71" s="9" t="str">
        <f>INDEX('[2]10_Listas'!$A$2:$A$6,MATCH(MAX(AB71:AF71),AB71:AF71,0))</f>
        <v>Supervivencia económica y servicios básicos</v>
      </c>
      <c r="AH71" s="9" t="s">
        <v>491</v>
      </c>
      <c r="AI71" s="9"/>
      <c r="AJ71" s="9" t="str">
        <f t="shared" si="2"/>
        <v>Supervivencia económica y servicios básicos</v>
      </c>
      <c r="AK71" s="9" t="str">
        <f>IFERROR(INDEX('[2]02_Arquetipos_Miedo_Sesgo'!$C$4:$C$8,MATCH(AJ71,'[2]02_Arquetipos_Miedo_Sesgo'!$A$4:$A$8,0)),"")</f>
        <v>Miedo a no llegar a fin de mes, perder ingresos, empleo, movilidad o acceso a servicios básicos.</v>
      </c>
      <c r="AL71" s="9" t="str">
        <f>IFERROR(INDEX('[2]02_Arquetipos_Miedo_Sesgo'!$D$4:$D$8,MATCH(AJ71,'[2]02_Arquetipos_Miedo_Sesgo'!$A$4:$A$8,0)),"")</f>
        <v>Sesgo de escasez + presente dominante + aversión al riesgo económico.</v>
      </c>
      <c r="AM71" s="9" t="str">
        <f>IFERROR(INDEX('[2]02_Arquetipos_Miedo_Sesgo'!$E$4:$E$8,MATCH(AJ71,'[2]02_Arquetipos_Miedo_Sesgo'!$A$4:$A$8,0)),"")</f>
        <v>Empleo, emprendimiento, economía popular, transporte, costo de vida, salud, educación técnica y subsidios focalizados.</v>
      </c>
      <c r="AN71" s="9" t="str">
        <f t="shared" si="3"/>
        <v>Alta</v>
      </c>
      <c r="AO71" s="9" t="s">
        <v>485</v>
      </c>
    </row>
    <row r="72" spans="1:41" ht="28.8">
      <c r="A72" s="9" t="s">
        <v>255</v>
      </c>
      <c r="B72" s="9" t="s">
        <v>236</v>
      </c>
      <c r="C72" s="9" t="s">
        <v>256</v>
      </c>
      <c r="D72" s="10">
        <v>6262</v>
      </c>
      <c r="E72" s="10">
        <v>5563</v>
      </c>
      <c r="F72" s="10">
        <v>4183</v>
      </c>
      <c r="G72" s="9" t="s">
        <v>492</v>
      </c>
      <c r="H72" s="11">
        <v>0.47780261897157461</v>
      </c>
      <c r="I72" s="11">
        <v>0.15921430852762691</v>
      </c>
      <c r="J72" s="9" t="s">
        <v>478</v>
      </c>
      <c r="K72" s="11">
        <v>0.19000539277368331</v>
      </c>
      <c r="L72" s="11">
        <v>4.7636167535502427E-2</v>
      </c>
      <c r="M72" s="9" t="s">
        <v>486</v>
      </c>
      <c r="N72" s="11">
        <v>0.25962228065981352</v>
      </c>
      <c r="O72" s="11">
        <v>4.8768826201290923E-2</v>
      </c>
      <c r="P72" s="12">
        <v>-0.1151436448345239</v>
      </c>
      <c r="Q72" s="9" t="s">
        <v>412</v>
      </c>
      <c r="R72" s="12">
        <v>0.46899999999999997</v>
      </c>
      <c r="S72" s="9" t="s">
        <v>75</v>
      </c>
      <c r="T72" s="12">
        <v>0.104</v>
      </c>
      <c r="U72" s="12">
        <v>0.151</v>
      </c>
      <c r="V72" s="9" t="s">
        <v>73</v>
      </c>
      <c r="W72" s="9" t="s">
        <v>493</v>
      </c>
      <c r="X72" s="9" t="s">
        <v>60</v>
      </c>
      <c r="Y72" s="9" t="s">
        <v>489</v>
      </c>
      <c r="Z72" s="9" t="s">
        <v>490</v>
      </c>
      <c r="AA72" s="9" t="s">
        <v>494</v>
      </c>
      <c r="AB72" s="12">
        <v>0.23782300606806361</v>
      </c>
      <c r="AC72" s="12">
        <v>0.22131739687994934</v>
      </c>
      <c r="AD72" s="12">
        <v>0.21202264075339322</v>
      </c>
      <c r="AE72" s="12">
        <v>0.18472114399694781</v>
      </c>
      <c r="AF72" s="12">
        <v>0.18021950704592599</v>
      </c>
      <c r="AG72" s="9" t="str">
        <f>INDEX('[2]10_Listas'!$A$2:$A$6,MATCH(MAX(AB72:AF72),AB72:AF72,0))</f>
        <v>Protección y orden cotidiano</v>
      </c>
      <c r="AH72" s="9" t="s">
        <v>495</v>
      </c>
      <c r="AI72" s="9"/>
      <c r="AJ72" s="9" t="str">
        <f t="shared" si="2"/>
        <v>Protección y orden cotidiano</v>
      </c>
      <c r="AK72" s="9" t="str">
        <f>IFERROR(INDEX('[2]02_Arquetipos_Miedo_Sesgo'!$C$4:$C$8,MATCH(AJ72,'[2]02_Arquetipos_Miedo_Sesgo'!$A$4:$A$8,0)),"")</f>
        <v>Miedo a la inseguridad, al descontrol barrial y a perder la tranquilidad cotidiana.</v>
      </c>
      <c r="AL72" s="9" t="str">
        <f>IFERROR(INDEX('[2]02_Arquetipos_Miedo_Sesgo'!$D$4:$D$8,MATCH(AJ72,'[2]02_Arquetipos_Miedo_Sesgo'!$A$4:$A$8,0)),"")</f>
        <v>Sesgo de disponibilidad + sesgo de negatividad + preferencia por autoridad.</v>
      </c>
      <c r="AM72" s="9" t="str">
        <f>IFERROR(INDEX('[2]02_Arquetipos_Miedo_Sesgo'!$E$4:$E$8,MATCH(AJ72,'[2]02_Arquetipos_Miedo_Sesgo'!$A$4:$A$8,0)),"")</f>
        <v>Seguridad, convivencia, movilidad, alumbrado, reacción institucional rápida, presencia de autoridad.</v>
      </c>
      <c r="AN72" s="9" t="str">
        <f t="shared" si="3"/>
        <v>Alta</v>
      </c>
      <c r="AO72" s="9" t="s">
        <v>485</v>
      </c>
    </row>
    <row r="73" spans="1:41" ht="28.8">
      <c r="A73" s="9" t="s">
        <v>253</v>
      </c>
      <c r="B73" s="9" t="s">
        <v>236</v>
      </c>
      <c r="C73" s="9" t="s">
        <v>254</v>
      </c>
      <c r="D73" s="10">
        <v>2131</v>
      </c>
      <c r="E73" s="10">
        <v>1841</v>
      </c>
      <c r="F73" s="10">
        <v>1370</v>
      </c>
      <c r="G73" s="9" t="s">
        <v>492</v>
      </c>
      <c r="H73" s="11">
        <v>0.43266072266541528</v>
      </c>
      <c r="I73" s="11">
        <v>5.5842327545753127E-2</v>
      </c>
      <c r="J73" s="9" t="s">
        <v>478</v>
      </c>
      <c r="K73" s="11">
        <v>0.2313959804454101</v>
      </c>
      <c r="L73" s="11">
        <v>0.10700706137968501</v>
      </c>
      <c r="M73" s="9" t="s">
        <v>486</v>
      </c>
      <c r="N73" s="11">
        <v>0.33284671532846721</v>
      </c>
      <c r="O73" s="11">
        <v>0.13065693430656941</v>
      </c>
      <c r="P73" s="12">
        <v>-0.1151436448345239</v>
      </c>
      <c r="Q73" s="9" t="s">
        <v>412</v>
      </c>
      <c r="R73" s="12">
        <v>0.46899999999999997</v>
      </c>
      <c r="S73" s="9" t="s">
        <v>75</v>
      </c>
      <c r="T73" s="12">
        <v>0.104</v>
      </c>
      <c r="U73" s="12">
        <v>0.151</v>
      </c>
      <c r="V73" s="9" t="s">
        <v>73</v>
      </c>
      <c r="W73" s="9" t="s">
        <v>493</v>
      </c>
      <c r="X73" s="9" t="s">
        <v>60</v>
      </c>
      <c r="Y73" s="9" t="s">
        <v>489</v>
      </c>
      <c r="Z73" s="9" t="s">
        <v>490</v>
      </c>
      <c r="AA73" s="9" t="s">
        <v>494</v>
      </c>
      <c r="AB73" s="12">
        <v>0.21318637267923179</v>
      </c>
      <c r="AC73" s="12">
        <v>0.19748396409940228</v>
      </c>
      <c r="AD73" s="12">
        <v>0.20464226314327891</v>
      </c>
      <c r="AE73" s="12">
        <v>0.19551403766657899</v>
      </c>
      <c r="AF73" s="12">
        <v>0.20112507191902401</v>
      </c>
      <c r="AG73" s="9" t="str">
        <f>INDEX('[2]10_Listas'!$A$2:$A$6,MATCH(MAX(AB73:AF73),AB73:AF73,0))</f>
        <v>Protección y orden cotidiano</v>
      </c>
      <c r="AH73" s="9" t="s">
        <v>495</v>
      </c>
      <c r="AI73" s="9"/>
      <c r="AJ73" s="9" t="str">
        <f t="shared" si="2"/>
        <v>Protección y orden cotidiano</v>
      </c>
      <c r="AK73" s="9" t="str">
        <f>IFERROR(INDEX('[2]02_Arquetipos_Miedo_Sesgo'!$C$4:$C$8,MATCH(AJ73,'[2]02_Arquetipos_Miedo_Sesgo'!$A$4:$A$8,0)),"")</f>
        <v>Miedo a la inseguridad, al descontrol barrial y a perder la tranquilidad cotidiana.</v>
      </c>
      <c r="AL73" s="9" t="str">
        <f>IFERROR(INDEX('[2]02_Arquetipos_Miedo_Sesgo'!$D$4:$D$8,MATCH(AJ73,'[2]02_Arquetipos_Miedo_Sesgo'!$A$4:$A$8,0)),"")</f>
        <v>Sesgo de disponibilidad + sesgo de negatividad + preferencia por autoridad.</v>
      </c>
      <c r="AM73" s="9" t="str">
        <f>IFERROR(INDEX('[2]02_Arquetipos_Miedo_Sesgo'!$E$4:$E$8,MATCH(AJ73,'[2]02_Arquetipos_Miedo_Sesgo'!$A$4:$A$8,0)),"")</f>
        <v>Seguridad, convivencia, movilidad, alumbrado, reacción institucional rápida, presencia de autoridad.</v>
      </c>
      <c r="AN73" s="9" t="str">
        <f t="shared" si="3"/>
        <v>Alta</v>
      </c>
      <c r="AO73" s="9" t="s">
        <v>485</v>
      </c>
    </row>
    <row r="74" spans="1:41" ht="28.8">
      <c r="A74" s="9" t="s">
        <v>266</v>
      </c>
      <c r="B74" s="9" t="s">
        <v>258</v>
      </c>
      <c r="C74" s="9" t="s">
        <v>267</v>
      </c>
      <c r="D74" s="10">
        <v>20997</v>
      </c>
      <c r="E74" s="10">
        <v>18188</v>
      </c>
      <c r="F74" s="10">
        <v>12943</v>
      </c>
      <c r="G74" s="9" t="s">
        <v>477</v>
      </c>
      <c r="H74" s="11">
        <v>0.42782302233652431</v>
      </c>
      <c r="I74" s="11">
        <v>7.3010430061437315E-2</v>
      </c>
      <c r="J74" s="9" t="s">
        <v>478</v>
      </c>
      <c r="K74" s="11">
        <v>0.23510006597756761</v>
      </c>
      <c r="L74" s="11">
        <v>0.12541235979766879</v>
      </c>
      <c r="M74" s="9" t="s">
        <v>486</v>
      </c>
      <c r="N74" s="11">
        <v>0.3233408019779031</v>
      </c>
      <c r="O74" s="11">
        <v>9.8277060959592044E-2</v>
      </c>
      <c r="P74" s="12">
        <v>7.7392729533794419E-2</v>
      </c>
      <c r="Q74" s="9" t="s">
        <v>412</v>
      </c>
      <c r="R74" s="12">
        <v>-0.45700000000000002</v>
      </c>
      <c r="S74" s="9" t="s">
        <v>75</v>
      </c>
      <c r="T74" s="12">
        <v>0.104</v>
      </c>
      <c r="U74" s="12">
        <v>6.0464243177931483E-2</v>
      </c>
      <c r="V74" s="9" t="s">
        <v>412</v>
      </c>
      <c r="W74" s="9" t="s">
        <v>487</v>
      </c>
      <c r="X74" s="9" t="s">
        <v>60</v>
      </c>
      <c r="Y74" s="9" t="s">
        <v>501</v>
      </c>
      <c r="Z74" s="9" t="s">
        <v>502</v>
      </c>
      <c r="AA74" s="9" t="s">
        <v>483</v>
      </c>
      <c r="AB74" s="12">
        <v>0.19671083626803831</v>
      </c>
      <c r="AC74" s="12">
        <v>0.19315564141340494</v>
      </c>
      <c r="AD74" s="12">
        <v>0.20531925321116995</v>
      </c>
      <c r="AE74" s="12">
        <v>0.20704528072731909</v>
      </c>
      <c r="AF74" s="12">
        <v>0.20024339966552579</v>
      </c>
      <c r="AG74" s="9" t="str">
        <f>INDEX('[2]10_Listas'!$A$2:$A$6,MATCH(MAX(AB74:AF74),AB74:AF74,0))</f>
        <v>Desconfianza y castigo</v>
      </c>
      <c r="AH74" s="9" t="s">
        <v>488</v>
      </c>
      <c r="AI74" s="9"/>
      <c r="AJ74" s="9" t="str">
        <f t="shared" si="2"/>
        <v>Desconfianza y castigo</v>
      </c>
      <c r="AK74" s="9" t="str">
        <f>IFERROR(INDEX('[2]02_Arquetipos_Miedo_Sesgo'!$C$4:$C$8,MATCH(AJ74,'[2]02_Arquetipos_Miedo_Sesgo'!$A$4:$A$8,0)),"")</f>
        <v>Miedo a ser engañado, robado, manipulado o usado electoralmente.</v>
      </c>
      <c r="AL74" s="9" t="str">
        <f>IFERROR(INDEX('[2]02_Arquetipos_Miedo_Sesgo'!$D$4:$D$8,MATCH(AJ74,'[2]02_Arquetipos_Miedo_Sesgo'!$A$4:$A$8,0)),"")</f>
        <v>Sesgo de confirmación + cinismo político + efecto de indignación moral.</v>
      </c>
      <c r="AM74" s="9" t="str">
        <f>IFERROR(INDEX('[2]02_Arquetipos_Miedo_Sesgo'!$E$4:$E$8,MATCH(AJ74,'[2]02_Arquetipos_Miedo_Sesgo'!$A$4:$A$8,0)),"")</f>
        <v>Transparencia, control político, lucha anticorrupción, vigilancia ciudadana, ejecución presupuestal y sanción a abusos.</v>
      </c>
      <c r="AN74" s="9" t="str">
        <f t="shared" si="3"/>
        <v>Alta</v>
      </c>
      <c r="AO74" s="9" t="s">
        <v>485</v>
      </c>
    </row>
    <row r="75" spans="1:41" ht="28.8">
      <c r="A75" s="9" t="s">
        <v>274</v>
      </c>
      <c r="B75" s="9" t="s">
        <v>258</v>
      </c>
      <c r="C75" s="9" t="s">
        <v>275</v>
      </c>
      <c r="D75" s="10">
        <v>4678</v>
      </c>
      <c r="E75" s="10">
        <v>4044</v>
      </c>
      <c r="F75" s="10">
        <v>2731</v>
      </c>
      <c r="G75" s="9" t="s">
        <v>492</v>
      </c>
      <c r="H75" s="11">
        <v>0.40979050876442918</v>
      </c>
      <c r="I75" s="11">
        <v>4.9380076955964081E-2</v>
      </c>
      <c r="J75" s="9" t="s">
        <v>478</v>
      </c>
      <c r="K75" s="11">
        <v>0.20697329376854601</v>
      </c>
      <c r="L75" s="11">
        <v>9.5697329376854615E-2</v>
      </c>
      <c r="M75" s="9" t="s">
        <v>486</v>
      </c>
      <c r="N75" s="11">
        <v>0.34529476382277552</v>
      </c>
      <c r="O75" s="11">
        <v>0.12522885389967039</v>
      </c>
      <c r="P75" s="12">
        <v>-0.1151436448345239</v>
      </c>
      <c r="Q75" s="9" t="s">
        <v>412</v>
      </c>
      <c r="R75" s="12">
        <v>0.46899999999999997</v>
      </c>
      <c r="S75" s="9" t="s">
        <v>75</v>
      </c>
      <c r="T75" s="12">
        <v>0.104</v>
      </c>
      <c r="U75" s="12">
        <v>0.151</v>
      </c>
      <c r="V75" s="9" t="s">
        <v>73</v>
      </c>
      <c r="W75" s="9" t="s">
        <v>493</v>
      </c>
      <c r="X75" s="9" t="s">
        <v>60</v>
      </c>
      <c r="Y75" s="9" t="s">
        <v>501</v>
      </c>
      <c r="Z75" s="9" t="s">
        <v>502</v>
      </c>
      <c r="AA75" s="9" t="s">
        <v>494</v>
      </c>
      <c r="AB75" s="12">
        <v>0.21234394112982841</v>
      </c>
      <c r="AC75" s="12">
        <v>0.1982821156979169</v>
      </c>
      <c r="AD75" s="12">
        <v>0.20537199462333897</v>
      </c>
      <c r="AE75" s="12">
        <v>0.20033008263079</v>
      </c>
      <c r="AF75" s="12">
        <v>0.1980929033484283</v>
      </c>
      <c r="AG75" s="9" t="str">
        <f>INDEX('[2]10_Listas'!$A$2:$A$6,MATCH(MAX(AB75:AF75),AB75:AF75,0))</f>
        <v>Protección y orden cotidiano</v>
      </c>
      <c r="AH75" s="9" t="s">
        <v>491</v>
      </c>
      <c r="AI75" s="9"/>
      <c r="AJ75" s="9" t="str">
        <f t="shared" si="2"/>
        <v>Protección y orden cotidiano</v>
      </c>
      <c r="AK75" s="9" t="str">
        <f>IFERROR(INDEX('[2]02_Arquetipos_Miedo_Sesgo'!$C$4:$C$8,MATCH(AJ75,'[2]02_Arquetipos_Miedo_Sesgo'!$A$4:$A$8,0)),"")</f>
        <v>Miedo a la inseguridad, al descontrol barrial y a perder la tranquilidad cotidiana.</v>
      </c>
      <c r="AL75" s="9" t="str">
        <f>IFERROR(INDEX('[2]02_Arquetipos_Miedo_Sesgo'!$D$4:$D$8,MATCH(AJ75,'[2]02_Arquetipos_Miedo_Sesgo'!$A$4:$A$8,0)),"")</f>
        <v>Sesgo de disponibilidad + sesgo de negatividad + preferencia por autoridad.</v>
      </c>
      <c r="AM75" s="9" t="str">
        <f>IFERROR(INDEX('[2]02_Arquetipos_Miedo_Sesgo'!$E$4:$E$8,MATCH(AJ75,'[2]02_Arquetipos_Miedo_Sesgo'!$A$4:$A$8,0)),"")</f>
        <v>Seguridad, convivencia, movilidad, alumbrado, reacción institucional rápida, presencia de autoridad.</v>
      </c>
      <c r="AN75" s="9" t="str">
        <f t="shared" si="3"/>
        <v>Alta</v>
      </c>
      <c r="AO75" s="9" t="s">
        <v>485</v>
      </c>
    </row>
    <row r="76" spans="1:41" ht="28.8">
      <c r="A76" s="9" t="s">
        <v>534</v>
      </c>
      <c r="B76" s="9" t="s">
        <v>258</v>
      </c>
      <c r="C76" s="9" t="s">
        <v>535</v>
      </c>
      <c r="D76" s="10">
        <v>541</v>
      </c>
      <c r="E76" s="10">
        <v>439</v>
      </c>
      <c r="F76" s="10">
        <v>312</v>
      </c>
      <c r="G76" s="9" t="s">
        <v>477</v>
      </c>
      <c r="H76" s="11">
        <v>0.7264325323475046</v>
      </c>
      <c r="I76" s="11">
        <v>0.60073937153419588</v>
      </c>
      <c r="J76" s="9" t="s">
        <v>478</v>
      </c>
      <c r="K76" s="11">
        <v>0.31890660592255132</v>
      </c>
      <c r="L76" s="11">
        <v>0.18906605922551251</v>
      </c>
      <c r="M76" s="9" t="s">
        <v>486</v>
      </c>
      <c r="N76" s="11">
        <v>0.33653846153846162</v>
      </c>
      <c r="O76" s="11">
        <v>0.108974358974359</v>
      </c>
      <c r="P76" s="12">
        <v>7.7392729533794419E-2</v>
      </c>
      <c r="Q76" s="9" t="s">
        <v>412</v>
      </c>
      <c r="R76" s="12">
        <v>-0.45700000000000002</v>
      </c>
      <c r="S76" s="9" t="s">
        <v>75</v>
      </c>
      <c r="T76" s="12">
        <v>0.104</v>
      </c>
      <c r="U76" s="12">
        <v>6.0464243177931483E-2</v>
      </c>
      <c r="V76" s="9" t="s">
        <v>412</v>
      </c>
      <c r="W76" s="9" t="s">
        <v>487</v>
      </c>
      <c r="X76" s="9" t="s">
        <v>60</v>
      </c>
      <c r="Y76" s="9" t="s">
        <v>501</v>
      </c>
      <c r="Z76" s="9" t="s">
        <v>502</v>
      </c>
      <c r="AA76" s="9" t="s">
        <v>483</v>
      </c>
      <c r="AB76" s="12">
        <v>0.13434136049422729</v>
      </c>
      <c r="AC76" s="12">
        <v>0.20055178681533925</v>
      </c>
      <c r="AD76" s="12">
        <v>0.2085228646765164</v>
      </c>
      <c r="AE76" s="12">
        <v>0.22558397568355071</v>
      </c>
      <c r="AF76" s="12">
        <v>0.2063126224563471</v>
      </c>
      <c r="AG76" s="9" t="str">
        <f>INDEX('[2]10_Listas'!$A$2:$A$6,MATCH(MAX(AB76:AF76),AB76:AF76,0))</f>
        <v>Desconfianza y castigo</v>
      </c>
      <c r="AH76" s="9" t="s">
        <v>484</v>
      </c>
      <c r="AI76" s="9"/>
      <c r="AJ76" s="9" t="str">
        <f t="shared" si="2"/>
        <v>Desconfianza y castigo</v>
      </c>
      <c r="AK76" s="9" t="str">
        <f>IFERROR(INDEX('[2]02_Arquetipos_Miedo_Sesgo'!$C$4:$C$8,MATCH(AJ76,'[2]02_Arquetipos_Miedo_Sesgo'!$A$4:$A$8,0)),"")</f>
        <v>Miedo a ser engañado, robado, manipulado o usado electoralmente.</v>
      </c>
      <c r="AL76" s="9" t="str">
        <f>IFERROR(INDEX('[2]02_Arquetipos_Miedo_Sesgo'!$D$4:$D$8,MATCH(AJ76,'[2]02_Arquetipos_Miedo_Sesgo'!$A$4:$A$8,0)),"")</f>
        <v>Sesgo de confirmación + cinismo político + efecto de indignación moral.</v>
      </c>
      <c r="AM76" s="9" t="str">
        <f>IFERROR(INDEX('[2]02_Arquetipos_Miedo_Sesgo'!$E$4:$E$8,MATCH(AJ76,'[2]02_Arquetipos_Miedo_Sesgo'!$A$4:$A$8,0)),"")</f>
        <v>Transparencia, control político, lucha anticorrupción, vigilancia ciudadana, ejecución presupuestal y sanción a abusos.</v>
      </c>
      <c r="AN76" s="9" t="str">
        <f t="shared" si="3"/>
        <v>Alta</v>
      </c>
      <c r="AO76" s="9" t="s">
        <v>485</v>
      </c>
    </row>
    <row r="77" spans="1:41" ht="28.8">
      <c r="A77" s="9" t="s">
        <v>257</v>
      </c>
      <c r="B77" s="9" t="s">
        <v>258</v>
      </c>
      <c r="C77" s="9" t="s">
        <v>259</v>
      </c>
      <c r="D77" s="10">
        <v>6157</v>
      </c>
      <c r="E77" s="10">
        <v>5310</v>
      </c>
      <c r="F77" s="10">
        <v>3877</v>
      </c>
      <c r="G77" s="9" t="s">
        <v>477</v>
      </c>
      <c r="H77" s="11">
        <v>0.44697092739970767</v>
      </c>
      <c r="I77" s="11">
        <v>9.8424557414325209E-2</v>
      </c>
      <c r="J77" s="9" t="s">
        <v>478</v>
      </c>
      <c r="K77" s="11">
        <v>0.26591337099811668</v>
      </c>
      <c r="L77" s="11">
        <v>0.13615819209039551</v>
      </c>
      <c r="M77" s="9" t="s">
        <v>486</v>
      </c>
      <c r="N77" s="11">
        <v>0.34794944544751089</v>
      </c>
      <c r="O77" s="11">
        <v>0.14392571575960789</v>
      </c>
      <c r="P77" s="12">
        <v>7.7392729533794419E-2</v>
      </c>
      <c r="Q77" s="9" t="s">
        <v>412</v>
      </c>
      <c r="R77" s="12">
        <v>-0.45700000000000002</v>
      </c>
      <c r="S77" s="9" t="s">
        <v>75</v>
      </c>
      <c r="T77" s="12">
        <v>0.104</v>
      </c>
      <c r="U77" s="12">
        <v>6.0464243177931483E-2</v>
      </c>
      <c r="V77" s="9" t="s">
        <v>412</v>
      </c>
      <c r="W77" s="9" t="s">
        <v>487</v>
      </c>
      <c r="X77" s="9" t="s">
        <v>60</v>
      </c>
      <c r="Y77" s="9" t="s">
        <v>501</v>
      </c>
      <c r="Z77" s="9" t="s">
        <v>502</v>
      </c>
      <c r="AA77" s="9" t="s">
        <v>483</v>
      </c>
      <c r="AB77" s="12">
        <v>0.1950119398522297</v>
      </c>
      <c r="AC77" s="12">
        <v>0.19291059893427448</v>
      </c>
      <c r="AD77" s="12">
        <v>0.20580952870577937</v>
      </c>
      <c r="AE77" s="12">
        <v>0.20143499842042789</v>
      </c>
      <c r="AF77" s="12">
        <v>0.20349662094265841</v>
      </c>
      <c r="AG77" s="9" t="str">
        <f>INDEX('[2]10_Listas'!$A$2:$A$6,MATCH(MAX(AB77:AF77),AB77:AF77,0))</f>
        <v>Supervivencia económica y servicios básicos</v>
      </c>
      <c r="AH77" s="9" t="s">
        <v>536</v>
      </c>
      <c r="AI77" s="9"/>
      <c r="AJ77" s="9" t="str">
        <f t="shared" si="2"/>
        <v>Supervivencia económica y servicios básicos</v>
      </c>
      <c r="AK77" s="9" t="str">
        <f>IFERROR(INDEX('[2]02_Arquetipos_Miedo_Sesgo'!$C$4:$C$8,MATCH(AJ77,'[2]02_Arquetipos_Miedo_Sesgo'!$A$4:$A$8,0)),"")</f>
        <v>Miedo a no llegar a fin de mes, perder ingresos, empleo, movilidad o acceso a servicios básicos.</v>
      </c>
      <c r="AL77" s="9" t="str">
        <f>IFERROR(INDEX('[2]02_Arquetipos_Miedo_Sesgo'!$D$4:$D$8,MATCH(AJ77,'[2]02_Arquetipos_Miedo_Sesgo'!$A$4:$A$8,0)),"")</f>
        <v>Sesgo de escasez + presente dominante + aversión al riesgo económico.</v>
      </c>
      <c r="AM77" s="9" t="str">
        <f>IFERROR(INDEX('[2]02_Arquetipos_Miedo_Sesgo'!$E$4:$E$8,MATCH(AJ77,'[2]02_Arquetipos_Miedo_Sesgo'!$A$4:$A$8,0)),"")</f>
        <v>Empleo, emprendimiento, economía popular, transporte, costo de vida, salud, educación técnica y subsidios focalizados.</v>
      </c>
      <c r="AN77" s="9" t="str">
        <f t="shared" si="3"/>
        <v>Alta</v>
      </c>
      <c r="AO77" s="9" t="s">
        <v>485</v>
      </c>
    </row>
    <row r="78" spans="1:41" ht="28.8">
      <c r="A78" s="9" t="s">
        <v>272</v>
      </c>
      <c r="B78" s="9" t="s">
        <v>258</v>
      </c>
      <c r="C78" s="9" t="s">
        <v>273</v>
      </c>
      <c r="D78" s="10">
        <v>8789</v>
      </c>
      <c r="E78" s="10">
        <v>7275</v>
      </c>
      <c r="F78" s="10">
        <v>0</v>
      </c>
      <c r="G78" s="9" t="s">
        <v>477</v>
      </c>
      <c r="H78" s="11">
        <v>0.41665718511776079</v>
      </c>
      <c r="I78" s="11">
        <v>8.8861076345431778E-2</v>
      </c>
      <c r="J78" s="9" t="s">
        <v>478</v>
      </c>
      <c r="K78" s="11">
        <v>0.29182130584192439</v>
      </c>
      <c r="L78" s="11">
        <v>0.21017182130584189</v>
      </c>
      <c r="M78" s="9" t="s">
        <v>486</v>
      </c>
      <c r="N78" s="11">
        <v>0</v>
      </c>
      <c r="O78" s="11">
        <v>0</v>
      </c>
      <c r="P78" s="12">
        <v>7.7392729533794419E-2</v>
      </c>
      <c r="Q78" s="9" t="s">
        <v>412</v>
      </c>
      <c r="R78" s="12"/>
      <c r="S78" s="9" t="s">
        <v>518</v>
      </c>
      <c r="T78" s="12">
        <v>0.104</v>
      </c>
      <c r="U78" s="12">
        <v>6.0464243177931483E-2</v>
      </c>
      <c r="V78" s="9" t="s">
        <v>412</v>
      </c>
      <c r="W78" s="9" t="s">
        <v>487</v>
      </c>
      <c r="X78" s="9" t="s">
        <v>60</v>
      </c>
      <c r="Y78" s="9" t="s">
        <v>501</v>
      </c>
      <c r="Z78" s="9" t="s">
        <v>502</v>
      </c>
      <c r="AA78" s="9" t="s">
        <v>494</v>
      </c>
      <c r="AB78" s="12">
        <v>0.2417158341917526</v>
      </c>
      <c r="AC78" s="12">
        <v>0.2441954105743307</v>
      </c>
      <c r="AD78" s="12">
        <v>0.24135729179894788</v>
      </c>
      <c r="AE78" s="12">
        <v>0.22013184733613531</v>
      </c>
      <c r="AF78" s="12">
        <v>7.1910439485332905E-2</v>
      </c>
      <c r="AG78" s="9" t="str">
        <f>INDEX('[2]10_Listas'!$A$2:$A$6,MATCH(MAX(AB78:AF78),AB78:AF78,0))</f>
        <v>Estabilidad y continuidad</v>
      </c>
      <c r="AH78" s="9" t="s">
        <v>491</v>
      </c>
      <c r="AI78" s="9"/>
      <c r="AJ78" s="9" t="str">
        <f t="shared" si="2"/>
        <v>Estabilidad y continuidad</v>
      </c>
      <c r="AK78" s="9" t="str">
        <f>IFERROR(INDEX('[2]02_Arquetipos_Miedo_Sesgo'!$C$4:$C$8,MATCH(AJ78,'[2]02_Arquetipos_Miedo_Sesgo'!$A$4:$A$8,0)),"")</f>
        <v>Miedo a perder beneficios, subsidios, estabilidad institucional o condiciones de vida ya alcanzadas.</v>
      </c>
      <c r="AL78" s="9" t="str">
        <f>IFERROR(INDEX('[2]02_Arquetipos_Miedo_Sesgo'!$D$4:$D$8,MATCH(AJ78,'[2]02_Arquetipos_Miedo_Sesgo'!$A$4:$A$8,0)),"")</f>
        <v>Aversión a la pérdida + sesgo de statu quo + confirmación.</v>
      </c>
      <c r="AM78" s="9" t="str">
        <f>IFERROR(INDEX('[2]02_Arquetipos_Miedo_Sesgo'!$E$4:$E$8,MATCH(AJ78,'[2]02_Arquetipos_Miedo_Sesgo'!$A$4:$A$8,0)),"")</f>
        <v>Continuidad administrativa, servicios públicos, infraestructura, salud, educación y programas sociales.</v>
      </c>
      <c r="AN78" s="9" t="str">
        <f t="shared" si="3"/>
        <v>Alta</v>
      </c>
      <c r="AO78" s="9" t="s">
        <v>485</v>
      </c>
    </row>
    <row r="79" spans="1:41" ht="28.8">
      <c r="A79" s="9" t="s">
        <v>268</v>
      </c>
      <c r="B79" s="9" t="s">
        <v>258</v>
      </c>
      <c r="C79" s="9" t="s">
        <v>269</v>
      </c>
      <c r="D79" s="10">
        <v>1489</v>
      </c>
      <c r="E79" s="10">
        <v>1309</v>
      </c>
      <c r="F79" s="10">
        <v>964</v>
      </c>
      <c r="G79" s="9" t="s">
        <v>492</v>
      </c>
      <c r="H79" s="11">
        <v>0.41034251175285419</v>
      </c>
      <c r="I79" s="11">
        <v>3.3579583613163162E-2</v>
      </c>
      <c r="J79" s="9" t="s">
        <v>478</v>
      </c>
      <c r="K79" s="11">
        <v>0.22841864018334609</v>
      </c>
      <c r="L79" s="11">
        <v>0.1084797555385791</v>
      </c>
      <c r="M79" s="9" t="s">
        <v>486</v>
      </c>
      <c r="N79" s="11">
        <v>0.30082987551867219</v>
      </c>
      <c r="O79" s="11">
        <v>0.1078838174273859</v>
      </c>
      <c r="P79" s="12">
        <v>-0.1151436448345239</v>
      </c>
      <c r="Q79" s="9" t="s">
        <v>412</v>
      </c>
      <c r="R79" s="12">
        <v>0.46899999999999997</v>
      </c>
      <c r="S79" s="9" t="s">
        <v>75</v>
      </c>
      <c r="T79" s="12">
        <v>0.104</v>
      </c>
      <c r="U79" s="12">
        <v>0.151</v>
      </c>
      <c r="V79" s="9" t="s">
        <v>73</v>
      </c>
      <c r="W79" s="9" t="s">
        <v>493</v>
      </c>
      <c r="X79" s="9" t="s">
        <v>60</v>
      </c>
      <c r="Y79" s="9" t="s">
        <v>501</v>
      </c>
      <c r="Z79" s="9" t="s">
        <v>502</v>
      </c>
      <c r="AA79" s="9" t="s">
        <v>494</v>
      </c>
      <c r="AB79" s="12">
        <v>0.2312220873892982</v>
      </c>
      <c r="AC79" s="12">
        <v>0.19816709040733288</v>
      </c>
      <c r="AD79" s="12">
        <v>0.2049814119404102</v>
      </c>
      <c r="AE79" s="12">
        <v>0.20041314983059499</v>
      </c>
      <c r="AF79" s="12">
        <v>0.18026099821396871</v>
      </c>
      <c r="AG79" s="9" t="str">
        <f>INDEX('[2]10_Listas'!$A$2:$A$6,MATCH(MAX(AB79:AF79),AB79:AF79,0))</f>
        <v>Protección y orden cotidiano</v>
      </c>
      <c r="AH79" s="9" t="s">
        <v>495</v>
      </c>
      <c r="AI79" s="9"/>
      <c r="AJ79" s="9" t="str">
        <f t="shared" si="2"/>
        <v>Protección y orden cotidiano</v>
      </c>
      <c r="AK79" s="9" t="str">
        <f>IFERROR(INDEX('[2]02_Arquetipos_Miedo_Sesgo'!$C$4:$C$8,MATCH(AJ79,'[2]02_Arquetipos_Miedo_Sesgo'!$A$4:$A$8,0)),"")</f>
        <v>Miedo a la inseguridad, al descontrol barrial y a perder la tranquilidad cotidiana.</v>
      </c>
      <c r="AL79" s="9" t="str">
        <f>IFERROR(INDEX('[2]02_Arquetipos_Miedo_Sesgo'!$D$4:$D$8,MATCH(AJ79,'[2]02_Arquetipos_Miedo_Sesgo'!$A$4:$A$8,0)),"")</f>
        <v>Sesgo de disponibilidad + sesgo de negatividad + preferencia por autoridad.</v>
      </c>
      <c r="AM79" s="9" t="str">
        <f>IFERROR(INDEX('[2]02_Arquetipos_Miedo_Sesgo'!$E$4:$E$8,MATCH(AJ79,'[2]02_Arquetipos_Miedo_Sesgo'!$A$4:$A$8,0)),"")</f>
        <v>Seguridad, convivencia, movilidad, alumbrado, reacción institucional rápida, presencia de autoridad.</v>
      </c>
      <c r="AN79" s="9" t="str">
        <f t="shared" si="3"/>
        <v>Alta</v>
      </c>
      <c r="AO79" s="9" t="s">
        <v>485</v>
      </c>
    </row>
    <row r="80" spans="1:41" ht="28.8">
      <c r="A80" s="9" t="s">
        <v>264</v>
      </c>
      <c r="B80" s="9" t="s">
        <v>258</v>
      </c>
      <c r="C80" s="9" t="s">
        <v>265</v>
      </c>
      <c r="D80" s="10">
        <v>2104</v>
      </c>
      <c r="E80" s="10">
        <v>1837</v>
      </c>
      <c r="F80" s="10">
        <v>1345</v>
      </c>
      <c r="G80" s="9" t="s">
        <v>477</v>
      </c>
      <c r="H80" s="11">
        <v>0.39591254752851712</v>
      </c>
      <c r="I80" s="11">
        <v>2.4239543726235772E-2</v>
      </c>
      <c r="J80" s="9" t="s">
        <v>478</v>
      </c>
      <c r="K80" s="11">
        <v>0.23952095808383231</v>
      </c>
      <c r="L80" s="11">
        <v>0.14915623298856831</v>
      </c>
      <c r="M80" s="9" t="s">
        <v>486</v>
      </c>
      <c r="N80" s="11">
        <v>0.33308550185873598</v>
      </c>
      <c r="O80" s="11">
        <v>0.1353159851301115</v>
      </c>
      <c r="P80" s="12">
        <v>7.7392729533794419E-2</v>
      </c>
      <c r="Q80" s="9" t="s">
        <v>412</v>
      </c>
      <c r="R80" s="12">
        <v>-0.45700000000000002</v>
      </c>
      <c r="S80" s="9" t="s">
        <v>75</v>
      </c>
      <c r="T80" s="12">
        <v>0.104</v>
      </c>
      <c r="U80" s="12">
        <v>6.0464243177931483E-2</v>
      </c>
      <c r="V80" s="9" t="s">
        <v>412</v>
      </c>
      <c r="W80" s="9" t="s">
        <v>487</v>
      </c>
      <c r="X80" s="9" t="s">
        <v>60</v>
      </c>
      <c r="Y80" s="9" t="s">
        <v>501</v>
      </c>
      <c r="Z80" s="9" t="s">
        <v>502</v>
      </c>
      <c r="AA80" s="9" t="s">
        <v>483</v>
      </c>
      <c r="AB80" s="12">
        <v>0.20643452547689889</v>
      </c>
      <c r="AC80" s="12">
        <v>0.1913239377297144</v>
      </c>
      <c r="AD80" s="12">
        <v>0.20374772404855396</v>
      </c>
      <c r="AE80" s="12">
        <v>0.2107969197213849</v>
      </c>
      <c r="AF80" s="12">
        <v>0.1939089337125291</v>
      </c>
      <c r="AG80" s="9" t="str">
        <f>INDEX('[2]10_Listas'!$A$2:$A$6,MATCH(MAX(AB80:AF80),AB80:AF80,0))</f>
        <v>Desconfianza y castigo</v>
      </c>
      <c r="AH80" s="9" t="s">
        <v>488</v>
      </c>
      <c r="AI80" s="9"/>
      <c r="AJ80" s="9" t="str">
        <f t="shared" si="2"/>
        <v>Desconfianza y castigo</v>
      </c>
      <c r="AK80" s="9" t="str">
        <f>IFERROR(INDEX('[2]02_Arquetipos_Miedo_Sesgo'!$C$4:$C$8,MATCH(AJ80,'[2]02_Arquetipos_Miedo_Sesgo'!$A$4:$A$8,0)),"")</f>
        <v>Miedo a ser engañado, robado, manipulado o usado electoralmente.</v>
      </c>
      <c r="AL80" s="9" t="str">
        <f>IFERROR(INDEX('[2]02_Arquetipos_Miedo_Sesgo'!$D$4:$D$8,MATCH(AJ80,'[2]02_Arquetipos_Miedo_Sesgo'!$A$4:$A$8,0)),"")</f>
        <v>Sesgo de confirmación + cinismo político + efecto de indignación moral.</v>
      </c>
      <c r="AM80" s="9" t="str">
        <f>IFERROR(INDEX('[2]02_Arquetipos_Miedo_Sesgo'!$E$4:$E$8,MATCH(AJ80,'[2]02_Arquetipos_Miedo_Sesgo'!$A$4:$A$8,0)),"")</f>
        <v>Transparencia, control político, lucha anticorrupción, vigilancia ciudadana, ejecución presupuestal y sanción a abusos.</v>
      </c>
      <c r="AN80" s="9" t="str">
        <f t="shared" si="3"/>
        <v>Alta</v>
      </c>
      <c r="AO80" s="9" t="s">
        <v>485</v>
      </c>
    </row>
    <row r="81" spans="1:41" ht="28.8">
      <c r="A81" s="9" t="s">
        <v>270</v>
      </c>
      <c r="B81" s="9" t="s">
        <v>258</v>
      </c>
      <c r="C81" s="9" t="s">
        <v>271</v>
      </c>
      <c r="D81" s="10">
        <v>10664</v>
      </c>
      <c r="E81" s="10">
        <v>9273</v>
      </c>
      <c r="F81" s="10">
        <v>6221</v>
      </c>
      <c r="G81" s="9" t="s">
        <v>492</v>
      </c>
      <c r="H81" s="11">
        <v>0.45995873968492118</v>
      </c>
      <c r="I81" s="11">
        <v>0.12987621905476371</v>
      </c>
      <c r="J81" s="9" t="s">
        <v>478</v>
      </c>
      <c r="K81" s="11">
        <v>0.24328696214817211</v>
      </c>
      <c r="L81" s="11">
        <v>0.1156044430065782</v>
      </c>
      <c r="M81" s="9" t="s">
        <v>486</v>
      </c>
      <c r="N81" s="11">
        <v>0.40170390612441731</v>
      </c>
      <c r="O81" s="11">
        <v>0.17248030863205269</v>
      </c>
      <c r="P81" s="12">
        <v>-0.1151436448345239</v>
      </c>
      <c r="Q81" s="9" t="s">
        <v>412</v>
      </c>
      <c r="R81" s="12">
        <v>0.46899999999999997</v>
      </c>
      <c r="S81" s="9" t="s">
        <v>75</v>
      </c>
      <c r="T81" s="12">
        <v>0.104</v>
      </c>
      <c r="U81" s="12">
        <v>0.151</v>
      </c>
      <c r="V81" s="9" t="s">
        <v>73</v>
      </c>
      <c r="W81" s="9" t="s">
        <v>493</v>
      </c>
      <c r="X81" s="9" t="s">
        <v>60</v>
      </c>
      <c r="Y81" s="9" t="s">
        <v>501</v>
      </c>
      <c r="Z81" s="9" t="s">
        <v>502</v>
      </c>
      <c r="AA81" s="9" t="s">
        <v>494</v>
      </c>
      <c r="AB81" s="12">
        <v>0.21349085777967031</v>
      </c>
      <c r="AC81" s="12">
        <v>0.19651826251985383</v>
      </c>
      <c r="AD81" s="12">
        <v>0.19974909425515344</v>
      </c>
      <c r="AE81" s="12">
        <v>0.1950407142407154</v>
      </c>
      <c r="AF81" s="12">
        <v>0.21356498404116309</v>
      </c>
      <c r="AG81" s="9" t="str">
        <f>INDEX('[2]10_Listas'!$A$2:$A$6,MATCH(MAX(AB81:AF81),AB81:AF81,0))</f>
        <v>Pertenencia y dignidad territorial</v>
      </c>
      <c r="AH81" s="9" t="s">
        <v>536</v>
      </c>
      <c r="AI81" s="9"/>
      <c r="AJ81" s="9" t="str">
        <f t="shared" si="2"/>
        <v>Pertenencia y dignidad territorial</v>
      </c>
      <c r="AK81" s="9" t="str">
        <f>IFERROR(INDEX('[2]02_Arquetipos_Miedo_Sesgo'!$C$4:$C$8,MATCH(AJ81,'[2]02_Arquetipos_Miedo_Sesgo'!$A$4:$A$8,0)),"")</f>
        <v>Miedo a ser olvidado, desplazado simbólicamente, estigmatizado o excluido de la inversión pública.</v>
      </c>
      <c r="AL81" s="9" t="str">
        <f>IFERROR(INDEX('[2]02_Arquetipos_Miedo_Sesgo'!$D$4:$D$8,MATCH(AJ81,'[2]02_Arquetipos_Miedo_Sesgo'!$A$4:$A$8,0)),"")</f>
        <v>Sesgo de identidad grupal + razonamiento protector de identidad + efecto halo de liderazgos cercanos.</v>
      </c>
      <c r="AM81" s="9" t="str">
        <f>IFERROR(INDEX('[2]02_Arquetipos_Miedo_Sesgo'!$E$4:$E$8,MATCH(AJ81,'[2]02_Arquetipos_Miedo_Sesgo'!$A$4:$A$8,0)),"")</f>
        <v>Inversión barrial, cultura, deporte, juventud, espacio público, vías locales, equipamientos y reconocimiento comunitario.</v>
      </c>
      <c r="AN81" s="9" t="str">
        <f t="shared" si="3"/>
        <v>Alta</v>
      </c>
      <c r="AO81" s="9" t="s">
        <v>485</v>
      </c>
    </row>
    <row r="82" spans="1:41" ht="28.8">
      <c r="A82" s="9" t="s">
        <v>276</v>
      </c>
      <c r="B82" s="9" t="s">
        <v>277</v>
      </c>
      <c r="C82" s="9" t="s">
        <v>278</v>
      </c>
      <c r="D82" s="10">
        <v>5183</v>
      </c>
      <c r="E82" s="10">
        <v>4625</v>
      </c>
      <c r="F82" s="10">
        <v>3320</v>
      </c>
      <c r="G82" s="9" t="s">
        <v>492</v>
      </c>
      <c r="H82" s="11">
        <v>0.41057302720432182</v>
      </c>
      <c r="I82" s="11">
        <v>2.1994983600231499E-2</v>
      </c>
      <c r="J82" s="9" t="s">
        <v>478</v>
      </c>
      <c r="K82" s="11">
        <v>0.26421621621621622</v>
      </c>
      <c r="L82" s="11">
        <v>0.11740540540540539</v>
      </c>
      <c r="M82" s="9" t="s">
        <v>486</v>
      </c>
      <c r="N82" s="11">
        <v>0.38012048192771092</v>
      </c>
      <c r="O82" s="11">
        <v>0.1066265060240964</v>
      </c>
      <c r="P82" s="12">
        <v>-0.1151436448345239</v>
      </c>
      <c r="Q82" s="9" t="s">
        <v>412</v>
      </c>
      <c r="R82" s="12">
        <v>0.46899999999999997</v>
      </c>
      <c r="S82" s="9" t="s">
        <v>75</v>
      </c>
      <c r="T82" s="12">
        <v>0.104</v>
      </c>
      <c r="U82" s="12">
        <v>0.151</v>
      </c>
      <c r="V82" s="9" t="s">
        <v>73</v>
      </c>
      <c r="W82" s="9" t="s">
        <v>493</v>
      </c>
      <c r="X82" s="9" t="s">
        <v>131</v>
      </c>
      <c r="Y82" s="9" t="s">
        <v>528</v>
      </c>
      <c r="Z82" s="9" t="s">
        <v>529</v>
      </c>
      <c r="AA82" s="9" t="s">
        <v>483</v>
      </c>
      <c r="AB82" s="12">
        <v>0.1989717317492396</v>
      </c>
      <c r="AC82" s="12">
        <v>0.19055082967214312</v>
      </c>
      <c r="AD82" s="12">
        <v>0.19937395028068555</v>
      </c>
      <c r="AE82" s="12">
        <v>0.1820658274092794</v>
      </c>
      <c r="AF82" s="12">
        <v>0.22227028886550501</v>
      </c>
      <c r="AG82" s="9" t="str">
        <f>INDEX('[2]10_Listas'!$A$2:$A$6,MATCH(MAX(AB82:AF82),AB82:AF82,0))</f>
        <v>Pertenencia y dignidad territorial</v>
      </c>
      <c r="AH82" s="9" t="s">
        <v>536</v>
      </c>
      <c r="AI82" s="9"/>
      <c r="AJ82" s="9" t="str">
        <f t="shared" si="2"/>
        <v>Pertenencia y dignidad territorial</v>
      </c>
      <c r="AK82" s="9" t="str">
        <f>IFERROR(INDEX('[2]02_Arquetipos_Miedo_Sesgo'!$C$4:$C$8,MATCH(AJ82,'[2]02_Arquetipos_Miedo_Sesgo'!$A$4:$A$8,0)),"")</f>
        <v>Miedo a ser olvidado, desplazado simbólicamente, estigmatizado o excluido de la inversión pública.</v>
      </c>
      <c r="AL82" s="9" t="str">
        <f>IFERROR(INDEX('[2]02_Arquetipos_Miedo_Sesgo'!$D$4:$D$8,MATCH(AJ82,'[2]02_Arquetipos_Miedo_Sesgo'!$A$4:$A$8,0)),"")</f>
        <v>Sesgo de identidad grupal + razonamiento protector de identidad + efecto halo de liderazgos cercanos.</v>
      </c>
      <c r="AM82" s="9" t="str">
        <f>IFERROR(INDEX('[2]02_Arquetipos_Miedo_Sesgo'!$E$4:$E$8,MATCH(AJ82,'[2]02_Arquetipos_Miedo_Sesgo'!$A$4:$A$8,0)),"")</f>
        <v>Inversión barrial, cultura, deporte, juventud, espacio público, vías locales, equipamientos y reconocimiento comunitario.</v>
      </c>
      <c r="AN82" s="9" t="str">
        <f t="shared" si="3"/>
        <v>Alta</v>
      </c>
      <c r="AO82" s="9" t="s">
        <v>485</v>
      </c>
    </row>
    <row r="83" spans="1:41" ht="28.8">
      <c r="A83" s="9" t="s">
        <v>288</v>
      </c>
      <c r="B83" s="9" t="s">
        <v>277</v>
      </c>
      <c r="C83" s="9" t="s">
        <v>289</v>
      </c>
      <c r="D83" s="10">
        <v>9049</v>
      </c>
      <c r="E83" s="10">
        <v>7959</v>
      </c>
      <c r="F83" s="10">
        <v>6166</v>
      </c>
      <c r="G83" s="9" t="s">
        <v>492</v>
      </c>
      <c r="H83" s="11">
        <v>0.477621836667035</v>
      </c>
      <c r="I83" s="11">
        <v>0.15427119018676089</v>
      </c>
      <c r="J83" s="9" t="s">
        <v>478</v>
      </c>
      <c r="K83" s="11">
        <v>0.21007664279432089</v>
      </c>
      <c r="L83" s="11">
        <v>8.0914687774846089E-2</v>
      </c>
      <c r="M83" s="9" t="s">
        <v>486</v>
      </c>
      <c r="N83" s="11">
        <v>0.27440804411287711</v>
      </c>
      <c r="O83" s="11">
        <v>3.5679532922478108E-2</v>
      </c>
      <c r="P83" s="12">
        <v>-0.1151436448345239</v>
      </c>
      <c r="Q83" s="9" t="s">
        <v>412</v>
      </c>
      <c r="R83" s="12">
        <v>0.46899999999999997</v>
      </c>
      <c r="S83" s="9" t="s">
        <v>75</v>
      </c>
      <c r="T83" s="12">
        <v>0.104</v>
      </c>
      <c r="U83" s="12">
        <v>0.151</v>
      </c>
      <c r="V83" s="9" t="s">
        <v>73</v>
      </c>
      <c r="W83" s="9" t="s">
        <v>493</v>
      </c>
      <c r="X83" s="9" t="s">
        <v>131</v>
      </c>
      <c r="Y83" s="9" t="s">
        <v>528</v>
      </c>
      <c r="Z83" s="9" t="s">
        <v>529</v>
      </c>
      <c r="AA83" s="9" t="s">
        <v>494</v>
      </c>
      <c r="AB83" s="12">
        <v>0.23710502401126701</v>
      </c>
      <c r="AC83" s="12">
        <v>0.2085614486877457</v>
      </c>
      <c r="AD83" s="12">
        <v>0.19995432920560577</v>
      </c>
      <c r="AE83" s="12">
        <v>0.17459678918351371</v>
      </c>
      <c r="AF83" s="12">
        <v>0.19916168782243951</v>
      </c>
      <c r="AG83" s="9" t="str">
        <f>INDEX('[2]10_Listas'!$A$2:$A$6,MATCH(MAX(AB83:AF83),AB83:AF83,0))</f>
        <v>Protección y orden cotidiano</v>
      </c>
      <c r="AH83" s="9" t="s">
        <v>495</v>
      </c>
      <c r="AI83" s="9"/>
      <c r="AJ83" s="9" t="str">
        <f t="shared" si="2"/>
        <v>Protección y orden cotidiano</v>
      </c>
      <c r="AK83" s="9" t="str">
        <f>IFERROR(INDEX('[2]02_Arquetipos_Miedo_Sesgo'!$C$4:$C$8,MATCH(AJ83,'[2]02_Arquetipos_Miedo_Sesgo'!$A$4:$A$8,0)),"")</f>
        <v>Miedo a la inseguridad, al descontrol barrial y a perder la tranquilidad cotidiana.</v>
      </c>
      <c r="AL83" s="9" t="str">
        <f>IFERROR(INDEX('[2]02_Arquetipos_Miedo_Sesgo'!$D$4:$D$8,MATCH(AJ83,'[2]02_Arquetipos_Miedo_Sesgo'!$A$4:$A$8,0)),"")</f>
        <v>Sesgo de disponibilidad + sesgo de negatividad + preferencia por autoridad.</v>
      </c>
      <c r="AM83" s="9" t="str">
        <f>IFERROR(INDEX('[2]02_Arquetipos_Miedo_Sesgo'!$E$4:$E$8,MATCH(AJ83,'[2]02_Arquetipos_Miedo_Sesgo'!$A$4:$A$8,0)),"")</f>
        <v>Seguridad, convivencia, movilidad, alumbrado, reacción institucional rápida, presencia de autoridad.</v>
      </c>
      <c r="AN83" s="9" t="str">
        <f t="shared" si="3"/>
        <v>Alta</v>
      </c>
      <c r="AO83" s="9" t="s">
        <v>485</v>
      </c>
    </row>
    <row r="84" spans="1:41" ht="28.8">
      <c r="A84" s="9" t="s">
        <v>537</v>
      </c>
      <c r="B84" s="9" t="s">
        <v>277</v>
      </c>
      <c r="C84" s="9" t="s">
        <v>538</v>
      </c>
      <c r="D84" s="10">
        <v>961</v>
      </c>
      <c r="E84" s="10">
        <v>847</v>
      </c>
      <c r="F84" s="10">
        <v>583</v>
      </c>
      <c r="G84" s="9" t="s">
        <v>477</v>
      </c>
      <c r="H84" s="11">
        <v>0.44016649323621232</v>
      </c>
      <c r="I84" s="11">
        <v>8.5327783558792891E-2</v>
      </c>
      <c r="J84" s="9" t="s">
        <v>478</v>
      </c>
      <c r="K84" s="11">
        <v>0.19126328217237309</v>
      </c>
      <c r="L84" s="11">
        <v>6.0212514757969321E-2</v>
      </c>
      <c r="M84" s="9" t="s">
        <v>486</v>
      </c>
      <c r="N84" s="11">
        <v>0.33962264150943389</v>
      </c>
      <c r="O84" s="11">
        <v>4.8027444253859353E-2</v>
      </c>
      <c r="P84" s="12">
        <v>7.7392729533794419E-2</v>
      </c>
      <c r="Q84" s="9" t="s">
        <v>412</v>
      </c>
      <c r="R84" s="12">
        <v>-0.45700000000000002</v>
      </c>
      <c r="S84" s="9" t="s">
        <v>75</v>
      </c>
      <c r="T84" s="12">
        <v>0.104</v>
      </c>
      <c r="U84" s="12">
        <v>6.0464243177931483E-2</v>
      </c>
      <c r="V84" s="9" t="s">
        <v>412</v>
      </c>
      <c r="W84" s="9" t="s">
        <v>487</v>
      </c>
      <c r="X84" s="9" t="s">
        <v>131</v>
      </c>
      <c r="Y84" s="9" t="s">
        <v>528</v>
      </c>
      <c r="Z84" s="9" t="s">
        <v>529</v>
      </c>
      <c r="AA84" s="9" t="s">
        <v>483</v>
      </c>
      <c r="AB84" s="12">
        <v>0.1900600592731308</v>
      </c>
      <c r="AC84" s="12">
        <v>0.19897887057195721</v>
      </c>
      <c r="AD84" s="12">
        <v>0.20163853312583821</v>
      </c>
      <c r="AE84" s="12">
        <v>0.21382078271404081</v>
      </c>
      <c r="AF84" s="12">
        <v>0.19652299176823609</v>
      </c>
      <c r="AG84" s="9" t="str">
        <f>INDEX('[2]10_Listas'!$A$2:$A$6,MATCH(MAX(AB84:AF84),AB84:AF84,0))</f>
        <v>Desconfianza y castigo</v>
      </c>
      <c r="AH84" s="9" t="s">
        <v>488</v>
      </c>
      <c r="AI84" s="9"/>
      <c r="AJ84" s="9" t="str">
        <f t="shared" si="2"/>
        <v>Desconfianza y castigo</v>
      </c>
      <c r="AK84" s="9" t="str">
        <f>IFERROR(INDEX('[2]02_Arquetipos_Miedo_Sesgo'!$C$4:$C$8,MATCH(AJ84,'[2]02_Arquetipos_Miedo_Sesgo'!$A$4:$A$8,0)),"")</f>
        <v>Miedo a ser engañado, robado, manipulado o usado electoralmente.</v>
      </c>
      <c r="AL84" s="9" t="str">
        <f>IFERROR(INDEX('[2]02_Arquetipos_Miedo_Sesgo'!$D$4:$D$8,MATCH(AJ84,'[2]02_Arquetipos_Miedo_Sesgo'!$A$4:$A$8,0)),"")</f>
        <v>Sesgo de confirmación + cinismo político + efecto de indignación moral.</v>
      </c>
      <c r="AM84" s="9" t="str">
        <f>IFERROR(INDEX('[2]02_Arquetipos_Miedo_Sesgo'!$E$4:$E$8,MATCH(AJ84,'[2]02_Arquetipos_Miedo_Sesgo'!$A$4:$A$8,0)),"")</f>
        <v>Transparencia, control político, lucha anticorrupción, vigilancia ciudadana, ejecución presupuestal y sanción a abusos.</v>
      </c>
      <c r="AN84" s="9" t="str">
        <f t="shared" si="3"/>
        <v>Media</v>
      </c>
      <c r="AO84" s="9" t="s">
        <v>485</v>
      </c>
    </row>
    <row r="85" spans="1:41" ht="28.8">
      <c r="A85" s="9" t="s">
        <v>284</v>
      </c>
      <c r="B85" s="9" t="s">
        <v>277</v>
      </c>
      <c r="C85" s="9" t="s">
        <v>285</v>
      </c>
      <c r="D85" s="10">
        <v>2187</v>
      </c>
      <c r="E85" s="10">
        <v>1911</v>
      </c>
      <c r="F85" s="10">
        <v>1351</v>
      </c>
      <c r="G85" s="9" t="s">
        <v>492</v>
      </c>
      <c r="H85" s="11">
        <v>0.4279835390946502</v>
      </c>
      <c r="I85" s="11">
        <v>6.0813900320073173E-2</v>
      </c>
      <c r="J85" s="9" t="s">
        <v>478</v>
      </c>
      <c r="K85" s="11">
        <v>0.23390894819466251</v>
      </c>
      <c r="L85" s="11">
        <v>9.1575091575091583E-2</v>
      </c>
      <c r="M85" s="9" t="s">
        <v>486</v>
      </c>
      <c r="N85" s="11">
        <v>0.36861584011843079</v>
      </c>
      <c r="O85" s="11">
        <v>0.1065877128053294</v>
      </c>
      <c r="P85" s="12">
        <v>-0.1151436448345239</v>
      </c>
      <c r="Q85" s="9" t="s">
        <v>412</v>
      </c>
      <c r="R85" s="12">
        <v>0.46899999999999997</v>
      </c>
      <c r="S85" s="9" t="s">
        <v>75</v>
      </c>
      <c r="T85" s="12">
        <v>0.104</v>
      </c>
      <c r="U85" s="12">
        <v>0.151</v>
      </c>
      <c r="V85" s="9" t="s">
        <v>73</v>
      </c>
      <c r="W85" s="9" t="s">
        <v>493</v>
      </c>
      <c r="X85" s="9" t="s">
        <v>131</v>
      </c>
      <c r="Y85" s="9" t="s">
        <v>528</v>
      </c>
      <c r="Z85" s="9" t="s">
        <v>529</v>
      </c>
      <c r="AA85" s="9" t="s">
        <v>483</v>
      </c>
      <c r="AB85" s="12">
        <v>0.2073218592201938</v>
      </c>
      <c r="AC85" s="12">
        <v>0.19875421908456795</v>
      </c>
      <c r="AD85" s="12">
        <v>0.2001062196475881</v>
      </c>
      <c r="AE85" s="12">
        <v>0.19077900625625499</v>
      </c>
      <c r="AF85" s="12">
        <v>0.20858906369179081</v>
      </c>
      <c r="AG85" s="9" t="str">
        <f>INDEX('[2]10_Listas'!$A$2:$A$6,MATCH(MAX(AB85:AF85),AB85:AF85,0))</f>
        <v>Pertenencia y dignidad territorial</v>
      </c>
      <c r="AH85" s="9" t="s">
        <v>491</v>
      </c>
      <c r="AI85" s="9"/>
      <c r="AJ85" s="9" t="str">
        <f t="shared" si="2"/>
        <v>Pertenencia y dignidad territorial</v>
      </c>
      <c r="AK85" s="9" t="str">
        <f>IFERROR(INDEX('[2]02_Arquetipos_Miedo_Sesgo'!$C$4:$C$8,MATCH(AJ85,'[2]02_Arquetipos_Miedo_Sesgo'!$A$4:$A$8,0)),"")</f>
        <v>Miedo a ser olvidado, desplazado simbólicamente, estigmatizado o excluido de la inversión pública.</v>
      </c>
      <c r="AL85" s="9" t="str">
        <f>IFERROR(INDEX('[2]02_Arquetipos_Miedo_Sesgo'!$D$4:$D$8,MATCH(AJ85,'[2]02_Arquetipos_Miedo_Sesgo'!$A$4:$A$8,0)),"")</f>
        <v>Sesgo de identidad grupal + razonamiento protector de identidad + efecto halo de liderazgos cercanos.</v>
      </c>
      <c r="AM85" s="9" t="str">
        <f>IFERROR(INDEX('[2]02_Arquetipos_Miedo_Sesgo'!$E$4:$E$8,MATCH(AJ85,'[2]02_Arquetipos_Miedo_Sesgo'!$A$4:$A$8,0)),"")</f>
        <v>Inversión barrial, cultura, deporte, juventud, espacio público, vías locales, equipamientos y reconocimiento comunitario.</v>
      </c>
      <c r="AN85" s="9" t="str">
        <f t="shared" si="3"/>
        <v>Media</v>
      </c>
      <c r="AO85" s="9" t="s">
        <v>485</v>
      </c>
    </row>
    <row r="86" spans="1:41" ht="28.8">
      <c r="A86" s="9" t="s">
        <v>286</v>
      </c>
      <c r="B86" s="9" t="s">
        <v>277</v>
      </c>
      <c r="C86" s="9" t="s">
        <v>287</v>
      </c>
      <c r="D86" s="10">
        <v>11056</v>
      </c>
      <c r="E86" s="10">
        <v>9876</v>
      </c>
      <c r="F86" s="10">
        <v>7157</v>
      </c>
      <c r="G86" s="9" t="s">
        <v>492</v>
      </c>
      <c r="H86" s="11">
        <v>0.57045947901591898</v>
      </c>
      <c r="I86" s="11">
        <v>0.32389652677279313</v>
      </c>
      <c r="J86" s="9" t="s">
        <v>478</v>
      </c>
      <c r="K86" s="11">
        <v>0.21132037262049411</v>
      </c>
      <c r="L86" s="11">
        <v>8.1611988659376272E-2</v>
      </c>
      <c r="M86" s="9" t="s">
        <v>486</v>
      </c>
      <c r="N86" s="11">
        <v>0.34567556238647479</v>
      </c>
      <c r="O86" s="11">
        <v>8.2436775185133426E-2</v>
      </c>
      <c r="P86" s="12">
        <v>-0.1151436448345239</v>
      </c>
      <c r="Q86" s="9" t="s">
        <v>412</v>
      </c>
      <c r="R86" s="12">
        <v>0.46899999999999997</v>
      </c>
      <c r="S86" s="9" t="s">
        <v>75</v>
      </c>
      <c r="T86" s="12">
        <v>0.104</v>
      </c>
      <c r="U86" s="12">
        <v>0.151</v>
      </c>
      <c r="V86" s="9" t="s">
        <v>73</v>
      </c>
      <c r="W86" s="9" t="s">
        <v>493</v>
      </c>
      <c r="X86" s="9" t="s">
        <v>131</v>
      </c>
      <c r="Y86" s="9" t="s">
        <v>528</v>
      </c>
      <c r="Z86" s="9" t="s">
        <v>529</v>
      </c>
      <c r="AA86" s="9" t="s">
        <v>494</v>
      </c>
      <c r="AB86" s="12">
        <v>0.25319636385404409</v>
      </c>
      <c r="AC86" s="12">
        <v>0.21583337091616472</v>
      </c>
      <c r="AD86" s="12">
        <v>0.19370139492496657</v>
      </c>
      <c r="AE86" s="12">
        <v>0.1596793155585931</v>
      </c>
      <c r="AF86" s="12">
        <v>0.21514655982247849</v>
      </c>
      <c r="AG86" s="9" t="str">
        <f>INDEX('[2]10_Listas'!$A$2:$A$6,MATCH(MAX(AB86:AF86),AB86:AF86,0))</f>
        <v>Protección y orden cotidiano</v>
      </c>
      <c r="AH86" s="9" t="s">
        <v>495</v>
      </c>
      <c r="AI86" s="9"/>
      <c r="AJ86" s="9" t="str">
        <f t="shared" si="2"/>
        <v>Protección y orden cotidiano</v>
      </c>
      <c r="AK86" s="9" t="str">
        <f>IFERROR(INDEX('[2]02_Arquetipos_Miedo_Sesgo'!$C$4:$C$8,MATCH(AJ86,'[2]02_Arquetipos_Miedo_Sesgo'!$A$4:$A$8,0)),"")</f>
        <v>Miedo a la inseguridad, al descontrol barrial y a perder la tranquilidad cotidiana.</v>
      </c>
      <c r="AL86" s="9" t="str">
        <f>IFERROR(INDEX('[2]02_Arquetipos_Miedo_Sesgo'!$D$4:$D$8,MATCH(AJ86,'[2]02_Arquetipos_Miedo_Sesgo'!$A$4:$A$8,0)),"")</f>
        <v>Sesgo de disponibilidad + sesgo de negatividad + preferencia por autoridad.</v>
      </c>
      <c r="AM86" s="9" t="str">
        <f>IFERROR(INDEX('[2]02_Arquetipos_Miedo_Sesgo'!$E$4:$E$8,MATCH(AJ86,'[2]02_Arquetipos_Miedo_Sesgo'!$A$4:$A$8,0)),"")</f>
        <v>Seguridad, convivencia, movilidad, alumbrado, reacción institucional rápida, presencia de autoridad.</v>
      </c>
      <c r="AN86" s="9" t="str">
        <f t="shared" si="3"/>
        <v>Alta</v>
      </c>
      <c r="AO86" s="9" t="s">
        <v>485</v>
      </c>
    </row>
    <row r="87" spans="1:41" ht="28.8">
      <c r="A87" s="9" t="s">
        <v>290</v>
      </c>
      <c r="B87" s="9" t="s">
        <v>277</v>
      </c>
      <c r="C87" s="9" t="s">
        <v>291</v>
      </c>
      <c r="D87" s="10">
        <v>3641</v>
      </c>
      <c r="E87" s="10">
        <v>3110</v>
      </c>
      <c r="F87" s="10">
        <v>2235</v>
      </c>
      <c r="G87" s="9" t="s">
        <v>477</v>
      </c>
      <c r="H87" s="11">
        <v>0.4405383136500961</v>
      </c>
      <c r="I87" s="11">
        <v>8.8711892337269949E-2</v>
      </c>
      <c r="J87" s="9" t="s">
        <v>478</v>
      </c>
      <c r="K87" s="11">
        <v>0.23086816720257239</v>
      </c>
      <c r="L87" s="11">
        <v>7.8456591639871398E-2</v>
      </c>
      <c r="M87" s="9" t="s">
        <v>479</v>
      </c>
      <c r="N87" s="11">
        <v>0.33959731543624161</v>
      </c>
      <c r="O87" s="11">
        <v>1.834451901565998E-2</v>
      </c>
      <c r="P87" s="12">
        <v>7.7392729533794419E-2</v>
      </c>
      <c r="Q87" s="9" t="s">
        <v>412</v>
      </c>
      <c r="R87" s="12">
        <v>8.0000000000000002E-3</v>
      </c>
      <c r="S87" s="9" t="s">
        <v>412</v>
      </c>
      <c r="T87" s="12">
        <v>-0.41199999999999998</v>
      </c>
      <c r="U87" s="12">
        <v>4.1130909844598142E-2</v>
      </c>
      <c r="V87" s="9" t="s">
        <v>412</v>
      </c>
      <c r="W87" s="9" t="s">
        <v>480</v>
      </c>
      <c r="X87" s="9" t="s">
        <v>131</v>
      </c>
      <c r="Y87" s="9" t="s">
        <v>528</v>
      </c>
      <c r="Z87" s="9" t="s">
        <v>529</v>
      </c>
      <c r="AA87" s="9" t="s">
        <v>483</v>
      </c>
      <c r="AB87" s="12">
        <v>0.1810824328775994</v>
      </c>
      <c r="AC87" s="12">
        <v>0.19439881289049213</v>
      </c>
      <c r="AD87" s="12">
        <v>0.20034645340626969</v>
      </c>
      <c r="AE87" s="12">
        <v>0.21054071994696541</v>
      </c>
      <c r="AF87" s="12">
        <v>0.2086831598711843</v>
      </c>
      <c r="AG87" s="9" t="str">
        <f>INDEX('[2]10_Listas'!$A$2:$A$6,MATCH(MAX(AB87:AF87),AB87:AF87,0))</f>
        <v>Desconfianza y castigo</v>
      </c>
      <c r="AH87" s="9" t="s">
        <v>488</v>
      </c>
      <c r="AI87" s="9"/>
      <c r="AJ87" s="9" t="str">
        <f t="shared" si="2"/>
        <v>Desconfianza y castigo</v>
      </c>
      <c r="AK87" s="9" t="str">
        <f>IFERROR(INDEX('[2]02_Arquetipos_Miedo_Sesgo'!$C$4:$C$8,MATCH(AJ87,'[2]02_Arquetipos_Miedo_Sesgo'!$A$4:$A$8,0)),"")</f>
        <v>Miedo a ser engañado, robado, manipulado o usado electoralmente.</v>
      </c>
      <c r="AL87" s="9" t="str">
        <f>IFERROR(INDEX('[2]02_Arquetipos_Miedo_Sesgo'!$D$4:$D$8,MATCH(AJ87,'[2]02_Arquetipos_Miedo_Sesgo'!$A$4:$A$8,0)),"")</f>
        <v>Sesgo de confirmación + cinismo político + efecto de indignación moral.</v>
      </c>
      <c r="AM87" s="9" t="str">
        <f>IFERROR(INDEX('[2]02_Arquetipos_Miedo_Sesgo'!$E$4:$E$8,MATCH(AJ87,'[2]02_Arquetipos_Miedo_Sesgo'!$A$4:$A$8,0)),"")</f>
        <v>Transparencia, control político, lucha anticorrupción, vigilancia ciudadana, ejecución presupuestal y sanción a abusos.</v>
      </c>
      <c r="AN87" s="9" t="str">
        <f t="shared" si="3"/>
        <v>Media</v>
      </c>
      <c r="AO87" s="9" t="s">
        <v>485</v>
      </c>
    </row>
    <row r="88" spans="1:41" ht="28.8">
      <c r="A88" s="9" t="s">
        <v>282</v>
      </c>
      <c r="B88" s="9" t="s">
        <v>277</v>
      </c>
      <c r="C88" s="9" t="s">
        <v>283</v>
      </c>
      <c r="D88" s="10">
        <v>7717</v>
      </c>
      <c r="E88" s="10">
        <v>6784</v>
      </c>
      <c r="F88" s="10">
        <v>5305</v>
      </c>
      <c r="G88" s="9" t="s">
        <v>492</v>
      </c>
      <c r="H88" s="11">
        <v>0.50032396008811719</v>
      </c>
      <c r="I88" s="11">
        <v>0.189322275495659</v>
      </c>
      <c r="J88" s="9" t="s">
        <v>478</v>
      </c>
      <c r="K88" s="11">
        <v>0.20430424528301891</v>
      </c>
      <c r="L88" s="11">
        <v>7.7535377358490587E-2</v>
      </c>
      <c r="M88" s="9" t="s">
        <v>486</v>
      </c>
      <c r="N88" s="11">
        <v>0.29104618284637129</v>
      </c>
      <c r="O88" s="11">
        <v>7.0311027332705001E-2</v>
      </c>
      <c r="P88" s="12">
        <v>-0.1151436448345239</v>
      </c>
      <c r="Q88" s="9" t="s">
        <v>412</v>
      </c>
      <c r="R88" s="12">
        <v>0.46899999999999997</v>
      </c>
      <c r="S88" s="9" t="s">
        <v>75</v>
      </c>
      <c r="T88" s="12">
        <v>0.104</v>
      </c>
      <c r="U88" s="12">
        <v>0.151</v>
      </c>
      <c r="V88" s="9" t="s">
        <v>73</v>
      </c>
      <c r="W88" s="9" t="s">
        <v>493</v>
      </c>
      <c r="X88" s="9" t="s">
        <v>131</v>
      </c>
      <c r="Y88" s="9" t="s">
        <v>528</v>
      </c>
      <c r="Z88" s="9" t="s">
        <v>529</v>
      </c>
      <c r="AA88" s="9" t="s">
        <v>494</v>
      </c>
      <c r="AB88" s="12">
        <v>0.23355824539368189</v>
      </c>
      <c r="AC88" s="12">
        <v>0.20868756937515504</v>
      </c>
      <c r="AD88" s="12">
        <v>0.19863607476722042</v>
      </c>
      <c r="AE88" s="12">
        <v>0.16806361988056071</v>
      </c>
      <c r="AF88" s="12">
        <v>0.21116140375367121</v>
      </c>
      <c r="AG88" s="9" t="str">
        <f>INDEX('[2]10_Listas'!$A$2:$A$6,MATCH(MAX(AB88:AF88),AB88:AF88,0))</f>
        <v>Protección y orden cotidiano</v>
      </c>
      <c r="AH88" s="9" t="s">
        <v>495</v>
      </c>
      <c r="AI88" s="9"/>
      <c r="AJ88" s="9" t="str">
        <f t="shared" si="2"/>
        <v>Protección y orden cotidiano</v>
      </c>
      <c r="AK88" s="9" t="str">
        <f>IFERROR(INDEX('[2]02_Arquetipos_Miedo_Sesgo'!$C$4:$C$8,MATCH(AJ88,'[2]02_Arquetipos_Miedo_Sesgo'!$A$4:$A$8,0)),"")</f>
        <v>Miedo a la inseguridad, al descontrol barrial y a perder la tranquilidad cotidiana.</v>
      </c>
      <c r="AL88" s="9" t="str">
        <f>IFERROR(INDEX('[2]02_Arquetipos_Miedo_Sesgo'!$D$4:$D$8,MATCH(AJ88,'[2]02_Arquetipos_Miedo_Sesgo'!$A$4:$A$8,0)),"")</f>
        <v>Sesgo de disponibilidad + sesgo de negatividad + preferencia por autoridad.</v>
      </c>
      <c r="AM88" s="9" t="str">
        <f>IFERROR(INDEX('[2]02_Arquetipos_Miedo_Sesgo'!$E$4:$E$8,MATCH(AJ88,'[2]02_Arquetipos_Miedo_Sesgo'!$A$4:$A$8,0)),"")</f>
        <v>Seguridad, convivencia, movilidad, alumbrado, reacción institucional rápida, presencia de autoridad.</v>
      </c>
      <c r="AN88" s="9" t="str">
        <f t="shared" si="3"/>
        <v>Alta</v>
      </c>
      <c r="AO88" s="9" t="s">
        <v>485</v>
      </c>
    </row>
    <row r="89" spans="1:41" ht="28.8">
      <c r="A89" s="9" t="s">
        <v>280</v>
      </c>
      <c r="B89" s="9" t="s">
        <v>277</v>
      </c>
      <c r="C89" s="9" t="s">
        <v>281</v>
      </c>
      <c r="D89" s="10">
        <v>6602</v>
      </c>
      <c r="E89" s="10">
        <v>5813</v>
      </c>
      <c r="F89" s="10">
        <v>4191</v>
      </c>
      <c r="G89" s="9" t="s">
        <v>477</v>
      </c>
      <c r="H89" s="11">
        <v>0.40866404119963651</v>
      </c>
      <c r="I89" s="11">
        <v>2.8930627082702162E-2</v>
      </c>
      <c r="J89" s="9" t="s">
        <v>478</v>
      </c>
      <c r="K89" s="11">
        <v>0.2188198864613797</v>
      </c>
      <c r="L89" s="11">
        <v>7.4660244280061933E-2</v>
      </c>
      <c r="M89" s="9" t="s">
        <v>486</v>
      </c>
      <c r="N89" s="11">
        <v>0.3173466952994512</v>
      </c>
      <c r="O89" s="11">
        <v>2.7678358387019819E-2</v>
      </c>
      <c r="P89" s="12">
        <v>7.7392729533794419E-2</v>
      </c>
      <c r="Q89" s="9" t="s">
        <v>412</v>
      </c>
      <c r="R89" s="12">
        <v>-0.45700000000000002</v>
      </c>
      <c r="S89" s="9" t="s">
        <v>75</v>
      </c>
      <c r="T89" s="12">
        <v>0.104</v>
      </c>
      <c r="U89" s="12">
        <v>6.0464243177931483E-2</v>
      </c>
      <c r="V89" s="9" t="s">
        <v>412</v>
      </c>
      <c r="W89" s="9" t="s">
        <v>487</v>
      </c>
      <c r="X89" s="9" t="s">
        <v>131</v>
      </c>
      <c r="Y89" s="9" t="s">
        <v>528</v>
      </c>
      <c r="Z89" s="9" t="s">
        <v>529</v>
      </c>
      <c r="AA89" s="9" t="s">
        <v>483</v>
      </c>
      <c r="AB89" s="12">
        <v>0.19558421548705859</v>
      </c>
      <c r="AC89" s="12">
        <v>0.19594245928171911</v>
      </c>
      <c r="AD89" s="12">
        <v>0.20232296231902666</v>
      </c>
      <c r="AE89" s="12">
        <v>0.19645105470526081</v>
      </c>
      <c r="AF89" s="12">
        <v>0.20679559287546109</v>
      </c>
      <c r="AG89" s="9" t="str">
        <f>INDEX('[2]10_Listas'!$A$2:$A$6,MATCH(MAX(AB89:AF89),AB89:AF89,0))</f>
        <v>Pertenencia y dignidad territorial</v>
      </c>
      <c r="AH89" s="9" t="s">
        <v>491</v>
      </c>
      <c r="AI89" s="9"/>
      <c r="AJ89" s="9" t="str">
        <f t="shared" si="2"/>
        <v>Pertenencia y dignidad territorial</v>
      </c>
      <c r="AK89" s="9" t="str">
        <f>IFERROR(INDEX('[2]02_Arquetipos_Miedo_Sesgo'!$C$4:$C$8,MATCH(AJ89,'[2]02_Arquetipos_Miedo_Sesgo'!$A$4:$A$8,0)),"")</f>
        <v>Miedo a ser olvidado, desplazado simbólicamente, estigmatizado o excluido de la inversión pública.</v>
      </c>
      <c r="AL89" s="9" t="str">
        <f>IFERROR(INDEX('[2]02_Arquetipos_Miedo_Sesgo'!$D$4:$D$8,MATCH(AJ89,'[2]02_Arquetipos_Miedo_Sesgo'!$A$4:$A$8,0)),"")</f>
        <v>Sesgo de identidad grupal + razonamiento protector de identidad + efecto halo de liderazgos cercanos.</v>
      </c>
      <c r="AM89" s="9" t="str">
        <f>IFERROR(INDEX('[2]02_Arquetipos_Miedo_Sesgo'!$E$4:$E$8,MATCH(AJ89,'[2]02_Arquetipos_Miedo_Sesgo'!$A$4:$A$8,0)),"")</f>
        <v>Inversión barrial, cultura, deporte, juventud, espacio público, vías locales, equipamientos y reconocimiento comunitario.</v>
      </c>
      <c r="AN89" s="9" t="str">
        <f t="shared" si="3"/>
        <v>Media</v>
      </c>
      <c r="AO89" s="9" t="s">
        <v>485</v>
      </c>
    </row>
    <row r="90" spans="1:41" ht="28.8">
      <c r="A90" s="9" t="s">
        <v>292</v>
      </c>
      <c r="B90" s="9" t="s">
        <v>277</v>
      </c>
      <c r="C90" s="9" t="s">
        <v>293</v>
      </c>
      <c r="D90" s="10">
        <v>10259</v>
      </c>
      <c r="E90" s="10">
        <v>8701</v>
      </c>
      <c r="F90" s="10">
        <v>0</v>
      </c>
      <c r="G90" s="9" t="s">
        <v>477</v>
      </c>
      <c r="H90" s="11">
        <v>0.39077882834584271</v>
      </c>
      <c r="I90" s="11">
        <v>1.9202651330539E-2</v>
      </c>
      <c r="J90" s="9" t="s">
        <v>478</v>
      </c>
      <c r="K90" s="11">
        <v>0.24594874152396279</v>
      </c>
      <c r="L90" s="11">
        <v>0.12297437076198139</v>
      </c>
      <c r="M90" s="9" t="s">
        <v>486</v>
      </c>
      <c r="N90" s="11">
        <v>0</v>
      </c>
      <c r="O90" s="11">
        <v>0</v>
      </c>
      <c r="P90" s="12">
        <v>7.7392729533794419E-2</v>
      </c>
      <c r="Q90" s="9" t="s">
        <v>412</v>
      </c>
      <c r="R90" s="12"/>
      <c r="S90" s="9" t="s">
        <v>518</v>
      </c>
      <c r="T90" s="12">
        <v>0.104</v>
      </c>
      <c r="U90" s="12">
        <v>6.0464243177931483E-2</v>
      </c>
      <c r="V90" s="9" t="s">
        <v>412</v>
      </c>
      <c r="W90" s="9" t="s">
        <v>487</v>
      </c>
      <c r="X90" s="9" t="s">
        <v>131</v>
      </c>
      <c r="Y90" s="9" t="s">
        <v>528</v>
      </c>
      <c r="Z90" s="9" t="s">
        <v>529</v>
      </c>
      <c r="AA90" s="9" t="s">
        <v>494</v>
      </c>
      <c r="AB90" s="12">
        <v>0.26354474401074579</v>
      </c>
      <c r="AC90" s="12">
        <v>0.2495719084481125</v>
      </c>
      <c r="AD90" s="12">
        <v>0.23657538692765465</v>
      </c>
      <c r="AE90" s="12">
        <v>0.21293795559571571</v>
      </c>
      <c r="AF90" s="12">
        <v>6.1293104964795793E-2</v>
      </c>
      <c r="AG90" s="9" t="str">
        <f>INDEX('[2]10_Listas'!$A$2:$A$6,MATCH(MAX(AB90:AF90),AB90:AF90,0))</f>
        <v>Protección y orden cotidiano</v>
      </c>
      <c r="AH90" s="9" t="s">
        <v>491</v>
      </c>
      <c r="AI90" s="9"/>
      <c r="AJ90" s="9" t="str">
        <f t="shared" si="2"/>
        <v>Protección y orden cotidiano</v>
      </c>
      <c r="AK90" s="9" t="str">
        <f>IFERROR(INDEX('[2]02_Arquetipos_Miedo_Sesgo'!$C$4:$C$8,MATCH(AJ90,'[2]02_Arquetipos_Miedo_Sesgo'!$A$4:$A$8,0)),"")</f>
        <v>Miedo a la inseguridad, al descontrol barrial y a perder la tranquilidad cotidiana.</v>
      </c>
      <c r="AL90" s="9" t="str">
        <f>IFERROR(INDEX('[2]02_Arquetipos_Miedo_Sesgo'!$D$4:$D$8,MATCH(AJ90,'[2]02_Arquetipos_Miedo_Sesgo'!$A$4:$A$8,0)),"")</f>
        <v>Sesgo de disponibilidad + sesgo de negatividad + preferencia por autoridad.</v>
      </c>
      <c r="AM90" s="9" t="str">
        <f>IFERROR(INDEX('[2]02_Arquetipos_Miedo_Sesgo'!$E$4:$E$8,MATCH(AJ90,'[2]02_Arquetipos_Miedo_Sesgo'!$A$4:$A$8,0)),"")</f>
        <v>Seguridad, convivencia, movilidad, alumbrado, reacción institucional rápida, presencia de autoridad.</v>
      </c>
      <c r="AN90" s="9" t="str">
        <f t="shared" si="3"/>
        <v>Alta</v>
      </c>
      <c r="AO90" s="9" t="s">
        <v>485</v>
      </c>
    </row>
    <row r="91" spans="1:41" ht="28.8">
      <c r="A91" s="9" t="s">
        <v>539</v>
      </c>
      <c r="B91" s="9" t="s">
        <v>277</v>
      </c>
      <c r="C91" s="9" t="s">
        <v>540</v>
      </c>
      <c r="D91" s="10">
        <v>857</v>
      </c>
      <c r="E91" s="10">
        <v>757</v>
      </c>
      <c r="F91" s="10">
        <v>537</v>
      </c>
      <c r="G91" s="9" t="s">
        <v>477</v>
      </c>
      <c r="H91" s="11">
        <v>0.45507584597432899</v>
      </c>
      <c r="I91" s="11">
        <v>0.15402567094515751</v>
      </c>
      <c r="J91" s="9" t="s">
        <v>478</v>
      </c>
      <c r="K91" s="11">
        <v>0.21400264200792599</v>
      </c>
      <c r="L91" s="11">
        <v>8.5865257595772765E-2</v>
      </c>
      <c r="M91" s="9" t="s">
        <v>486</v>
      </c>
      <c r="N91" s="11">
        <v>0.32216014897579143</v>
      </c>
      <c r="O91" s="11">
        <v>5.2141527001862198E-2</v>
      </c>
      <c r="P91" s="12">
        <v>7.7392729533794419E-2</v>
      </c>
      <c r="Q91" s="9" t="s">
        <v>412</v>
      </c>
      <c r="R91" s="12">
        <v>-0.45700000000000002</v>
      </c>
      <c r="S91" s="9" t="s">
        <v>75</v>
      </c>
      <c r="T91" s="12">
        <v>0.104</v>
      </c>
      <c r="U91" s="12">
        <v>6.0464243177931483E-2</v>
      </c>
      <c r="V91" s="9" t="s">
        <v>412</v>
      </c>
      <c r="W91" s="9" t="s">
        <v>487</v>
      </c>
      <c r="X91" s="9" t="s">
        <v>131</v>
      </c>
      <c r="Y91" s="9" t="s">
        <v>528</v>
      </c>
      <c r="Z91" s="9" t="s">
        <v>529</v>
      </c>
      <c r="AA91" s="9" t="s">
        <v>483</v>
      </c>
      <c r="AB91" s="12">
        <v>0.17545462112702609</v>
      </c>
      <c r="AC91" s="12">
        <v>0.20448718714979339</v>
      </c>
      <c r="AD91" s="12">
        <v>0.20756171318163971</v>
      </c>
      <c r="AE91" s="12">
        <v>0.20314324643420931</v>
      </c>
      <c r="AF91" s="12">
        <v>0.20560412243603601</v>
      </c>
      <c r="AG91" s="9" t="str">
        <f>INDEX('[2]10_Listas'!$A$2:$A$6,MATCH(MAX(AB91:AF91),AB91:AF91,0))</f>
        <v>Supervivencia económica y servicios básicos</v>
      </c>
      <c r="AH91" s="9" t="s">
        <v>491</v>
      </c>
      <c r="AI91" s="9"/>
      <c r="AJ91" s="9" t="str">
        <f t="shared" si="2"/>
        <v>Supervivencia económica y servicios básicos</v>
      </c>
      <c r="AK91" s="9" t="str">
        <f>IFERROR(INDEX('[2]02_Arquetipos_Miedo_Sesgo'!$C$4:$C$8,MATCH(AJ91,'[2]02_Arquetipos_Miedo_Sesgo'!$A$4:$A$8,0)),"")</f>
        <v>Miedo a no llegar a fin de mes, perder ingresos, empleo, movilidad o acceso a servicios básicos.</v>
      </c>
      <c r="AL91" s="9" t="str">
        <f>IFERROR(INDEX('[2]02_Arquetipos_Miedo_Sesgo'!$D$4:$D$8,MATCH(AJ91,'[2]02_Arquetipos_Miedo_Sesgo'!$A$4:$A$8,0)),"")</f>
        <v>Sesgo de escasez + presente dominante + aversión al riesgo económico.</v>
      </c>
      <c r="AM91" s="9" t="str">
        <f>IFERROR(INDEX('[2]02_Arquetipos_Miedo_Sesgo'!$E$4:$E$8,MATCH(AJ91,'[2]02_Arquetipos_Miedo_Sesgo'!$A$4:$A$8,0)),"")</f>
        <v>Empleo, emprendimiento, economía popular, transporte, costo de vida, salud, educación técnica y subsidios focalizados.</v>
      </c>
      <c r="AN91" s="9" t="str">
        <f t="shared" si="3"/>
        <v>Media</v>
      </c>
      <c r="AO91" s="9" t="s">
        <v>485</v>
      </c>
    </row>
    <row r="92" spans="1:41" ht="28.8">
      <c r="A92" s="9" t="s">
        <v>305</v>
      </c>
      <c r="B92" s="9" t="s">
        <v>295</v>
      </c>
      <c r="C92" s="9" t="s">
        <v>306</v>
      </c>
      <c r="D92" s="10">
        <v>5365</v>
      </c>
      <c r="E92" s="10">
        <v>4246</v>
      </c>
      <c r="F92" s="10">
        <v>3115</v>
      </c>
      <c r="G92" s="9" t="s">
        <v>477</v>
      </c>
      <c r="H92" s="11">
        <v>0.48275862068965519</v>
      </c>
      <c r="I92" s="11">
        <v>0.22777260018639331</v>
      </c>
      <c r="J92" s="9" t="s">
        <v>478</v>
      </c>
      <c r="K92" s="11">
        <v>0.23645784267545919</v>
      </c>
      <c r="L92" s="11">
        <v>0.13777673104097971</v>
      </c>
      <c r="M92" s="9" t="s">
        <v>486</v>
      </c>
      <c r="N92" s="11">
        <v>0.28378812199036918</v>
      </c>
      <c r="O92" s="11">
        <v>3.9807383627608363E-2</v>
      </c>
      <c r="P92" s="12">
        <v>7.7392729533794419E-2</v>
      </c>
      <c r="Q92" s="9" t="s">
        <v>412</v>
      </c>
      <c r="R92" s="12">
        <v>-0.45700000000000002</v>
      </c>
      <c r="S92" s="9" t="s">
        <v>75</v>
      </c>
      <c r="T92" s="12">
        <v>0.104</v>
      </c>
      <c r="U92" s="12">
        <v>6.0464243177931483E-2</v>
      </c>
      <c r="V92" s="9" t="s">
        <v>412</v>
      </c>
      <c r="W92" s="9" t="s">
        <v>487</v>
      </c>
      <c r="X92" s="9" t="s">
        <v>60</v>
      </c>
      <c r="Y92" s="9" t="s">
        <v>541</v>
      </c>
      <c r="Z92" s="9" t="s">
        <v>542</v>
      </c>
      <c r="AA92" s="9" t="s">
        <v>483</v>
      </c>
      <c r="AB92" s="12">
        <v>0.17130181789157889</v>
      </c>
      <c r="AC92" s="12">
        <v>0.20332071367334698</v>
      </c>
      <c r="AD92" s="12">
        <v>0.21177998642676951</v>
      </c>
      <c r="AE92" s="12">
        <v>0.217763911423976</v>
      </c>
      <c r="AF92" s="12">
        <v>0.1968006770624405</v>
      </c>
      <c r="AG92" s="9" t="str">
        <f>INDEX('[2]10_Listas'!$A$2:$A$6,MATCH(MAX(AB92:AF92),AB92:AF92,0))</f>
        <v>Desconfianza y castigo</v>
      </c>
      <c r="AH92" s="9" t="s">
        <v>488</v>
      </c>
      <c r="AI92" s="9"/>
      <c r="AJ92" s="9" t="str">
        <f t="shared" si="2"/>
        <v>Desconfianza y castigo</v>
      </c>
      <c r="AK92" s="9" t="str">
        <f>IFERROR(INDEX('[2]02_Arquetipos_Miedo_Sesgo'!$C$4:$C$8,MATCH(AJ92,'[2]02_Arquetipos_Miedo_Sesgo'!$A$4:$A$8,0)),"")</f>
        <v>Miedo a ser engañado, robado, manipulado o usado electoralmente.</v>
      </c>
      <c r="AL92" s="9" t="str">
        <f>IFERROR(INDEX('[2]02_Arquetipos_Miedo_Sesgo'!$D$4:$D$8,MATCH(AJ92,'[2]02_Arquetipos_Miedo_Sesgo'!$A$4:$A$8,0)),"")</f>
        <v>Sesgo de confirmación + cinismo político + efecto de indignación moral.</v>
      </c>
      <c r="AM92" s="9" t="str">
        <f>IFERROR(INDEX('[2]02_Arquetipos_Miedo_Sesgo'!$E$4:$E$8,MATCH(AJ92,'[2]02_Arquetipos_Miedo_Sesgo'!$A$4:$A$8,0)),"")</f>
        <v>Transparencia, control político, lucha anticorrupción, vigilancia ciudadana, ejecución presupuestal y sanción a abusos.</v>
      </c>
      <c r="AN92" s="9" t="str">
        <f t="shared" si="3"/>
        <v>Alta</v>
      </c>
      <c r="AO92" s="9" t="s">
        <v>485</v>
      </c>
    </row>
    <row r="93" spans="1:41" ht="28.8">
      <c r="A93" s="9" t="s">
        <v>303</v>
      </c>
      <c r="B93" s="9" t="s">
        <v>295</v>
      </c>
      <c r="C93" s="9" t="s">
        <v>304</v>
      </c>
      <c r="D93" s="10">
        <v>824</v>
      </c>
      <c r="E93" s="10">
        <v>646</v>
      </c>
      <c r="F93" s="10">
        <v>516</v>
      </c>
      <c r="G93" s="9" t="s">
        <v>477</v>
      </c>
      <c r="H93" s="11">
        <v>0.48422330097087379</v>
      </c>
      <c r="I93" s="11">
        <v>0.25728155339805819</v>
      </c>
      <c r="J93" s="9" t="s">
        <v>478</v>
      </c>
      <c r="K93" s="11">
        <v>0.32198142414860681</v>
      </c>
      <c r="L93" s="11">
        <v>0.24148606811145509</v>
      </c>
      <c r="M93" s="9" t="s">
        <v>486</v>
      </c>
      <c r="N93" s="11">
        <v>0.33720930232558138</v>
      </c>
      <c r="O93" s="11">
        <v>9.8837209302325563E-2</v>
      </c>
      <c r="P93" s="12">
        <v>7.7392729533794419E-2</v>
      </c>
      <c r="Q93" s="9" t="s">
        <v>412</v>
      </c>
      <c r="R93" s="12">
        <v>-0.45700000000000002</v>
      </c>
      <c r="S93" s="9" t="s">
        <v>75</v>
      </c>
      <c r="T93" s="12">
        <v>0.104</v>
      </c>
      <c r="U93" s="12">
        <v>6.0464243177931483E-2</v>
      </c>
      <c r="V93" s="9" t="s">
        <v>412</v>
      </c>
      <c r="W93" s="9" t="s">
        <v>487</v>
      </c>
      <c r="X93" s="9" t="s">
        <v>60</v>
      </c>
      <c r="Y93" s="9" t="s">
        <v>541</v>
      </c>
      <c r="Z93" s="9" t="s">
        <v>542</v>
      </c>
      <c r="AA93" s="9" t="s">
        <v>516</v>
      </c>
      <c r="AB93" s="12">
        <v>0.1472382234250196</v>
      </c>
      <c r="AC93" s="12">
        <v>0.20150550967600189</v>
      </c>
      <c r="AD93" s="12">
        <v>0.20884704729645068</v>
      </c>
      <c r="AE93" s="12">
        <v>0.25634853164985089</v>
      </c>
      <c r="AF93" s="12">
        <v>0.19015995732695759</v>
      </c>
      <c r="AG93" s="9" t="str">
        <f>INDEX('[2]10_Listas'!$A$2:$A$6,MATCH(MAX(AB93:AF93),AB93:AF93,0))</f>
        <v>Desconfianza y castigo</v>
      </c>
      <c r="AH93" s="9" t="s">
        <v>488</v>
      </c>
      <c r="AI93" s="9"/>
      <c r="AJ93" s="9" t="str">
        <f t="shared" si="2"/>
        <v>Desconfianza y castigo</v>
      </c>
      <c r="AK93" s="9" t="str">
        <f>IFERROR(INDEX('[2]02_Arquetipos_Miedo_Sesgo'!$C$4:$C$8,MATCH(AJ93,'[2]02_Arquetipos_Miedo_Sesgo'!$A$4:$A$8,0)),"")</f>
        <v>Miedo a ser engañado, robado, manipulado o usado electoralmente.</v>
      </c>
      <c r="AL93" s="9" t="str">
        <f>IFERROR(INDEX('[2]02_Arquetipos_Miedo_Sesgo'!$D$4:$D$8,MATCH(AJ93,'[2]02_Arquetipos_Miedo_Sesgo'!$A$4:$A$8,0)),"")</f>
        <v>Sesgo de confirmación + cinismo político + efecto de indignación moral.</v>
      </c>
      <c r="AM93" s="9" t="str">
        <f>IFERROR(INDEX('[2]02_Arquetipos_Miedo_Sesgo'!$E$4:$E$8,MATCH(AJ93,'[2]02_Arquetipos_Miedo_Sesgo'!$A$4:$A$8,0)),"")</f>
        <v>Transparencia, control político, lucha anticorrupción, vigilancia ciudadana, ejecución presupuestal y sanción a abusos.</v>
      </c>
      <c r="AN93" s="9" t="str">
        <f t="shared" si="3"/>
        <v>Alta</v>
      </c>
      <c r="AO93" s="9" t="s">
        <v>485</v>
      </c>
    </row>
    <row r="94" spans="1:41" ht="28.8">
      <c r="A94" s="9" t="s">
        <v>294</v>
      </c>
      <c r="B94" s="9" t="s">
        <v>295</v>
      </c>
      <c r="C94" s="9" t="s">
        <v>296</v>
      </c>
      <c r="D94" s="10">
        <v>4884</v>
      </c>
      <c r="E94" s="10">
        <v>3923</v>
      </c>
      <c r="F94" s="10">
        <v>3313</v>
      </c>
      <c r="G94" s="9" t="s">
        <v>477</v>
      </c>
      <c r="H94" s="11">
        <v>0.49058149058149059</v>
      </c>
      <c r="I94" s="11">
        <v>0.2631040131040131</v>
      </c>
      <c r="J94" s="9" t="s">
        <v>478</v>
      </c>
      <c r="K94" s="11">
        <v>0.23604384399694109</v>
      </c>
      <c r="L94" s="11">
        <v>0.1356105021667092</v>
      </c>
      <c r="M94" s="9" t="s">
        <v>486</v>
      </c>
      <c r="N94" s="11">
        <v>0.24811349230304861</v>
      </c>
      <c r="O94" s="11">
        <v>6.4895864775128292E-2</v>
      </c>
      <c r="P94" s="12">
        <v>7.7392729533794419E-2</v>
      </c>
      <c r="Q94" s="9" t="s">
        <v>412</v>
      </c>
      <c r="R94" s="12">
        <v>-0.45700000000000002</v>
      </c>
      <c r="S94" s="9" t="s">
        <v>75</v>
      </c>
      <c r="T94" s="12">
        <v>0.104</v>
      </c>
      <c r="U94" s="12">
        <v>6.0464243177931483E-2</v>
      </c>
      <c r="V94" s="9" t="s">
        <v>412</v>
      </c>
      <c r="W94" s="9" t="s">
        <v>487</v>
      </c>
      <c r="X94" s="9" t="s">
        <v>60</v>
      </c>
      <c r="Y94" s="9" t="s">
        <v>541</v>
      </c>
      <c r="Z94" s="9" t="s">
        <v>542</v>
      </c>
      <c r="AA94" s="9" t="s">
        <v>483</v>
      </c>
      <c r="AB94" s="12">
        <v>0.17649036365389301</v>
      </c>
      <c r="AC94" s="12">
        <v>0.2150555813703976</v>
      </c>
      <c r="AD94" s="12">
        <v>0.21854975040326804</v>
      </c>
      <c r="AE94" s="12">
        <v>0.2199560454705268</v>
      </c>
      <c r="AF94" s="12">
        <v>0.17713613953194249</v>
      </c>
      <c r="AG94" s="9" t="str">
        <f>INDEX('[2]10_Listas'!$A$2:$A$6,MATCH(MAX(AB94:AF94),AB94:AF94,0))</f>
        <v>Desconfianza y castigo</v>
      </c>
      <c r="AH94" s="9" t="s">
        <v>491</v>
      </c>
      <c r="AI94" s="9"/>
      <c r="AJ94" s="9" t="str">
        <f t="shared" si="2"/>
        <v>Desconfianza y castigo</v>
      </c>
      <c r="AK94" s="9" t="str">
        <f>IFERROR(INDEX('[2]02_Arquetipos_Miedo_Sesgo'!$C$4:$C$8,MATCH(AJ94,'[2]02_Arquetipos_Miedo_Sesgo'!$A$4:$A$8,0)),"")</f>
        <v>Miedo a ser engañado, robado, manipulado o usado electoralmente.</v>
      </c>
      <c r="AL94" s="9" t="str">
        <f>IFERROR(INDEX('[2]02_Arquetipos_Miedo_Sesgo'!$D$4:$D$8,MATCH(AJ94,'[2]02_Arquetipos_Miedo_Sesgo'!$A$4:$A$8,0)),"")</f>
        <v>Sesgo de confirmación + cinismo político + efecto de indignación moral.</v>
      </c>
      <c r="AM94" s="9" t="str">
        <f>IFERROR(INDEX('[2]02_Arquetipos_Miedo_Sesgo'!$E$4:$E$8,MATCH(AJ94,'[2]02_Arquetipos_Miedo_Sesgo'!$A$4:$A$8,0)),"")</f>
        <v>Transparencia, control político, lucha anticorrupción, vigilancia ciudadana, ejecución presupuestal y sanción a abusos.</v>
      </c>
      <c r="AN94" s="9" t="str">
        <f t="shared" si="3"/>
        <v>Alta</v>
      </c>
      <c r="AO94" s="9" t="s">
        <v>485</v>
      </c>
    </row>
    <row r="95" spans="1:41" ht="28.8">
      <c r="A95" s="9" t="s">
        <v>299</v>
      </c>
      <c r="B95" s="9" t="s">
        <v>295</v>
      </c>
      <c r="C95" s="9" t="s">
        <v>300</v>
      </c>
      <c r="D95" s="10">
        <v>5082</v>
      </c>
      <c r="E95" s="10">
        <v>4051</v>
      </c>
      <c r="F95" s="10">
        <v>3414</v>
      </c>
      <c r="G95" s="9" t="s">
        <v>477</v>
      </c>
      <c r="H95" s="11">
        <v>0.47579693034238491</v>
      </c>
      <c r="I95" s="11">
        <v>0.22648563557654469</v>
      </c>
      <c r="J95" s="9" t="s">
        <v>478</v>
      </c>
      <c r="K95" s="11">
        <v>0.22710441866205869</v>
      </c>
      <c r="L95" s="11">
        <v>9.4544556899530979E-2</v>
      </c>
      <c r="M95" s="9" t="s">
        <v>486</v>
      </c>
      <c r="N95" s="11">
        <v>0.28939660222612767</v>
      </c>
      <c r="O95" s="11">
        <v>0.1230228471001758</v>
      </c>
      <c r="P95" s="12">
        <v>7.7392729533794419E-2</v>
      </c>
      <c r="Q95" s="9" t="s">
        <v>412</v>
      </c>
      <c r="R95" s="12">
        <v>-0.45700000000000002</v>
      </c>
      <c r="S95" s="9" t="s">
        <v>75</v>
      </c>
      <c r="T95" s="12">
        <v>0.104</v>
      </c>
      <c r="U95" s="12">
        <v>6.0464243177931483E-2</v>
      </c>
      <c r="V95" s="9" t="s">
        <v>412</v>
      </c>
      <c r="W95" s="9" t="s">
        <v>487</v>
      </c>
      <c r="X95" s="9" t="s">
        <v>60</v>
      </c>
      <c r="Y95" s="9" t="s">
        <v>541</v>
      </c>
      <c r="Z95" s="9" t="s">
        <v>542</v>
      </c>
      <c r="AA95" s="9" t="s">
        <v>483</v>
      </c>
      <c r="AB95" s="12">
        <v>0.17621763104804841</v>
      </c>
      <c r="AC95" s="12">
        <v>0.2040104581957492</v>
      </c>
      <c r="AD95" s="12">
        <v>0.21021348847461349</v>
      </c>
      <c r="AE95" s="12">
        <v>0.2327589326675002</v>
      </c>
      <c r="AF95" s="12">
        <v>0.18356402380208539</v>
      </c>
      <c r="AG95" s="9" t="str">
        <f>INDEX('[2]10_Listas'!$A$2:$A$6,MATCH(MAX(AB95:AF95),AB95:AF95,0))</f>
        <v>Desconfianza y castigo</v>
      </c>
      <c r="AH95" s="9" t="s">
        <v>488</v>
      </c>
      <c r="AI95" s="9"/>
      <c r="AJ95" s="9" t="str">
        <f t="shared" si="2"/>
        <v>Desconfianza y castigo</v>
      </c>
      <c r="AK95" s="9" t="str">
        <f>IFERROR(INDEX('[2]02_Arquetipos_Miedo_Sesgo'!$C$4:$C$8,MATCH(AJ95,'[2]02_Arquetipos_Miedo_Sesgo'!$A$4:$A$8,0)),"")</f>
        <v>Miedo a ser engañado, robado, manipulado o usado electoralmente.</v>
      </c>
      <c r="AL95" s="9" t="str">
        <f>IFERROR(INDEX('[2]02_Arquetipos_Miedo_Sesgo'!$D$4:$D$8,MATCH(AJ95,'[2]02_Arquetipos_Miedo_Sesgo'!$A$4:$A$8,0)),"")</f>
        <v>Sesgo de confirmación + cinismo político + efecto de indignación moral.</v>
      </c>
      <c r="AM95" s="9" t="str">
        <f>IFERROR(INDEX('[2]02_Arquetipos_Miedo_Sesgo'!$E$4:$E$8,MATCH(AJ95,'[2]02_Arquetipos_Miedo_Sesgo'!$A$4:$A$8,0)),"")</f>
        <v>Transparencia, control político, lucha anticorrupción, vigilancia ciudadana, ejecución presupuestal y sanción a abusos.</v>
      </c>
      <c r="AN95" s="9" t="str">
        <f t="shared" si="3"/>
        <v>Alta</v>
      </c>
      <c r="AO95" s="9" t="s">
        <v>485</v>
      </c>
    </row>
    <row r="96" spans="1:41" ht="28.8">
      <c r="A96" s="9" t="s">
        <v>307</v>
      </c>
      <c r="B96" s="9" t="s">
        <v>295</v>
      </c>
      <c r="C96" s="9" t="s">
        <v>308</v>
      </c>
      <c r="D96" s="10">
        <v>9019</v>
      </c>
      <c r="E96" s="10">
        <v>7344</v>
      </c>
      <c r="F96" s="10">
        <v>5749</v>
      </c>
      <c r="G96" s="9" t="s">
        <v>477</v>
      </c>
      <c r="H96" s="11">
        <v>0.46402040137487532</v>
      </c>
      <c r="I96" s="11">
        <v>0.19902428207118311</v>
      </c>
      <c r="J96" s="9" t="s">
        <v>478</v>
      </c>
      <c r="K96" s="11">
        <v>0.23706427015250539</v>
      </c>
      <c r="L96" s="11">
        <v>0.14351851851851849</v>
      </c>
      <c r="M96" s="9" t="s">
        <v>486</v>
      </c>
      <c r="N96" s="11">
        <v>0.29535571403722388</v>
      </c>
      <c r="O96" s="11">
        <v>0.11341102800487041</v>
      </c>
      <c r="P96" s="12">
        <v>7.7392729533794419E-2</v>
      </c>
      <c r="Q96" s="9" t="s">
        <v>412</v>
      </c>
      <c r="R96" s="12">
        <v>-0.45700000000000002</v>
      </c>
      <c r="S96" s="9" t="s">
        <v>75</v>
      </c>
      <c r="T96" s="12">
        <v>0.104</v>
      </c>
      <c r="U96" s="12">
        <v>6.0464243177931483E-2</v>
      </c>
      <c r="V96" s="9" t="s">
        <v>412</v>
      </c>
      <c r="W96" s="9" t="s">
        <v>487</v>
      </c>
      <c r="X96" s="9" t="s">
        <v>60</v>
      </c>
      <c r="Y96" s="9" t="s">
        <v>541</v>
      </c>
      <c r="Z96" s="9" t="s">
        <v>542</v>
      </c>
      <c r="AA96" s="9" t="s">
        <v>483</v>
      </c>
      <c r="AB96" s="12">
        <v>0.16773332260714369</v>
      </c>
      <c r="AC96" s="12">
        <v>0.20633748364029716</v>
      </c>
      <c r="AD96" s="12">
        <v>0.21317311455936974</v>
      </c>
      <c r="AE96" s="12">
        <v>0.22631959803301799</v>
      </c>
      <c r="AF96" s="12">
        <v>0.1921843503289033</v>
      </c>
      <c r="AG96" s="9" t="str">
        <f>INDEX('[2]10_Listas'!$A$2:$A$6,MATCH(MAX(AB96:AF96),AB96:AF96,0))</f>
        <v>Desconfianza y castigo</v>
      </c>
      <c r="AH96" s="9" t="s">
        <v>488</v>
      </c>
      <c r="AI96" s="9"/>
      <c r="AJ96" s="9" t="str">
        <f t="shared" si="2"/>
        <v>Desconfianza y castigo</v>
      </c>
      <c r="AK96" s="9" t="str">
        <f>IFERROR(INDEX('[2]02_Arquetipos_Miedo_Sesgo'!$C$4:$C$8,MATCH(AJ96,'[2]02_Arquetipos_Miedo_Sesgo'!$A$4:$A$8,0)),"")</f>
        <v>Miedo a ser engañado, robado, manipulado o usado electoralmente.</v>
      </c>
      <c r="AL96" s="9" t="str">
        <f>IFERROR(INDEX('[2]02_Arquetipos_Miedo_Sesgo'!$D$4:$D$8,MATCH(AJ96,'[2]02_Arquetipos_Miedo_Sesgo'!$A$4:$A$8,0)),"")</f>
        <v>Sesgo de confirmación + cinismo político + efecto de indignación moral.</v>
      </c>
      <c r="AM96" s="9" t="str">
        <f>IFERROR(INDEX('[2]02_Arquetipos_Miedo_Sesgo'!$E$4:$E$8,MATCH(AJ96,'[2]02_Arquetipos_Miedo_Sesgo'!$A$4:$A$8,0)),"")</f>
        <v>Transparencia, control político, lucha anticorrupción, vigilancia ciudadana, ejecución presupuestal y sanción a abusos.</v>
      </c>
      <c r="AN96" s="9" t="str">
        <f t="shared" si="3"/>
        <v>Alta</v>
      </c>
      <c r="AO96" s="9" t="s">
        <v>485</v>
      </c>
    </row>
    <row r="97" spans="1:41" ht="28.8">
      <c r="A97" s="9" t="s">
        <v>543</v>
      </c>
      <c r="B97" s="9" t="s">
        <v>295</v>
      </c>
      <c r="C97" s="9" t="s">
        <v>544</v>
      </c>
      <c r="D97" s="10">
        <v>352</v>
      </c>
      <c r="E97" s="10">
        <v>264</v>
      </c>
      <c r="F97" s="10">
        <v>254</v>
      </c>
      <c r="G97" s="9" t="s">
        <v>477</v>
      </c>
      <c r="H97" s="11">
        <v>0.42897727272727271</v>
      </c>
      <c r="I97" s="11">
        <v>0.14772727272727271</v>
      </c>
      <c r="J97" s="9" t="s">
        <v>478</v>
      </c>
      <c r="K97" s="11">
        <v>0.35606060606060608</v>
      </c>
      <c r="L97" s="11">
        <v>0.23863636363636359</v>
      </c>
      <c r="M97" s="9" t="s">
        <v>486</v>
      </c>
      <c r="N97" s="11">
        <v>0.42519685039370081</v>
      </c>
      <c r="O97" s="11">
        <v>0.22047244094488189</v>
      </c>
      <c r="P97" s="12">
        <v>7.7392729533794419E-2</v>
      </c>
      <c r="Q97" s="9" t="s">
        <v>412</v>
      </c>
      <c r="R97" s="12">
        <v>-0.45700000000000002</v>
      </c>
      <c r="S97" s="9" t="s">
        <v>75</v>
      </c>
      <c r="T97" s="12">
        <v>0.104</v>
      </c>
      <c r="U97" s="12">
        <v>6.0464243177931483E-2</v>
      </c>
      <c r="V97" s="9" t="s">
        <v>412</v>
      </c>
      <c r="W97" s="9" t="s">
        <v>487</v>
      </c>
      <c r="X97" s="9" t="s">
        <v>60</v>
      </c>
      <c r="Y97" s="9" t="s">
        <v>541</v>
      </c>
      <c r="Z97" s="9" t="s">
        <v>542</v>
      </c>
      <c r="AA97" s="9" t="s">
        <v>483</v>
      </c>
      <c r="AB97" s="12">
        <v>0.16931019409150311</v>
      </c>
      <c r="AC97" s="12">
        <v>0.1844350669292818</v>
      </c>
      <c r="AD97" s="12">
        <v>0.20369231232526605</v>
      </c>
      <c r="AE97" s="12">
        <v>0.205863158068847</v>
      </c>
      <c r="AF97" s="12">
        <v>0.22581207742400991</v>
      </c>
      <c r="AG97" s="9" t="str">
        <f>INDEX('[2]10_Listas'!$A$2:$A$6,MATCH(MAX(AB97:AF97),AB97:AF97,0))</f>
        <v>Pertenencia y dignidad territorial</v>
      </c>
      <c r="AH97" s="9" t="s">
        <v>536</v>
      </c>
      <c r="AI97" s="9"/>
      <c r="AJ97" s="9" t="str">
        <f t="shared" si="2"/>
        <v>Pertenencia y dignidad territorial</v>
      </c>
      <c r="AK97" s="9" t="str">
        <f>IFERROR(INDEX('[2]02_Arquetipos_Miedo_Sesgo'!$C$4:$C$8,MATCH(AJ97,'[2]02_Arquetipos_Miedo_Sesgo'!$A$4:$A$8,0)),"")</f>
        <v>Miedo a ser olvidado, desplazado simbólicamente, estigmatizado o excluido de la inversión pública.</v>
      </c>
      <c r="AL97" s="9" t="str">
        <f>IFERROR(INDEX('[2]02_Arquetipos_Miedo_Sesgo'!$D$4:$D$8,MATCH(AJ97,'[2]02_Arquetipos_Miedo_Sesgo'!$A$4:$A$8,0)),"")</f>
        <v>Sesgo de identidad grupal + razonamiento protector de identidad + efecto halo de liderazgos cercanos.</v>
      </c>
      <c r="AM97" s="9" t="str">
        <f>IFERROR(INDEX('[2]02_Arquetipos_Miedo_Sesgo'!$E$4:$E$8,MATCH(AJ97,'[2]02_Arquetipos_Miedo_Sesgo'!$A$4:$A$8,0)),"")</f>
        <v>Inversión barrial, cultura, deporte, juventud, espacio público, vías locales, equipamientos y reconocimiento comunitario.</v>
      </c>
      <c r="AN97" s="9" t="str">
        <f t="shared" si="3"/>
        <v>Alta</v>
      </c>
      <c r="AO97" s="9" t="s">
        <v>485</v>
      </c>
    </row>
    <row r="98" spans="1:41" ht="28.8">
      <c r="A98" s="9" t="s">
        <v>301</v>
      </c>
      <c r="B98" s="9" t="s">
        <v>295</v>
      </c>
      <c r="C98" s="9" t="s">
        <v>302</v>
      </c>
      <c r="D98" s="10">
        <v>3392</v>
      </c>
      <c r="E98" s="10">
        <v>2703</v>
      </c>
      <c r="F98" s="10">
        <v>2316</v>
      </c>
      <c r="G98" s="9" t="s">
        <v>477</v>
      </c>
      <c r="H98" s="11">
        <v>0.49086084905660382</v>
      </c>
      <c r="I98" s="11">
        <v>0.2390919811320755</v>
      </c>
      <c r="J98" s="9" t="s">
        <v>478</v>
      </c>
      <c r="K98" s="11">
        <v>0.23381428042915281</v>
      </c>
      <c r="L98" s="11">
        <v>0.12578616352201261</v>
      </c>
      <c r="M98" s="9" t="s">
        <v>486</v>
      </c>
      <c r="N98" s="11">
        <v>0.24956822107081181</v>
      </c>
      <c r="O98" s="11">
        <v>6.6062176165803121E-2</v>
      </c>
      <c r="P98" s="12">
        <v>7.7392729533794419E-2</v>
      </c>
      <c r="Q98" s="9" t="s">
        <v>412</v>
      </c>
      <c r="R98" s="12">
        <v>-0.45700000000000002</v>
      </c>
      <c r="S98" s="9" t="s">
        <v>75</v>
      </c>
      <c r="T98" s="12">
        <v>0.104</v>
      </c>
      <c r="U98" s="12">
        <v>6.0464243177931483E-2</v>
      </c>
      <c r="V98" s="9" t="s">
        <v>412</v>
      </c>
      <c r="W98" s="9" t="s">
        <v>487</v>
      </c>
      <c r="X98" s="9" t="s">
        <v>60</v>
      </c>
      <c r="Y98" s="9" t="s">
        <v>541</v>
      </c>
      <c r="Z98" s="9" t="s">
        <v>542</v>
      </c>
      <c r="AA98" s="9" t="s">
        <v>483</v>
      </c>
      <c r="AB98" s="12">
        <v>0.18135587572127329</v>
      </c>
      <c r="AC98" s="12">
        <v>0.20471589083964636</v>
      </c>
      <c r="AD98" s="12">
        <v>0.21029534152927898</v>
      </c>
      <c r="AE98" s="12">
        <v>0.23224969454140251</v>
      </c>
      <c r="AF98" s="12">
        <v>0.17761242364244559</v>
      </c>
      <c r="AG98" s="9" t="str">
        <f>INDEX('[2]10_Listas'!$A$2:$A$6,MATCH(MAX(AB98:AF98),AB98:AF98,0))</f>
        <v>Desconfianza y castigo</v>
      </c>
      <c r="AH98" s="9" t="s">
        <v>488</v>
      </c>
      <c r="AI98" s="9"/>
      <c r="AJ98" s="9" t="str">
        <f t="shared" si="2"/>
        <v>Desconfianza y castigo</v>
      </c>
      <c r="AK98" s="9" t="str">
        <f>IFERROR(INDEX('[2]02_Arquetipos_Miedo_Sesgo'!$C$4:$C$8,MATCH(AJ98,'[2]02_Arquetipos_Miedo_Sesgo'!$A$4:$A$8,0)),"")</f>
        <v>Miedo a ser engañado, robado, manipulado o usado electoralmente.</v>
      </c>
      <c r="AL98" s="9" t="str">
        <f>IFERROR(INDEX('[2]02_Arquetipos_Miedo_Sesgo'!$D$4:$D$8,MATCH(AJ98,'[2]02_Arquetipos_Miedo_Sesgo'!$A$4:$A$8,0)),"")</f>
        <v>Sesgo de confirmación + cinismo político + efecto de indignación moral.</v>
      </c>
      <c r="AM98" s="9" t="str">
        <f>IFERROR(INDEX('[2]02_Arquetipos_Miedo_Sesgo'!$E$4:$E$8,MATCH(AJ98,'[2]02_Arquetipos_Miedo_Sesgo'!$A$4:$A$8,0)),"")</f>
        <v>Transparencia, control político, lucha anticorrupción, vigilancia ciudadana, ejecución presupuestal y sanción a abusos.</v>
      </c>
      <c r="AN98" s="9" t="str">
        <f t="shared" si="3"/>
        <v>Alta</v>
      </c>
      <c r="AO98" s="9" t="s">
        <v>485</v>
      </c>
    </row>
    <row r="99" spans="1:41" ht="28.8">
      <c r="A99" s="9" t="s">
        <v>309</v>
      </c>
      <c r="B99" s="9" t="s">
        <v>295</v>
      </c>
      <c r="C99" s="9" t="s">
        <v>310</v>
      </c>
      <c r="D99" s="10">
        <v>4230</v>
      </c>
      <c r="E99" s="10">
        <v>3355</v>
      </c>
      <c r="F99" s="10">
        <v>2524</v>
      </c>
      <c r="G99" s="9" t="s">
        <v>477</v>
      </c>
      <c r="H99" s="11">
        <v>0.49219858156028368</v>
      </c>
      <c r="I99" s="11">
        <v>0.25153664302600481</v>
      </c>
      <c r="J99" s="9" t="s">
        <v>478</v>
      </c>
      <c r="K99" s="11">
        <v>0.23368107302533531</v>
      </c>
      <c r="L99" s="11">
        <v>0.13323397913561849</v>
      </c>
      <c r="M99" s="9" t="s">
        <v>486</v>
      </c>
      <c r="N99" s="11">
        <v>0.29675118858954042</v>
      </c>
      <c r="O99" s="11">
        <v>0.11767036450079239</v>
      </c>
      <c r="P99" s="12">
        <v>7.7392729533794419E-2</v>
      </c>
      <c r="Q99" s="9" t="s">
        <v>412</v>
      </c>
      <c r="R99" s="12">
        <v>-0.45700000000000002</v>
      </c>
      <c r="S99" s="9" t="s">
        <v>75</v>
      </c>
      <c r="T99" s="12">
        <v>0.104</v>
      </c>
      <c r="U99" s="12">
        <v>6.0464243177931483E-2</v>
      </c>
      <c r="V99" s="9" t="s">
        <v>412</v>
      </c>
      <c r="W99" s="9" t="s">
        <v>487</v>
      </c>
      <c r="X99" s="9" t="s">
        <v>60</v>
      </c>
      <c r="Y99" s="9" t="s">
        <v>541</v>
      </c>
      <c r="Z99" s="9" t="s">
        <v>542</v>
      </c>
      <c r="AA99" s="9" t="s">
        <v>516</v>
      </c>
      <c r="AB99" s="12">
        <v>0.15797359180671339</v>
      </c>
      <c r="AC99" s="12">
        <v>0.20489371017492111</v>
      </c>
      <c r="AD99" s="12">
        <v>0.20943857052116477</v>
      </c>
      <c r="AE99" s="12">
        <v>0.25285828575209179</v>
      </c>
      <c r="AF99" s="12">
        <v>0.18325848773987141</v>
      </c>
      <c r="AG99" s="9" t="str">
        <f>INDEX('[2]10_Listas'!$A$2:$A$6,MATCH(MAX(AB99:AF99),AB99:AF99,0))</f>
        <v>Desconfianza y castigo</v>
      </c>
      <c r="AH99" s="9" t="s">
        <v>488</v>
      </c>
      <c r="AI99" s="9"/>
      <c r="AJ99" s="9" t="str">
        <f t="shared" si="2"/>
        <v>Desconfianza y castigo</v>
      </c>
      <c r="AK99" s="9" t="str">
        <f>IFERROR(INDEX('[2]02_Arquetipos_Miedo_Sesgo'!$C$4:$C$8,MATCH(AJ99,'[2]02_Arquetipos_Miedo_Sesgo'!$A$4:$A$8,0)),"")</f>
        <v>Miedo a ser engañado, robado, manipulado o usado electoralmente.</v>
      </c>
      <c r="AL99" s="9" t="str">
        <f>IFERROR(INDEX('[2]02_Arquetipos_Miedo_Sesgo'!$D$4:$D$8,MATCH(AJ99,'[2]02_Arquetipos_Miedo_Sesgo'!$A$4:$A$8,0)),"")</f>
        <v>Sesgo de confirmación + cinismo político + efecto de indignación moral.</v>
      </c>
      <c r="AM99" s="9" t="str">
        <f>IFERROR(INDEX('[2]02_Arquetipos_Miedo_Sesgo'!$E$4:$E$8,MATCH(AJ99,'[2]02_Arquetipos_Miedo_Sesgo'!$A$4:$A$8,0)),"")</f>
        <v>Transparencia, control político, lucha anticorrupción, vigilancia ciudadana, ejecución presupuestal y sanción a abusos.</v>
      </c>
      <c r="AN99" s="9" t="str">
        <f t="shared" si="3"/>
        <v>Alta</v>
      </c>
      <c r="AO99" s="9" t="s">
        <v>485</v>
      </c>
    </row>
    <row r="100" spans="1:41" ht="28.8">
      <c r="A100" s="9" t="s">
        <v>545</v>
      </c>
      <c r="B100" s="9" t="s">
        <v>312</v>
      </c>
      <c r="C100" s="9" t="s">
        <v>546</v>
      </c>
      <c r="D100" s="10">
        <v>162</v>
      </c>
      <c r="E100" s="10">
        <v>133</v>
      </c>
      <c r="F100" s="10">
        <v>110</v>
      </c>
      <c r="G100" s="9" t="s">
        <v>477</v>
      </c>
      <c r="H100" s="11">
        <v>0.49382716049382708</v>
      </c>
      <c r="I100" s="11">
        <v>0.17901234567901231</v>
      </c>
      <c r="J100" s="9" t="s">
        <v>478</v>
      </c>
      <c r="K100" s="11">
        <v>0.30827067669172931</v>
      </c>
      <c r="L100" s="11">
        <v>0.1954887218045113</v>
      </c>
      <c r="M100" s="9" t="s">
        <v>486</v>
      </c>
      <c r="N100" s="11">
        <v>0.20909090909090911</v>
      </c>
      <c r="O100" s="11">
        <v>2.7272727272727251E-2</v>
      </c>
      <c r="P100" s="12">
        <v>7.7392729533794419E-2</v>
      </c>
      <c r="Q100" s="9" t="s">
        <v>412</v>
      </c>
      <c r="R100" s="12">
        <v>-0.45700000000000002</v>
      </c>
      <c r="S100" s="9" t="s">
        <v>75</v>
      </c>
      <c r="T100" s="12">
        <v>0.104</v>
      </c>
      <c r="U100" s="12">
        <v>6.0464243177931483E-2</v>
      </c>
      <c r="V100" s="9" t="s">
        <v>412</v>
      </c>
      <c r="W100" s="9" t="s">
        <v>487</v>
      </c>
      <c r="X100" s="9" t="s">
        <v>60</v>
      </c>
      <c r="Y100" s="9" t="s">
        <v>541</v>
      </c>
      <c r="Z100" s="9" t="s">
        <v>542</v>
      </c>
      <c r="AA100" s="9" t="s">
        <v>483</v>
      </c>
      <c r="AB100" s="12">
        <v>0.1936956866799068</v>
      </c>
      <c r="AC100" s="12">
        <v>0.19329696736214777</v>
      </c>
      <c r="AD100" s="12">
        <v>0.20427412562358707</v>
      </c>
      <c r="AE100" s="12">
        <v>0.22146023156222941</v>
      </c>
      <c r="AF100" s="12">
        <v>0.18491862311056259</v>
      </c>
      <c r="AG100" s="9" t="str">
        <f>INDEX('[2]10_Listas'!$A$2:$A$6,MATCH(MAX(AB100:AF100),AB100:AF100,0))</f>
        <v>Desconfianza y castigo</v>
      </c>
      <c r="AH100" s="9" t="s">
        <v>488</v>
      </c>
      <c r="AI100" s="9"/>
      <c r="AJ100" s="9" t="str">
        <f t="shared" si="2"/>
        <v>Desconfianza y castigo</v>
      </c>
      <c r="AK100" s="9" t="str">
        <f>IFERROR(INDEX('[2]02_Arquetipos_Miedo_Sesgo'!$C$4:$C$8,MATCH(AJ100,'[2]02_Arquetipos_Miedo_Sesgo'!$A$4:$A$8,0)),"")</f>
        <v>Miedo a ser engañado, robado, manipulado o usado electoralmente.</v>
      </c>
      <c r="AL100" s="9" t="str">
        <f>IFERROR(INDEX('[2]02_Arquetipos_Miedo_Sesgo'!$D$4:$D$8,MATCH(AJ100,'[2]02_Arquetipos_Miedo_Sesgo'!$A$4:$A$8,0)),"")</f>
        <v>Sesgo de confirmación + cinismo político + efecto de indignación moral.</v>
      </c>
      <c r="AM100" s="9" t="str">
        <f>IFERROR(INDEX('[2]02_Arquetipos_Miedo_Sesgo'!$E$4:$E$8,MATCH(AJ100,'[2]02_Arquetipos_Miedo_Sesgo'!$A$4:$A$8,0)),"")</f>
        <v>Transparencia, control político, lucha anticorrupción, vigilancia ciudadana, ejecución presupuestal y sanción a abusos.</v>
      </c>
      <c r="AN100" s="9" t="str">
        <f t="shared" si="3"/>
        <v>Alta</v>
      </c>
      <c r="AO100" s="9" t="s">
        <v>485</v>
      </c>
    </row>
    <row r="101" spans="1:41" ht="28.8">
      <c r="A101" s="9" t="s">
        <v>316</v>
      </c>
      <c r="B101" s="9" t="s">
        <v>312</v>
      </c>
      <c r="C101" s="9" t="s">
        <v>317</v>
      </c>
      <c r="D101" s="10">
        <v>2744</v>
      </c>
      <c r="E101" s="10">
        <v>2176</v>
      </c>
      <c r="F101" s="10">
        <v>1990</v>
      </c>
      <c r="G101" s="9" t="s">
        <v>477</v>
      </c>
      <c r="H101" s="11">
        <v>0.52696793002915454</v>
      </c>
      <c r="I101" s="11">
        <v>0.3134110787172012</v>
      </c>
      <c r="J101" s="9" t="s">
        <v>478</v>
      </c>
      <c r="K101" s="11">
        <v>0.24724264705882351</v>
      </c>
      <c r="L101" s="11">
        <v>0.1231617647058824</v>
      </c>
      <c r="M101" s="9" t="s">
        <v>547</v>
      </c>
      <c r="N101" s="11">
        <v>0.28492462311557792</v>
      </c>
      <c r="O101" s="11">
        <v>6.6331658291457263E-2</v>
      </c>
      <c r="P101" s="12">
        <v>7.7392729533794419E-2</v>
      </c>
      <c r="Q101" s="9" t="s">
        <v>412</v>
      </c>
      <c r="R101" s="12">
        <v>3.9E-2</v>
      </c>
      <c r="S101" s="9" t="s">
        <v>412</v>
      </c>
      <c r="T101" s="12">
        <v>-9.4E-2</v>
      </c>
      <c r="U101" s="12">
        <v>4.713090984459814E-2</v>
      </c>
      <c r="V101" s="9" t="s">
        <v>412</v>
      </c>
      <c r="W101" s="9" t="s">
        <v>480</v>
      </c>
      <c r="X101" s="9" t="s">
        <v>60</v>
      </c>
      <c r="Y101" s="9" t="s">
        <v>541</v>
      </c>
      <c r="Z101" s="9" t="s">
        <v>542</v>
      </c>
      <c r="AA101" s="9" t="s">
        <v>483</v>
      </c>
      <c r="AB101" s="12">
        <v>0.1550125676990797</v>
      </c>
      <c r="AC101" s="12">
        <v>0.20071602837406327</v>
      </c>
      <c r="AD101" s="12">
        <v>0.21108211227996881</v>
      </c>
      <c r="AE101" s="12">
        <v>0.21544922998411689</v>
      </c>
      <c r="AF101" s="12">
        <v>0.2101977106888738</v>
      </c>
      <c r="AG101" s="9" t="str">
        <f>INDEX('[2]10_Listas'!$A$2:$A$6,MATCH(MAX(AB101:AF101),AB101:AF101,0))</f>
        <v>Desconfianza y castigo</v>
      </c>
      <c r="AH101" s="9" t="s">
        <v>484</v>
      </c>
      <c r="AI101" s="9"/>
      <c r="AJ101" s="9" t="str">
        <f t="shared" si="2"/>
        <v>Desconfianza y castigo</v>
      </c>
      <c r="AK101" s="9" t="str">
        <f>IFERROR(INDEX('[2]02_Arquetipos_Miedo_Sesgo'!$C$4:$C$8,MATCH(AJ101,'[2]02_Arquetipos_Miedo_Sesgo'!$A$4:$A$8,0)),"")</f>
        <v>Miedo a ser engañado, robado, manipulado o usado electoralmente.</v>
      </c>
      <c r="AL101" s="9" t="str">
        <f>IFERROR(INDEX('[2]02_Arquetipos_Miedo_Sesgo'!$D$4:$D$8,MATCH(AJ101,'[2]02_Arquetipos_Miedo_Sesgo'!$A$4:$A$8,0)),"")</f>
        <v>Sesgo de confirmación + cinismo político + efecto de indignación moral.</v>
      </c>
      <c r="AM101" s="9" t="str">
        <f>IFERROR(INDEX('[2]02_Arquetipos_Miedo_Sesgo'!$E$4:$E$8,MATCH(AJ101,'[2]02_Arquetipos_Miedo_Sesgo'!$A$4:$A$8,0)),"")</f>
        <v>Transparencia, control político, lucha anticorrupción, vigilancia ciudadana, ejecución presupuestal y sanción a abusos.</v>
      </c>
      <c r="AN101" s="9" t="str">
        <f t="shared" si="3"/>
        <v>Alta</v>
      </c>
      <c r="AO101" s="9" t="s">
        <v>485</v>
      </c>
    </row>
    <row r="102" spans="1:41" ht="28.8">
      <c r="A102" s="9" t="s">
        <v>548</v>
      </c>
      <c r="B102" s="9" t="s">
        <v>312</v>
      </c>
      <c r="C102" s="9" t="s">
        <v>549</v>
      </c>
      <c r="D102" s="10">
        <v>235</v>
      </c>
      <c r="E102" s="10">
        <v>214</v>
      </c>
      <c r="F102" s="10">
        <v>205</v>
      </c>
      <c r="G102" s="9" t="s">
        <v>492</v>
      </c>
      <c r="H102" s="11">
        <v>0.53191489361702127</v>
      </c>
      <c r="I102" s="11">
        <v>0.25531914893617019</v>
      </c>
      <c r="J102" s="9" t="s">
        <v>550</v>
      </c>
      <c r="K102" s="11">
        <v>0.42990654205607481</v>
      </c>
      <c r="L102" s="11">
        <v>0.29439252336448601</v>
      </c>
      <c r="M102" s="9" t="s">
        <v>479</v>
      </c>
      <c r="N102" s="11">
        <v>0.52195121951219514</v>
      </c>
      <c r="O102" s="11">
        <v>0.34634146341463418</v>
      </c>
      <c r="P102" s="12">
        <v>0.116705374792997</v>
      </c>
      <c r="Q102" s="9" t="s">
        <v>412</v>
      </c>
      <c r="R102" s="12">
        <v>6.9000000000000006E-2</v>
      </c>
      <c r="S102" s="9" t="s">
        <v>412</v>
      </c>
      <c r="T102" s="12">
        <v>0.441</v>
      </c>
      <c r="U102" s="12">
        <v>0.20556845826433229</v>
      </c>
      <c r="V102" s="9" t="s">
        <v>75</v>
      </c>
      <c r="W102" s="9" t="s">
        <v>551</v>
      </c>
      <c r="X102" s="9" t="s">
        <v>60</v>
      </c>
      <c r="Y102" s="9" t="s">
        <v>541</v>
      </c>
      <c r="Z102" s="9" t="s">
        <v>542</v>
      </c>
      <c r="AA102" s="9" t="s">
        <v>494</v>
      </c>
      <c r="AB102" s="12">
        <v>0.22376306309856281</v>
      </c>
      <c r="AC102" s="12">
        <v>0.20602977138162859</v>
      </c>
      <c r="AD102" s="12">
        <v>0.19558012021632157</v>
      </c>
      <c r="AE102" s="12">
        <v>0.19199547203808859</v>
      </c>
      <c r="AF102" s="12">
        <v>0.22106962047331111</v>
      </c>
      <c r="AG102" s="9" t="str">
        <f>INDEX('[2]10_Listas'!$A$2:$A$6,MATCH(MAX(AB102:AF102),AB102:AF102,0))</f>
        <v>Protección y orden cotidiano</v>
      </c>
      <c r="AH102" s="9" t="s">
        <v>495</v>
      </c>
      <c r="AI102" s="9"/>
      <c r="AJ102" s="9" t="str">
        <f t="shared" si="2"/>
        <v>Protección y orden cotidiano</v>
      </c>
      <c r="AK102" s="9" t="str">
        <f>IFERROR(INDEX('[2]02_Arquetipos_Miedo_Sesgo'!$C$4:$C$8,MATCH(AJ102,'[2]02_Arquetipos_Miedo_Sesgo'!$A$4:$A$8,0)),"")</f>
        <v>Miedo a la inseguridad, al descontrol barrial y a perder la tranquilidad cotidiana.</v>
      </c>
      <c r="AL102" s="9" t="str">
        <f>IFERROR(INDEX('[2]02_Arquetipos_Miedo_Sesgo'!$D$4:$D$8,MATCH(AJ102,'[2]02_Arquetipos_Miedo_Sesgo'!$A$4:$A$8,0)),"")</f>
        <v>Sesgo de disponibilidad + sesgo de negatividad + preferencia por autoridad.</v>
      </c>
      <c r="AM102" s="9" t="str">
        <f>IFERROR(INDEX('[2]02_Arquetipos_Miedo_Sesgo'!$E$4:$E$8,MATCH(AJ102,'[2]02_Arquetipos_Miedo_Sesgo'!$A$4:$A$8,0)),"")</f>
        <v>Seguridad, convivencia, movilidad, alumbrado, reacción institucional rápida, presencia de autoridad.</v>
      </c>
      <c r="AN102" s="9" t="str">
        <f t="shared" si="3"/>
        <v>Alta</v>
      </c>
      <c r="AO102" s="9" t="s">
        <v>485</v>
      </c>
    </row>
    <row r="103" spans="1:41" ht="28.8">
      <c r="A103" s="9" t="s">
        <v>322</v>
      </c>
      <c r="B103" s="9" t="s">
        <v>312</v>
      </c>
      <c r="C103" s="9" t="s">
        <v>323</v>
      </c>
      <c r="D103" s="10">
        <v>2301</v>
      </c>
      <c r="E103" s="10">
        <v>1798</v>
      </c>
      <c r="F103" s="10">
        <v>1667</v>
      </c>
      <c r="G103" s="9" t="s">
        <v>477</v>
      </c>
      <c r="H103" s="11">
        <v>0.48196436332029552</v>
      </c>
      <c r="I103" s="11">
        <v>0.21425467188179051</v>
      </c>
      <c r="J103" s="9" t="s">
        <v>478</v>
      </c>
      <c r="K103" s="11">
        <v>0.27586206896551718</v>
      </c>
      <c r="L103" s="11">
        <v>0.20355951056729699</v>
      </c>
      <c r="M103" s="9" t="s">
        <v>486</v>
      </c>
      <c r="N103" s="11">
        <v>0.25734853029394122</v>
      </c>
      <c r="O103" s="11">
        <v>8.3983203359328157E-2</v>
      </c>
      <c r="P103" s="12">
        <v>7.7392729533794419E-2</v>
      </c>
      <c r="Q103" s="9" t="s">
        <v>412</v>
      </c>
      <c r="R103" s="12">
        <v>-0.45700000000000002</v>
      </c>
      <c r="S103" s="9" t="s">
        <v>75</v>
      </c>
      <c r="T103" s="12">
        <v>0.104</v>
      </c>
      <c r="U103" s="12">
        <v>6.0464243177931483E-2</v>
      </c>
      <c r="V103" s="9" t="s">
        <v>412</v>
      </c>
      <c r="W103" s="9" t="s">
        <v>487</v>
      </c>
      <c r="X103" s="9" t="s">
        <v>60</v>
      </c>
      <c r="Y103" s="9" t="s">
        <v>541</v>
      </c>
      <c r="Z103" s="9" t="s">
        <v>542</v>
      </c>
      <c r="AA103" s="9" t="s">
        <v>483</v>
      </c>
      <c r="AB103" s="12">
        <v>0.1722311248479273</v>
      </c>
      <c r="AC103" s="12">
        <v>0.19571357987580895</v>
      </c>
      <c r="AD103" s="12">
        <v>0.20741462156402143</v>
      </c>
      <c r="AE103" s="12">
        <v>0.22065300842010241</v>
      </c>
      <c r="AF103" s="12">
        <v>0.20037937225892141</v>
      </c>
      <c r="AG103" s="9" t="str">
        <f>INDEX('[2]10_Listas'!$A$2:$A$6,MATCH(MAX(AB103:AF103),AB103:AF103,0))</f>
        <v>Desconfianza y castigo</v>
      </c>
      <c r="AH103" s="9" t="s">
        <v>488</v>
      </c>
      <c r="AI103" s="9"/>
      <c r="AJ103" s="9" t="str">
        <f t="shared" si="2"/>
        <v>Desconfianza y castigo</v>
      </c>
      <c r="AK103" s="9" t="str">
        <f>IFERROR(INDEX('[2]02_Arquetipos_Miedo_Sesgo'!$C$4:$C$8,MATCH(AJ103,'[2]02_Arquetipos_Miedo_Sesgo'!$A$4:$A$8,0)),"")</f>
        <v>Miedo a ser engañado, robado, manipulado o usado electoralmente.</v>
      </c>
      <c r="AL103" s="9" t="str">
        <f>IFERROR(INDEX('[2]02_Arquetipos_Miedo_Sesgo'!$D$4:$D$8,MATCH(AJ103,'[2]02_Arquetipos_Miedo_Sesgo'!$A$4:$A$8,0)),"")</f>
        <v>Sesgo de confirmación + cinismo político + efecto de indignación moral.</v>
      </c>
      <c r="AM103" s="9" t="str">
        <f>IFERROR(INDEX('[2]02_Arquetipos_Miedo_Sesgo'!$E$4:$E$8,MATCH(AJ103,'[2]02_Arquetipos_Miedo_Sesgo'!$A$4:$A$8,0)),"")</f>
        <v>Transparencia, control político, lucha anticorrupción, vigilancia ciudadana, ejecución presupuestal y sanción a abusos.</v>
      </c>
      <c r="AN103" s="9" t="str">
        <f t="shared" si="3"/>
        <v>Alta</v>
      </c>
      <c r="AO103" s="9" t="s">
        <v>485</v>
      </c>
    </row>
    <row r="104" spans="1:41" ht="28.8">
      <c r="A104" s="9" t="s">
        <v>315</v>
      </c>
      <c r="B104" s="9" t="s">
        <v>312</v>
      </c>
      <c r="C104" s="9" t="s">
        <v>312</v>
      </c>
      <c r="D104" s="10">
        <v>3195</v>
      </c>
      <c r="E104" s="10">
        <v>2574</v>
      </c>
      <c r="F104" s="10">
        <v>2160</v>
      </c>
      <c r="G104" s="9" t="s">
        <v>477</v>
      </c>
      <c r="H104" s="11">
        <v>0.52644757433489831</v>
      </c>
      <c r="I104" s="11">
        <v>0.2964006259780908</v>
      </c>
      <c r="J104" s="9" t="s">
        <v>478</v>
      </c>
      <c r="K104" s="11">
        <v>0.21445221445221449</v>
      </c>
      <c r="L104" s="11">
        <v>9.129759129759131E-2</v>
      </c>
      <c r="M104" s="9" t="s">
        <v>479</v>
      </c>
      <c r="N104" s="11">
        <v>0.30694444444444452</v>
      </c>
      <c r="O104" s="11">
        <v>9.9537037037037063E-2</v>
      </c>
      <c r="P104" s="12">
        <v>7.7392729533794419E-2</v>
      </c>
      <c r="Q104" s="9" t="s">
        <v>412</v>
      </c>
      <c r="R104" s="12">
        <v>8.0000000000000002E-3</v>
      </c>
      <c r="S104" s="9" t="s">
        <v>412</v>
      </c>
      <c r="T104" s="12">
        <v>-0.41199999999999998</v>
      </c>
      <c r="U104" s="12">
        <v>4.1130909844598142E-2</v>
      </c>
      <c r="V104" s="9" t="s">
        <v>412</v>
      </c>
      <c r="W104" s="9" t="s">
        <v>480</v>
      </c>
      <c r="X104" s="9" t="s">
        <v>60</v>
      </c>
      <c r="Y104" s="9" t="s">
        <v>541</v>
      </c>
      <c r="Z104" s="9" t="s">
        <v>542</v>
      </c>
      <c r="AA104" s="9" t="s">
        <v>483</v>
      </c>
      <c r="AB104" s="12">
        <v>0.15891321899674429</v>
      </c>
      <c r="AC104" s="12">
        <v>0.2057630182978557</v>
      </c>
      <c r="AD104" s="12">
        <v>0.21219706980134376</v>
      </c>
      <c r="AE104" s="12">
        <v>0.22463748842433931</v>
      </c>
      <c r="AF104" s="12">
        <v>0.19825840217221649</v>
      </c>
      <c r="AG104" s="9" t="str">
        <f>INDEX('[2]10_Listas'!$A$2:$A$6,MATCH(MAX(AB104:AF104),AB104:AF104,0))</f>
        <v>Desconfianza y castigo</v>
      </c>
      <c r="AH104" s="9" t="s">
        <v>488</v>
      </c>
      <c r="AI104" s="9"/>
      <c r="AJ104" s="9" t="str">
        <f t="shared" si="2"/>
        <v>Desconfianza y castigo</v>
      </c>
      <c r="AK104" s="9" t="str">
        <f>IFERROR(INDEX('[2]02_Arquetipos_Miedo_Sesgo'!$C$4:$C$8,MATCH(AJ104,'[2]02_Arquetipos_Miedo_Sesgo'!$A$4:$A$8,0)),"")</f>
        <v>Miedo a ser engañado, robado, manipulado o usado electoralmente.</v>
      </c>
      <c r="AL104" s="9" t="str">
        <f>IFERROR(INDEX('[2]02_Arquetipos_Miedo_Sesgo'!$D$4:$D$8,MATCH(AJ104,'[2]02_Arquetipos_Miedo_Sesgo'!$A$4:$A$8,0)),"")</f>
        <v>Sesgo de confirmación + cinismo político + efecto de indignación moral.</v>
      </c>
      <c r="AM104" s="9" t="str">
        <f>IFERROR(INDEX('[2]02_Arquetipos_Miedo_Sesgo'!$E$4:$E$8,MATCH(AJ104,'[2]02_Arquetipos_Miedo_Sesgo'!$A$4:$A$8,0)),"")</f>
        <v>Transparencia, control político, lucha anticorrupción, vigilancia ciudadana, ejecución presupuestal y sanción a abusos.</v>
      </c>
      <c r="AN104" s="9" t="str">
        <f t="shared" si="3"/>
        <v>Alta</v>
      </c>
      <c r="AO104" s="9" t="s">
        <v>485</v>
      </c>
    </row>
    <row r="105" spans="1:41" ht="28.8">
      <c r="A105" s="9" t="s">
        <v>320</v>
      </c>
      <c r="B105" s="9" t="s">
        <v>312</v>
      </c>
      <c r="C105" s="9" t="s">
        <v>321</v>
      </c>
      <c r="D105" s="10">
        <v>3080</v>
      </c>
      <c r="E105" s="10">
        <v>2507</v>
      </c>
      <c r="F105" s="10">
        <v>2356</v>
      </c>
      <c r="G105" s="9" t="s">
        <v>477</v>
      </c>
      <c r="H105" s="11">
        <v>0.49545454545454548</v>
      </c>
      <c r="I105" s="11">
        <v>0.23571428571428579</v>
      </c>
      <c r="J105" s="9" t="s">
        <v>478</v>
      </c>
      <c r="K105" s="11">
        <v>0.21659353809333859</v>
      </c>
      <c r="L105" s="11">
        <v>0.1268448344635022</v>
      </c>
      <c r="M105" s="9" t="s">
        <v>486</v>
      </c>
      <c r="N105" s="11">
        <v>0.18675721561969441</v>
      </c>
      <c r="O105" s="11">
        <v>1.5704584040747038E-2</v>
      </c>
      <c r="P105" s="12">
        <v>7.7392729533794419E-2</v>
      </c>
      <c r="Q105" s="9" t="s">
        <v>412</v>
      </c>
      <c r="R105" s="12">
        <v>-0.45700000000000002</v>
      </c>
      <c r="S105" s="9" t="s">
        <v>75</v>
      </c>
      <c r="T105" s="12">
        <v>0.104</v>
      </c>
      <c r="U105" s="12">
        <v>6.0464243177931483E-2</v>
      </c>
      <c r="V105" s="9" t="s">
        <v>412</v>
      </c>
      <c r="W105" s="9" t="s">
        <v>487</v>
      </c>
      <c r="X105" s="9" t="s">
        <v>60</v>
      </c>
      <c r="Y105" s="9" t="s">
        <v>541</v>
      </c>
      <c r="Z105" s="9" t="s">
        <v>542</v>
      </c>
      <c r="AA105" s="9" t="s">
        <v>483</v>
      </c>
      <c r="AB105" s="12">
        <v>0.1971439027352567</v>
      </c>
      <c r="AC105" s="12">
        <v>0.20786259369432539</v>
      </c>
      <c r="AD105" s="12">
        <v>0.21433017244238631</v>
      </c>
      <c r="AE105" s="12">
        <v>0.20400748410727121</v>
      </c>
      <c r="AF105" s="12">
        <v>0.1790890366731176</v>
      </c>
      <c r="AG105" s="9" t="str">
        <f>INDEX('[2]10_Listas'!$A$2:$A$6,MATCH(MAX(AB105:AF105),AB105:AF105,0))</f>
        <v>Supervivencia económica y servicios básicos</v>
      </c>
      <c r="AH105" s="9" t="s">
        <v>491</v>
      </c>
      <c r="AI105" s="9"/>
      <c r="AJ105" s="9" t="str">
        <f t="shared" si="2"/>
        <v>Supervivencia económica y servicios básicos</v>
      </c>
      <c r="AK105" s="9" t="str">
        <f>IFERROR(INDEX('[2]02_Arquetipos_Miedo_Sesgo'!$C$4:$C$8,MATCH(AJ105,'[2]02_Arquetipos_Miedo_Sesgo'!$A$4:$A$8,0)),"")</f>
        <v>Miedo a no llegar a fin de mes, perder ingresos, empleo, movilidad o acceso a servicios básicos.</v>
      </c>
      <c r="AL105" s="9" t="str">
        <f>IFERROR(INDEX('[2]02_Arquetipos_Miedo_Sesgo'!$D$4:$D$8,MATCH(AJ105,'[2]02_Arquetipos_Miedo_Sesgo'!$A$4:$A$8,0)),"")</f>
        <v>Sesgo de escasez + presente dominante + aversión al riesgo económico.</v>
      </c>
      <c r="AM105" s="9" t="str">
        <f>IFERROR(INDEX('[2]02_Arquetipos_Miedo_Sesgo'!$E$4:$E$8,MATCH(AJ105,'[2]02_Arquetipos_Miedo_Sesgo'!$A$4:$A$8,0)),"")</f>
        <v>Empleo, emprendimiento, economía popular, transporte, costo de vida, salud, educación técnica y subsidios focalizados.</v>
      </c>
      <c r="AN105" s="9" t="str">
        <f t="shared" si="3"/>
        <v>Alta</v>
      </c>
      <c r="AO105" s="9" t="s">
        <v>485</v>
      </c>
    </row>
    <row r="106" spans="1:41" ht="28.8">
      <c r="A106" s="9" t="s">
        <v>311</v>
      </c>
      <c r="B106" s="9" t="s">
        <v>312</v>
      </c>
      <c r="C106" s="9" t="s">
        <v>313</v>
      </c>
      <c r="D106" s="10">
        <v>8756</v>
      </c>
      <c r="E106" s="10">
        <v>6942</v>
      </c>
      <c r="F106" s="10">
        <v>6125</v>
      </c>
      <c r="G106" s="9" t="s">
        <v>477</v>
      </c>
      <c r="H106" s="11">
        <v>0.5203289173138419</v>
      </c>
      <c r="I106" s="11">
        <v>0.27501142074006391</v>
      </c>
      <c r="J106" s="9" t="s">
        <v>478</v>
      </c>
      <c r="K106" s="11">
        <v>0.2382598674733506</v>
      </c>
      <c r="L106" s="11">
        <v>0.15384615384615391</v>
      </c>
      <c r="M106" s="9" t="s">
        <v>486</v>
      </c>
      <c r="N106" s="11">
        <v>0.23853061224489799</v>
      </c>
      <c r="O106" s="11">
        <v>6.0408163265306134E-3</v>
      </c>
      <c r="P106" s="12">
        <v>7.7392729533794419E-2</v>
      </c>
      <c r="Q106" s="9" t="s">
        <v>412</v>
      </c>
      <c r="R106" s="12">
        <v>-0.45700000000000002</v>
      </c>
      <c r="S106" s="9" t="s">
        <v>75</v>
      </c>
      <c r="T106" s="12">
        <v>0.104</v>
      </c>
      <c r="U106" s="12">
        <v>6.0464243177931483E-2</v>
      </c>
      <c r="V106" s="9" t="s">
        <v>412</v>
      </c>
      <c r="W106" s="9" t="s">
        <v>487</v>
      </c>
      <c r="X106" s="9" t="s">
        <v>60</v>
      </c>
      <c r="Y106" s="9" t="s">
        <v>541</v>
      </c>
      <c r="Z106" s="9" t="s">
        <v>542</v>
      </c>
      <c r="AA106" s="9" t="s">
        <v>483</v>
      </c>
      <c r="AB106" s="12">
        <v>0.1660340166021049</v>
      </c>
      <c r="AC106" s="12">
        <v>0.20365713629448495</v>
      </c>
      <c r="AD106" s="12">
        <v>0.21178571344095096</v>
      </c>
      <c r="AE106" s="12">
        <v>0.21883921133375939</v>
      </c>
      <c r="AF106" s="12">
        <v>0.19700074270556001</v>
      </c>
      <c r="AG106" s="9" t="str">
        <f>INDEX('[2]10_Listas'!$A$2:$A$6,MATCH(MAX(AB106:AF106),AB106:AF106,0))</f>
        <v>Desconfianza y castigo</v>
      </c>
      <c r="AH106" s="9" t="s">
        <v>488</v>
      </c>
      <c r="AI106" s="9"/>
      <c r="AJ106" s="9" t="str">
        <f t="shared" si="2"/>
        <v>Desconfianza y castigo</v>
      </c>
      <c r="AK106" s="9" t="str">
        <f>IFERROR(INDEX('[2]02_Arquetipos_Miedo_Sesgo'!$C$4:$C$8,MATCH(AJ106,'[2]02_Arquetipos_Miedo_Sesgo'!$A$4:$A$8,0)),"")</f>
        <v>Miedo a ser engañado, robado, manipulado o usado electoralmente.</v>
      </c>
      <c r="AL106" s="9" t="str">
        <f>IFERROR(INDEX('[2]02_Arquetipos_Miedo_Sesgo'!$D$4:$D$8,MATCH(AJ106,'[2]02_Arquetipos_Miedo_Sesgo'!$A$4:$A$8,0)),"")</f>
        <v>Sesgo de confirmación + cinismo político + efecto de indignación moral.</v>
      </c>
      <c r="AM106" s="9" t="str">
        <f>IFERROR(INDEX('[2]02_Arquetipos_Miedo_Sesgo'!$E$4:$E$8,MATCH(AJ106,'[2]02_Arquetipos_Miedo_Sesgo'!$A$4:$A$8,0)),"")</f>
        <v>Transparencia, control político, lucha anticorrupción, vigilancia ciudadana, ejecución presupuestal y sanción a abusos.</v>
      </c>
      <c r="AN106" s="9" t="str">
        <f t="shared" si="3"/>
        <v>Alta</v>
      </c>
      <c r="AO106" s="9" t="s">
        <v>485</v>
      </c>
    </row>
    <row r="107" spans="1:41" ht="28.8">
      <c r="A107" s="9" t="s">
        <v>552</v>
      </c>
      <c r="B107" s="9" t="s">
        <v>312</v>
      </c>
      <c r="C107" s="9" t="s">
        <v>553</v>
      </c>
      <c r="D107" s="10">
        <v>471</v>
      </c>
      <c r="E107" s="10">
        <v>408</v>
      </c>
      <c r="F107" s="10">
        <v>408</v>
      </c>
      <c r="G107" s="9" t="s">
        <v>477</v>
      </c>
      <c r="H107" s="11">
        <v>0.47558386411889603</v>
      </c>
      <c r="I107" s="11">
        <v>0.11889596602972401</v>
      </c>
      <c r="J107" s="9" t="s">
        <v>550</v>
      </c>
      <c r="K107" s="11">
        <v>0.28431372549019612</v>
      </c>
      <c r="L107" s="11">
        <v>9.0686274509803905E-2</v>
      </c>
      <c r="M107" s="9" t="s">
        <v>479</v>
      </c>
      <c r="N107" s="11">
        <v>0.39705882352941169</v>
      </c>
      <c r="O107" s="11">
        <v>0.19607843137254899</v>
      </c>
      <c r="P107" s="12">
        <v>-6.0198130295313408E-2</v>
      </c>
      <c r="Q107" s="9" t="s">
        <v>412</v>
      </c>
      <c r="R107" s="12">
        <v>8.0000000000000002E-3</v>
      </c>
      <c r="S107" s="9" t="s">
        <v>412</v>
      </c>
      <c r="T107" s="12">
        <v>0.441</v>
      </c>
      <c r="U107" s="12">
        <v>0.1623333333333333</v>
      </c>
      <c r="V107" s="9" t="s">
        <v>73</v>
      </c>
      <c r="W107" s="9" t="s">
        <v>493</v>
      </c>
      <c r="X107" s="9" t="s">
        <v>60</v>
      </c>
      <c r="Y107" s="9" t="s">
        <v>541</v>
      </c>
      <c r="Z107" s="9" t="s">
        <v>542</v>
      </c>
      <c r="AA107" s="9" t="s">
        <v>483</v>
      </c>
      <c r="AB107" s="12">
        <v>0.19495825354837509</v>
      </c>
      <c r="AC107" s="12">
        <v>0.20416685649146316</v>
      </c>
      <c r="AD107" s="12">
        <v>0.21322571211810482</v>
      </c>
      <c r="AE107" s="12">
        <v>0.18002457657362381</v>
      </c>
      <c r="AF107" s="12">
        <v>0.20769031310069519</v>
      </c>
      <c r="AG107" s="9" t="str">
        <f>INDEX('[2]10_Listas'!$A$2:$A$6,MATCH(MAX(AB107:AF107),AB107:AF107,0))</f>
        <v>Supervivencia económica y servicios básicos</v>
      </c>
      <c r="AH107" s="9" t="s">
        <v>491</v>
      </c>
      <c r="AI107" s="9"/>
      <c r="AJ107" s="9" t="str">
        <f t="shared" si="2"/>
        <v>Supervivencia económica y servicios básicos</v>
      </c>
      <c r="AK107" s="9" t="str">
        <f>IFERROR(INDEX('[2]02_Arquetipos_Miedo_Sesgo'!$C$4:$C$8,MATCH(AJ107,'[2]02_Arquetipos_Miedo_Sesgo'!$A$4:$A$8,0)),"")</f>
        <v>Miedo a no llegar a fin de mes, perder ingresos, empleo, movilidad o acceso a servicios básicos.</v>
      </c>
      <c r="AL107" s="9" t="str">
        <f>IFERROR(INDEX('[2]02_Arquetipos_Miedo_Sesgo'!$D$4:$D$8,MATCH(AJ107,'[2]02_Arquetipos_Miedo_Sesgo'!$A$4:$A$8,0)),"")</f>
        <v>Sesgo de escasez + presente dominante + aversión al riesgo económico.</v>
      </c>
      <c r="AM107" s="9" t="str">
        <f>IFERROR(INDEX('[2]02_Arquetipos_Miedo_Sesgo'!$E$4:$E$8,MATCH(AJ107,'[2]02_Arquetipos_Miedo_Sesgo'!$A$4:$A$8,0)),"")</f>
        <v>Empleo, emprendimiento, economía popular, transporte, costo de vida, salud, educación técnica y subsidios focalizados.</v>
      </c>
      <c r="AN107" s="9" t="str">
        <f t="shared" si="3"/>
        <v>Alta</v>
      </c>
      <c r="AO107" s="9" t="s">
        <v>485</v>
      </c>
    </row>
    <row r="108" spans="1:41" ht="28.8">
      <c r="A108" s="9" t="s">
        <v>318</v>
      </c>
      <c r="B108" s="9" t="s">
        <v>312</v>
      </c>
      <c r="C108" s="9" t="s">
        <v>319</v>
      </c>
      <c r="D108" s="10">
        <v>5023</v>
      </c>
      <c r="E108" s="10">
        <v>4179</v>
      </c>
      <c r="F108" s="10">
        <v>3709</v>
      </c>
      <c r="G108" s="9" t="s">
        <v>477</v>
      </c>
      <c r="H108" s="11">
        <v>0.47362134182759308</v>
      </c>
      <c r="I108" s="11">
        <v>0.2110292653792554</v>
      </c>
      <c r="J108" s="9" t="s">
        <v>478</v>
      </c>
      <c r="K108" s="11">
        <v>0.23259152907394109</v>
      </c>
      <c r="L108" s="11">
        <v>0.13902847571189281</v>
      </c>
      <c r="M108" s="9" t="s">
        <v>486</v>
      </c>
      <c r="N108" s="11">
        <v>0.210568886492316</v>
      </c>
      <c r="O108" s="11">
        <v>2.6961445133458223E-4</v>
      </c>
      <c r="P108" s="12">
        <v>7.7392729533794419E-2</v>
      </c>
      <c r="Q108" s="9" t="s">
        <v>412</v>
      </c>
      <c r="R108" s="12">
        <v>-0.45700000000000002</v>
      </c>
      <c r="S108" s="9" t="s">
        <v>75</v>
      </c>
      <c r="T108" s="12">
        <v>0.104</v>
      </c>
      <c r="U108" s="12">
        <v>6.0464243177931483E-2</v>
      </c>
      <c r="V108" s="9" t="s">
        <v>412</v>
      </c>
      <c r="W108" s="9" t="s">
        <v>487</v>
      </c>
      <c r="X108" s="9" t="s">
        <v>60</v>
      </c>
      <c r="Y108" s="9" t="s">
        <v>541</v>
      </c>
      <c r="Z108" s="9" t="s">
        <v>542</v>
      </c>
      <c r="AA108" s="9" t="s">
        <v>483</v>
      </c>
      <c r="AB108" s="12">
        <v>0.17722777014091021</v>
      </c>
      <c r="AC108" s="12">
        <v>0.20354654974520991</v>
      </c>
      <c r="AD108" s="12">
        <v>0.21290997377118542</v>
      </c>
      <c r="AE108" s="12">
        <v>0.21025996704461589</v>
      </c>
      <c r="AF108" s="12">
        <v>0.1958713871256641</v>
      </c>
      <c r="AG108" s="9" t="str">
        <f>INDEX('[2]10_Listas'!$A$2:$A$6,MATCH(MAX(AB108:AF108),AB108:AF108,0))</f>
        <v>Supervivencia económica y servicios básicos</v>
      </c>
      <c r="AH108" s="9" t="s">
        <v>488</v>
      </c>
      <c r="AI108" s="9"/>
      <c r="AJ108" s="9" t="str">
        <f t="shared" si="2"/>
        <v>Supervivencia económica y servicios básicos</v>
      </c>
      <c r="AK108" s="9" t="str">
        <f>IFERROR(INDEX('[2]02_Arquetipos_Miedo_Sesgo'!$C$4:$C$8,MATCH(AJ108,'[2]02_Arquetipos_Miedo_Sesgo'!$A$4:$A$8,0)),"")</f>
        <v>Miedo a no llegar a fin de mes, perder ingresos, empleo, movilidad o acceso a servicios básicos.</v>
      </c>
      <c r="AL108" s="9" t="str">
        <f>IFERROR(INDEX('[2]02_Arquetipos_Miedo_Sesgo'!$D$4:$D$8,MATCH(AJ108,'[2]02_Arquetipos_Miedo_Sesgo'!$A$4:$A$8,0)),"")</f>
        <v>Sesgo de escasez + presente dominante + aversión al riesgo económico.</v>
      </c>
      <c r="AM108" s="9" t="str">
        <f>IFERROR(INDEX('[2]02_Arquetipos_Miedo_Sesgo'!$E$4:$E$8,MATCH(AJ108,'[2]02_Arquetipos_Miedo_Sesgo'!$A$4:$A$8,0)),"")</f>
        <v>Empleo, emprendimiento, economía popular, transporte, costo de vida, salud, educación técnica y subsidios focalizados.</v>
      </c>
      <c r="AN108" s="9" t="str">
        <f t="shared" si="3"/>
        <v>Alta</v>
      </c>
      <c r="AO108" s="9" t="s">
        <v>485</v>
      </c>
    </row>
    <row r="109" spans="1:41" ht="28.8">
      <c r="A109" s="9" t="s">
        <v>328</v>
      </c>
      <c r="B109" s="9" t="s">
        <v>325</v>
      </c>
      <c r="C109" s="9" t="s">
        <v>329</v>
      </c>
      <c r="D109" s="10">
        <v>9501</v>
      </c>
      <c r="E109" s="10">
        <v>8008</v>
      </c>
      <c r="F109" s="10">
        <v>5807</v>
      </c>
      <c r="G109" s="9" t="s">
        <v>477</v>
      </c>
      <c r="H109" s="11">
        <v>0.49573729081149348</v>
      </c>
      <c r="I109" s="11">
        <v>0.21576676139353751</v>
      </c>
      <c r="J109" s="9" t="s">
        <v>478</v>
      </c>
      <c r="K109" s="11">
        <v>0.2273976023976024</v>
      </c>
      <c r="L109" s="11">
        <v>0.1018981018981019</v>
      </c>
      <c r="M109" s="9" t="s">
        <v>486</v>
      </c>
      <c r="N109" s="11">
        <v>0.2781126226967453</v>
      </c>
      <c r="O109" s="11">
        <v>0.1146891682452213</v>
      </c>
      <c r="P109" s="12">
        <v>7.7392729533794419E-2</v>
      </c>
      <c r="Q109" s="9" t="s">
        <v>412</v>
      </c>
      <c r="R109" s="12">
        <v>-0.45700000000000002</v>
      </c>
      <c r="S109" s="9" t="s">
        <v>75</v>
      </c>
      <c r="T109" s="12">
        <v>0.104</v>
      </c>
      <c r="U109" s="12">
        <v>6.0464243177931483E-2</v>
      </c>
      <c r="V109" s="9" t="s">
        <v>412</v>
      </c>
      <c r="W109" s="9" t="s">
        <v>487</v>
      </c>
      <c r="X109" s="9" t="s">
        <v>60</v>
      </c>
      <c r="Y109" s="9" t="s">
        <v>489</v>
      </c>
      <c r="Z109" s="9" t="s">
        <v>490</v>
      </c>
      <c r="AA109" s="9" t="s">
        <v>483</v>
      </c>
      <c r="AB109" s="12">
        <v>0.18530310157792981</v>
      </c>
      <c r="AC109" s="12">
        <v>0.2078863489155118</v>
      </c>
      <c r="AD109" s="12">
        <v>0.2128952394429274</v>
      </c>
      <c r="AE109" s="12">
        <v>0.21871107157368971</v>
      </c>
      <c r="AF109" s="12">
        <v>0.18099967062732039</v>
      </c>
      <c r="AG109" s="9" t="str">
        <f>INDEX('[2]10_Listas'!$A$2:$A$6,MATCH(MAX(AB109:AF109),AB109:AF109,0))</f>
        <v>Desconfianza y castigo</v>
      </c>
      <c r="AH109" s="9" t="s">
        <v>488</v>
      </c>
      <c r="AI109" s="9"/>
      <c r="AJ109" s="9" t="str">
        <f t="shared" si="2"/>
        <v>Desconfianza y castigo</v>
      </c>
      <c r="AK109" s="9" t="str">
        <f>IFERROR(INDEX('[2]02_Arquetipos_Miedo_Sesgo'!$C$4:$C$8,MATCH(AJ109,'[2]02_Arquetipos_Miedo_Sesgo'!$A$4:$A$8,0)),"")</f>
        <v>Miedo a ser engañado, robado, manipulado o usado electoralmente.</v>
      </c>
      <c r="AL109" s="9" t="str">
        <f>IFERROR(INDEX('[2]02_Arquetipos_Miedo_Sesgo'!$D$4:$D$8,MATCH(AJ109,'[2]02_Arquetipos_Miedo_Sesgo'!$A$4:$A$8,0)),"")</f>
        <v>Sesgo de confirmación + cinismo político + efecto de indignación moral.</v>
      </c>
      <c r="AM109" s="9" t="str">
        <f>IFERROR(INDEX('[2]02_Arquetipos_Miedo_Sesgo'!$E$4:$E$8,MATCH(AJ109,'[2]02_Arquetipos_Miedo_Sesgo'!$A$4:$A$8,0)),"")</f>
        <v>Transparencia, control político, lucha anticorrupción, vigilancia ciudadana, ejecución presupuestal y sanción a abusos.</v>
      </c>
      <c r="AN109" s="9" t="str">
        <f t="shared" si="3"/>
        <v>Alta</v>
      </c>
      <c r="AO109" s="9" t="s">
        <v>485</v>
      </c>
    </row>
    <row r="110" spans="1:41" ht="28.8">
      <c r="A110" s="9" t="s">
        <v>334</v>
      </c>
      <c r="B110" s="9" t="s">
        <v>325</v>
      </c>
      <c r="C110" s="9" t="s">
        <v>335</v>
      </c>
      <c r="D110" s="10">
        <v>6867</v>
      </c>
      <c r="E110" s="10">
        <v>5442</v>
      </c>
      <c r="F110" s="10">
        <v>4394</v>
      </c>
      <c r="G110" s="9" t="s">
        <v>477</v>
      </c>
      <c r="H110" s="11">
        <v>0.54579874763361003</v>
      </c>
      <c r="I110" s="11">
        <v>0.32896461336828309</v>
      </c>
      <c r="J110" s="9" t="s">
        <v>478</v>
      </c>
      <c r="K110" s="11">
        <v>0.21977214259463429</v>
      </c>
      <c r="L110" s="11">
        <v>0.1139287026828372</v>
      </c>
      <c r="M110" s="9" t="s">
        <v>486</v>
      </c>
      <c r="N110" s="11">
        <v>0.26558944014565322</v>
      </c>
      <c r="O110" s="11">
        <v>8.1702321347291773E-2</v>
      </c>
      <c r="P110" s="12">
        <v>7.7392729533794419E-2</v>
      </c>
      <c r="Q110" s="9" t="s">
        <v>412</v>
      </c>
      <c r="R110" s="12">
        <v>-0.45700000000000002</v>
      </c>
      <c r="S110" s="9" t="s">
        <v>75</v>
      </c>
      <c r="T110" s="12">
        <v>0.104</v>
      </c>
      <c r="U110" s="12">
        <v>6.0464243177931483E-2</v>
      </c>
      <c r="V110" s="9" t="s">
        <v>412</v>
      </c>
      <c r="W110" s="9" t="s">
        <v>487</v>
      </c>
      <c r="X110" s="9" t="s">
        <v>60</v>
      </c>
      <c r="Y110" s="9" t="s">
        <v>489</v>
      </c>
      <c r="Z110" s="9" t="s">
        <v>490</v>
      </c>
      <c r="AA110" s="9" t="s">
        <v>483</v>
      </c>
      <c r="AB110" s="12">
        <v>0.15966628634779989</v>
      </c>
      <c r="AC110" s="12">
        <v>0.21615819983053733</v>
      </c>
      <c r="AD110" s="12">
        <v>0.21784357828707676</v>
      </c>
      <c r="AE110" s="12">
        <v>0.2293795380727556</v>
      </c>
      <c r="AF110" s="12">
        <v>0.1816302004458594</v>
      </c>
      <c r="AG110" s="9" t="str">
        <f>INDEX('[2]10_Listas'!$A$2:$A$6,MATCH(MAX(AB110:AF110),AB110:AF110,0))</f>
        <v>Desconfianza y castigo</v>
      </c>
      <c r="AH110" s="9" t="s">
        <v>488</v>
      </c>
      <c r="AI110" s="9"/>
      <c r="AJ110" s="9" t="str">
        <f t="shared" si="2"/>
        <v>Desconfianza y castigo</v>
      </c>
      <c r="AK110" s="9" t="str">
        <f>IFERROR(INDEX('[2]02_Arquetipos_Miedo_Sesgo'!$C$4:$C$8,MATCH(AJ110,'[2]02_Arquetipos_Miedo_Sesgo'!$A$4:$A$8,0)),"")</f>
        <v>Miedo a ser engañado, robado, manipulado o usado electoralmente.</v>
      </c>
      <c r="AL110" s="9" t="str">
        <f>IFERROR(INDEX('[2]02_Arquetipos_Miedo_Sesgo'!$D$4:$D$8,MATCH(AJ110,'[2]02_Arquetipos_Miedo_Sesgo'!$A$4:$A$8,0)),"")</f>
        <v>Sesgo de confirmación + cinismo político + efecto de indignación moral.</v>
      </c>
      <c r="AM110" s="9" t="str">
        <f>IFERROR(INDEX('[2]02_Arquetipos_Miedo_Sesgo'!$E$4:$E$8,MATCH(AJ110,'[2]02_Arquetipos_Miedo_Sesgo'!$A$4:$A$8,0)),"")</f>
        <v>Transparencia, control político, lucha anticorrupción, vigilancia ciudadana, ejecución presupuestal y sanción a abusos.</v>
      </c>
      <c r="AN110" s="9" t="str">
        <f t="shared" si="3"/>
        <v>Alta</v>
      </c>
      <c r="AO110" s="9" t="s">
        <v>485</v>
      </c>
    </row>
    <row r="111" spans="1:41" ht="28.8">
      <c r="A111" s="9" t="s">
        <v>332</v>
      </c>
      <c r="B111" s="9" t="s">
        <v>325</v>
      </c>
      <c r="C111" s="9" t="s">
        <v>333</v>
      </c>
      <c r="D111" s="10">
        <v>1777</v>
      </c>
      <c r="E111" s="10">
        <v>1398</v>
      </c>
      <c r="F111" s="10">
        <v>1195</v>
      </c>
      <c r="G111" s="9" t="s">
        <v>477</v>
      </c>
      <c r="H111" s="11">
        <v>0.51266178953292063</v>
      </c>
      <c r="I111" s="11">
        <v>0.28249859313449632</v>
      </c>
      <c r="J111" s="9" t="s">
        <v>478</v>
      </c>
      <c r="K111" s="11">
        <v>0.21244635193133049</v>
      </c>
      <c r="L111" s="11">
        <v>8.3690987124463517E-2</v>
      </c>
      <c r="M111" s="9" t="s">
        <v>479</v>
      </c>
      <c r="N111" s="11">
        <v>0.34225941422594142</v>
      </c>
      <c r="O111" s="11">
        <v>0.1188284518828452</v>
      </c>
      <c r="P111" s="12">
        <v>7.7392729533794419E-2</v>
      </c>
      <c r="Q111" s="9" t="s">
        <v>412</v>
      </c>
      <c r="R111" s="12">
        <v>8.0000000000000002E-3</v>
      </c>
      <c r="S111" s="9" t="s">
        <v>412</v>
      </c>
      <c r="T111" s="12">
        <v>-0.41199999999999998</v>
      </c>
      <c r="U111" s="12">
        <v>4.1130909844598142E-2</v>
      </c>
      <c r="V111" s="9" t="s">
        <v>412</v>
      </c>
      <c r="W111" s="9" t="s">
        <v>480</v>
      </c>
      <c r="X111" s="9" t="s">
        <v>60</v>
      </c>
      <c r="Y111" s="9" t="s">
        <v>489</v>
      </c>
      <c r="Z111" s="9" t="s">
        <v>490</v>
      </c>
      <c r="AA111" s="9" t="s">
        <v>483</v>
      </c>
      <c r="AB111" s="12">
        <v>0.16498443243054489</v>
      </c>
      <c r="AC111" s="12">
        <v>0.20825894917508164</v>
      </c>
      <c r="AD111" s="12">
        <v>0.21530366602955947</v>
      </c>
      <c r="AE111" s="12">
        <v>0.20750672530096151</v>
      </c>
      <c r="AF111" s="12">
        <v>0.20291522639008691</v>
      </c>
      <c r="AG111" s="9" t="str">
        <f>INDEX('[2]10_Listas'!$A$2:$A$6,MATCH(MAX(AB111:AF111),AB111:AF111,0))</f>
        <v>Supervivencia económica y servicios básicos</v>
      </c>
      <c r="AH111" s="9" t="s">
        <v>484</v>
      </c>
      <c r="AI111" s="9"/>
      <c r="AJ111" s="9" t="str">
        <f t="shared" si="2"/>
        <v>Supervivencia económica y servicios básicos</v>
      </c>
      <c r="AK111" s="9" t="str">
        <f>IFERROR(INDEX('[2]02_Arquetipos_Miedo_Sesgo'!$C$4:$C$8,MATCH(AJ111,'[2]02_Arquetipos_Miedo_Sesgo'!$A$4:$A$8,0)),"")</f>
        <v>Miedo a no llegar a fin de mes, perder ingresos, empleo, movilidad o acceso a servicios básicos.</v>
      </c>
      <c r="AL111" s="9" t="str">
        <f>IFERROR(INDEX('[2]02_Arquetipos_Miedo_Sesgo'!$D$4:$D$8,MATCH(AJ111,'[2]02_Arquetipos_Miedo_Sesgo'!$A$4:$A$8,0)),"")</f>
        <v>Sesgo de escasez + presente dominante + aversión al riesgo económico.</v>
      </c>
      <c r="AM111" s="9" t="str">
        <f>IFERROR(INDEX('[2]02_Arquetipos_Miedo_Sesgo'!$E$4:$E$8,MATCH(AJ111,'[2]02_Arquetipos_Miedo_Sesgo'!$A$4:$A$8,0)),"")</f>
        <v>Empleo, emprendimiento, economía popular, transporte, costo de vida, salud, educación técnica y subsidios focalizados.</v>
      </c>
      <c r="AN111" s="9" t="str">
        <f t="shared" si="3"/>
        <v>Alta</v>
      </c>
      <c r="AO111" s="9" t="s">
        <v>485</v>
      </c>
    </row>
    <row r="112" spans="1:41" ht="28.8">
      <c r="A112" s="9" t="s">
        <v>330</v>
      </c>
      <c r="B112" s="9" t="s">
        <v>325</v>
      </c>
      <c r="C112" s="9" t="s">
        <v>331</v>
      </c>
      <c r="D112" s="10">
        <v>7471</v>
      </c>
      <c r="E112" s="10">
        <v>6010</v>
      </c>
      <c r="F112" s="10">
        <v>4735</v>
      </c>
      <c r="G112" s="9" t="s">
        <v>477</v>
      </c>
      <c r="H112" s="11">
        <v>0.50997189131307719</v>
      </c>
      <c r="I112" s="11">
        <v>0.26743407843662159</v>
      </c>
      <c r="J112" s="9" t="s">
        <v>478</v>
      </c>
      <c r="K112" s="11">
        <v>0.23427620632279531</v>
      </c>
      <c r="L112" s="11">
        <v>0.12529118136439271</v>
      </c>
      <c r="M112" s="9" t="s">
        <v>486</v>
      </c>
      <c r="N112" s="11">
        <v>0.27455121436114038</v>
      </c>
      <c r="O112" s="11">
        <v>9.6304118268215416E-2</v>
      </c>
      <c r="P112" s="12">
        <v>7.7392729533794419E-2</v>
      </c>
      <c r="Q112" s="9" t="s">
        <v>412</v>
      </c>
      <c r="R112" s="12">
        <v>-0.45700000000000002</v>
      </c>
      <c r="S112" s="9" t="s">
        <v>75</v>
      </c>
      <c r="T112" s="12">
        <v>0.104</v>
      </c>
      <c r="U112" s="12">
        <v>6.0464243177931483E-2</v>
      </c>
      <c r="V112" s="9" t="s">
        <v>412</v>
      </c>
      <c r="W112" s="9" t="s">
        <v>487</v>
      </c>
      <c r="X112" s="9" t="s">
        <v>60</v>
      </c>
      <c r="Y112" s="9" t="s">
        <v>489</v>
      </c>
      <c r="Z112" s="9" t="s">
        <v>490</v>
      </c>
      <c r="AA112" s="9" t="s">
        <v>483</v>
      </c>
      <c r="AB112" s="12">
        <v>0.1671647420467042</v>
      </c>
      <c r="AC112" s="12">
        <v>0.21226324949158554</v>
      </c>
      <c r="AD112" s="12">
        <v>0.21646311209371688</v>
      </c>
      <c r="AE112" s="12">
        <v>0.22268489511458461</v>
      </c>
      <c r="AF112" s="12">
        <v>0.18581296303490871</v>
      </c>
      <c r="AG112" s="9" t="str">
        <f>INDEX('[2]10_Listas'!$A$2:$A$6,MATCH(MAX(AB112:AF112),AB112:AF112,0))</f>
        <v>Desconfianza y castigo</v>
      </c>
      <c r="AH112" s="9" t="s">
        <v>488</v>
      </c>
      <c r="AI112" s="9"/>
      <c r="AJ112" s="9" t="str">
        <f t="shared" si="2"/>
        <v>Desconfianza y castigo</v>
      </c>
      <c r="AK112" s="9" t="str">
        <f>IFERROR(INDEX('[2]02_Arquetipos_Miedo_Sesgo'!$C$4:$C$8,MATCH(AJ112,'[2]02_Arquetipos_Miedo_Sesgo'!$A$4:$A$8,0)),"")</f>
        <v>Miedo a ser engañado, robado, manipulado o usado electoralmente.</v>
      </c>
      <c r="AL112" s="9" t="str">
        <f>IFERROR(INDEX('[2]02_Arquetipos_Miedo_Sesgo'!$D$4:$D$8,MATCH(AJ112,'[2]02_Arquetipos_Miedo_Sesgo'!$A$4:$A$8,0)),"")</f>
        <v>Sesgo de confirmación + cinismo político + efecto de indignación moral.</v>
      </c>
      <c r="AM112" s="9" t="str">
        <f>IFERROR(INDEX('[2]02_Arquetipos_Miedo_Sesgo'!$E$4:$E$8,MATCH(AJ112,'[2]02_Arquetipos_Miedo_Sesgo'!$A$4:$A$8,0)),"")</f>
        <v>Transparencia, control político, lucha anticorrupción, vigilancia ciudadana, ejecución presupuestal y sanción a abusos.</v>
      </c>
      <c r="AN112" s="9" t="str">
        <f t="shared" si="3"/>
        <v>Alta</v>
      </c>
      <c r="AO112" s="9" t="s">
        <v>485</v>
      </c>
    </row>
    <row r="113" spans="1:41" ht="28.8">
      <c r="A113" s="9" t="s">
        <v>554</v>
      </c>
      <c r="B113" s="9" t="s">
        <v>325</v>
      </c>
      <c r="C113" s="9" t="s">
        <v>555</v>
      </c>
      <c r="D113" s="10">
        <v>564</v>
      </c>
      <c r="E113" s="10">
        <v>483</v>
      </c>
      <c r="F113" s="10">
        <v>332</v>
      </c>
      <c r="G113" s="9" t="s">
        <v>477</v>
      </c>
      <c r="H113" s="11">
        <v>0.59219858156028371</v>
      </c>
      <c r="I113" s="11">
        <v>0.3971631205673759</v>
      </c>
      <c r="J113" s="9" t="s">
        <v>478</v>
      </c>
      <c r="K113" s="11">
        <v>0.25051759834368531</v>
      </c>
      <c r="L113" s="11">
        <v>9.5238095238095261E-2</v>
      </c>
      <c r="M113" s="9" t="s">
        <v>486</v>
      </c>
      <c r="N113" s="11">
        <v>0.34337349397590361</v>
      </c>
      <c r="O113" s="11">
        <v>9.0361445783132543E-2</v>
      </c>
      <c r="P113" s="12">
        <v>7.7392729533794419E-2</v>
      </c>
      <c r="Q113" s="9" t="s">
        <v>412</v>
      </c>
      <c r="R113" s="12">
        <v>-0.45700000000000002</v>
      </c>
      <c r="S113" s="9" t="s">
        <v>75</v>
      </c>
      <c r="T113" s="12">
        <v>0.104</v>
      </c>
      <c r="U113" s="12">
        <v>6.0464243177931483E-2</v>
      </c>
      <c r="V113" s="9" t="s">
        <v>412</v>
      </c>
      <c r="W113" s="9" t="s">
        <v>487</v>
      </c>
      <c r="X113" s="9" t="s">
        <v>60</v>
      </c>
      <c r="Y113" s="9" t="s">
        <v>489</v>
      </c>
      <c r="Z113" s="9" t="s">
        <v>490</v>
      </c>
      <c r="AA113" s="9" t="s">
        <v>483</v>
      </c>
      <c r="AB113" s="12">
        <v>0.14730394100488969</v>
      </c>
      <c r="AC113" s="12">
        <v>0.20535792203816544</v>
      </c>
      <c r="AD113" s="12">
        <v>0.21145560477694983</v>
      </c>
      <c r="AE113" s="12">
        <v>0.22676234225357561</v>
      </c>
      <c r="AF113" s="12">
        <v>0.20231416962877971</v>
      </c>
      <c r="AG113" s="9" t="str">
        <f>INDEX('[2]10_Listas'!$A$2:$A$6,MATCH(MAX(AB113:AF113),AB113:AF113,0))</f>
        <v>Desconfianza y castigo</v>
      </c>
      <c r="AH113" s="9" t="s">
        <v>484</v>
      </c>
      <c r="AI113" s="9"/>
      <c r="AJ113" s="9" t="str">
        <f t="shared" si="2"/>
        <v>Desconfianza y castigo</v>
      </c>
      <c r="AK113" s="9" t="str">
        <f>IFERROR(INDEX('[2]02_Arquetipos_Miedo_Sesgo'!$C$4:$C$8,MATCH(AJ113,'[2]02_Arquetipos_Miedo_Sesgo'!$A$4:$A$8,0)),"")</f>
        <v>Miedo a ser engañado, robado, manipulado o usado electoralmente.</v>
      </c>
      <c r="AL113" s="9" t="str">
        <f>IFERROR(INDEX('[2]02_Arquetipos_Miedo_Sesgo'!$D$4:$D$8,MATCH(AJ113,'[2]02_Arquetipos_Miedo_Sesgo'!$A$4:$A$8,0)),"")</f>
        <v>Sesgo de confirmación + cinismo político + efecto de indignación moral.</v>
      </c>
      <c r="AM113" s="9" t="str">
        <f>IFERROR(INDEX('[2]02_Arquetipos_Miedo_Sesgo'!$E$4:$E$8,MATCH(AJ113,'[2]02_Arquetipos_Miedo_Sesgo'!$A$4:$A$8,0)),"")</f>
        <v>Transparencia, control político, lucha anticorrupción, vigilancia ciudadana, ejecución presupuestal y sanción a abusos.</v>
      </c>
      <c r="AN113" s="9" t="str">
        <f t="shared" si="3"/>
        <v>Alta</v>
      </c>
      <c r="AO113" s="9" t="s">
        <v>485</v>
      </c>
    </row>
    <row r="114" spans="1:41" ht="28.8">
      <c r="A114" s="9" t="s">
        <v>339</v>
      </c>
      <c r="B114" s="9" t="s">
        <v>325</v>
      </c>
      <c r="C114" s="9" t="s">
        <v>340</v>
      </c>
      <c r="D114" s="10">
        <v>919</v>
      </c>
      <c r="E114" s="10">
        <v>716</v>
      </c>
      <c r="F114" s="10">
        <v>591</v>
      </c>
      <c r="G114" s="9" t="s">
        <v>477</v>
      </c>
      <c r="H114" s="11">
        <v>0.55168661588683354</v>
      </c>
      <c r="I114" s="11">
        <v>0.34711643090315558</v>
      </c>
      <c r="J114" s="9" t="s">
        <v>478</v>
      </c>
      <c r="K114" s="11">
        <v>0.24301675977653631</v>
      </c>
      <c r="L114" s="11">
        <v>0.15642458100558659</v>
      </c>
      <c r="M114" s="9" t="s">
        <v>486</v>
      </c>
      <c r="N114" s="11">
        <v>0.28764805414551609</v>
      </c>
      <c r="O114" s="11">
        <v>7.952622673434856E-2</v>
      </c>
      <c r="P114" s="12">
        <v>7.7392729533794419E-2</v>
      </c>
      <c r="Q114" s="9" t="s">
        <v>412</v>
      </c>
      <c r="R114" s="12">
        <v>-0.45700000000000002</v>
      </c>
      <c r="S114" s="9" t="s">
        <v>75</v>
      </c>
      <c r="T114" s="12">
        <v>0.104</v>
      </c>
      <c r="U114" s="12">
        <v>6.0464243177931483E-2</v>
      </c>
      <c r="V114" s="9" t="s">
        <v>412</v>
      </c>
      <c r="W114" s="9" t="s">
        <v>487</v>
      </c>
      <c r="X114" s="9" t="s">
        <v>60</v>
      </c>
      <c r="Y114" s="9" t="s">
        <v>489</v>
      </c>
      <c r="Z114" s="9" t="s">
        <v>490</v>
      </c>
      <c r="AA114" s="9" t="s">
        <v>483</v>
      </c>
      <c r="AB114" s="12">
        <v>0.1687979279944089</v>
      </c>
      <c r="AC114" s="12">
        <v>0.20589378484832122</v>
      </c>
      <c r="AD114" s="12">
        <v>0.20938116537338206</v>
      </c>
      <c r="AE114" s="12">
        <v>0.2446456317085598</v>
      </c>
      <c r="AF114" s="12">
        <v>0.1749919756637589</v>
      </c>
      <c r="AG114" s="9" t="str">
        <f>INDEX('[2]10_Listas'!$A$2:$A$6,MATCH(MAX(AB114:AF114),AB114:AF114,0))</f>
        <v>Desconfianza y castigo</v>
      </c>
      <c r="AH114" s="9" t="s">
        <v>488</v>
      </c>
      <c r="AI114" s="9"/>
      <c r="AJ114" s="9" t="str">
        <f t="shared" si="2"/>
        <v>Desconfianza y castigo</v>
      </c>
      <c r="AK114" s="9" t="str">
        <f>IFERROR(INDEX('[2]02_Arquetipos_Miedo_Sesgo'!$C$4:$C$8,MATCH(AJ114,'[2]02_Arquetipos_Miedo_Sesgo'!$A$4:$A$8,0)),"")</f>
        <v>Miedo a ser engañado, robado, manipulado o usado electoralmente.</v>
      </c>
      <c r="AL114" s="9" t="str">
        <f>IFERROR(INDEX('[2]02_Arquetipos_Miedo_Sesgo'!$D$4:$D$8,MATCH(AJ114,'[2]02_Arquetipos_Miedo_Sesgo'!$A$4:$A$8,0)),"")</f>
        <v>Sesgo de confirmación + cinismo político + efecto de indignación moral.</v>
      </c>
      <c r="AM114" s="9" t="str">
        <f>IFERROR(INDEX('[2]02_Arquetipos_Miedo_Sesgo'!$E$4:$E$8,MATCH(AJ114,'[2]02_Arquetipos_Miedo_Sesgo'!$A$4:$A$8,0)),"")</f>
        <v>Transparencia, control político, lucha anticorrupción, vigilancia ciudadana, ejecución presupuestal y sanción a abusos.</v>
      </c>
      <c r="AN114" s="9" t="str">
        <f t="shared" si="3"/>
        <v>Alta</v>
      </c>
      <c r="AO114" s="9" t="s">
        <v>485</v>
      </c>
    </row>
    <row r="115" spans="1:41" ht="28.8">
      <c r="A115" s="9" t="s">
        <v>556</v>
      </c>
      <c r="B115" s="9" t="s">
        <v>325</v>
      </c>
      <c r="C115" s="9" t="s">
        <v>557</v>
      </c>
      <c r="D115" s="10">
        <v>327</v>
      </c>
      <c r="E115" s="10">
        <v>281</v>
      </c>
      <c r="F115" s="10">
        <v>246</v>
      </c>
      <c r="G115" s="9" t="s">
        <v>477</v>
      </c>
      <c r="H115" s="11">
        <v>0.4892966360856269</v>
      </c>
      <c r="I115" s="11">
        <v>0.22018348623853209</v>
      </c>
      <c r="J115" s="9" t="s">
        <v>478</v>
      </c>
      <c r="K115" s="11">
        <v>0.27758007117437722</v>
      </c>
      <c r="L115" s="11">
        <v>8.5409252669039148E-2</v>
      </c>
      <c r="M115" s="9" t="s">
        <v>479</v>
      </c>
      <c r="N115" s="11">
        <v>0.36585365853658541</v>
      </c>
      <c r="O115" s="11">
        <v>9.7560975609756073E-2</v>
      </c>
      <c r="P115" s="12">
        <v>7.7392729533794419E-2</v>
      </c>
      <c r="Q115" s="9" t="s">
        <v>412</v>
      </c>
      <c r="R115" s="12">
        <v>8.0000000000000002E-3</v>
      </c>
      <c r="S115" s="9" t="s">
        <v>412</v>
      </c>
      <c r="T115" s="12">
        <v>-0.41199999999999998</v>
      </c>
      <c r="U115" s="12">
        <v>4.1130909844598142E-2</v>
      </c>
      <c r="V115" s="9" t="s">
        <v>412</v>
      </c>
      <c r="W115" s="9" t="s">
        <v>480</v>
      </c>
      <c r="X115" s="9" t="s">
        <v>60</v>
      </c>
      <c r="Y115" s="9" t="s">
        <v>489</v>
      </c>
      <c r="Z115" s="9" t="s">
        <v>490</v>
      </c>
      <c r="AA115" s="9" t="s">
        <v>483</v>
      </c>
      <c r="AB115" s="12">
        <v>0.15767736194838461</v>
      </c>
      <c r="AC115" s="12">
        <v>0.20078204405685973</v>
      </c>
      <c r="AD115" s="12">
        <v>0.21099137137906196</v>
      </c>
      <c r="AE115" s="12">
        <v>0.2193256881298159</v>
      </c>
      <c r="AF115" s="12">
        <v>0.2083270907788162</v>
      </c>
      <c r="AG115" s="9" t="str">
        <f>INDEX('[2]10_Listas'!$A$2:$A$6,MATCH(MAX(AB115:AF115),AB115:AF115,0))</f>
        <v>Desconfianza y castigo</v>
      </c>
      <c r="AH115" s="9" t="s">
        <v>488</v>
      </c>
      <c r="AI115" s="9"/>
      <c r="AJ115" s="9" t="str">
        <f t="shared" si="2"/>
        <v>Desconfianza y castigo</v>
      </c>
      <c r="AK115" s="9" t="str">
        <f>IFERROR(INDEX('[2]02_Arquetipos_Miedo_Sesgo'!$C$4:$C$8,MATCH(AJ115,'[2]02_Arquetipos_Miedo_Sesgo'!$A$4:$A$8,0)),"")</f>
        <v>Miedo a ser engañado, robado, manipulado o usado electoralmente.</v>
      </c>
      <c r="AL115" s="9" t="str">
        <f>IFERROR(INDEX('[2]02_Arquetipos_Miedo_Sesgo'!$D$4:$D$8,MATCH(AJ115,'[2]02_Arquetipos_Miedo_Sesgo'!$A$4:$A$8,0)),"")</f>
        <v>Sesgo de confirmación + cinismo político + efecto de indignación moral.</v>
      </c>
      <c r="AM115" s="9" t="str">
        <f>IFERROR(INDEX('[2]02_Arquetipos_Miedo_Sesgo'!$E$4:$E$8,MATCH(AJ115,'[2]02_Arquetipos_Miedo_Sesgo'!$A$4:$A$8,0)),"")</f>
        <v>Transparencia, control político, lucha anticorrupción, vigilancia ciudadana, ejecución presupuestal y sanción a abusos.</v>
      </c>
      <c r="AN115" s="9" t="str">
        <f t="shared" si="3"/>
        <v>Alta</v>
      </c>
      <c r="AO115" s="9" t="s">
        <v>485</v>
      </c>
    </row>
    <row r="116" spans="1:41" ht="28.8">
      <c r="A116" s="9" t="s">
        <v>343</v>
      </c>
      <c r="B116" s="9" t="s">
        <v>325</v>
      </c>
      <c r="C116" s="9" t="s">
        <v>344</v>
      </c>
      <c r="D116" s="10">
        <v>54</v>
      </c>
      <c r="E116" s="10">
        <v>37</v>
      </c>
      <c r="F116" s="10">
        <v>0</v>
      </c>
      <c r="G116" s="9" t="s">
        <v>477</v>
      </c>
      <c r="H116" s="11">
        <v>0.59259259259259256</v>
      </c>
      <c r="I116" s="11">
        <v>0.42592592592592587</v>
      </c>
      <c r="J116" s="9" t="s">
        <v>478</v>
      </c>
      <c r="K116" s="11">
        <v>0.3783783783783784</v>
      </c>
      <c r="L116" s="11">
        <v>0.2162162162162162</v>
      </c>
      <c r="M116" s="9" t="s">
        <v>486</v>
      </c>
      <c r="N116" s="11">
        <v>0</v>
      </c>
      <c r="O116" s="11">
        <v>0</v>
      </c>
      <c r="P116" s="12">
        <v>7.7392729533794419E-2</v>
      </c>
      <c r="Q116" s="9" t="s">
        <v>412</v>
      </c>
      <c r="R116" s="12"/>
      <c r="S116" s="9" t="s">
        <v>518</v>
      </c>
      <c r="T116" s="12">
        <v>0.104</v>
      </c>
      <c r="U116" s="12">
        <v>6.0464243177931483E-2</v>
      </c>
      <c r="V116" s="9" t="s">
        <v>412</v>
      </c>
      <c r="W116" s="9" t="s">
        <v>487</v>
      </c>
      <c r="X116" s="9" t="s">
        <v>60</v>
      </c>
      <c r="Y116" s="9" t="s">
        <v>489</v>
      </c>
      <c r="Z116" s="9" t="s">
        <v>490</v>
      </c>
      <c r="AA116" s="9" t="s">
        <v>483</v>
      </c>
      <c r="AB116" s="12">
        <v>0.16046049715422289</v>
      </c>
      <c r="AC116" s="12">
        <v>0.22422522405827316</v>
      </c>
      <c r="AD116" s="12">
        <v>0.23298481065971613</v>
      </c>
      <c r="AE116" s="12">
        <v>0.26828908578244742</v>
      </c>
      <c r="AF116" s="12">
        <v>9.3790679575859043E-2</v>
      </c>
      <c r="AG116" s="9" t="str">
        <f>INDEX('[2]10_Listas'!$A$2:$A$6,MATCH(MAX(AB116:AF116),AB116:AF116,0))</f>
        <v>Desconfianza y castigo</v>
      </c>
      <c r="AH116" s="9" t="s">
        <v>488</v>
      </c>
      <c r="AI116" s="9"/>
      <c r="AJ116" s="9" t="str">
        <f t="shared" si="2"/>
        <v>Desconfianza y castigo</v>
      </c>
      <c r="AK116" s="9" t="str">
        <f>IFERROR(INDEX('[2]02_Arquetipos_Miedo_Sesgo'!$C$4:$C$8,MATCH(AJ116,'[2]02_Arquetipos_Miedo_Sesgo'!$A$4:$A$8,0)),"")</f>
        <v>Miedo a ser engañado, robado, manipulado o usado electoralmente.</v>
      </c>
      <c r="AL116" s="9" t="str">
        <f>IFERROR(INDEX('[2]02_Arquetipos_Miedo_Sesgo'!$D$4:$D$8,MATCH(AJ116,'[2]02_Arquetipos_Miedo_Sesgo'!$A$4:$A$8,0)),"")</f>
        <v>Sesgo de confirmación + cinismo político + efecto de indignación moral.</v>
      </c>
      <c r="AM116" s="9" t="str">
        <f>IFERROR(INDEX('[2]02_Arquetipos_Miedo_Sesgo'!$E$4:$E$8,MATCH(AJ116,'[2]02_Arquetipos_Miedo_Sesgo'!$A$4:$A$8,0)),"")</f>
        <v>Transparencia, control político, lucha anticorrupción, vigilancia ciudadana, ejecución presupuestal y sanción a abusos.</v>
      </c>
      <c r="AN116" s="9" t="str">
        <f t="shared" si="3"/>
        <v>Alta</v>
      </c>
      <c r="AO116" s="9" t="s">
        <v>485</v>
      </c>
    </row>
    <row r="117" spans="1:41" ht="28.8">
      <c r="A117" s="9" t="s">
        <v>336</v>
      </c>
      <c r="B117" s="9" t="s">
        <v>325</v>
      </c>
      <c r="C117" s="9" t="s">
        <v>337</v>
      </c>
      <c r="D117" s="10">
        <v>2969</v>
      </c>
      <c r="E117" s="10">
        <v>2449</v>
      </c>
      <c r="F117" s="10">
        <v>1791</v>
      </c>
      <c r="G117" s="9" t="s">
        <v>477</v>
      </c>
      <c r="H117" s="11">
        <v>0.55540586055911079</v>
      </c>
      <c r="I117" s="11">
        <v>0.33209834961266421</v>
      </c>
      <c r="J117" s="9" t="s">
        <v>478</v>
      </c>
      <c r="K117" s="11">
        <v>0.21763985300122499</v>
      </c>
      <c r="L117" s="11">
        <v>0.12290730910575751</v>
      </c>
      <c r="M117" s="9" t="s">
        <v>486</v>
      </c>
      <c r="N117" s="11">
        <v>0.26242322724734779</v>
      </c>
      <c r="O117" s="11">
        <v>7.7610273590173084E-2</v>
      </c>
      <c r="P117" s="12">
        <v>7.7392729533794419E-2</v>
      </c>
      <c r="Q117" s="9" t="s">
        <v>412</v>
      </c>
      <c r="R117" s="12">
        <v>-0.45700000000000002</v>
      </c>
      <c r="S117" s="9" t="s">
        <v>75</v>
      </c>
      <c r="T117" s="12">
        <v>0.104</v>
      </c>
      <c r="U117" s="12">
        <v>6.0464243177931483E-2</v>
      </c>
      <c r="V117" s="9" t="s">
        <v>412</v>
      </c>
      <c r="W117" s="9" t="s">
        <v>487</v>
      </c>
      <c r="X117" s="9" t="s">
        <v>60</v>
      </c>
      <c r="Y117" s="9" t="s">
        <v>489</v>
      </c>
      <c r="Z117" s="9" t="s">
        <v>490</v>
      </c>
      <c r="AA117" s="9" t="s">
        <v>483</v>
      </c>
      <c r="AB117" s="12">
        <v>0.17249590519437569</v>
      </c>
      <c r="AC117" s="12">
        <v>0.21100266304482826</v>
      </c>
      <c r="AD117" s="12">
        <v>0.21324446354711724</v>
      </c>
      <c r="AE117" s="12">
        <v>0.23234539499309581</v>
      </c>
      <c r="AF117" s="12">
        <v>0.17515711634855191</v>
      </c>
      <c r="AG117" s="9" t="str">
        <f>INDEX('[2]10_Listas'!$A$2:$A$6,MATCH(MAX(AB117:AF117),AB117:AF117,0))</f>
        <v>Desconfianza y castigo</v>
      </c>
      <c r="AH117" s="9" t="s">
        <v>488</v>
      </c>
      <c r="AI117" s="9"/>
      <c r="AJ117" s="9" t="str">
        <f t="shared" si="2"/>
        <v>Desconfianza y castigo</v>
      </c>
      <c r="AK117" s="9" t="str">
        <f>IFERROR(INDEX('[2]02_Arquetipos_Miedo_Sesgo'!$C$4:$C$8,MATCH(AJ117,'[2]02_Arquetipos_Miedo_Sesgo'!$A$4:$A$8,0)),"")</f>
        <v>Miedo a ser engañado, robado, manipulado o usado electoralmente.</v>
      </c>
      <c r="AL117" s="9" t="str">
        <f>IFERROR(INDEX('[2]02_Arquetipos_Miedo_Sesgo'!$D$4:$D$8,MATCH(AJ117,'[2]02_Arquetipos_Miedo_Sesgo'!$A$4:$A$8,0)),"")</f>
        <v>Sesgo de confirmación + cinismo político + efecto de indignación moral.</v>
      </c>
      <c r="AM117" s="9" t="str">
        <f>IFERROR(INDEX('[2]02_Arquetipos_Miedo_Sesgo'!$E$4:$E$8,MATCH(AJ117,'[2]02_Arquetipos_Miedo_Sesgo'!$A$4:$A$8,0)),"")</f>
        <v>Transparencia, control político, lucha anticorrupción, vigilancia ciudadana, ejecución presupuestal y sanción a abusos.</v>
      </c>
      <c r="AN117" s="9" t="str">
        <f t="shared" si="3"/>
        <v>Alta</v>
      </c>
      <c r="AO117" s="9" t="s">
        <v>485</v>
      </c>
    </row>
    <row r="118" spans="1:41" ht="28.8">
      <c r="A118" s="9" t="s">
        <v>338</v>
      </c>
      <c r="B118" s="9" t="s">
        <v>325</v>
      </c>
      <c r="C118" s="9" t="s">
        <v>325</v>
      </c>
      <c r="D118" s="10">
        <v>8890</v>
      </c>
      <c r="E118" s="10">
        <v>7340</v>
      </c>
      <c r="F118" s="10">
        <v>5204</v>
      </c>
      <c r="G118" s="9" t="s">
        <v>477</v>
      </c>
      <c r="H118" s="11">
        <v>0.51361079865016868</v>
      </c>
      <c r="I118" s="11">
        <v>0.25028121484814392</v>
      </c>
      <c r="J118" s="9" t="s">
        <v>478</v>
      </c>
      <c r="K118" s="11">
        <v>0.22302452316076291</v>
      </c>
      <c r="L118" s="11">
        <v>0.1230245231607629</v>
      </c>
      <c r="M118" s="9" t="s">
        <v>486</v>
      </c>
      <c r="N118" s="11">
        <v>0.29554189085318988</v>
      </c>
      <c r="O118" s="11">
        <v>9.5119139123751001E-2</v>
      </c>
      <c r="P118" s="12">
        <v>7.7392729533794419E-2</v>
      </c>
      <c r="Q118" s="9" t="s">
        <v>412</v>
      </c>
      <c r="R118" s="12">
        <v>-0.45700000000000002</v>
      </c>
      <c r="S118" s="9" t="s">
        <v>75</v>
      </c>
      <c r="T118" s="12">
        <v>0.104</v>
      </c>
      <c r="U118" s="12">
        <v>6.0464243177931483E-2</v>
      </c>
      <c r="V118" s="9" t="s">
        <v>412</v>
      </c>
      <c r="W118" s="9" t="s">
        <v>487</v>
      </c>
      <c r="X118" s="9" t="s">
        <v>60</v>
      </c>
      <c r="Y118" s="9" t="s">
        <v>489</v>
      </c>
      <c r="Z118" s="9" t="s">
        <v>490</v>
      </c>
      <c r="AA118" s="9" t="s">
        <v>483</v>
      </c>
      <c r="AB118" s="12">
        <v>0.17468145689772441</v>
      </c>
      <c r="AC118" s="12">
        <v>0.20461401012017885</v>
      </c>
      <c r="AD118" s="12">
        <v>0.21032289570599796</v>
      </c>
      <c r="AE118" s="12">
        <v>0.22653340901590649</v>
      </c>
      <c r="AF118" s="12">
        <v>0.18721425723986021</v>
      </c>
      <c r="AG118" s="9" t="str">
        <f>INDEX('[2]10_Listas'!$A$2:$A$6,MATCH(MAX(AB118:AF118),AB118:AF118,0))</f>
        <v>Desconfianza y castigo</v>
      </c>
      <c r="AH118" s="9" t="s">
        <v>488</v>
      </c>
      <c r="AI118" s="9"/>
      <c r="AJ118" s="9" t="str">
        <f t="shared" si="2"/>
        <v>Desconfianza y castigo</v>
      </c>
      <c r="AK118" s="9" t="str">
        <f>IFERROR(INDEX('[2]02_Arquetipos_Miedo_Sesgo'!$C$4:$C$8,MATCH(AJ118,'[2]02_Arquetipos_Miedo_Sesgo'!$A$4:$A$8,0)),"")</f>
        <v>Miedo a ser engañado, robado, manipulado o usado electoralmente.</v>
      </c>
      <c r="AL118" s="9" t="str">
        <f>IFERROR(INDEX('[2]02_Arquetipos_Miedo_Sesgo'!$D$4:$D$8,MATCH(AJ118,'[2]02_Arquetipos_Miedo_Sesgo'!$A$4:$A$8,0)),"")</f>
        <v>Sesgo de confirmación + cinismo político + efecto de indignación moral.</v>
      </c>
      <c r="AM118" s="9" t="str">
        <f>IFERROR(INDEX('[2]02_Arquetipos_Miedo_Sesgo'!$E$4:$E$8,MATCH(AJ118,'[2]02_Arquetipos_Miedo_Sesgo'!$A$4:$A$8,0)),"")</f>
        <v>Transparencia, control político, lucha anticorrupción, vigilancia ciudadana, ejecución presupuestal y sanción a abusos.</v>
      </c>
      <c r="AN118" s="9" t="str">
        <f t="shared" si="3"/>
        <v>Alta</v>
      </c>
      <c r="AO118" s="9" t="s">
        <v>485</v>
      </c>
    </row>
    <row r="119" spans="1:41" ht="28.8">
      <c r="A119" s="9" t="s">
        <v>324</v>
      </c>
      <c r="B119" s="9" t="s">
        <v>325</v>
      </c>
      <c r="C119" s="9" t="s">
        <v>326</v>
      </c>
      <c r="D119" s="10">
        <v>2311</v>
      </c>
      <c r="E119" s="10">
        <v>1941</v>
      </c>
      <c r="F119" s="10">
        <v>1419</v>
      </c>
      <c r="G119" s="9" t="s">
        <v>477</v>
      </c>
      <c r="H119" s="11">
        <v>0.50627434011250538</v>
      </c>
      <c r="I119" s="11">
        <v>0.2293379489398529</v>
      </c>
      <c r="J119" s="9" t="s">
        <v>478</v>
      </c>
      <c r="K119" s="11">
        <v>0.20350334878928389</v>
      </c>
      <c r="L119" s="11">
        <v>6.9036579082946914E-2</v>
      </c>
      <c r="M119" s="9" t="s">
        <v>486</v>
      </c>
      <c r="N119" s="11">
        <v>0.26427061310782241</v>
      </c>
      <c r="O119" s="11">
        <v>1.761804087385482E-2</v>
      </c>
      <c r="P119" s="12">
        <v>7.7392729533794419E-2</v>
      </c>
      <c r="Q119" s="9" t="s">
        <v>412</v>
      </c>
      <c r="R119" s="12">
        <v>-0.45700000000000002</v>
      </c>
      <c r="S119" s="9" t="s">
        <v>75</v>
      </c>
      <c r="T119" s="12">
        <v>0.104</v>
      </c>
      <c r="U119" s="12">
        <v>6.0464243177931483E-2</v>
      </c>
      <c r="V119" s="9" t="s">
        <v>412</v>
      </c>
      <c r="W119" s="9" t="s">
        <v>487</v>
      </c>
      <c r="X119" s="9" t="s">
        <v>60</v>
      </c>
      <c r="Y119" s="9" t="s">
        <v>489</v>
      </c>
      <c r="Z119" s="9" t="s">
        <v>490</v>
      </c>
      <c r="AA119" s="9" t="s">
        <v>483</v>
      </c>
      <c r="AB119" s="12">
        <v>0.1755965067782079</v>
      </c>
      <c r="AC119" s="12">
        <v>0.20547464603769031</v>
      </c>
      <c r="AD119" s="12">
        <v>0.21225178288132471</v>
      </c>
      <c r="AE119" s="12">
        <v>0.21372227863391041</v>
      </c>
      <c r="AF119" s="12">
        <v>0.19433881948269441</v>
      </c>
      <c r="AG119" s="9" t="str">
        <f>INDEX('[2]10_Listas'!$A$2:$A$6,MATCH(MAX(AB119:AF119),AB119:AF119,0))</f>
        <v>Desconfianza y castigo</v>
      </c>
      <c r="AH119" s="9" t="s">
        <v>488</v>
      </c>
      <c r="AI119" s="9"/>
      <c r="AJ119" s="9" t="str">
        <f t="shared" si="2"/>
        <v>Desconfianza y castigo</v>
      </c>
      <c r="AK119" s="9" t="str">
        <f>IFERROR(INDEX('[2]02_Arquetipos_Miedo_Sesgo'!$C$4:$C$8,MATCH(AJ119,'[2]02_Arquetipos_Miedo_Sesgo'!$A$4:$A$8,0)),"")</f>
        <v>Miedo a ser engañado, robado, manipulado o usado electoralmente.</v>
      </c>
      <c r="AL119" s="9" t="str">
        <f>IFERROR(INDEX('[2]02_Arquetipos_Miedo_Sesgo'!$D$4:$D$8,MATCH(AJ119,'[2]02_Arquetipos_Miedo_Sesgo'!$A$4:$A$8,0)),"")</f>
        <v>Sesgo de confirmación + cinismo político + efecto de indignación moral.</v>
      </c>
      <c r="AM119" s="9" t="str">
        <f>IFERROR(INDEX('[2]02_Arquetipos_Miedo_Sesgo'!$E$4:$E$8,MATCH(AJ119,'[2]02_Arquetipos_Miedo_Sesgo'!$A$4:$A$8,0)),"")</f>
        <v>Transparencia, control político, lucha anticorrupción, vigilancia ciudadana, ejecución presupuestal y sanción a abusos.</v>
      </c>
      <c r="AN119" s="9" t="str">
        <f t="shared" si="3"/>
        <v>Alta</v>
      </c>
      <c r="AO119" s="9" t="s">
        <v>485</v>
      </c>
    </row>
    <row r="120" spans="1:41" ht="28.8">
      <c r="A120" s="9" t="s">
        <v>341</v>
      </c>
      <c r="B120" s="9" t="s">
        <v>325</v>
      </c>
      <c r="C120" s="9" t="s">
        <v>342</v>
      </c>
      <c r="D120" s="10">
        <v>2181</v>
      </c>
      <c r="E120" s="10">
        <v>1808</v>
      </c>
      <c r="F120" s="10">
        <v>1492</v>
      </c>
      <c r="G120" s="9" t="s">
        <v>477</v>
      </c>
      <c r="H120" s="11">
        <v>0.47959651535992659</v>
      </c>
      <c r="I120" s="11">
        <v>0.2265016047684548</v>
      </c>
      <c r="J120" s="9" t="s">
        <v>478</v>
      </c>
      <c r="K120" s="11">
        <v>0.24170353982300891</v>
      </c>
      <c r="L120" s="11">
        <v>0.14657079646017701</v>
      </c>
      <c r="M120" s="9" t="s">
        <v>486</v>
      </c>
      <c r="N120" s="11">
        <v>0.30294906166219843</v>
      </c>
      <c r="O120" s="11">
        <v>3.2841823056300228E-2</v>
      </c>
      <c r="P120" s="12">
        <v>7.7392729533794419E-2</v>
      </c>
      <c r="Q120" s="9" t="s">
        <v>412</v>
      </c>
      <c r="R120" s="12">
        <v>-0.45700000000000002</v>
      </c>
      <c r="S120" s="9" t="s">
        <v>75</v>
      </c>
      <c r="T120" s="12">
        <v>0.104</v>
      </c>
      <c r="U120" s="12">
        <v>6.0464243177931483E-2</v>
      </c>
      <c r="V120" s="9" t="s">
        <v>412</v>
      </c>
      <c r="W120" s="9" t="s">
        <v>487</v>
      </c>
      <c r="X120" s="9" t="s">
        <v>60</v>
      </c>
      <c r="Y120" s="9" t="s">
        <v>489</v>
      </c>
      <c r="Z120" s="9" t="s">
        <v>490</v>
      </c>
      <c r="AA120" s="9" t="s">
        <v>483</v>
      </c>
      <c r="AB120" s="12">
        <v>0.17883083333190239</v>
      </c>
      <c r="AC120" s="12">
        <v>0.19958380427339611</v>
      </c>
      <c r="AD120" s="12">
        <v>0.20807380213950932</v>
      </c>
      <c r="AE120" s="12">
        <v>0.2267397558235115</v>
      </c>
      <c r="AF120" s="12">
        <v>0.18945218697975039</v>
      </c>
      <c r="AG120" s="9" t="str">
        <f>INDEX('[2]10_Listas'!$A$2:$A$6,MATCH(MAX(AB120:AF120),AB120:AF120,0))</f>
        <v>Desconfianza y castigo</v>
      </c>
      <c r="AH120" s="9" t="s">
        <v>488</v>
      </c>
      <c r="AI120" s="9"/>
      <c r="AJ120" s="9" t="str">
        <f t="shared" si="2"/>
        <v>Desconfianza y castigo</v>
      </c>
      <c r="AK120" s="9" t="str">
        <f>IFERROR(INDEX('[2]02_Arquetipos_Miedo_Sesgo'!$C$4:$C$8,MATCH(AJ120,'[2]02_Arquetipos_Miedo_Sesgo'!$A$4:$A$8,0)),"")</f>
        <v>Miedo a ser engañado, robado, manipulado o usado electoralmente.</v>
      </c>
      <c r="AL120" s="9" t="str">
        <f>IFERROR(INDEX('[2]02_Arquetipos_Miedo_Sesgo'!$D$4:$D$8,MATCH(AJ120,'[2]02_Arquetipos_Miedo_Sesgo'!$A$4:$A$8,0)),"")</f>
        <v>Sesgo de confirmación + cinismo político + efecto de indignación moral.</v>
      </c>
      <c r="AM120" s="9" t="str">
        <f>IFERROR(INDEX('[2]02_Arquetipos_Miedo_Sesgo'!$E$4:$E$8,MATCH(AJ120,'[2]02_Arquetipos_Miedo_Sesgo'!$A$4:$A$8,0)),"")</f>
        <v>Transparencia, control político, lucha anticorrupción, vigilancia ciudadana, ejecución presupuestal y sanción a abusos.</v>
      </c>
      <c r="AN120" s="9" t="str">
        <f t="shared" si="3"/>
        <v>Alta</v>
      </c>
      <c r="AO120" s="9" t="s">
        <v>485</v>
      </c>
    </row>
    <row r="121" spans="1:41" ht="28.8">
      <c r="A121" s="9" t="s">
        <v>364</v>
      </c>
      <c r="B121" s="9" t="s">
        <v>346</v>
      </c>
      <c r="C121" s="9" t="s">
        <v>365</v>
      </c>
      <c r="D121" s="10">
        <v>3670</v>
      </c>
      <c r="E121" s="10">
        <v>2996</v>
      </c>
      <c r="F121" s="10">
        <v>2377</v>
      </c>
      <c r="G121" s="9" t="s">
        <v>477</v>
      </c>
      <c r="H121" s="11">
        <v>0.47356948228882828</v>
      </c>
      <c r="I121" s="11">
        <v>0.1863760217983651</v>
      </c>
      <c r="J121" s="9" t="s">
        <v>478</v>
      </c>
      <c r="K121" s="11">
        <v>0.22696929238985311</v>
      </c>
      <c r="L121" s="11">
        <v>0.1184913217623498</v>
      </c>
      <c r="M121" s="9" t="s">
        <v>486</v>
      </c>
      <c r="N121" s="11">
        <v>0.26377787126630209</v>
      </c>
      <c r="O121" s="11">
        <v>3.9545645771981518E-2</v>
      </c>
      <c r="P121" s="12">
        <v>7.7392729533794419E-2</v>
      </c>
      <c r="Q121" s="9" t="s">
        <v>412</v>
      </c>
      <c r="R121" s="12">
        <v>-0.45700000000000002</v>
      </c>
      <c r="S121" s="9" t="s">
        <v>75</v>
      </c>
      <c r="T121" s="12">
        <v>0.104</v>
      </c>
      <c r="U121" s="12">
        <v>6.0464243177931483E-2</v>
      </c>
      <c r="V121" s="9" t="s">
        <v>412</v>
      </c>
      <c r="W121" s="9" t="s">
        <v>487</v>
      </c>
      <c r="X121" s="9" t="s">
        <v>60</v>
      </c>
      <c r="Y121" s="9" t="s">
        <v>489</v>
      </c>
      <c r="Z121" s="9" t="s">
        <v>490</v>
      </c>
      <c r="AA121" s="9" t="s">
        <v>483</v>
      </c>
      <c r="AB121" s="12">
        <v>0.17946122955231569</v>
      </c>
      <c r="AC121" s="12">
        <v>0.20470597006307173</v>
      </c>
      <c r="AD121" s="12">
        <v>0.21080450533634257</v>
      </c>
      <c r="AE121" s="12">
        <v>0.22833194581853461</v>
      </c>
      <c r="AF121" s="12">
        <v>0.18369431368744821</v>
      </c>
      <c r="AG121" s="9" t="str">
        <f>INDEX('[2]10_Listas'!$A$2:$A$6,MATCH(MAX(AB121:AF121),AB121:AF121,0))</f>
        <v>Desconfianza y castigo</v>
      </c>
      <c r="AH121" s="9" t="s">
        <v>488</v>
      </c>
      <c r="AI121" s="9"/>
      <c r="AJ121" s="9" t="str">
        <f t="shared" si="2"/>
        <v>Desconfianza y castigo</v>
      </c>
      <c r="AK121" s="9" t="str">
        <f>IFERROR(INDEX('[2]02_Arquetipos_Miedo_Sesgo'!$C$4:$C$8,MATCH(AJ121,'[2]02_Arquetipos_Miedo_Sesgo'!$A$4:$A$8,0)),"")</f>
        <v>Miedo a ser engañado, robado, manipulado o usado electoralmente.</v>
      </c>
      <c r="AL121" s="9" t="str">
        <f>IFERROR(INDEX('[2]02_Arquetipos_Miedo_Sesgo'!$D$4:$D$8,MATCH(AJ121,'[2]02_Arquetipos_Miedo_Sesgo'!$A$4:$A$8,0)),"")</f>
        <v>Sesgo de confirmación + cinismo político + efecto de indignación moral.</v>
      </c>
      <c r="AM121" s="9" t="str">
        <f>IFERROR(INDEX('[2]02_Arquetipos_Miedo_Sesgo'!$E$4:$E$8,MATCH(AJ121,'[2]02_Arquetipos_Miedo_Sesgo'!$A$4:$A$8,0)),"")</f>
        <v>Transparencia, control político, lucha anticorrupción, vigilancia ciudadana, ejecución presupuestal y sanción a abusos.</v>
      </c>
      <c r="AN121" s="9" t="str">
        <f t="shared" si="3"/>
        <v>Alta</v>
      </c>
      <c r="AO121" s="9" t="s">
        <v>485</v>
      </c>
    </row>
    <row r="122" spans="1:41" ht="28.8">
      <c r="A122" s="9" t="s">
        <v>345</v>
      </c>
      <c r="B122" s="9" t="s">
        <v>346</v>
      </c>
      <c r="C122" s="9" t="s">
        <v>347</v>
      </c>
      <c r="D122" s="10">
        <v>1418</v>
      </c>
      <c r="E122" s="10">
        <v>1113</v>
      </c>
      <c r="F122" s="10">
        <v>1050</v>
      </c>
      <c r="G122" s="9" t="s">
        <v>477</v>
      </c>
      <c r="H122" s="11">
        <v>0.50211565585331452</v>
      </c>
      <c r="I122" s="11">
        <v>0.19816643159379399</v>
      </c>
      <c r="J122" s="9" t="s">
        <v>478</v>
      </c>
      <c r="K122" s="11">
        <v>0.23090745732255169</v>
      </c>
      <c r="L122" s="11">
        <v>0.11949685534591201</v>
      </c>
      <c r="M122" s="9" t="s">
        <v>479</v>
      </c>
      <c r="N122" s="11">
        <v>0.52666666666666662</v>
      </c>
      <c r="O122" s="11">
        <v>0.2809523809523809</v>
      </c>
      <c r="P122" s="12">
        <v>7.7392729533794419E-2</v>
      </c>
      <c r="Q122" s="9" t="s">
        <v>412</v>
      </c>
      <c r="R122" s="12">
        <v>8.0000000000000002E-3</v>
      </c>
      <c r="S122" s="9" t="s">
        <v>412</v>
      </c>
      <c r="T122" s="12">
        <v>-0.41199999999999998</v>
      </c>
      <c r="U122" s="12">
        <v>4.1130909844598142E-2</v>
      </c>
      <c r="V122" s="9" t="s">
        <v>412</v>
      </c>
      <c r="W122" s="9" t="s">
        <v>480</v>
      </c>
      <c r="X122" s="9" t="s">
        <v>60</v>
      </c>
      <c r="Y122" s="9" t="s">
        <v>489</v>
      </c>
      <c r="Z122" s="9" t="s">
        <v>490</v>
      </c>
      <c r="AA122" s="9" t="s">
        <v>483</v>
      </c>
      <c r="AB122" s="12">
        <v>0.16152014755729721</v>
      </c>
      <c r="AC122" s="12">
        <v>0.19500891423486844</v>
      </c>
      <c r="AD122" s="12">
        <v>0.20625181608659823</v>
      </c>
      <c r="AE122" s="12">
        <v>0.20918411941533149</v>
      </c>
      <c r="AF122" s="12">
        <v>0.22346114181725379</v>
      </c>
      <c r="AG122" s="9" t="str">
        <f>INDEX('[2]10_Listas'!$A$2:$A$6,MATCH(MAX(AB122:AF122),AB122:AF122,0))</f>
        <v>Pertenencia y dignidad territorial</v>
      </c>
      <c r="AH122" s="9" t="s">
        <v>536</v>
      </c>
      <c r="AI122" s="9"/>
      <c r="AJ122" s="9" t="str">
        <f t="shared" si="2"/>
        <v>Pertenencia y dignidad territorial</v>
      </c>
      <c r="AK122" s="9" t="str">
        <f>IFERROR(INDEX('[2]02_Arquetipos_Miedo_Sesgo'!$C$4:$C$8,MATCH(AJ122,'[2]02_Arquetipos_Miedo_Sesgo'!$A$4:$A$8,0)),"")</f>
        <v>Miedo a ser olvidado, desplazado simbólicamente, estigmatizado o excluido de la inversión pública.</v>
      </c>
      <c r="AL122" s="9" t="str">
        <f>IFERROR(INDEX('[2]02_Arquetipos_Miedo_Sesgo'!$D$4:$D$8,MATCH(AJ122,'[2]02_Arquetipos_Miedo_Sesgo'!$A$4:$A$8,0)),"")</f>
        <v>Sesgo de identidad grupal + razonamiento protector de identidad + efecto halo de liderazgos cercanos.</v>
      </c>
      <c r="AM122" s="9" t="str">
        <f>IFERROR(INDEX('[2]02_Arquetipos_Miedo_Sesgo'!$E$4:$E$8,MATCH(AJ122,'[2]02_Arquetipos_Miedo_Sesgo'!$A$4:$A$8,0)),"")</f>
        <v>Inversión barrial, cultura, deporte, juventud, espacio público, vías locales, equipamientos y reconocimiento comunitario.</v>
      </c>
      <c r="AN122" s="9" t="str">
        <f t="shared" si="3"/>
        <v>Alta</v>
      </c>
      <c r="AO122" s="9" t="s">
        <v>485</v>
      </c>
    </row>
    <row r="123" spans="1:41" ht="28.8">
      <c r="A123" s="9" t="s">
        <v>362</v>
      </c>
      <c r="B123" s="9" t="s">
        <v>346</v>
      </c>
      <c r="C123" s="9" t="s">
        <v>363</v>
      </c>
      <c r="D123" s="10">
        <v>987</v>
      </c>
      <c r="E123" s="10">
        <v>776</v>
      </c>
      <c r="F123" s="10">
        <v>727</v>
      </c>
      <c r="G123" s="9" t="s">
        <v>477</v>
      </c>
      <c r="H123" s="11">
        <v>0.47619047619047622</v>
      </c>
      <c r="I123" s="11">
        <v>0.21884498480243161</v>
      </c>
      <c r="J123" s="9" t="s">
        <v>478</v>
      </c>
      <c r="K123" s="11">
        <v>0.22809278350515461</v>
      </c>
      <c r="L123" s="11">
        <v>7.4742268041237098E-2</v>
      </c>
      <c r="M123" s="9" t="s">
        <v>506</v>
      </c>
      <c r="N123" s="11">
        <v>0.26409903713892707</v>
      </c>
      <c r="O123" s="11">
        <v>6.8775790921595248E-3</v>
      </c>
      <c r="P123" s="12">
        <v>7.7392729533794419E-2</v>
      </c>
      <c r="Q123" s="9" t="s">
        <v>412</v>
      </c>
      <c r="R123" s="12">
        <v>0.127</v>
      </c>
      <c r="S123" s="9" t="s">
        <v>412</v>
      </c>
      <c r="T123" s="12">
        <v>-0.224</v>
      </c>
      <c r="U123" s="12">
        <v>7.3797576511264798E-2</v>
      </c>
      <c r="V123" s="9" t="s">
        <v>412</v>
      </c>
      <c r="W123" s="9" t="s">
        <v>480</v>
      </c>
      <c r="X123" s="9" t="s">
        <v>60</v>
      </c>
      <c r="Y123" s="9" t="s">
        <v>489</v>
      </c>
      <c r="Z123" s="9" t="s">
        <v>490</v>
      </c>
      <c r="AA123" s="9" t="s">
        <v>483</v>
      </c>
      <c r="AB123" s="12">
        <v>0.1898749624841429</v>
      </c>
      <c r="AC123" s="12">
        <v>0.22723082766324409</v>
      </c>
      <c r="AD123" s="12">
        <v>0.22528763573008473</v>
      </c>
      <c r="AE123" s="12">
        <v>0.21622428840075991</v>
      </c>
      <c r="AF123" s="12">
        <v>0.1582638400342308</v>
      </c>
      <c r="AG123" s="9" t="str">
        <f>INDEX('[2]10_Listas'!$A$2:$A$6,MATCH(MAX(AB123:AF123),AB123:AF123,0))</f>
        <v>Estabilidad y continuidad</v>
      </c>
      <c r="AH123" s="9" t="s">
        <v>491</v>
      </c>
      <c r="AI123" s="9"/>
      <c r="AJ123" s="9" t="str">
        <f t="shared" si="2"/>
        <v>Estabilidad y continuidad</v>
      </c>
      <c r="AK123" s="9" t="str">
        <f>IFERROR(INDEX('[2]02_Arquetipos_Miedo_Sesgo'!$C$4:$C$8,MATCH(AJ123,'[2]02_Arquetipos_Miedo_Sesgo'!$A$4:$A$8,0)),"")</f>
        <v>Miedo a perder beneficios, subsidios, estabilidad institucional o condiciones de vida ya alcanzadas.</v>
      </c>
      <c r="AL123" s="9" t="str">
        <f>IFERROR(INDEX('[2]02_Arquetipos_Miedo_Sesgo'!$D$4:$D$8,MATCH(AJ123,'[2]02_Arquetipos_Miedo_Sesgo'!$A$4:$A$8,0)),"")</f>
        <v>Aversión a la pérdida + sesgo de statu quo + confirmación.</v>
      </c>
      <c r="AM123" s="9" t="str">
        <f>IFERROR(INDEX('[2]02_Arquetipos_Miedo_Sesgo'!$E$4:$E$8,MATCH(AJ123,'[2]02_Arquetipos_Miedo_Sesgo'!$A$4:$A$8,0)),"")</f>
        <v>Continuidad administrativa, servicios públicos, infraestructura, salud, educación y programas sociales.</v>
      </c>
      <c r="AN123" s="9" t="str">
        <f t="shared" si="3"/>
        <v>Alta</v>
      </c>
      <c r="AO123" s="9" t="s">
        <v>485</v>
      </c>
    </row>
    <row r="124" spans="1:41" ht="28.8">
      <c r="A124" s="9" t="s">
        <v>360</v>
      </c>
      <c r="B124" s="9" t="s">
        <v>346</v>
      </c>
      <c r="C124" s="9" t="s">
        <v>361</v>
      </c>
      <c r="D124" s="10">
        <v>4130</v>
      </c>
      <c r="E124" s="10">
        <v>3538</v>
      </c>
      <c r="F124" s="10">
        <v>2795</v>
      </c>
      <c r="G124" s="9" t="s">
        <v>477</v>
      </c>
      <c r="H124" s="11">
        <v>0.49370460048426151</v>
      </c>
      <c r="I124" s="11">
        <v>0.26222760290556901</v>
      </c>
      <c r="J124" s="9" t="s">
        <v>499</v>
      </c>
      <c r="K124" s="11">
        <v>0.23827020915771621</v>
      </c>
      <c r="L124" s="11">
        <v>3.5330695308083637E-2</v>
      </c>
      <c r="M124" s="9" t="s">
        <v>486</v>
      </c>
      <c r="N124" s="11">
        <v>0.29624329159212881</v>
      </c>
      <c r="O124" s="11">
        <v>8.443649373881934E-2</v>
      </c>
      <c r="P124" s="12">
        <v>-0.28034370684903998</v>
      </c>
      <c r="Q124" s="9" t="s">
        <v>412</v>
      </c>
      <c r="R124" s="12">
        <v>-0.45700000000000002</v>
      </c>
      <c r="S124" s="9" t="s">
        <v>75</v>
      </c>
      <c r="T124" s="12">
        <v>0.28000000000000003</v>
      </c>
      <c r="U124" s="12">
        <v>9.3333333333333338E-2</v>
      </c>
      <c r="V124" s="9" t="s">
        <v>412</v>
      </c>
      <c r="W124" s="9" t="s">
        <v>500</v>
      </c>
      <c r="X124" s="9" t="s">
        <v>60</v>
      </c>
      <c r="Y124" s="9" t="s">
        <v>489</v>
      </c>
      <c r="Z124" s="9" t="s">
        <v>490</v>
      </c>
      <c r="AA124" s="9" t="s">
        <v>483</v>
      </c>
      <c r="AB124" s="12">
        <v>0.172922048581683</v>
      </c>
      <c r="AC124" s="12">
        <v>0.21496536307718728</v>
      </c>
      <c r="AD124" s="12">
        <v>0.21705579953585522</v>
      </c>
      <c r="AE124" s="12">
        <v>0.22751458168798519</v>
      </c>
      <c r="AF124" s="12">
        <v>0.1776829055813629</v>
      </c>
      <c r="AG124" s="9" t="str">
        <f>INDEX('[2]10_Listas'!$A$2:$A$6,MATCH(MAX(AB124:AF124),AB124:AF124,0))</f>
        <v>Desconfianza y castigo</v>
      </c>
      <c r="AH124" s="9" t="s">
        <v>488</v>
      </c>
      <c r="AI124" s="9"/>
      <c r="AJ124" s="9" t="str">
        <f t="shared" si="2"/>
        <v>Desconfianza y castigo</v>
      </c>
      <c r="AK124" s="9" t="str">
        <f>IFERROR(INDEX('[2]02_Arquetipos_Miedo_Sesgo'!$C$4:$C$8,MATCH(AJ124,'[2]02_Arquetipos_Miedo_Sesgo'!$A$4:$A$8,0)),"")</f>
        <v>Miedo a ser engañado, robado, manipulado o usado electoralmente.</v>
      </c>
      <c r="AL124" s="9" t="str">
        <f>IFERROR(INDEX('[2]02_Arquetipos_Miedo_Sesgo'!$D$4:$D$8,MATCH(AJ124,'[2]02_Arquetipos_Miedo_Sesgo'!$A$4:$A$8,0)),"")</f>
        <v>Sesgo de confirmación + cinismo político + efecto de indignación moral.</v>
      </c>
      <c r="AM124" s="9" t="str">
        <f>IFERROR(INDEX('[2]02_Arquetipos_Miedo_Sesgo'!$E$4:$E$8,MATCH(AJ124,'[2]02_Arquetipos_Miedo_Sesgo'!$A$4:$A$8,0)),"")</f>
        <v>Transparencia, control político, lucha anticorrupción, vigilancia ciudadana, ejecución presupuestal y sanción a abusos.</v>
      </c>
      <c r="AN124" s="9" t="str">
        <f t="shared" si="3"/>
        <v>Alta</v>
      </c>
      <c r="AO124" s="9" t="s">
        <v>485</v>
      </c>
    </row>
    <row r="125" spans="1:41" ht="28.8">
      <c r="A125" s="9" t="s">
        <v>354</v>
      </c>
      <c r="B125" s="9" t="s">
        <v>346</v>
      </c>
      <c r="C125" s="9" t="s">
        <v>355</v>
      </c>
      <c r="D125" s="10">
        <v>517</v>
      </c>
      <c r="E125" s="10">
        <v>415</v>
      </c>
      <c r="F125" s="10">
        <v>334</v>
      </c>
      <c r="G125" s="9" t="s">
        <v>477</v>
      </c>
      <c r="H125" s="11">
        <v>0.45647969052224369</v>
      </c>
      <c r="I125" s="11">
        <v>0.1373307543520309</v>
      </c>
      <c r="J125" s="9" t="s">
        <v>478</v>
      </c>
      <c r="K125" s="11">
        <v>0.2096385542168675</v>
      </c>
      <c r="L125" s="11">
        <v>8.6746987951807228E-2</v>
      </c>
      <c r="M125" s="9" t="s">
        <v>506</v>
      </c>
      <c r="N125" s="11">
        <v>0.28742514970059879</v>
      </c>
      <c r="O125" s="11">
        <v>1.79640718562874E-2</v>
      </c>
      <c r="P125" s="12">
        <v>7.7392729533794419E-2</v>
      </c>
      <c r="Q125" s="9" t="s">
        <v>412</v>
      </c>
      <c r="R125" s="12">
        <v>0.127</v>
      </c>
      <c r="S125" s="9" t="s">
        <v>412</v>
      </c>
      <c r="T125" s="12">
        <v>-0.224</v>
      </c>
      <c r="U125" s="12">
        <v>7.3797576511264798E-2</v>
      </c>
      <c r="V125" s="9" t="s">
        <v>412</v>
      </c>
      <c r="W125" s="9" t="s">
        <v>480</v>
      </c>
      <c r="X125" s="9" t="s">
        <v>60</v>
      </c>
      <c r="Y125" s="9" t="s">
        <v>489</v>
      </c>
      <c r="Z125" s="9" t="s">
        <v>490</v>
      </c>
      <c r="AA125" s="9" t="s">
        <v>483</v>
      </c>
      <c r="AB125" s="12">
        <v>0.1817277952112607</v>
      </c>
      <c r="AC125" s="12">
        <v>0.21955784706213954</v>
      </c>
      <c r="AD125" s="12">
        <v>0.22030675339819583</v>
      </c>
      <c r="AE125" s="12">
        <v>0.22109010268509741</v>
      </c>
      <c r="AF125" s="12">
        <v>0.173093194775818</v>
      </c>
      <c r="AG125" s="9" t="str">
        <f>INDEX('[2]10_Listas'!$A$2:$A$6,MATCH(MAX(AB125:AF125),AB125:AF125,0))</f>
        <v>Desconfianza y castigo</v>
      </c>
      <c r="AH125" s="9" t="s">
        <v>491</v>
      </c>
      <c r="AI125" s="9"/>
      <c r="AJ125" s="9" t="str">
        <f t="shared" si="2"/>
        <v>Desconfianza y castigo</v>
      </c>
      <c r="AK125" s="9" t="str">
        <f>IFERROR(INDEX('[2]02_Arquetipos_Miedo_Sesgo'!$C$4:$C$8,MATCH(AJ125,'[2]02_Arquetipos_Miedo_Sesgo'!$A$4:$A$8,0)),"")</f>
        <v>Miedo a ser engañado, robado, manipulado o usado electoralmente.</v>
      </c>
      <c r="AL125" s="9" t="str">
        <f>IFERROR(INDEX('[2]02_Arquetipos_Miedo_Sesgo'!$D$4:$D$8,MATCH(AJ125,'[2]02_Arquetipos_Miedo_Sesgo'!$A$4:$A$8,0)),"")</f>
        <v>Sesgo de confirmación + cinismo político + efecto de indignación moral.</v>
      </c>
      <c r="AM125" s="9" t="str">
        <f>IFERROR(INDEX('[2]02_Arquetipos_Miedo_Sesgo'!$E$4:$E$8,MATCH(AJ125,'[2]02_Arquetipos_Miedo_Sesgo'!$A$4:$A$8,0)),"")</f>
        <v>Transparencia, control político, lucha anticorrupción, vigilancia ciudadana, ejecución presupuestal y sanción a abusos.</v>
      </c>
      <c r="AN125" s="9" t="str">
        <f t="shared" si="3"/>
        <v>Alta</v>
      </c>
      <c r="AO125" s="9" t="s">
        <v>485</v>
      </c>
    </row>
    <row r="126" spans="1:41" ht="28.8">
      <c r="A126" s="9" t="s">
        <v>352</v>
      </c>
      <c r="B126" s="9" t="s">
        <v>346</v>
      </c>
      <c r="C126" s="9" t="s">
        <v>353</v>
      </c>
      <c r="D126" s="10">
        <v>993</v>
      </c>
      <c r="E126" s="10">
        <v>774</v>
      </c>
      <c r="F126" s="10">
        <v>642</v>
      </c>
      <c r="G126" s="9" t="s">
        <v>477</v>
      </c>
      <c r="H126" s="11">
        <v>0.51258811681772409</v>
      </c>
      <c r="I126" s="11">
        <v>0.26988922457200398</v>
      </c>
      <c r="J126" s="9" t="s">
        <v>478</v>
      </c>
      <c r="K126" s="11">
        <v>0.2131782945736434</v>
      </c>
      <c r="L126" s="11">
        <v>9.8191214470284227E-2</v>
      </c>
      <c r="M126" s="9" t="s">
        <v>486</v>
      </c>
      <c r="N126" s="11">
        <v>0.26012461059190028</v>
      </c>
      <c r="O126" s="11">
        <v>1.86915887850467E-2</v>
      </c>
      <c r="P126" s="12">
        <v>7.7392729533794419E-2</v>
      </c>
      <c r="Q126" s="9" t="s">
        <v>412</v>
      </c>
      <c r="R126" s="12">
        <v>-0.45700000000000002</v>
      </c>
      <c r="S126" s="9" t="s">
        <v>75</v>
      </c>
      <c r="T126" s="12">
        <v>0.104</v>
      </c>
      <c r="U126" s="12">
        <v>6.0464243177931483E-2</v>
      </c>
      <c r="V126" s="9" t="s">
        <v>412</v>
      </c>
      <c r="W126" s="9" t="s">
        <v>487</v>
      </c>
      <c r="X126" s="9" t="s">
        <v>60</v>
      </c>
      <c r="Y126" s="9" t="s">
        <v>489</v>
      </c>
      <c r="Z126" s="9" t="s">
        <v>490</v>
      </c>
      <c r="AA126" s="9" t="s">
        <v>483</v>
      </c>
      <c r="AB126" s="12">
        <v>0.1669430766307968</v>
      </c>
      <c r="AC126" s="12">
        <v>0.2150362762048551</v>
      </c>
      <c r="AD126" s="12">
        <v>0.21664635895896298</v>
      </c>
      <c r="AE126" s="12">
        <v>0.23319815445871839</v>
      </c>
      <c r="AF126" s="12">
        <v>0.1772525268441589</v>
      </c>
      <c r="AG126" s="9" t="str">
        <f>INDEX('[2]10_Listas'!$A$2:$A$6,MATCH(MAX(AB126:AF126),AB126:AF126,0))</f>
        <v>Desconfianza y castigo</v>
      </c>
      <c r="AH126" s="9" t="s">
        <v>488</v>
      </c>
      <c r="AI126" s="9"/>
      <c r="AJ126" s="9" t="str">
        <f t="shared" si="2"/>
        <v>Desconfianza y castigo</v>
      </c>
      <c r="AK126" s="9" t="str">
        <f>IFERROR(INDEX('[2]02_Arquetipos_Miedo_Sesgo'!$C$4:$C$8,MATCH(AJ126,'[2]02_Arquetipos_Miedo_Sesgo'!$A$4:$A$8,0)),"")</f>
        <v>Miedo a ser engañado, robado, manipulado o usado electoralmente.</v>
      </c>
      <c r="AL126" s="9" t="str">
        <f>IFERROR(INDEX('[2]02_Arquetipos_Miedo_Sesgo'!$D$4:$D$8,MATCH(AJ126,'[2]02_Arquetipos_Miedo_Sesgo'!$A$4:$A$8,0)),"")</f>
        <v>Sesgo de confirmación + cinismo político + efecto de indignación moral.</v>
      </c>
      <c r="AM126" s="9" t="str">
        <f>IFERROR(INDEX('[2]02_Arquetipos_Miedo_Sesgo'!$E$4:$E$8,MATCH(AJ126,'[2]02_Arquetipos_Miedo_Sesgo'!$A$4:$A$8,0)),"")</f>
        <v>Transparencia, control político, lucha anticorrupción, vigilancia ciudadana, ejecución presupuestal y sanción a abusos.</v>
      </c>
      <c r="AN126" s="9" t="str">
        <f t="shared" si="3"/>
        <v>Alta</v>
      </c>
      <c r="AO126" s="9" t="s">
        <v>485</v>
      </c>
    </row>
    <row r="127" spans="1:41" ht="28.8">
      <c r="A127" s="9" t="s">
        <v>356</v>
      </c>
      <c r="B127" s="9" t="s">
        <v>346</v>
      </c>
      <c r="C127" s="9" t="s">
        <v>357</v>
      </c>
      <c r="D127" s="10">
        <v>11465</v>
      </c>
      <c r="E127" s="10">
        <v>9637</v>
      </c>
      <c r="F127" s="10">
        <v>7602</v>
      </c>
      <c r="G127" s="9" t="s">
        <v>477</v>
      </c>
      <c r="H127" s="11">
        <v>0.44875708678587012</v>
      </c>
      <c r="I127" s="11">
        <v>0.1242040994330572</v>
      </c>
      <c r="J127" s="9" t="s">
        <v>478</v>
      </c>
      <c r="K127" s="11">
        <v>0.2131368683200166</v>
      </c>
      <c r="L127" s="11">
        <v>0.10770986821624989</v>
      </c>
      <c r="M127" s="9" t="s">
        <v>486</v>
      </c>
      <c r="N127" s="11">
        <v>0.26308866087871607</v>
      </c>
      <c r="O127" s="11">
        <v>1.5916863983162329E-2</v>
      </c>
      <c r="P127" s="12">
        <v>7.7392729533794419E-2</v>
      </c>
      <c r="Q127" s="9" t="s">
        <v>412</v>
      </c>
      <c r="R127" s="12">
        <v>-0.45700000000000002</v>
      </c>
      <c r="S127" s="9" t="s">
        <v>75</v>
      </c>
      <c r="T127" s="12">
        <v>0.104</v>
      </c>
      <c r="U127" s="12">
        <v>6.0464243177931483E-2</v>
      </c>
      <c r="V127" s="9" t="s">
        <v>412</v>
      </c>
      <c r="W127" s="9" t="s">
        <v>487</v>
      </c>
      <c r="X127" s="9" t="s">
        <v>60</v>
      </c>
      <c r="Y127" s="9" t="s">
        <v>489</v>
      </c>
      <c r="Z127" s="9" t="s">
        <v>490</v>
      </c>
      <c r="AA127" s="9" t="s">
        <v>483</v>
      </c>
      <c r="AB127" s="12">
        <v>0.1880225302756314</v>
      </c>
      <c r="AC127" s="12">
        <v>0.20914085584777592</v>
      </c>
      <c r="AD127" s="12">
        <v>0.21479699567002253</v>
      </c>
      <c r="AE127" s="12">
        <v>0.21218329208198919</v>
      </c>
      <c r="AF127" s="12">
        <v>0.185032768678944</v>
      </c>
      <c r="AG127" s="9" t="str">
        <f>INDEX('[2]10_Listas'!$A$2:$A$6,MATCH(MAX(AB127:AF127),AB127:AF127,0))</f>
        <v>Supervivencia económica y servicios básicos</v>
      </c>
      <c r="AH127" s="9" t="s">
        <v>491</v>
      </c>
      <c r="AI127" s="9"/>
      <c r="AJ127" s="9" t="str">
        <f t="shared" si="2"/>
        <v>Supervivencia económica y servicios básicos</v>
      </c>
      <c r="AK127" s="9" t="str">
        <f>IFERROR(INDEX('[2]02_Arquetipos_Miedo_Sesgo'!$C$4:$C$8,MATCH(AJ127,'[2]02_Arquetipos_Miedo_Sesgo'!$A$4:$A$8,0)),"")</f>
        <v>Miedo a no llegar a fin de mes, perder ingresos, empleo, movilidad o acceso a servicios básicos.</v>
      </c>
      <c r="AL127" s="9" t="str">
        <f>IFERROR(INDEX('[2]02_Arquetipos_Miedo_Sesgo'!$D$4:$D$8,MATCH(AJ127,'[2]02_Arquetipos_Miedo_Sesgo'!$A$4:$A$8,0)),"")</f>
        <v>Sesgo de escasez + presente dominante + aversión al riesgo económico.</v>
      </c>
      <c r="AM127" s="9" t="str">
        <f>IFERROR(INDEX('[2]02_Arquetipos_Miedo_Sesgo'!$E$4:$E$8,MATCH(AJ127,'[2]02_Arquetipos_Miedo_Sesgo'!$A$4:$A$8,0)),"")</f>
        <v>Empleo, emprendimiento, economía popular, transporte, costo de vida, salud, educación técnica y subsidios focalizados.</v>
      </c>
      <c r="AN127" s="9" t="str">
        <f t="shared" si="3"/>
        <v>Alta</v>
      </c>
      <c r="AO127" s="9" t="s">
        <v>485</v>
      </c>
    </row>
    <row r="128" spans="1:41" ht="28.8">
      <c r="A128" s="9" t="s">
        <v>350</v>
      </c>
      <c r="B128" s="9" t="s">
        <v>346</v>
      </c>
      <c r="C128" s="9" t="s">
        <v>351</v>
      </c>
      <c r="D128" s="10">
        <v>2703</v>
      </c>
      <c r="E128" s="10">
        <v>2293</v>
      </c>
      <c r="F128" s="10">
        <v>1903</v>
      </c>
      <c r="G128" s="9" t="s">
        <v>477</v>
      </c>
      <c r="H128" s="11">
        <v>0.42841287458379579</v>
      </c>
      <c r="I128" s="11">
        <v>9.9889012208657035E-2</v>
      </c>
      <c r="J128" s="9" t="s">
        <v>478</v>
      </c>
      <c r="K128" s="11">
        <v>0.19188835586567821</v>
      </c>
      <c r="L128" s="11">
        <v>6.0619276057566507E-2</v>
      </c>
      <c r="M128" s="9" t="s">
        <v>479</v>
      </c>
      <c r="N128" s="11">
        <v>0.25643720441408302</v>
      </c>
      <c r="O128" s="11">
        <v>2.4697845507094061E-2</v>
      </c>
      <c r="P128" s="12">
        <v>7.7392729533794419E-2</v>
      </c>
      <c r="Q128" s="9" t="s">
        <v>412</v>
      </c>
      <c r="R128" s="12">
        <v>8.0000000000000002E-3</v>
      </c>
      <c r="S128" s="9" t="s">
        <v>412</v>
      </c>
      <c r="T128" s="12">
        <v>-0.41199999999999998</v>
      </c>
      <c r="U128" s="12">
        <v>4.1130909844598142E-2</v>
      </c>
      <c r="V128" s="9" t="s">
        <v>412</v>
      </c>
      <c r="W128" s="9" t="s">
        <v>480</v>
      </c>
      <c r="X128" s="9" t="s">
        <v>60</v>
      </c>
      <c r="Y128" s="9" t="s">
        <v>489</v>
      </c>
      <c r="Z128" s="9" t="s">
        <v>490</v>
      </c>
      <c r="AA128" s="9" t="s">
        <v>558</v>
      </c>
      <c r="AB128" s="12">
        <v>0.19965859478725201</v>
      </c>
      <c r="AC128" s="12">
        <v>0.22214095149391289</v>
      </c>
      <c r="AD128" s="12">
        <v>0.22299238145255459</v>
      </c>
      <c r="AE128" s="12">
        <v>0.2027852284440573</v>
      </c>
      <c r="AF128" s="12">
        <v>0.17018291149242071</v>
      </c>
      <c r="AG128" s="9" t="str">
        <f>INDEX('[2]10_Listas'!$A$2:$A$6,MATCH(MAX(AB128:AF128),AB128:AF128,0))</f>
        <v>Supervivencia económica y servicios básicos</v>
      </c>
      <c r="AH128" s="9" t="s">
        <v>491</v>
      </c>
      <c r="AI128" s="9"/>
      <c r="AJ128" s="9" t="str">
        <f t="shared" si="2"/>
        <v>Supervivencia económica y servicios básicos</v>
      </c>
      <c r="AK128" s="9" t="str">
        <f>IFERROR(INDEX('[2]02_Arquetipos_Miedo_Sesgo'!$C$4:$C$8,MATCH(AJ128,'[2]02_Arquetipos_Miedo_Sesgo'!$A$4:$A$8,0)),"")</f>
        <v>Miedo a no llegar a fin de mes, perder ingresos, empleo, movilidad o acceso a servicios básicos.</v>
      </c>
      <c r="AL128" s="9" t="str">
        <f>IFERROR(INDEX('[2]02_Arquetipos_Miedo_Sesgo'!$D$4:$D$8,MATCH(AJ128,'[2]02_Arquetipos_Miedo_Sesgo'!$A$4:$A$8,0)),"")</f>
        <v>Sesgo de escasez + presente dominante + aversión al riesgo económico.</v>
      </c>
      <c r="AM128" s="9" t="str">
        <f>IFERROR(INDEX('[2]02_Arquetipos_Miedo_Sesgo'!$E$4:$E$8,MATCH(AJ128,'[2]02_Arquetipos_Miedo_Sesgo'!$A$4:$A$8,0)),"")</f>
        <v>Empleo, emprendimiento, economía popular, transporte, costo de vida, salud, educación técnica y subsidios focalizados.</v>
      </c>
      <c r="AN128" s="9" t="str">
        <f t="shared" si="3"/>
        <v>Alta</v>
      </c>
      <c r="AO128" s="9" t="s">
        <v>485</v>
      </c>
    </row>
    <row r="129" spans="1:41" ht="28.8">
      <c r="A129" s="9" t="s">
        <v>358</v>
      </c>
      <c r="B129" s="9" t="s">
        <v>346</v>
      </c>
      <c r="C129" s="9" t="s">
        <v>359</v>
      </c>
      <c r="D129" s="10">
        <v>5844</v>
      </c>
      <c r="E129" s="10">
        <v>4933</v>
      </c>
      <c r="F129" s="10">
        <v>3919</v>
      </c>
      <c r="G129" s="9" t="s">
        <v>477</v>
      </c>
      <c r="H129" s="11">
        <v>0.50958247775496235</v>
      </c>
      <c r="I129" s="11">
        <v>0.2356262833675565</v>
      </c>
      <c r="J129" s="9" t="s">
        <v>478</v>
      </c>
      <c r="K129" s="11">
        <v>0.2019055341577134</v>
      </c>
      <c r="L129" s="11">
        <v>6.7301844719237808E-2</v>
      </c>
      <c r="M129" s="9" t="s">
        <v>486</v>
      </c>
      <c r="N129" s="11">
        <v>0.26920132686909931</v>
      </c>
      <c r="O129" s="11">
        <v>4.7205919877519757E-2</v>
      </c>
      <c r="P129" s="12">
        <v>7.7392729533794419E-2</v>
      </c>
      <c r="Q129" s="9" t="s">
        <v>412</v>
      </c>
      <c r="R129" s="12">
        <v>-0.45700000000000002</v>
      </c>
      <c r="S129" s="9" t="s">
        <v>75</v>
      </c>
      <c r="T129" s="12">
        <v>0.104</v>
      </c>
      <c r="U129" s="12">
        <v>6.0464243177931483E-2</v>
      </c>
      <c r="V129" s="9" t="s">
        <v>412</v>
      </c>
      <c r="W129" s="9" t="s">
        <v>487</v>
      </c>
      <c r="X129" s="9" t="s">
        <v>60</v>
      </c>
      <c r="Y129" s="9" t="s">
        <v>489</v>
      </c>
      <c r="Z129" s="9" t="s">
        <v>490</v>
      </c>
      <c r="AA129" s="9" t="s">
        <v>483</v>
      </c>
      <c r="AB129" s="12">
        <v>0.17984068238713899</v>
      </c>
      <c r="AC129" s="12">
        <v>0.22123958895896575</v>
      </c>
      <c r="AD129" s="12">
        <v>0.22190713300161594</v>
      </c>
      <c r="AE129" s="12">
        <v>0.2101532249199384</v>
      </c>
      <c r="AF129" s="12">
        <v>0.17611535566693651</v>
      </c>
      <c r="AG129" s="9" t="str">
        <f>INDEX('[2]10_Listas'!$A$2:$A$6,MATCH(MAX(AB129:AF129),AB129:AF129,0))</f>
        <v>Supervivencia económica y servicios básicos</v>
      </c>
      <c r="AH129" s="9" t="s">
        <v>491</v>
      </c>
      <c r="AI129" s="9"/>
      <c r="AJ129" s="9" t="str">
        <f t="shared" si="2"/>
        <v>Supervivencia económica y servicios básicos</v>
      </c>
      <c r="AK129" s="9" t="str">
        <f>IFERROR(INDEX('[2]02_Arquetipos_Miedo_Sesgo'!$C$4:$C$8,MATCH(AJ129,'[2]02_Arquetipos_Miedo_Sesgo'!$A$4:$A$8,0)),"")</f>
        <v>Miedo a no llegar a fin de mes, perder ingresos, empleo, movilidad o acceso a servicios básicos.</v>
      </c>
      <c r="AL129" s="9" t="str">
        <f>IFERROR(INDEX('[2]02_Arquetipos_Miedo_Sesgo'!$D$4:$D$8,MATCH(AJ129,'[2]02_Arquetipos_Miedo_Sesgo'!$A$4:$A$8,0)),"")</f>
        <v>Sesgo de escasez + presente dominante + aversión al riesgo económico.</v>
      </c>
      <c r="AM129" s="9" t="str">
        <f>IFERROR(INDEX('[2]02_Arquetipos_Miedo_Sesgo'!$E$4:$E$8,MATCH(AJ129,'[2]02_Arquetipos_Miedo_Sesgo'!$A$4:$A$8,0)),"")</f>
        <v>Empleo, emprendimiento, economía popular, transporte, costo de vida, salud, educación técnica y subsidios focalizados.</v>
      </c>
      <c r="AN129" s="9" t="str">
        <f t="shared" si="3"/>
        <v>Alta</v>
      </c>
      <c r="AO129" s="9" t="s">
        <v>485</v>
      </c>
    </row>
    <row r="130" spans="1:41" ht="28.8">
      <c r="A130" s="9" t="s">
        <v>373</v>
      </c>
      <c r="B130" s="9" t="s">
        <v>367</v>
      </c>
      <c r="C130" s="9" t="s">
        <v>374</v>
      </c>
      <c r="D130" s="10">
        <v>4463</v>
      </c>
      <c r="E130" s="10">
        <v>3606</v>
      </c>
      <c r="F130" s="10">
        <v>2954</v>
      </c>
      <c r="G130" s="9" t="s">
        <v>477</v>
      </c>
      <c r="H130" s="11">
        <v>0.54918216446336543</v>
      </c>
      <c r="I130" s="11">
        <v>0.34909253865113149</v>
      </c>
      <c r="J130" s="9" t="s">
        <v>478</v>
      </c>
      <c r="K130" s="11">
        <v>0.2254575707154742</v>
      </c>
      <c r="L130" s="11">
        <v>0.12784248474764279</v>
      </c>
      <c r="M130" s="9" t="s">
        <v>486</v>
      </c>
      <c r="N130" s="11">
        <v>0.24779959377115779</v>
      </c>
      <c r="O130" s="11">
        <v>5.1455653351387957E-2</v>
      </c>
      <c r="P130" s="12">
        <v>7.7392729533794419E-2</v>
      </c>
      <c r="Q130" s="9" t="s">
        <v>412</v>
      </c>
      <c r="R130" s="12">
        <v>-0.45700000000000002</v>
      </c>
      <c r="S130" s="9" t="s">
        <v>75</v>
      </c>
      <c r="T130" s="12">
        <v>0.104</v>
      </c>
      <c r="U130" s="12">
        <v>6.0464243177931483E-2</v>
      </c>
      <c r="V130" s="9" t="s">
        <v>412</v>
      </c>
      <c r="W130" s="9" t="s">
        <v>487</v>
      </c>
      <c r="X130" s="9" t="s">
        <v>60</v>
      </c>
      <c r="Y130" s="9" t="s">
        <v>541</v>
      </c>
      <c r="Z130" s="9" t="s">
        <v>542</v>
      </c>
      <c r="AA130" s="9" t="s">
        <v>483</v>
      </c>
      <c r="AB130" s="12">
        <v>0.16218120706720759</v>
      </c>
      <c r="AC130" s="12">
        <v>0.21463970658289577</v>
      </c>
      <c r="AD130" s="12">
        <v>0.21836250372406563</v>
      </c>
      <c r="AE130" s="12">
        <v>0.2184144046268843</v>
      </c>
      <c r="AF130" s="12">
        <v>0.18651780146120539</v>
      </c>
      <c r="AG130" s="9" t="str">
        <f>INDEX('[2]10_Listas'!$A$2:$A$6,MATCH(MAX(AB130:AF130),AB130:AF130,0))</f>
        <v>Desconfianza y castigo</v>
      </c>
      <c r="AH130" s="9" t="s">
        <v>484</v>
      </c>
      <c r="AI130" s="9"/>
      <c r="AJ130" s="9" t="str">
        <f t="shared" ref="AJ130:AJ144" si="4">IF(AI130&lt;&gt;"",AI130,AG130)</f>
        <v>Desconfianza y castigo</v>
      </c>
      <c r="AK130" s="9" t="str">
        <f>IFERROR(INDEX('[2]02_Arquetipos_Miedo_Sesgo'!$C$4:$C$8,MATCH(AJ130,'[2]02_Arquetipos_Miedo_Sesgo'!$A$4:$A$8,0)),"")</f>
        <v>Miedo a ser engañado, robado, manipulado o usado electoralmente.</v>
      </c>
      <c r="AL130" s="9" t="str">
        <f>IFERROR(INDEX('[2]02_Arquetipos_Miedo_Sesgo'!$D$4:$D$8,MATCH(AJ130,'[2]02_Arquetipos_Miedo_Sesgo'!$A$4:$A$8,0)),"")</f>
        <v>Sesgo de confirmación + cinismo político + efecto de indignación moral.</v>
      </c>
      <c r="AM130" s="9" t="str">
        <f>IFERROR(INDEX('[2]02_Arquetipos_Miedo_Sesgo'!$E$4:$E$8,MATCH(AJ130,'[2]02_Arquetipos_Miedo_Sesgo'!$A$4:$A$8,0)),"")</f>
        <v>Transparencia, control político, lucha anticorrupción, vigilancia ciudadana, ejecución presupuestal y sanción a abusos.</v>
      </c>
      <c r="AN130" s="9" t="str">
        <f t="shared" ref="AN130:AN144" si="5">IF(OR($X130="Alto",$X130="Extremo",MAX($AB130:$AF130)&gt;=0.215),"Alta",IF(MAX($AB130:$AF130)&gt;=0.195,"Media","Baja"))</f>
        <v>Alta</v>
      </c>
      <c r="AO130" s="9" t="s">
        <v>485</v>
      </c>
    </row>
    <row r="131" spans="1:41" ht="28.8">
      <c r="A131" s="9" t="s">
        <v>366</v>
      </c>
      <c r="B131" s="9" t="s">
        <v>367</v>
      </c>
      <c r="C131" s="9" t="s">
        <v>368</v>
      </c>
      <c r="D131" s="10">
        <v>5324</v>
      </c>
      <c r="E131" s="10">
        <v>4317</v>
      </c>
      <c r="F131" s="10">
        <v>3719</v>
      </c>
      <c r="G131" s="9" t="s">
        <v>477</v>
      </c>
      <c r="H131" s="11">
        <v>0.51953418482344105</v>
      </c>
      <c r="I131" s="11">
        <v>0.2804282494365139</v>
      </c>
      <c r="J131" s="9" t="s">
        <v>478</v>
      </c>
      <c r="K131" s="11">
        <v>0.24600416956219601</v>
      </c>
      <c r="L131" s="11">
        <v>0.14917766967801721</v>
      </c>
      <c r="M131" s="9" t="s">
        <v>486</v>
      </c>
      <c r="N131" s="11">
        <v>0.26512503361118578</v>
      </c>
      <c r="O131" s="11">
        <v>9.5455767679483716E-2</v>
      </c>
      <c r="P131" s="12">
        <v>7.7392729533794419E-2</v>
      </c>
      <c r="Q131" s="9" t="s">
        <v>412</v>
      </c>
      <c r="R131" s="12">
        <v>-0.45700000000000002</v>
      </c>
      <c r="S131" s="9" t="s">
        <v>75</v>
      </c>
      <c r="T131" s="12">
        <v>0.104</v>
      </c>
      <c r="U131" s="12">
        <v>6.0464243177931483E-2</v>
      </c>
      <c r="V131" s="9" t="s">
        <v>412</v>
      </c>
      <c r="W131" s="9" t="s">
        <v>487</v>
      </c>
      <c r="X131" s="9" t="s">
        <v>60</v>
      </c>
      <c r="Y131" s="9" t="s">
        <v>541</v>
      </c>
      <c r="Z131" s="9" t="s">
        <v>542</v>
      </c>
      <c r="AA131" s="9" t="s">
        <v>483</v>
      </c>
      <c r="AB131" s="12">
        <v>0.17214173547096631</v>
      </c>
      <c r="AC131" s="12">
        <v>0.21071792720390592</v>
      </c>
      <c r="AD131" s="12">
        <v>0.21592525083672787</v>
      </c>
      <c r="AE131" s="12">
        <v>0.21770160060366289</v>
      </c>
      <c r="AF131" s="12">
        <v>0.18504756592208069</v>
      </c>
      <c r="AG131" s="9" t="str">
        <f>INDEX('[2]10_Listas'!$A$2:$A$6,MATCH(MAX(AB131:AF131),AB131:AF131,0))</f>
        <v>Desconfianza y castigo</v>
      </c>
      <c r="AH131" s="9" t="s">
        <v>488</v>
      </c>
      <c r="AI131" s="9"/>
      <c r="AJ131" s="9" t="str">
        <f t="shared" si="4"/>
        <v>Desconfianza y castigo</v>
      </c>
      <c r="AK131" s="9" t="str">
        <f>IFERROR(INDEX('[2]02_Arquetipos_Miedo_Sesgo'!$C$4:$C$8,MATCH(AJ131,'[2]02_Arquetipos_Miedo_Sesgo'!$A$4:$A$8,0)),"")</f>
        <v>Miedo a ser engañado, robado, manipulado o usado electoralmente.</v>
      </c>
      <c r="AL131" s="9" t="str">
        <f>IFERROR(INDEX('[2]02_Arquetipos_Miedo_Sesgo'!$D$4:$D$8,MATCH(AJ131,'[2]02_Arquetipos_Miedo_Sesgo'!$A$4:$A$8,0)),"")</f>
        <v>Sesgo de confirmación + cinismo político + efecto de indignación moral.</v>
      </c>
      <c r="AM131" s="9" t="str">
        <f>IFERROR(INDEX('[2]02_Arquetipos_Miedo_Sesgo'!$E$4:$E$8,MATCH(AJ131,'[2]02_Arquetipos_Miedo_Sesgo'!$A$4:$A$8,0)),"")</f>
        <v>Transparencia, control político, lucha anticorrupción, vigilancia ciudadana, ejecución presupuestal y sanción a abusos.</v>
      </c>
      <c r="AN131" s="9" t="str">
        <f t="shared" si="5"/>
        <v>Alta</v>
      </c>
      <c r="AO131" s="9" t="s">
        <v>485</v>
      </c>
    </row>
    <row r="132" spans="1:41" ht="28.8">
      <c r="A132" s="9" t="s">
        <v>379</v>
      </c>
      <c r="B132" s="9" t="s">
        <v>367</v>
      </c>
      <c r="C132" s="9" t="s">
        <v>380</v>
      </c>
      <c r="D132" s="10">
        <v>3007</v>
      </c>
      <c r="E132" s="10">
        <v>2342</v>
      </c>
      <c r="F132" s="10">
        <v>1866</v>
      </c>
      <c r="G132" s="9" t="s">
        <v>477</v>
      </c>
      <c r="H132" s="11">
        <v>0.5131360159627536</v>
      </c>
      <c r="I132" s="11">
        <v>0.2504156967076821</v>
      </c>
      <c r="J132" s="9" t="s">
        <v>478</v>
      </c>
      <c r="K132" s="11">
        <v>0.2267292912040991</v>
      </c>
      <c r="L132" s="11">
        <v>0.1080273270708796</v>
      </c>
      <c r="M132" s="9" t="s">
        <v>486</v>
      </c>
      <c r="N132" s="11">
        <v>0.28081457663451231</v>
      </c>
      <c r="O132" s="11">
        <v>7.2883172561629128E-2</v>
      </c>
      <c r="P132" s="12">
        <v>7.7392729533794419E-2</v>
      </c>
      <c r="Q132" s="9" t="s">
        <v>412</v>
      </c>
      <c r="R132" s="12">
        <v>-0.45700000000000002</v>
      </c>
      <c r="S132" s="9" t="s">
        <v>75</v>
      </c>
      <c r="T132" s="12">
        <v>0.104</v>
      </c>
      <c r="U132" s="12">
        <v>6.0464243177931483E-2</v>
      </c>
      <c r="V132" s="9" t="s">
        <v>412</v>
      </c>
      <c r="W132" s="9" t="s">
        <v>487</v>
      </c>
      <c r="X132" s="9" t="s">
        <v>60</v>
      </c>
      <c r="Y132" s="9" t="s">
        <v>541</v>
      </c>
      <c r="Z132" s="9" t="s">
        <v>542</v>
      </c>
      <c r="AA132" s="9" t="s">
        <v>483</v>
      </c>
      <c r="AB132" s="12">
        <v>0.17041928859117539</v>
      </c>
      <c r="AC132" s="12">
        <v>0.20394595255853709</v>
      </c>
      <c r="AD132" s="12">
        <v>0.21079809842783828</v>
      </c>
      <c r="AE132" s="12">
        <v>0.22308675402074621</v>
      </c>
      <c r="AF132" s="12">
        <v>0.19275708705052871</v>
      </c>
      <c r="AG132" s="9" t="str">
        <f>INDEX('[2]10_Listas'!$A$2:$A$6,MATCH(MAX(AB132:AF132),AB132:AF132,0))</f>
        <v>Desconfianza y castigo</v>
      </c>
      <c r="AH132" s="9" t="s">
        <v>488</v>
      </c>
      <c r="AI132" s="9"/>
      <c r="AJ132" s="9" t="str">
        <f t="shared" si="4"/>
        <v>Desconfianza y castigo</v>
      </c>
      <c r="AK132" s="9" t="str">
        <f>IFERROR(INDEX('[2]02_Arquetipos_Miedo_Sesgo'!$C$4:$C$8,MATCH(AJ132,'[2]02_Arquetipos_Miedo_Sesgo'!$A$4:$A$8,0)),"")</f>
        <v>Miedo a ser engañado, robado, manipulado o usado electoralmente.</v>
      </c>
      <c r="AL132" s="9" t="str">
        <f>IFERROR(INDEX('[2]02_Arquetipos_Miedo_Sesgo'!$D$4:$D$8,MATCH(AJ132,'[2]02_Arquetipos_Miedo_Sesgo'!$A$4:$A$8,0)),"")</f>
        <v>Sesgo de confirmación + cinismo político + efecto de indignación moral.</v>
      </c>
      <c r="AM132" s="9" t="str">
        <f>IFERROR(INDEX('[2]02_Arquetipos_Miedo_Sesgo'!$E$4:$E$8,MATCH(AJ132,'[2]02_Arquetipos_Miedo_Sesgo'!$A$4:$A$8,0)),"")</f>
        <v>Transparencia, control político, lucha anticorrupción, vigilancia ciudadana, ejecución presupuestal y sanción a abusos.</v>
      </c>
      <c r="AN132" s="9" t="str">
        <f t="shared" si="5"/>
        <v>Alta</v>
      </c>
      <c r="AO132" s="9" t="s">
        <v>485</v>
      </c>
    </row>
    <row r="133" spans="1:41" ht="28.8">
      <c r="A133" s="9" t="s">
        <v>377</v>
      </c>
      <c r="B133" s="9" t="s">
        <v>367</v>
      </c>
      <c r="C133" s="9" t="s">
        <v>378</v>
      </c>
      <c r="D133" s="10">
        <v>6515</v>
      </c>
      <c r="E133" s="10">
        <v>5285</v>
      </c>
      <c r="F133" s="10">
        <v>4508</v>
      </c>
      <c r="G133" s="9" t="s">
        <v>477</v>
      </c>
      <c r="H133" s="11">
        <v>0.46369915579432081</v>
      </c>
      <c r="I133" s="11">
        <v>0.2264006139677667</v>
      </c>
      <c r="J133" s="9" t="s">
        <v>478</v>
      </c>
      <c r="K133" s="11">
        <v>0.2281929990539262</v>
      </c>
      <c r="L133" s="11">
        <v>0.1072847682119205</v>
      </c>
      <c r="M133" s="9" t="s">
        <v>486</v>
      </c>
      <c r="N133" s="11">
        <v>0.25865128660159709</v>
      </c>
      <c r="O133" s="11">
        <v>3.5936113575865097E-2</v>
      </c>
      <c r="P133" s="12">
        <v>7.7392729533794419E-2</v>
      </c>
      <c r="Q133" s="9" t="s">
        <v>412</v>
      </c>
      <c r="R133" s="12">
        <v>-0.45700000000000002</v>
      </c>
      <c r="S133" s="9" t="s">
        <v>75</v>
      </c>
      <c r="T133" s="12">
        <v>0.104</v>
      </c>
      <c r="U133" s="12">
        <v>6.0464243177931483E-2</v>
      </c>
      <c r="V133" s="9" t="s">
        <v>412</v>
      </c>
      <c r="W133" s="9" t="s">
        <v>487</v>
      </c>
      <c r="X133" s="9" t="s">
        <v>60</v>
      </c>
      <c r="Y133" s="9" t="s">
        <v>541</v>
      </c>
      <c r="Z133" s="9" t="s">
        <v>542</v>
      </c>
      <c r="AA133" s="9" t="s">
        <v>483</v>
      </c>
      <c r="AB133" s="12">
        <v>0.17379064242977599</v>
      </c>
      <c r="AC133" s="12">
        <v>0.21170850366514615</v>
      </c>
      <c r="AD133" s="12">
        <v>0.2175474597930295</v>
      </c>
      <c r="AE133" s="12">
        <v>0.2150819612948846</v>
      </c>
      <c r="AF133" s="12">
        <v>0.187935487412696</v>
      </c>
      <c r="AG133" s="9" t="str">
        <f>INDEX('[2]10_Listas'!$A$2:$A$6,MATCH(MAX(AB133:AF133),AB133:AF133,0))</f>
        <v>Supervivencia económica y servicios básicos</v>
      </c>
      <c r="AH133" s="9" t="s">
        <v>491</v>
      </c>
      <c r="AI133" s="9"/>
      <c r="AJ133" s="9" t="str">
        <f t="shared" si="4"/>
        <v>Supervivencia económica y servicios básicos</v>
      </c>
      <c r="AK133" s="9" t="str">
        <f>IFERROR(INDEX('[2]02_Arquetipos_Miedo_Sesgo'!$C$4:$C$8,MATCH(AJ133,'[2]02_Arquetipos_Miedo_Sesgo'!$A$4:$A$8,0)),"")</f>
        <v>Miedo a no llegar a fin de mes, perder ingresos, empleo, movilidad o acceso a servicios básicos.</v>
      </c>
      <c r="AL133" s="9" t="str">
        <f>IFERROR(INDEX('[2]02_Arquetipos_Miedo_Sesgo'!$D$4:$D$8,MATCH(AJ133,'[2]02_Arquetipos_Miedo_Sesgo'!$A$4:$A$8,0)),"")</f>
        <v>Sesgo de escasez + presente dominante + aversión al riesgo económico.</v>
      </c>
      <c r="AM133" s="9" t="str">
        <f>IFERROR(INDEX('[2]02_Arquetipos_Miedo_Sesgo'!$E$4:$E$8,MATCH(AJ133,'[2]02_Arquetipos_Miedo_Sesgo'!$A$4:$A$8,0)),"")</f>
        <v>Empleo, emprendimiento, economía popular, transporte, costo de vida, salud, educación técnica y subsidios focalizados.</v>
      </c>
      <c r="AN133" s="9" t="str">
        <f t="shared" si="5"/>
        <v>Alta</v>
      </c>
      <c r="AO133" s="9" t="s">
        <v>485</v>
      </c>
    </row>
    <row r="134" spans="1:41" ht="28.8">
      <c r="A134" s="9" t="s">
        <v>375</v>
      </c>
      <c r="B134" s="9" t="s">
        <v>367</v>
      </c>
      <c r="C134" s="9" t="s">
        <v>376</v>
      </c>
      <c r="D134" s="10">
        <v>2892</v>
      </c>
      <c r="E134" s="10">
        <v>2404</v>
      </c>
      <c r="F134" s="10">
        <v>2093</v>
      </c>
      <c r="G134" s="9" t="s">
        <v>477</v>
      </c>
      <c r="H134" s="11">
        <v>0.46749654218533893</v>
      </c>
      <c r="I134" s="11">
        <v>0.2323651452282158</v>
      </c>
      <c r="J134" s="9" t="s">
        <v>478</v>
      </c>
      <c r="K134" s="11">
        <v>0.197171381031614</v>
      </c>
      <c r="L134" s="11">
        <v>3.6189683860232941E-2</v>
      </c>
      <c r="M134" s="9" t="s">
        <v>486</v>
      </c>
      <c r="N134" s="11">
        <v>0.21404682274247491</v>
      </c>
      <c r="O134" s="11">
        <v>4.6822742474916378E-2</v>
      </c>
      <c r="P134" s="12">
        <v>7.7392729533794419E-2</v>
      </c>
      <c r="Q134" s="9" t="s">
        <v>412</v>
      </c>
      <c r="R134" s="12">
        <v>-0.45700000000000002</v>
      </c>
      <c r="S134" s="9" t="s">
        <v>75</v>
      </c>
      <c r="T134" s="12">
        <v>0.104</v>
      </c>
      <c r="U134" s="12">
        <v>6.0464243177931483E-2</v>
      </c>
      <c r="V134" s="9" t="s">
        <v>412</v>
      </c>
      <c r="W134" s="9" t="s">
        <v>487</v>
      </c>
      <c r="X134" s="9" t="s">
        <v>60</v>
      </c>
      <c r="Y134" s="9" t="s">
        <v>541</v>
      </c>
      <c r="Z134" s="9" t="s">
        <v>542</v>
      </c>
      <c r="AA134" s="9" t="s">
        <v>483</v>
      </c>
      <c r="AB134" s="12">
        <v>0.19114046036817639</v>
      </c>
      <c r="AC134" s="12">
        <v>0.21440421673553567</v>
      </c>
      <c r="AD134" s="12">
        <v>0.2187054207532339</v>
      </c>
      <c r="AE134" s="12">
        <v>0.20736731767722469</v>
      </c>
      <c r="AF134" s="12">
        <v>0.17657380198981451</v>
      </c>
      <c r="AG134" s="9" t="str">
        <f>INDEX('[2]10_Listas'!$A$2:$A$6,MATCH(MAX(AB134:AF134),AB134:AF134,0))</f>
        <v>Supervivencia económica y servicios básicos</v>
      </c>
      <c r="AH134" s="9" t="s">
        <v>491</v>
      </c>
      <c r="AI134" s="9"/>
      <c r="AJ134" s="9" t="str">
        <f t="shared" si="4"/>
        <v>Supervivencia económica y servicios básicos</v>
      </c>
      <c r="AK134" s="9" t="str">
        <f>IFERROR(INDEX('[2]02_Arquetipos_Miedo_Sesgo'!$C$4:$C$8,MATCH(AJ134,'[2]02_Arquetipos_Miedo_Sesgo'!$A$4:$A$8,0)),"")</f>
        <v>Miedo a no llegar a fin de mes, perder ingresos, empleo, movilidad o acceso a servicios básicos.</v>
      </c>
      <c r="AL134" s="9" t="str">
        <f>IFERROR(INDEX('[2]02_Arquetipos_Miedo_Sesgo'!$D$4:$D$8,MATCH(AJ134,'[2]02_Arquetipos_Miedo_Sesgo'!$A$4:$A$8,0)),"")</f>
        <v>Sesgo de escasez + presente dominante + aversión al riesgo económico.</v>
      </c>
      <c r="AM134" s="9" t="str">
        <f>IFERROR(INDEX('[2]02_Arquetipos_Miedo_Sesgo'!$E$4:$E$8,MATCH(AJ134,'[2]02_Arquetipos_Miedo_Sesgo'!$A$4:$A$8,0)),"")</f>
        <v>Empleo, emprendimiento, economía popular, transporte, costo de vida, salud, educación técnica y subsidios focalizados.</v>
      </c>
      <c r="AN134" s="9" t="str">
        <f t="shared" si="5"/>
        <v>Alta</v>
      </c>
      <c r="AO134" s="9" t="s">
        <v>485</v>
      </c>
    </row>
    <row r="135" spans="1:41" ht="28.8">
      <c r="A135" s="9" t="s">
        <v>395</v>
      </c>
      <c r="B135" s="9" t="s">
        <v>382</v>
      </c>
      <c r="C135" s="9" t="s">
        <v>396</v>
      </c>
      <c r="D135" s="10">
        <v>2323</v>
      </c>
      <c r="E135" s="10">
        <v>1999</v>
      </c>
      <c r="F135" s="10">
        <v>1589</v>
      </c>
      <c r="G135" s="9" t="s">
        <v>477</v>
      </c>
      <c r="H135" s="11">
        <v>0.46922083512699098</v>
      </c>
      <c r="I135" s="11">
        <v>0.2006026689625485</v>
      </c>
      <c r="J135" s="9" t="s">
        <v>509</v>
      </c>
      <c r="K135" s="11">
        <v>0.20660330165082541</v>
      </c>
      <c r="L135" s="11">
        <v>8.5042521260630388E-3</v>
      </c>
      <c r="M135" s="9" t="s">
        <v>479</v>
      </c>
      <c r="N135" s="11">
        <v>0.29641283826305848</v>
      </c>
      <c r="O135" s="11">
        <v>3.6500943989930763E-2</v>
      </c>
      <c r="P135" s="12">
        <v>8.1657697559660736E-2</v>
      </c>
      <c r="Q135" s="9" t="s">
        <v>412</v>
      </c>
      <c r="R135" s="12">
        <v>8.0000000000000002E-3</v>
      </c>
      <c r="S135" s="9" t="s">
        <v>412</v>
      </c>
      <c r="T135" s="12">
        <v>0.111</v>
      </c>
      <c r="U135" s="12">
        <v>7.955256585322025E-2</v>
      </c>
      <c r="V135" s="9" t="s">
        <v>412</v>
      </c>
      <c r="W135" s="9" t="s">
        <v>551</v>
      </c>
      <c r="X135" s="9" t="s">
        <v>60</v>
      </c>
      <c r="Y135" s="9" t="s">
        <v>501</v>
      </c>
      <c r="Z135" s="9" t="s">
        <v>502</v>
      </c>
      <c r="AA135" s="9" t="s">
        <v>483</v>
      </c>
      <c r="AB135" s="12">
        <v>0.16564818396744321</v>
      </c>
      <c r="AC135" s="12">
        <v>0.20750759288619375</v>
      </c>
      <c r="AD135" s="12">
        <v>0.21479535210419642</v>
      </c>
      <c r="AE135" s="12">
        <v>0.21391035805110001</v>
      </c>
      <c r="AF135" s="12">
        <v>0.20179132493980681</v>
      </c>
      <c r="AG135" s="9" t="str">
        <f>INDEX('[2]10_Listas'!$A$2:$A$6,MATCH(MAX(AB135:AF135),AB135:AF135,0))</f>
        <v>Supervivencia económica y servicios básicos</v>
      </c>
      <c r="AH135" s="9" t="s">
        <v>491</v>
      </c>
      <c r="AI135" s="9"/>
      <c r="AJ135" s="9" t="str">
        <f t="shared" si="4"/>
        <v>Supervivencia económica y servicios básicos</v>
      </c>
      <c r="AK135" s="9" t="str">
        <f>IFERROR(INDEX('[2]02_Arquetipos_Miedo_Sesgo'!$C$4:$C$8,MATCH(AJ135,'[2]02_Arquetipos_Miedo_Sesgo'!$A$4:$A$8,0)),"")</f>
        <v>Miedo a no llegar a fin de mes, perder ingresos, empleo, movilidad o acceso a servicios básicos.</v>
      </c>
      <c r="AL135" s="9" t="str">
        <f>IFERROR(INDEX('[2]02_Arquetipos_Miedo_Sesgo'!$D$4:$D$8,MATCH(AJ135,'[2]02_Arquetipos_Miedo_Sesgo'!$A$4:$A$8,0)),"")</f>
        <v>Sesgo de escasez + presente dominante + aversión al riesgo económico.</v>
      </c>
      <c r="AM135" s="9" t="str">
        <f>IFERROR(INDEX('[2]02_Arquetipos_Miedo_Sesgo'!$E$4:$E$8,MATCH(AJ135,'[2]02_Arquetipos_Miedo_Sesgo'!$A$4:$A$8,0)),"")</f>
        <v>Empleo, emprendimiento, economía popular, transporte, costo de vida, salud, educación técnica y subsidios focalizados.</v>
      </c>
      <c r="AN135" s="9" t="str">
        <f t="shared" si="5"/>
        <v>Alta</v>
      </c>
      <c r="AO135" s="9" t="s">
        <v>485</v>
      </c>
    </row>
    <row r="136" spans="1:41" ht="28.8">
      <c r="A136" s="9" t="s">
        <v>391</v>
      </c>
      <c r="B136" s="9" t="s">
        <v>382</v>
      </c>
      <c r="C136" s="9" t="s">
        <v>392</v>
      </c>
      <c r="D136" s="10">
        <v>8123</v>
      </c>
      <c r="E136" s="10">
        <v>6640</v>
      </c>
      <c r="F136" s="10">
        <v>5202</v>
      </c>
      <c r="G136" s="9" t="s">
        <v>477</v>
      </c>
      <c r="H136" s="11">
        <v>0.48725840206820142</v>
      </c>
      <c r="I136" s="11">
        <v>0.22343961590545369</v>
      </c>
      <c r="J136" s="9" t="s">
        <v>478</v>
      </c>
      <c r="K136" s="11">
        <v>0.24578313253012049</v>
      </c>
      <c r="L136" s="11">
        <v>0.14728915662650599</v>
      </c>
      <c r="M136" s="9" t="s">
        <v>486</v>
      </c>
      <c r="N136" s="11">
        <v>0.32468281430219148</v>
      </c>
      <c r="O136" s="11">
        <v>0.15878508266051519</v>
      </c>
      <c r="P136" s="12">
        <v>7.7392729533794419E-2</v>
      </c>
      <c r="Q136" s="9" t="s">
        <v>412</v>
      </c>
      <c r="R136" s="12">
        <v>-0.45700000000000002</v>
      </c>
      <c r="S136" s="9" t="s">
        <v>75</v>
      </c>
      <c r="T136" s="12">
        <v>0.104</v>
      </c>
      <c r="U136" s="12">
        <v>6.0464243177931483E-2</v>
      </c>
      <c r="V136" s="9" t="s">
        <v>412</v>
      </c>
      <c r="W136" s="9" t="s">
        <v>487</v>
      </c>
      <c r="X136" s="9" t="s">
        <v>60</v>
      </c>
      <c r="Y136" s="9" t="s">
        <v>501</v>
      </c>
      <c r="Z136" s="9" t="s">
        <v>502</v>
      </c>
      <c r="AA136" s="9" t="s">
        <v>483</v>
      </c>
      <c r="AB136" s="12">
        <v>0.1714334449400855</v>
      </c>
      <c r="AC136" s="12">
        <v>0.19689574201366605</v>
      </c>
      <c r="AD136" s="12">
        <v>0.20688600899246432</v>
      </c>
      <c r="AE136" s="12">
        <v>0.22430671860616591</v>
      </c>
      <c r="AF136" s="12">
        <v>0.19980621958885039</v>
      </c>
      <c r="AG136" s="9" t="str">
        <f>INDEX('[2]10_Listas'!$A$2:$A$6,MATCH(MAX(AB136:AF136),AB136:AF136,0))</f>
        <v>Desconfianza y castigo</v>
      </c>
      <c r="AH136" s="9" t="s">
        <v>488</v>
      </c>
      <c r="AI136" s="9"/>
      <c r="AJ136" s="9" t="str">
        <f t="shared" si="4"/>
        <v>Desconfianza y castigo</v>
      </c>
      <c r="AK136" s="9" t="str">
        <f>IFERROR(INDEX('[2]02_Arquetipos_Miedo_Sesgo'!$C$4:$C$8,MATCH(AJ136,'[2]02_Arquetipos_Miedo_Sesgo'!$A$4:$A$8,0)),"")</f>
        <v>Miedo a ser engañado, robado, manipulado o usado electoralmente.</v>
      </c>
      <c r="AL136" s="9" t="str">
        <f>IFERROR(INDEX('[2]02_Arquetipos_Miedo_Sesgo'!$D$4:$D$8,MATCH(AJ136,'[2]02_Arquetipos_Miedo_Sesgo'!$A$4:$A$8,0)),"")</f>
        <v>Sesgo de confirmación + cinismo político + efecto de indignación moral.</v>
      </c>
      <c r="AM136" s="9" t="str">
        <f>IFERROR(INDEX('[2]02_Arquetipos_Miedo_Sesgo'!$E$4:$E$8,MATCH(AJ136,'[2]02_Arquetipos_Miedo_Sesgo'!$A$4:$A$8,0)),"")</f>
        <v>Transparencia, control político, lucha anticorrupción, vigilancia ciudadana, ejecución presupuestal y sanción a abusos.</v>
      </c>
      <c r="AN136" s="9" t="str">
        <f t="shared" si="5"/>
        <v>Alta</v>
      </c>
      <c r="AO136" s="9" t="s">
        <v>485</v>
      </c>
    </row>
    <row r="137" spans="1:41" ht="28.8">
      <c r="A137" s="9" t="s">
        <v>385</v>
      </c>
      <c r="B137" s="9" t="s">
        <v>382</v>
      </c>
      <c r="C137" s="9" t="s">
        <v>386</v>
      </c>
      <c r="D137" s="10">
        <v>1391</v>
      </c>
      <c r="E137" s="10">
        <v>1106</v>
      </c>
      <c r="F137" s="10">
        <v>825</v>
      </c>
      <c r="G137" s="9" t="s">
        <v>477</v>
      </c>
      <c r="H137" s="11">
        <v>0.50611071171818833</v>
      </c>
      <c r="I137" s="11">
        <v>0.2286125089863407</v>
      </c>
      <c r="J137" s="9" t="s">
        <v>478</v>
      </c>
      <c r="K137" s="11">
        <v>0.21699819168173601</v>
      </c>
      <c r="L137" s="11">
        <v>0.1094032549728752</v>
      </c>
      <c r="M137" s="9" t="s">
        <v>486</v>
      </c>
      <c r="N137" s="11">
        <v>0.29818181818181821</v>
      </c>
      <c r="O137" s="11">
        <v>0.1406060606060606</v>
      </c>
      <c r="P137" s="12">
        <v>7.7392729533794419E-2</v>
      </c>
      <c r="Q137" s="9" t="s">
        <v>412</v>
      </c>
      <c r="R137" s="12">
        <v>-0.45700000000000002</v>
      </c>
      <c r="S137" s="9" t="s">
        <v>75</v>
      </c>
      <c r="T137" s="12">
        <v>0.104</v>
      </c>
      <c r="U137" s="12">
        <v>6.0464243177931483E-2</v>
      </c>
      <c r="V137" s="9" t="s">
        <v>412</v>
      </c>
      <c r="W137" s="9" t="s">
        <v>487</v>
      </c>
      <c r="X137" s="9" t="s">
        <v>60</v>
      </c>
      <c r="Y137" s="9" t="s">
        <v>501</v>
      </c>
      <c r="Z137" s="9" t="s">
        <v>502</v>
      </c>
      <c r="AA137" s="9" t="s">
        <v>483</v>
      </c>
      <c r="AB137" s="12">
        <v>0.1801522305260809</v>
      </c>
      <c r="AC137" s="12">
        <v>0.20380754062828799</v>
      </c>
      <c r="AD137" s="12">
        <v>0.21002978341192349</v>
      </c>
      <c r="AE137" s="12">
        <v>0.22116202532784129</v>
      </c>
      <c r="AF137" s="12">
        <v>0.1881809948892903</v>
      </c>
      <c r="AG137" s="9" t="str">
        <f>INDEX('[2]10_Listas'!$A$2:$A$6,MATCH(MAX(AB137:AF137),AB137:AF137,0))</f>
        <v>Desconfianza y castigo</v>
      </c>
      <c r="AH137" s="9" t="s">
        <v>488</v>
      </c>
      <c r="AI137" s="9"/>
      <c r="AJ137" s="9" t="str">
        <f t="shared" si="4"/>
        <v>Desconfianza y castigo</v>
      </c>
      <c r="AK137" s="9" t="str">
        <f>IFERROR(INDEX('[2]02_Arquetipos_Miedo_Sesgo'!$C$4:$C$8,MATCH(AJ137,'[2]02_Arquetipos_Miedo_Sesgo'!$A$4:$A$8,0)),"")</f>
        <v>Miedo a ser engañado, robado, manipulado o usado electoralmente.</v>
      </c>
      <c r="AL137" s="9" t="str">
        <f>IFERROR(INDEX('[2]02_Arquetipos_Miedo_Sesgo'!$D$4:$D$8,MATCH(AJ137,'[2]02_Arquetipos_Miedo_Sesgo'!$A$4:$A$8,0)),"")</f>
        <v>Sesgo de confirmación + cinismo político + efecto de indignación moral.</v>
      </c>
      <c r="AM137" s="9" t="str">
        <f>IFERROR(INDEX('[2]02_Arquetipos_Miedo_Sesgo'!$E$4:$E$8,MATCH(AJ137,'[2]02_Arquetipos_Miedo_Sesgo'!$A$4:$A$8,0)),"")</f>
        <v>Transparencia, control político, lucha anticorrupción, vigilancia ciudadana, ejecución presupuestal y sanción a abusos.</v>
      </c>
      <c r="AN137" s="9" t="str">
        <f t="shared" si="5"/>
        <v>Alta</v>
      </c>
      <c r="AO137" s="9" t="s">
        <v>485</v>
      </c>
    </row>
    <row r="138" spans="1:41" ht="28.8">
      <c r="A138" s="9" t="s">
        <v>389</v>
      </c>
      <c r="B138" s="9" t="s">
        <v>382</v>
      </c>
      <c r="C138" s="9" t="s">
        <v>390</v>
      </c>
      <c r="D138" s="10">
        <v>1473</v>
      </c>
      <c r="E138" s="10">
        <v>1244</v>
      </c>
      <c r="F138" s="10">
        <v>988</v>
      </c>
      <c r="G138" s="9" t="s">
        <v>477</v>
      </c>
      <c r="H138" s="11">
        <v>0.50848608282416841</v>
      </c>
      <c r="I138" s="11">
        <v>0.28581126951799052</v>
      </c>
      <c r="J138" s="9" t="s">
        <v>478</v>
      </c>
      <c r="K138" s="11">
        <v>0.22106109324758841</v>
      </c>
      <c r="L138" s="11">
        <v>9.1639871382636656E-2</v>
      </c>
      <c r="M138" s="9" t="s">
        <v>486</v>
      </c>
      <c r="N138" s="11">
        <v>0.30971659919028338</v>
      </c>
      <c r="O138" s="11">
        <v>0.1062753036437247</v>
      </c>
      <c r="P138" s="12">
        <v>7.7392729533794419E-2</v>
      </c>
      <c r="Q138" s="9" t="s">
        <v>412</v>
      </c>
      <c r="R138" s="12">
        <v>-0.45700000000000002</v>
      </c>
      <c r="S138" s="9" t="s">
        <v>75</v>
      </c>
      <c r="T138" s="12">
        <v>0.104</v>
      </c>
      <c r="U138" s="12">
        <v>6.0464243177931483E-2</v>
      </c>
      <c r="V138" s="9" t="s">
        <v>412</v>
      </c>
      <c r="W138" s="9" t="s">
        <v>487</v>
      </c>
      <c r="X138" s="9" t="s">
        <v>60</v>
      </c>
      <c r="Y138" s="9" t="s">
        <v>501</v>
      </c>
      <c r="Z138" s="9" t="s">
        <v>502</v>
      </c>
      <c r="AA138" s="9" t="s">
        <v>483</v>
      </c>
      <c r="AB138" s="12">
        <v>0.16128038774965511</v>
      </c>
      <c r="AC138" s="12">
        <v>0.20202060796218232</v>
      </c>
      <c r="AD138" s="12">
        <v>0.21120794351229441</v>
      </c>
      <c r="AE138" s="12">
        <v>0.21671407581960489</v>
      </c>
      <c r="AF138" s="12">
        <v>0.20560027522145591</v>
      </c>
      <c r="AG138" s="9" t="str">
        <f>INDEX('[2]10_Listas'!$A$2:$A$6,MATCH(MAX(AB138:AF138),AB138:AF138,0))</f>
        <v>Desconfianza y castigo</v>
      </c>
      <c r="AH138" s="9" t="s">
        <v>488</v>
      </c>
      <c r="AI138" s="9"/>
      <c r="AJ138" s="9" t="str">
        <f t="shared" si="4"/>
        <v>Desconfianza y castigo</v>
      </c>
      <c r="AK138" s="9" t="str">
        <f>IFERROR(INDEX('[2]02_Arquetipos_Miedo_Sesgo'!$C$4:$C$8,MATCH(AJ138,'[2]02_Arquetipos_Miedo_Sesgo'!$A$4:$A$8,0)),"")</f>
        <v>Miedo a ser engañado, robado, manipulado o usado electoralmente.</v>
      </c>
      <c r="AL138" s="9" t="str">
        <f>IFERROR(INDEX('[2]02_Arquetipos_Miedo_Sesgo'!$D$4:$D$8,MATCH(AJ138,'[2]02_Arquetipos_Miedo_Sesgo'!$A$4:$A$8,0)),"")</f>
        <v>Sesgo de confirmación + cinismo político + efecto de indignación moral.</v>
      </c>
      <c r="AM138" s="9" t="str">
        <f>IFERROR(INDEX('[2]02_Arquetipos_Miedo_Sesgo'!$E$4:$E$8,MATCH(AJ138,'[2]02_Arquetipos_Miedo_Sesgo'!$A$4:$A$8,0)),"")</f>
        <v>Transparencia, control político, lucha anticorrupción, vigilancia ciudadana, ejecución presupuestal y sanción a abusos.</v>
      </c>
      <c r="AN138" s="9" t="str">
        <f t="shared" si="5"/>
        <v>Alta</v>
      </c>
      <c r="AO138" s="9" t="s">
        <v>485</v>
      </c>
    </row>
    <row r="139" spans="1:41" ht="28.8">
      <c r="A139" s="9" t="s">
        <v>387</v>
      </c>
      <c r="B139" s="9" t="s">
        <v>382</v>
      </c>
      <c r="C139" s="9" t="s">
        <v>388</v>
      </c>
      <c r="D139" s="10">
        <v>2401</v>
      </c>
      <c r="E139" s="10">
        <v>2042</v>
      </c>
      <c r="F139" s="10">
        <v>1514</v>
      </c>
      <c r="G139" s="9" t="s">
        <v>477</v>
      </c>
      <c r="H139" s="11">
        <v>0.40483132028321528</v>
      </c>
      <c r="I139" s="11">
        <v>3.6234902124114947E-2</v>
      </c>
      <c r="J139" s="9" t="s">
        <v>478</v>
      </c>
      <c r="K139" s="11">
        <v>0.21645445641527911</v>
      </c>
      <c r="L139" s="11">
        <v>0.10969637610186091</v>
      </c>
      <c r="M139" s="9" t="s">
        <v>486</v>
      </c>
      <c r="N139" s="11">
        <v>0.31439894319682959</v>
      </c>
      <c r="O139" s="11">
        <v>9.1149273447820339E-2</v>
      </c>
      <c r="P139" s="12">
        <v>7.7392729533794419E-2</v>
      </c>
      <c r="Q139" s="9" t="s">
        <v>412</v>
      </c>
      <c r="R139" s="12">
        <v>-0.45700000000000002</v>
      </c>
      <c r="S139" s="9" t="s">
        <v>75</v>
      </c>
      <c r="T139" s="12">
        <v>0.104</v>
      </c>
      <c r="U139" s="12">
        <v>6.0464243177931483E-2</v>
      </c>
      <c r="V139" s="9" t="s">
        <v>412</v>
      </c>
      <c r="W139" s="9" t="s">
        <v>487</v>
      </c>
      <c r="X139" s="9" t="s">
        <v>60</v>
      </c>
      <c r="Y139" s="9" t="s">
        <v>501</v>
      </c>
      <c r="Z139" s="9" t="s">
        <v>502</v>
      </c>
      <c r="AA139" s="9" t="s">
        <v>483</v>
      </c>
      <c r="AB139" s="12">
        <v>0.19847253109071</v>
      </c>
      <c r="AC139" s="12">
        <v>0.19288895480333124</v>
      </c>
      <c r="AD139" s="12">
        <v>0.20463235784251124</v>
      </c>
      <c r="AE139" s="12">
        <v>0.21282092542721739</v>
      </c>
      <c r="AF139" s="12">
        <v>0.19736934721593541</v>
      </c>
      <c r="AG139" s="9" t="str">
        <f>INDEX('[2]10_Listas'!$A$2:$A$6,MATCH(MAX(AB139:AF139),AB139:AF139,0))</f>
        <v>Desconfianza y castigo</v>
      </c>
      <c r="AH139" s="9" t="s">
        <v>488</v>
      </c>
      <c r="AI139" s="9"/>
      <c r="AJ139" s="9" t="str">
        <f t="shared" si="4"/>
        <v>Desconfianza y castigo</v>
      </c>
      <c r="AK139" s="9" t="str">
        <f>IFERROR(INDEX('[2]02_Arquetipos_Miedo_Sesgo'!$C$4:$C$8,MATCH(AJ139,'[2]02_Arquetipos_Miedo_Sesgo'!$A$4:$A$8,0)),"")</f>
        <v>Miedo a ser engañado, robado, manipulado o usado electoralmente.</v>
      </c>
      <c r="AL139" s="9" t="str">
        <f>IFERROR(INDEX('[2]02_Arquetipos_Miedo_Sesgo'!$D$4:$D$8,MATCH(AJ139,'[2]02_Arquetipos_Miedo_Sesgo'!$A$4:$A$8,0)),"")</f>
        <v>Sesgo de confirmación + cinismo político + efecto de indignación moral.</v>
      </c>
      <c r="AM139" s="9" t="str">
        <f>IFERROR(INDEX('[2]02_Arquetipos_Miedo_Sesgo'!$E$4:$E$8,MATCH(AJ139,'[2]02_Arquetipos_Miedo_Sesgo'!$A$4:$A$8,0)),"")</f>
        <v>Transparencia, control político, lucha anticorrupción, vigilancia ciudadana, ejecución presupuestal y sanción a abusos.</v>
      </c>
      <c r="AN139" s="9" t="str">
        <f t="shared" si="5"/>
        <v>Alta</v>
      </c>
      <c r="AO139" s="9" t="s">
        <v>485</v>
      </c>
    </row>
    <row r="140" spans="1:41" ht="28.8">
      <c r="A140" s="9" t="s">
        <v>393</v>
      </c>
      <c r="B140" s="9" t="s">
        <v>382</v>
      </c>
      <c r="C140" s="9" t="s">
        <v>394</v>
      </c>
      <c r="D140" s="10">
        <v>372</v>
      </c>
      <c r="E140" s="10">
        <v>303</v>
      </c>
      <c r="F140" s="10">
        <v>212</v>
      </c>
      <c r="G140" s="9" t="s">
        <v>477</v>
      </c>
      <c r="H140" s="11">
        <v>0.62365591397849462</v>
      </c>
      <c r="I140" s="11">
        <v>0.43279569892473119</v>
      </c>
      <c r="J140" s="9" t="s">
        <v>478</v>
      </c>
      <c r="K140" s="11">
        <v>0.2277227722772277</v>
      </c>
      <c r="L140" s="11">
        <v>0.12871287128712869</v>
      </c>
      <c r="M140" s="9" t="s">
        <v>486</v>
      </c>
      <c r="N140" s="11">
        <v>0.28773584905660382</v>
      </c>
      <c r="O140" s="11">
        <v>9.9056603773584884E-2</v>
      </c>
      <c r="P140" s="12">
        <v>7.7392729533794419E-2</v>
      </c>
      <c r="Q140" s="9" t="s">
        <v>412</v>
      </c>
      <c r="R140" s="12">
        <v>-0.45700000000000002</v>
      </c>
      <c r="S140" s="9" t="s">
        <v>75</v>
      </c>
      <c r="T140" s="12">
        <v>0.104</v>
      </c>
      <c r="U140" s="12">
        <v>6.0464243177931483E-2</v>
      </c>
      <c r="V140" s="9" t="s">
        <v>412</v>
      </c>
      <c r="W140" s="9" t="s">
        <v>487</v>
      </c>
      <c r="X140" s="9" t="s">
        <v>60</v>
      </c>
      <c r="Y140" s="9" t="s">
        <v>501</v>
      </c>
      <c r="Z140" s="9" t="s">
        <v>502</v>
      </c>
      <c r="AA140" s="9" t="s">
        <v>483</v>
      </c>
      <c r="AB140" s="12">
        <v>0.1530854718867142</v>
      </c>
      <c r="AC140" s="12">
        <v>0.21048419639870214</v>
      </c>
      <c r="AD140" s="12">
        <v>0.21219485985481426</v>
      </c>
      <c r="AE140" s="12">
        <v>0.23910140395039711</v>
      </c>
      <c r="AF140" s="12">
        <v>0.18301643580996771</v>
      </c>
      <c r="AG140" s="9" t="str">
        <f>INDEX('[2]10_Listas'!$A$2:$A$6,MATCH(MAX(AB140:AF140),AB140:AF140,0))</f>
        <v>Desconfianza y castigo</v>
      </c>
      <c r="AH140" s="9" t="s">
        <v>488</v>
      </c>
      <c r="AI140" s="9"/>
      <c r="AJ140" s="9" t="str">
        <f t="shared" si="4"/>
        <v>Desconfianza y castigo</v>
      </c>
      <c r="AK140" s="9" t="str">
        <f>IFERROR(INDEX('[2]02_Arquetipos_Miedo_Sesgo'!$C$4:$C$8,MATCH(AJ140,'[2]02_Arquetipos_Miedo_Sesgo'!$A$4:$A$8,0)),"")</f>
        <v>Miedo a ser engañado, robado, manipulado o usado electoralmente.</v>
      </c>
      <c r="AL140" s="9" t="str">
        <f>IFERROR(INDEX('[2]02_Arquetipos_Miedo_Sesgo'!$D$4:$D$8,MATCH(AJ140,'[2]02_Arquetipos_Miedo_Sesgo'!$A$4:$A$8,0)),"")</f>
        <v>Sesgo de confirmación + cinismo político + efecto de indignación moral.</v>
      </c>
      <c r="AM140" s="9" t="str">
        <f>IFERROR(INDEX('[2]02_Arquetipos_Miedo_Sesgo'!$E$4:$E$8,MATCH(AJ140,'[2]02_Arquetipos_Miedo_Sesgo'!$A$4:$A$8,0)),"")</f>
        <v>Transparencia, control político, lucha anticorrupción, vigilancia ciudadana, ejecución presupuestal y sanción a abusos.</v>
      </c>
      <c r="AN140" s="9" t="str">
        <f t="shared" si="5"/>
        <v>Alta</v>
      </c>
      <c r="AO140" s="9" t="s">
        <v>485</v>
      </c>
    </row>
    <row r="141" spans="1:41" ht="28.8">
      <c r="A141" s="9" t="s">
        <v>397</v>
      </c>
      <c r="B141" s="9" t="s">
        <v>382</v>
      </c>
      <c r="C141" s="9" t="s">
        <v>398</v>
      </c>
      <c r="D141" s="10">
        <v>684</v>
      </c>
      <c r="E141" s="10">
        <v>532</v>
      </c>
      <c r="F141" s="10">
        <v>435</v>
      </c>
      <c r="G141" s="9" t="s">
        <v>477</v>
      </c>
      <c r="H141" s="11">
        <v>0.4853801169590643</v>
      </c>
      <c r="I141" s="11">
        <v>0.24269005847953221</v>
      </c>
      <c r="J141" s="9" t="s">
        <v>478</v>
      </c>
      <c r="K141" s="11">
        <v>0.28195488721804512</v>
      </c>
      <c r="L141" s="11">
        <v>0.174812030075188</v>
      </c>
      <c r="M141" s="9" t="s">
        <v>486</v>
      </c>
      <c r="N141" s="11">
        <v>0.33333333333333331</v>
      </c>
      <c r="O141" s="11">
        <v>0.16321839080459771</v>
      </c>
      <c r="P141" s="12">
        <v>7.7392729533794419E-2</v>
      </c>
      <c r="Q141" s="9" t="s">
        <v>412</v>
      </c>
      <c r="R141" s="12">
        <v>-0.45700000000000002</v>
      </c>
      <c r="S141" s="9" t="s">
        <v>75</v>
      </c>
      <c r="T141" s="12">
        <v>0.104</v>
      </c>
      <c r="U141" s="12">
        <v>6.0464243177931483E-2</v>
      </c>
      <c r="V141" s="9" t="s">
        <v>412</v>
      </c>
      <c r="W141" s="9" t="s">
        <v>487</v>
      </c>
      <c r="X141" s="9" t="s">
        <v>60</v>
      </c>
      <c r="Y141" s="9" t="s">
        <v>501</v>
      </c>
      <c r="Z141" s="9" t="s">
        <v>502</v>
      </c>
      <c r="AA141" s="9" t="s">
        <v>483</v>
      </c>
      <c r="AB141" s="12">
        <v>0.15865299561176729</v>
      </c>
      <c r="AC141" s="12">
        <v>0.19703394562955026</v>
      </c>
      <c r="AD141" s="12">
        <v>0.20932005924996958</v>
      </c>
      <c r="AE141" s="12">
        <v>0.21754675527910081</v>
      </c>
      <c r="AF141" s="12">
        <v>0.21157941503253089</v>
      </c>
      <c r="AG141" s="9" t="str">
        <f>INDEX('[2]10_Listas'!$A$2:$A$6,MATCH(MAX(AB141:AF141),AB141:AF141,0))</f>
        <v>Desconfianza y castigo</v>
      </c>
      <c r="AH141" s="9" t="s">
        <v>488</v>
      </c>
      <c r="AI141" s="9"/>
      <c r="AJ141" s="9" t="str">
        <f t="shared" si="4"/>
        <v>Desconfianza y castigo</v>
      </c>
      <c r="AK141" s="9" t="str">
        <f>IFERROR(INDEX('[2]02_Arquetipos_Miedo_Sesgo'!$C$4:$C$8,MATCH(AJ141,'[2]02_Arquetipos_Miedo_Sesgo'!$A$4:$A$8,0)),"")</f>
        <v>Miedo a ser engañado, robado, manipulado o usado electoralmente.</v>
      </c>
      <c r="AL141" s="9" t="str">
        <f>IFERROR(INDEX('[2]02_Arquetipos_Miedo_Sesgo'!$D$4:$D$8,MATCH(AJ141,'[2]02_Arquetipos_Miedo_Sesgo'!$A$4:$A$8,0)),"")</f>
        <v>Sesgo de confirmación + cinismo político + efecto de indignación moral.</v>
      </c>
      <c r="AM141" s="9" t="str">
        <f>IFERROR(INDEX('[2]02_Arquetipos_Miedo_Sesgo'!$E$4:$E$8,MATCH(AJ141,'[2]02_Arquetipos_Miedo_Sesgo'!$A$4:$A$8,0)),"")</f>
        <v>Transparencia, control político, lucha anticorrupción, vigilancia ciudadana, ejecución presupuestal y sanción a abusos.</v>
      </c>
      <c r="AN141" s="9" t="str">
        <f t="shared" si="5"/>
        <v>Alta</v>
      </c>
      <c r="AO141" s="9" t="s">
        <v>485</v>
      </c>
    </row>
    <row r="142" spans="1:41" ht="28.8">
      <c r="A142" s="9" t="s">
        <v>381</v>
      </c>
      <c r="B142" s="9" t="s">
        <v>382</v>
      </c>
      <c r="C142" s="9" t="s">
        <v>382</v>
      </c>
      <c r="D142" s="10">
        <v>5110</v>
      </c>
      <c r="E142" s="10">
        <v>4181</v>
      </c>
      <c r="F142" s="10">
        <v>2989</v>
      </c>
      <c r="G142" s="9" t="s">
        <v>477</v>
      </c>
      <c r="H142" s="11">
        <v>0.45733855185909977</v>
      </c>
      <c r="I142" s="11">
        <v>0.14246575342465759</v>
      </c>
      <c r="J142" s="9" t="s">
        <v>478</v>
      </c>
      <c r="K142" s="11">
        <v>0.2188471657498206</v>
      </c>
      <c r="L142" s="11">
        <v>0.1057163358048314</v>
      </c>
      <c r="M142" s="9" t="s">
        <v>486</v>
      </c>
      <c r="N142" s="11">
        <v>0.28169956507193039</v>
      </c>
      <c r="O142" s="11">
        <v>0.10806289729006351</v>
      </c>
      <c r="P142" s="12">
        <v>7.7392729533794419E-2</v>
      </c>
      <c r="Q142" s="9" t="s">
        <v>412</v>
      </c>
      <c r="R142" s="12">
        <v>-0.45700000000000002</v>
      </c>
      <c r="S142" s="9" t="s">
        <v>75</v>
      </c>
      <c r="T142" s="12">
        <v>0.104</v>
      </c>
      <c r="U142" s="12">
        <v>6.0464243177931483E-2</v>
      </c>
      <c r="V142" s="9" t="s">
        <v>412</v>
      </c>
      <c r="W142" s="9" t="s">
        <v>487</v>
      </c>
      <c r="X142" s="9" t="s">
        <v>60</v>
      </c>
      <c r="Y142" s="9" t="s">
        <v>501</v>
      </c>
      <c r="Z142" s="9" t="s">
        <v>502</v>
      </c>
      <c r="AA142" s="9" t="s">
        <v>483</v>
      </c>
      <c r="AB142" s="12">
        <v>0.18479829909482759</v>
      </c>
      <c r="AC142" s="12">
        <v>0.19884769099216315</v>
      </c>
      <c r="AD142" s="12">
        <v>0.20753635725559308</v>
      </c>
      <c r="AE142" s="12">
        <v>0.221707601785534</v>
      </c>
      <c r="AF142" s="12">
        <v>0.19215106519058631</v>
      </c>
      <c r="AG142" s="9" t="str">
        <f>INDEX('[2]10_Listas'!$A$2:$A$6,MATCH(MAX(AB142:AF142),AB142:AF142,0))</f>
        <v>Desconfianza y castigo</v>
      </c>
      <c r="AH142" s="9" t="s">
        <v>488</v>
      </c>
      <c r="AI142" s="9"/>
      <c r="AJ142" s="9" t="str">
        <f t="shared" si="4"/>
        <v>Desconfianza y castigo</v>
      </c>
      <c r="AK142" s="9" t="str">
        <f>IFERROR(INDEX('[2]02_Arquetipos_Miedo_Sesgo'!$C$4:$C$8,MATCH(AJ142,'[2]02_Arquetipos_Miedo_Sesgo'!$A$4:$A$8,0)),"")</f>
        <v>Miedo a ser engañado, robado, manipulado o usado electoralmente.</v>
      </c>
      <c r="AL142" s="9" t="str">
        <f>IFERROR(INDEX('[2]02_Arquetipos_Miedo_Sesgo'!$D$4:$D$8,MATCH(AJ142,'[2]02_Arquetipos_Miedo_Sesgo'!$A$4:$A$8,0)),"")</f>
        <v>Sesgo de confirmación + cinismo político + efecto de indignación moral.</v>
      </c>
      <c r="AM142" s="9" t="str">
        <f>IFERROR(INDEX('[2]02_Arquetipos_Miedo_Sesgo'!$E$4:$E$8,MATCH(AJ142,'[2]02_Arquetipos_Miedo_Sesgo'!$A$4:$A$8,0)),"")</f>
        <v>Transparencia, control político, lucha anticorrupción, vigilancia ciudadana, ejecución presupuestal y sanción a abusos.</v>
      </c>
      <c r="AN142" s="9" t="str">
        <f t="shared" si="5"/>
        <v>Alta</v>
      </c>
      <c r="AO142" s="9" t="s">
        <v>485</v>
      </c>
    </row>
    <row r="143" spans="1:41" ht="28.8">
      <c r="A143" s="9" t="s">
        <v>401</v>
      </c>
      <c r="B143" s="9" t="s">
        <v>382</v>
      </c>
      <c r="C143" s="9" t="s">
        <v>402</v>
      </c>
      <c r="D143" s="10">
        <v>1149</v>
      </c>
      <c r="E143" s="10">
        <v>883</v>
      </c>
      <c r="F143" s="10">
        <v>741</v>
      </c>
      <c r="G143" s="9" t="s">
        <v>477</v>
      </c>
      <c r="H143" s="11">
        <v>0.46388163620539602</v>
      </c>
      <c r="I143" s="11">
        <v>0.23585726718885991</v>
      </c>
      <c r="J143" s="9" t="s">
        <v>478</v>
      </c>
      <c r="K143" s="11">
        <v>0.30124575311438279</v>
      </c>
      <c r="L143" s="11">
        <v>0.20611551528878819</v>
      </c>
      <c r="M143" s="9" t="s">
        <v>486</v>
      </c>
      <c r="N143" s="11">
        <v>0.37516869095816457</v>
      </c>
      <c r="O143" s="11">
        <v>0.16464237516869101</v>
      </c>
      <c r="P143" s="12">
        <v>7.7392729533794419E-2</v>
      </c>
      <c r="Q143" s="9" t="s">
        <v>412</v>
      </c>
      <c r="R143" s="12">
        <v>-0.45700000000000002</v>
      </c>
      <c r="S143" s="9" t="s">
        <v>75</v>
      </c>
      <c r="T143" s="12">
        <v>0.104</v>
      </c>
      <c r="U143" s="12">
        <v>6.0464243177931483E-2</v>
      </c>
      <c r="V143" s="9" t="s">
        <v>412</v>
      </c>
      <c r="W143" s="9" t="s">
        <v>487</v>
      </c>
      <c r="X143" s="9" t="s">
        <v>60</v>
      </c>
      <c r="Y143" s="9" t="s">
        <v>501</v>
      </c>
      <c r="Z143" s="9" t="s">
        <v>502</v>
      </c>
      <c r="AA143" s="9" t="s">
        <v>483</v>
      </c>
      <c r="AB143" s="12">
        <v>0.14583389351324169</v>
      </c>
      <c r="AC143" s="12">
        <v>0.19998052156370874</v>
      </c>
      <c r="AD143" s="12">
        <v>0.20996258726972819</v>
      </c>
      <c r="AE143" s="12">
        <v>0.24038760963517569</v>
      </c>
      <c r="AF143" s="12">
        <v>0.20467913473254709</v>
      </c>
      <c r="AG143" s="9" t="str">
        <f>INDEX('[2]10_Listas'!$A$2:$A$6,MATCH(MAX(AB143:AF143),AB143:AF143,0))</f>
        <v>Desconfianza y castigo</v>
      </c>
      <c r="AH143" s="9" t="s">
        <v>488</v>
      </c>
      <c r="AI143" s="9"/>
      <c r="AJ143" s="9" t="str">
        <f t="shared" si="4"/>
        <v>Desconfianza y castigo</v>
      </c>
      <c r="AK143" s="9" t="str">
        <f>IFERROR(INDEX('[2]02_Arquetipos_Miedo_Sesgo'!$C$4:$C$8,MATCH(AJ143,'[2]02_Arquetipos_Miedo_Sesgo'!$A$4:$A$8,0)),"")</f>
        <v>Miedo a ser engañado, robado, manipulado o usado electoralmente.</v>
      </c>
      <c r="AL143" s="9" t="str">
        <f>IFERROR(INDEX('[2]02_Arquetipos_Miedo_Sesgo'!$D$4:$D$8,MATCH(AJ143,'[2]02_Arquetipos_Miedo_Sesgo'!$A$4:$A$8,0)),"")</f>
        <v>Sesgo de confirmación + cinismo político + efecto de indignación moral.</v>
      </c>
      <c r="AM143" s="9" t="str">
        <f>IFERROR(INDEX('[2]02_Arquetipos_Miedo_Sesgo'!$E$4:$E$8,MATCH(AJ143,'[2]02_Arquetipos_Miedo_Sesgo'!$A$4:$A$8,0)),"")</f>
        <v>Transparencia, control político, lucha anticorrupción, vigilancia ciudadana, ejecución presupuestal y sanción a abusos.</v>
      </c>
      <c r="AN143" s="9" t="str">
        <f t="shared" si="5"/>
        <v>Alta</v>
      </c>
      <c r="AO143" s="9" t="s">
        <v>485</v>
      </c>
    </row>
    <row r="144" spans="1:41" ht="28.8">
      <c r="A144" s="9" t="s">
        <v>399</v>
      </c>
      <c r="B144" s="9" t="s">
        <v>382</v>
      </c>
      <c r="C144" s="9" t="s">
        <v>400</v>
      </c>
      <c r="D144" s="10">
        <v>5930</v>
      </c>
      <c r="E144" s="10">
        <v>5086</v>
      </c>
      <c r="F144" s="10">
        <v>4062</v>
      </c>
      <c r="G144" s="9" t="s">
        <v>477</v>
      </c>
      <c r="H144" s="11">
        <v>0.41382799325463743</v>
      </c>
      <c r="I144" s="11">
        <v>0.1067453625632377</v>
      </c>
      <c r="J144" s="9" t="s">
        <v>478</v>
      </c>
      <c r="K144" s="11">
        <v>0.22886354699174211</v>
      </c>
      <c r="L144" s="11">
        <v>8.7691702713330738E-2</v>
      </c>
      <c r="M144" s="9" t="s">
        <v>486</v>
      </c>
      <c r="N144" s="11">
        <v>0.28778926637124569</v>
      </c>
      <c r="O144" s="11">
        <v>6.3761693746922699E-2</v>
      </c>
      <c r="P144" s="12">
        <v>7.7392729533794419E-2</v>
      </c>
      <c r="Q144" s="9" t="s">
        <v>412</v>
      </c>
      <c r="R144" s="12">
        <v>-0.45700000000000002</v>
      </c>
      <c r="S144" s="9" t="s">
        <v>75</v>
      </c>
      <c r="T144" s="12">
        <v>0.104</v>
      </c>
      <c r="U144" s="12">
        <v>6.0464243177931483E-2</v>
      </c>
      <c r="V144" s="9" t="s">
        <v>412</v>
      </c>
      <c r="W144" s="9" t="s">
        <v>487</v>
      </c>
      <c r="X144" s="9" t="s">
        <v>60</v>
      </c>
      <c r="Y144" s="9" t="s">
        <v>501</v>
      </c>
      <c r="Z144" s="9" t="s">
        <v>502</v>
      </c>
      <c r="AA144" s="9" t="s">
        <v>483</v>
      </c>
      <c r="AB144" s="12">
        <v>0.17687318040162661</v>
      </c>
      <c r="AC144" s="12">
        <v>0.19862908665752424</v>
      </c>
      <c r="AD144" s="12">
        <v>0.20925156602655789</v>
      </c>
      <c r="AE144" s="12">
        <v>0.2217966862806017</v>
      </c>
      <c r="AF144" s="12">
        <v>0.19903417748350019</v>
      </c>
      <c r="AG144" s="9" t="str">
        <f>INDEX('[2]10_Listas'!$A$2:$A$6,MATCH(MAX(AB144:AF144),AB144:AF144,0))</f>
        <v>Desconfianza y castigo</v>
      </c>
      <c r="AH144" s="9" t="s">
        <v>488</v>
      </c>
      <c r="AI144" s="9"/>
      <c r="AJ144" s="9" t="str">
        <f t="shared" si="4"/>
        <v>Desconfianza y castigo</v>
      </c>
      <c r="AK144" s="9" t="str">
        <f>IFERROR(INDEX('[2]02_Arquetipos_Miedo_Sesgo'!$C$4:$C$8,MATCH(AJ144,'[2]02_Arquetipos_Miedo_Sesgo'!$A$4:$A$8,0)),"")</f>
        <v>Miedo a ser engañado, robado, manipulado o usado electoralmente.</v>
      </c>
      <c r="AL144" s="9" t="str">
        <f>IFERROR(INDEX('[2]02_Arquetipos_Miedo_Sesgo'!$D$4:$D$8,MATCH(AJ144,'[2]02_Arquetipos_Miedo_Sesgo'!$A$4:$A$8,0)),"")</f>
        <v>Sesgo de confirmación + cinismo político + efecto de indignación moral.</v>
      </c>
      <c r="AM144" s="9" t="str">
        <f>IFERROR(INDEX('[2]02_Arquetipos_Miedo_Sesgo'!$E$4:$E$8,MATCH(AJ144,'[2]02_Arquetipos_Miedo_Sesgo'!$A$4:$A$8,0)),"")</f>
        <v>Transparencia, control político, lucha anticorrupción, vigilancia ciudadana, ejecución presupuestal y sanción a abusos.</v>
      </c>
      <c r="AN144" s="9" t="str">
        <f t="shared" si="5"/>
        <v>Alta</v>
      </c>
      <c r="AO144" s="9" t="s">
        <v>485</v>
      </c>
    </row>
    <row r="145" spans="4:32">
      <c r="D145" s="13"/>
      <c r="E145" s="13"/>
      <c r="F145" s="13"/>
      <c r="H145" s="14"/>
      <c r="I145" s="14"/>
      <c r="K145" s="14"/>
      <c r="L145" s="14"/>
      <c r="N145" s="14"/>
      <c r="O145" s="14"/>
      <c r="P145" s="15"/>
      <c r="R145" s="15"/>
      <c r="T145" s="15"/>
      <c r="U145" s="15"/>
      <c r="AB145" s="15"/>
      <c r="AC145" s="15"/>
      <c r="AD145" s="15"/>
      <c r="AE145" s="15"/>
      <c r="AF145" s="15"/>
    </row>
    <row r="146" spans="4:32">
      <c r="D146" s="13"/>
      <c r="E146" s="13"/>
      <c r="F146" s="13"/>
      <c r="H146" s="14"/>
      <c r="I146" s="14"/>
      <c r="K146" s="14"/>
      <c r="L146" s="14"/>
      <c r="N146" s="14"/>
      <c r="O146" s="14"/>
      <c r="P146" s="15"/>
      <c r="R146" s="15"/>
      <c r="T146" s="15"/>
      <c r="U146" s="15"/>
      <c r="AB146" s="15"/>
      <c r="AC146" s="15"/>
      <c r="AD146" s="15"/>
      <c r="AE146" s="15"/>
      <c r="AF146" s="15"/>
    </row>
    <row r="147" spans="4:32">
      <c r="D147" s="13"/>
      <c r="E147" s="13"/>
      <c r="F147" s="13"/>
      <c r="H147" s="14"/>
      <c r="I147" s="14"/>
      <c r="K147" s="14"/>
      <c r="L147" s="14"/>
      <c r="N147" s="14"/>
      <c r="O147" s="14"/>
      <c r="P147" s="15"/>
      <c r="R147" s="15"/>
      <c r="T147" s="15"/>
      <c r="U147" s="15"/>
      <c r="AB147" s="15"/>
      <c r="AC147" s="15"/>
      <c r="AD147" s="15"/>
      <c r="AE147" s="15"/>
      <c r="AF147" s="15"/>
    </row>
    <row r="148" spans="4:32">
      <c r="D148" s="13"/>
      <c r="E148" s="13"/>
      <c r="F148" s="13"/>
      <c r="H148" s="14"/>
      <c r="I148" s="14"/>
      <c r="K148" s="14"/>
      <c r="L148" s="14"/>
      <c r="N148" s="14"/>
      <c r="O148" s="14"/>
      <c r="P148" s="15"/>
      <c r="R148" s="15"/>
      <c r="T148" s="15"/>
      <c r="U148" s="15"/>
      <c r="AB148" s="15"/>
      <c r="AC148" s="15"/>
      <c r="AD148" s="15"/>
      <c r="AE148" s="15"/>
      <c r="AF148" s="15"/>
    </row>
    <row r="149" spans="4:32">
      <c r="D149" s="13"/>
      <c r="E149" s="13"/>
      <c r="F149" s="13"/>
      <c r="H149" s="14"/>
      <c r="I149" s="14"/>
      <c r="K149" s="14"/>
      <c r="L149" s="14"/>
      <c r="N149" s="14"/>
      <c r="O149" s="14"/>
      <c r="P149" s="15"/>
      <c r="R149" s="15"/>
      <c r="T149" s="15"/>
      <c r="U149" s="15"/>
      <c r="AB149" s="15"/>
      <c r="AC149" s="15"/>
      <c r="AD149" s="15"/>
      <c r="AE149" s="15"/>
      <c r="AF149" s="15"/>
    </row>
    <row r="150" spans="4:32">
      <c r="D150" s="13"/>
      <c r="E150" s="13"/>
      <c r="F150" s="13"/>
      <c r="H150" s="14"/>
      <c r="I150" s="14"/>
      <c r="K150" s="14"/>
      <c r="L150" s="14"/>
      <c r="N150" s="14"/>
      <c r="O150" s="14"/>
      <c r="P150" s="15"/>
      <c r="R150" s="15"/>
      <c r="T150" s="15"/>
      <c r="U150" s="15"/>
      <c r="AB150" s="15"/>
      <c r="AC150" s="15"/>
      <c r="AD150" s="15"/>
      <c r="AE150" s="15"/>
      <c r="AF150" s="15"/>
    </row>
    <row r="151" spans="4:32">
      <c r="D151" s="13"/>
      <c r="E151" s="13"/>
      <c r="F151" s="13"/>
      <c r="H151" s="14"/>
      <c r="I151" s="14"/>
      <c r="K151" s="14"/>
      <c r="L151" s="14"/>
      <c r="N151" s="14"/>
      <c r="O151" s="14"/>
      <c r="P151" s="15"/>
      <c r="R151" s="15"/>
      <c r="T151" s="15"/>
      <c r="U151" s="15"/>
      <c r="AB151" s="15"/>
      <c r="AC151" s="15"/>
      <c r="AD151" s="15"/>
      <c r="AE151" s="15"/>
      <c r="AF151" s="15"/>
    </row>
    <row r="152" spans="4:32">
      <c r="D152" s="13"/>
      <c r="E152" s="13"/>
      <c r="F152" s="13"/>
      <c r="H152" s="14"/>
      <c r="I152" s="14"/>
      <c r="K152" s="14"/>
      <c r="L152" s="14"/>
      <c r="N152" s="14"/>
      <c r="O152" s="14"/>
      <c r="P152" s="15"/>
      <c r="R152" s="15"/>
      <c r="T152" s="15"/>
      <c r="U152" s="15"/>
      <c r="AB152" s="15"/>
      <c r="AC152" s="15"/>
      <c r="AD152" s="15"/>
      <c r="AE152" s="15"/>
      <c r="AF152" s="15"/>
    </row>
    <row r="153" spans="4:32">
      <c r="D153" s="13"/>
      <c r="E153" s="13"/>
      <c r="F153" s="13"/>
      <c r="H153" s="14"/>
      <c r="I153" s="14"/>
      <c r="K153" s="14"/>
      <c r="L153" s="14"/>
      <c r="N153" s="14"/>
      <c r="O153" s="14"/>
      <c r="P153" s="15"/>
      <c r="R153" s="15"/>
      <c r="T153" s="15"/>
      <c r="U153" s="15"/>
      <c r="AB153" s="15"/>
      <c r="AC153" s="15"/>
      <c r="AD153" s="15"/>
      <c r="AE153" s="15"/>
      <c r="AF153" s="15"/>
    </row>
    <row r="154" spans="4:32">
      <c r="D154" s="13"/>
      <c r="E154" s="13"/>
      <c r="F154" s="13"/>
      <c r="H154" s="14"/>
      <c r="I154" s="14"/>
      <c r="K154" s="14"/>
      <c r="L154" s="14"/>
      <c r="N154" s="14"/>
      <c r="O154" s="14"/>
      <c r="P154" s="15"/>
      <c r="R154" s="15"/>
      <c r="T154" s="15"/>
      <c r="U154" s="15"/>
      <c r="AB154" s="15"/>
      <c r="AC154" s="15"/>
      <c r="AD154" s="15"/>
      <c r="AE154" s="15"/>
      <c r="AF154" s="15"/>
    </row>
    <row r="155" spans="4:32">
      <c r="D155" s="13"/>
      <c r="E155" s="13"/>
      <c r="F155" s="13"/>
      <c r="H155" s="14"/>
      <c r="I155" s="14"/>
      <c r="K155" s="14"/>
      <c r="L155" s="14"/>
      <c r="N155" s="14"/>
      <c r="O155" s="14"/>
      <c r="P155" s="15"/>
      <c r="R155" s="15"/>
      <c r="T155" s="15"/>
      <c r="U155" s="15"/>
      <c r="AB155" s="15"/>
      <c r="AC155" s="15"/>
      <c r="AD155" s="15"/>
      <c r="AE155" s="15"/>
      <c r="AF155" s="15"/>
    </row>
    <row r="156" spans="4:32">
      <c r="D156" s="13"/>
      <c r="E156" s="13"/>
      <c r="F156" s="13"/>
      <c r="H156" s="14"/>
      <c r="I156" s="14"/>
      <c r="K156" s="14"/>
      <c r="L156" s="14"/>
      <c r="N156" s="14"/>
      <c r="O156" s="14"/>
      <c r="P156" s="15"/>
      <c r="R156" s="15"/>
      <c r="T156" s="15"/>
      <c r="U156" s="15"/>
      <c r="AB156" s="15"/>
      <c r="AC156" s="15"/>
      <c r="AD156" s="15"/>
      <c r="AE156" s="15"/>
      <c r="AF156" s="15"/>
    </row>
    <row r="157" spans="4:32">
      <c r="D157" s="13"/>
      <c r="E157" s="13"/>
      <c r="F157" s="13"/>
      <c r="H157" s="14"/>
      <c r="I157" s="14"/>
      <c r="K157" s="14"/>
      <c r="L157" s="14"/>
      <c r="N157" s="14"/>
      <c r="O157" s="14"/>
      <c r="P157" s="15"/>
      <c r="R157" s="15"/>
      <c r="T157" s="15"/>
      <c r="U157" s="15"/>
      <c r="AB157" s="15"/>
      <c r="AC157" s="15"/>
      <c r="AD157" s="15"/>
      <c r="AE157" s="15"/>
      <c r="AF157" s="15"/>
    </row>
    <row r="158" spans="4:32">
      <c r="D158" s="13"/>
      <c r="E158" s="13"/>
      <c r="F158" s="13"/>
      <c r="H158" s="14"/>
      <c r="I158" s="14"/>
      <c r="K158" s="14"/>
      <c r="L158" s="14"/>
      <c r="N158" s="14"/>
      <c r="O158" s="14"/>
      <c r="P158" s="15"/>
      <c r="R158" s="15"/>
      <c r="T158" s="15"/>
      <c r="U158" s="15"/>
      <c r="AB158" s="15"/>
      <c r="AC158" s="15"/>
      <c r="AD158" s="15"/>
      <c r="AE158" s="15"/>
      <c r="AF158" s="15"/>
    </row>
    <row r="159" spans="4:32">
      <c r="D159" s="13"/>
      <c r="E159" s="13"/>
      <c r="F159" s="13"/>
      <c r="H159" s="14"/>
      <c r="I159" s="14"/>
      <c r="K159" s="14"/>
      <c r="L159" s="14"/>
      <c r="N159" s="14"/>
      <c r="O159" s="14"/>
      <c r="P159" s="15"/>
      <c r="R159" s="15"/>
      <c r="T159" s="15"/>
      <c r="U159" s="15"/>
      <c r="AB159" s="15"/>
      <c r="AC159" s="15"/>
      <c r="AD159" s="15"/>
      <c r="AE159" s="15"/>
      <c r="AF159" s="15"/>
    </row>
    <row r="160" spans="4:32">
      <c r="D160" s="13"/>
      <c r="E160" s="13"/>
      <c r="F160" s="13"/>
      <c r="H160" s="14"/>
      <c r="I160" s="14"/>
      <c r="K160" s="14"/>
      <c r="L160" s="14"/>
      <c r="N160" s="14"/>
      <c r="O160" s="14"/>
      <c r="P160" s="15"/>
      <c r="R160" s="15"/>
      <c r="T160" s="15"/>
      <c r="U160" s="15"/>
      <c r="AB160" s="15"/>
      <c r="AC160" s="15"/>
      <c r="AD160" s="15"/>
      <c r="AE160" s="15"/>
      <c r="AF160" s="15"/>
    </row>
    <row r="161" spans="4:32">
      <c r="D161" s="13"/>
      <c r="E161" s="13"/>
      <c r="F161" s="13"/>
      <c r="H161" s="14"/>
      <c r="I161" s="14"/>
      <c r="K161" s="14"/>
      <c r="L161" s="14"/>
      <c r="N161" s="14"/>
      <c r="O161" s="14"/>
      <c r="P161" s="15"/>
      <c r="R161" s="15"/>
      <c r="T161" s="15"/>
      <c r="U161" s="15"/>
      <c r="AB161" s="15"/>
      <c r="AC161" s="15"/>
      <c r="AD161" s="15"/>
      <c r="AE161" s="15"/>
      <c r="AF161" s="15"/>
    </row>
    <row r="162" spans="4:32">
      <c r="D162" s="13"/>
      <c r="E162" s="13"/>
      <c r="F162" s="13"/>
      <c r="H162" s="14"/>
      <c r="I162" s="14"/>
      <c r="K162" s="14"/>
      <c r="L162" s="14"/>
      <c r="N162" s="14"/>
      <c r="O162" s="14"/>
      <c r="P162" s="15"/>
      <c r="R162" s="15"/>
      <c r="T162" s="15"/>
      <c r="U162" s="15"/>
      <c r="AB162" s="15"/>
      <c r="AC162" s="15"/>
      <c r="AD162" s="15"/>
      <c r="AE162" s="15"/>
      <c r="AF162" s="15"/>
    </row>
    <row r="163" spans="4:32">
      <c r="D163" s="13"/>
      <c r="E163" s="13"/>
      <c r="F163" s="13"/>
      <c r="H163" s="14"/>
      <c r="I163" s="14"/>
      <c r="K163" s="14"/>
      <c r="L163" s="14"/>
      <c r="N163" s="14"/>
      <c r="O163" s="14"/>
      <c r="P163" s="15"/>
      <c r="R163" s="15"/>
      <c r="T163" s="15"/>
      <c r="U163" s="15"/>
      <c r="AB163" s="15"/>
      <c r="AC163" s="15"/>
      <c r="AD163" s="15"/>
      <c r="AE163" s="15"/>
      <c r="AF163" s="15"/>
    </row>
    <row r="164" spans="4:32">
      <c r="D164" s="13"/>
      <c r="E164" s="13"/>
      <c r="F164" s="13"/>
      <c r="H164" s="14"/>
      <c r="I164" s="14"/>
      <c r="K164" s="14"/>
      <c r="L164" s="14"/>
      <c r="N164" s="14"/>
      <c r="O164" s="14"/>
      <c r="P164" s="15"/>
      <c r="R164" s="15"/>
      <c r="T164" s="15"/>
      <c r="U164" s="15"/>
      <c r="AB164" s="15"/>
      <c r="AC164" s="15"/>
      <c r="AD164" s="15"/>
      <c r="AE164" s="15"/>
      <c r="AF164" s="15"/>
    </row>
    <row r="165" spans="4:32">
      <c r="D165" s="13"/>
      <c r="E165" s="13"/>
      <c r="F165" s="13"/>
      <c r="H165" s="14"/>
      <c r="I165" s="14"/>
      <c r="K165" s="14"/>
      <c r="L165" s="14"/>
      <c r="N165" s="14"/>
      <c r="O165" s="14"/>
      <c r="P165" s="15"/>
      <c r="R165" s="15"/>
      <c r="T165" s="15"/>
      <c r="U165" s="15"/>
      <c r="AB165" s="15"/>
      <c r="AC165" s="15"/>
      <c r="AD165" s="15"/>
      <c r="AE165" s="15"/>
      <c r="AF165" s="15"/>
    </row>
    <row r="166" spans="4:32">
      <c r="D166" s="13"/>
      <c r="E166" s="13"/>
      <c r="F166" s="13"/>
      <c r="H166" s="14"/>
      <c r="I166" s="14"/>
      <c r="K166" s="14"/>
      <c r="L166" s="14"/>
      <c r="N166" s="14"/>
      <c r="O166" s="14"/>
      <c r="P166" s="15"/>
      <c r="R166" s="15"/>
      <c r="T166" s="15"/>
      <c r="U166" s="15"/>
      <c r="AB166" s="15"/>
      <c r="AC166" s="15"/>
      <c r="AD166" s="15"/>
      <c r="AE166" s="15"/>
      <c r="AF166" s="15"/>
    </row>
    <row r="167" spans="4:32">
      <c r="D167" s="13"/>
      <c r="E167" s="13"/>
      <c r="F167" s="13"/>
      <c r="H167" s="14"/>
      <c r="I167" s="14"/>
      <c r="K167" s="14"/>
      <c r="L167" s="14"/>
      <c r="N167" s="14"/>
      <c r="O167" s="14"/>
      <c r="P167" s="15"/>
      <c r="R167" s="15"/>
      <c r="T167" s="15"/>
      <c r="U167" s="15"/>
      <c r="AB167" s="15"/>
      <c r="AC167" s="15"/>
      <c r="AD167" s="15"/>
      <c r="AE167" s="15"/>
      <c r="AF167" s="15"/>
    </row>
    <row r="168" spans="4:32">
      <c r="D168" s="13"/>
      <c r="E168" s="13"/>
      <c r="F168" s="13"/>
      <c r="H168" s="14"/>
      <c r="I168" s="14"/>
      <c r="K168" s="14"/>
      <c r="L168" s="14"/>
      <c r="N168" s="14"/>
      <c r="O168" s="14"/>
      <c r="P168" s="15"/>
      <c r="R168" s="15"/>
      <c r="T168" s="15"/>
      <c r="U168" s="15"/>
      <c r="AB168" s="15"/>
      <c r="AC168" s="15"/>
      <c r="AD168" s="15"/>
      <c r="AE168" s="15"/>
      <c r="AF168" s="15"/>
    </row>
    <row r="169" spans="4:32">
      <c r="D169" s="13"/>
      <c r="E169" s="13"/>
      <c r="F169" s="13"/>
      <c r="H169" s="14"/>
      <c r="I169" s="14"/>
      <c r="K169" s="14"/>
      <c r="L169" s="14"/>
      <c r="N169" s="14"/>
      <c r="O169" s="14"/>
      <c r="P169" s="15"/>
      <c r="R169" s="15"/>
      <c r="T169" s="15"/>
      <c r="U169" s="15"/>
      <c r="AB169" s="15"/>
      <c r="AC169" s="15"/>
      <c r="AD169" s="15"/>
      <c r="AE169" s="15"/>
      <c r="AF169" s="15"/>
    </row>
    <row r="170" spans="4:32">
      <c r="D170" s="13"/>
      <c r="E170" s="13"/>
      <c r="F170" s="13"/>
      <c r="H170" s="14"/>
      <c r="I170" s="14"/>
      <c r="K170" s="14"/>
      <c r="L170" s="14"/>
      <c r="N170" s="14"/>
      <c r="O170" s="14"/>
      <c r="P170" s="15"/>
      <c r="R170" s="15"/>
      <c r="T170" s="15"/>
      <c r="U170" s="15"/>
      <c r="AB170" s="15"/>
      <c r="AC170" s="15"/>
      <c r="AD170" s="15"/>
      <c r="AE170" s="15"/>
      <c r="AF170" s="15"/>
    </row>
    <row r="171" spans="4:32">
      <c r="D171" s="13"/>
      <c r="E171" s="13"/>
      <c r="F171" s="13"/>
      <c r="H171" s="14"/>
      <c r="I171" s="14"/>
      <c r="K171" s="14"/>
      <c r="L171" s="14"/>
      <c r="N171" s="14"/>
      <c r="O171" s="14"/>
      <c r="P171" s="15"/>
      <c r="R171" s="15"/>
      <c r="T171" s="15"/>
      <c r="U171" s="15"/>
      <c r="AB171" s="15"/>
      <c r="AC171" s="15"/>
      <c r="AD171" s="15"/>
      <c r="AE171" s="15"/>
      <c r="AF171" s="15"/>
    </row>
    <row r="172" spans="4:32">
      <c r="D172" s="13"/>
      <c r="E172" s="13"/>
      <c r="F172" s="13"/>
      <c r="H172" s="14"/>
      <c r="I172" s="14"/>
      <c r="K172" s="14"/>
      <c r="L172" s="14"/>
      <c r="N172" s="14"/>
      <c r="O172" s="14"/>
      <c r="P172" s="15"/>
      <c r="R172" s="15"/>
      <c r="T172" s="15"/>
      <c r="U172" s="15"/>
      <c r="AB172" s="15"/>
      <c r="AC172" s="15"/>
      <c r="AD172" s="15"/>
      <c r="AE172" s="15"/>
      <c r="AF172" s="15"/>
    </row>
    <row r="173" spans="4:32">
      <c r="D173" s="13"/>
      <c r="E173" s="13"/>
      <c r="F173" s="13"/>
      <c r="H173" s="14"/>
      <c r="I173" s="14"/>
      <c r="K173" s="14"/>
      <c r="L173" s="14"/>
      <c r="N173" s="14"/>
      <c r="O173" s="14"/>
      <c r="P173" s="15"/>
      <c r="R173" s="15"/>
      <c r="T173" s="15"/>
      <c r="U173" s="15"/>
      <c r="AB173" s="15"/>
      <c r="AC173" s="15"/>
      <c r="AD173" s="15"/>
      <c r="AE173" s="15"/>
      <c r="AF173" s="15"/>
    </row>
    <row r="174" spans="4:32">
      <c r="D174" s="13"/>
      <c r="E174" s="13"/>
      <c r="F174" s="13"/>
      <c r="H174" s="14"/>
      <c r="I174" s="14"/>
      <c r="K174" s="14"/>
      <c r="L174" s="14"/>
      <c r="N174" s="14"/>
      <c r="O174" s="14"/>
      <c r="P174" s="15"/>
      <c r="R174" s="15"/>
      <c r="T174" s="15"/>
      <c r="U174" s="15"/>
      <c r="AB174" s="15"/>
      <c r="AC174" s="15"/>
      <c r="AD174" s="15"/>
      <c r="AE174" s="15"/>
      <c r="AF174" s="15"/>
    </row>
    <row r="175" spans="4:32">
      <c r="D175" s="13"/>
      <c r="E175" s="13"/>
      <c r="F175" s="13"/>
      <c r="H175" s="14"/>
      <c r="I175" s="14"/>
      <c r="K175" s="14"/>
      <c r="L175" s="14"/>
      <c r="N175" s="14"/>
      <c r="O175" s="14"/>
      <c r="P175" s="15"/>
      <c r="R175" s="15"/>
      <c r="T175" s="15"/>
      <c r="U175" s="15"/>
      <c r="AB175" s="15"/>
      <c r="AC175" s="15"/>
      <c r="AD175" s="15"/>
      <c r="AE175" s="15"/>
      <c r="AF175" s="15"/>
    </row>
    <row r="176" spans="4:32">
      <c r="D176" s="13"/>
      <c r="E176" s="13"/>
      <c r="F176" s="13"/>
      <c r="H176" s="14"/>
      <c r="I176" s="14"/>
      <c r="K176" s="14"/>
      <c r="L176" s="14"/>
      <c r="N176" s="14"/>
      <c r="O176" s="14"/>
      <c r="P176" s="15"/>
      <c r="R176" s="15"/>
      <c r="T176" s="15"/>
      <c r="U176" s="15"/>
      <c r="AB176" s="15"/>
      <c r="AC176" s="15"/>
      <c r="AD176" s="15"/>
      <c r="AE176" s="15"/>
      <c r="AF176" s="15"/>
    </row>
    <row r="177" spans="4:32">
      <c r="D177" s="13"/>
      <c r="E177" s="13"/>
      <c r="F177" s="13"/>
      <c r="H177" s="14"/>
      <c r="I177" s="14"/>
      <c r="K177" s="14"/>
      <c r="L177" s="14"/>
      <c r="N177" s="14"/>
      <c r="O177" s="14"/>
      <c r="P177" s="15"/>
      <c r="R177" s="15"/>
      <c r="T177" s="15"/>
      <c r="U177" s="15"/>
      <c r="AB177" s="15"/>
      <c r="AC177" s="15"/>
      <c r="AD177" s="15"/>
      <c r="AE177" s="15"/>
      <c r="AF177" s="15"/>
    </row>
    <row r="178" spans="4:32">
      <c r="D178" s="13"/>
      <c r="E178" s="13"/>
      <c r="F178" s="13"/>
      <c r="H178" s="14"/>
      <c r="I178" s="14"/>
      <c r="K178" s="14"/>
      <c r="L178" s="14"/>
      <c r="N178" s="14"/>
      <c r="O178" s="14"/>
      <c r="P178" s="15"/>
      <c r="R178" s="15"/>
      <c r="T178" s="15"/>
      <c r="U178" s="15"/>
      <c r="AB178" s="15"/>
      <c r="AC178" s="15"/>
      <c r="AD178" s="15"/>
      <c r="AE178" s="15"/>
      <c r="AF178" s="15"/>
    </row>
    <row r="179" spans="4:32">
      <c r="D179" s="13"/>
      <c r="E179" s="13"/>
      <c r="F179" s="13"/>
      <c r="H179" s="14"/>
      <c r="I179" s="14"/>
      <c r="K179" s="14"/>
      <c r="L179" s="14"/>
      <c r="N179" s="14"/>
      <c r="O179" s="14"/>
      <c r="P179" s="15"/>
      <c r="R179" s="15"/>
      <c r="T179" s="15"/>
      <c r="U179" s="15"/>
      <c r="AB179" s="15"/>
      <c r="AC179" s="15"/>
      <c r="AD179" s="15"/>
      <c r="AE179" s="15"/>
      <c r="AF179" s="15"/>
    </row>
    <row r="180" spans="4:32">
      <c r="D180" s="13"/>
      <c r="E180" s="13"/>
      <c r="F180" s="13"/>
      <c r="H180" s="14"/>
      <c r="I180" s="14"/>
      <c r="K180" s="14"/>
      <c r="L180" s="14"/>
      <c r="N180" s="14"/>
      <c r="O180" s="14"/>
      <c r="P180" s="15"/>
      <c r="R180" s="15"/>
      <c r="T180" s="15"/>
      <c r="U180" s="15"/>
      <c r="AB180" s="15"/>
      <c r="AC180" s="15"/>
      <c r="AD180" s="15"/>
      <c r="AE180" s="15"/>
      <c r="AF180" s="15"/>
    </row>
    <row r="181" spans="4:32">
      <c r="D181" s="13"/>
      <c r="E181" s="13"/>
      <c r="F181" s="13"/>
      <c r="H181" s="14"/>
      <c r="I181" s="14"/>
      <c r="K181" s="14"/>
      <c r="L181" s="14"/>
      <c r="N181" s="14"/>
      <c r="O181" s="14"/>
      <c r="P181" s="15"/>
      <c r="R181" s="15"/>
      <c r="T181" s="15"/>
      <c r="U181" s="15"/>
      <c r="AB181" s="15"/>
      <c r="AC181" s="15"/>
      <c r="AD181" s="15"/>
      <c r="AE181" s="15"/>
      <c r="AF181" s="15"/>
    </row>
    <row r="182" spans="4:32">
      <c r="D182" s="13"/>
      <c r="E182" s="13"/>
      <c r="F182" s="13"/>
      <c r="H182" s="14"/>
      <c r="I182" s="14"/>
      <c r="K182" s="14"/>
      <c r="L182" s="14"/>
      <c r="N182" s="14"/>
      <c r="O182" s="14"/>
      <c r="P182" s="15"/>
      <c r="R182" s="15"/>
      <c r="T182" s="15"/>
      <c r="U182" s="15"/>
      <c r="AB182" s="15"/>
      <c r="AC182" s="15"/>
      <c r="AD182" s="15"/>
      <c r="AE182" s="15"/>
      <c r="AF182" s="15"/>
    </row>
    <row r="183" spans="4:32">
      <c r="D183" s="13"/>
      <c r="E183" s="13"/>
      <c r="F183" s="13"/>
      <c r="H183" s="14"/>
      <c r="I183" s="14"/>
      <c r="K183" s="14"/>
      <c r="L183" s="14"/>
      <c r="N183" s="14"/>
      <c r="O183" s="14"/>
      <c r="P183" s="15"/>
      <c r="R183" s="15"/>
      <c r="T183" s="15"/>
      <c r="U183" s="15"/>
      <c r="AB183" s="15"/>
      <c r="AC183" s="15"/>
      <c r="AD183" s="15"/>
      <c r="AE183" s="15"/>
      <c r="AF183" s="15"/>
    </row>
    <row r="184" spans="4:32">
      <c r="D184" s="13"/>
      <c r="E184" s="13"/>
      <c r="F184" s="13"/>
      <c r="H184" s="14"/>
      <c r="I184" s="14"/>
      <c r="K184" s="14"/>
      <c r="L184" s="14"/>
      <c r="N184" s="14"/>
      <c r="O184" s="14"/>
      <c r="P184" s="15"/>
      <c r="R184" s="15"/>
      <c r="T184" s="15"/>
      <c r="U184" s="15"/>
      <c r="AB184" s="15"/>
      <c r="AC184" s="15"/>
      <c r="AD184" s="15"/>
      <c r="AE184" s="15"/>
      <c r="AF184" s="15"/>
    </row>
    <row r="185" spans="4:32">
      <c r="D185" s="13"/>
      <c r="E185" s="13"/>
      <c r="F185" s="13"/>
      <c r="H185" s="14"/>
      <c r="I185" s="14"/>
      <c r="K185" s="14"/>
      <c r="L185" s="14"/>
      <c r="N185" s="14"/>
      <c r="O185" s="14"/>
      <c r="P185" s="15"/>
      <c r="R185" s="15"/>
      <c r="T185" s="15"/>
      <c r="U185" s="15"/>
      <c r="AB185" s="15"/>
      <c r="AC185" s="15"/>
      <c r="AD185" s="15"/>
      <c r="AE185" s="15"/>
      <c r="AF185" s="15"/>
    </row>
    <row r="186" spans="4:32">
      <c r="D186" s="13"/>
      <c r="E186" s="13"/>
      <c r="F186" s="13"/>
      <c r="H186" s="14"/>
      <c r="I186" s="14"/>
      <c r="K186" s="14"/>
      <c r="L186" s="14"/>
      <c r="N186" s="14"/>
      <c r="O186" s="14"/>
      <c r="P186" s="15"/>
      <c r="R186" s="15"/>
      <c r="T186" s="15"/>
      <c r="U186" s="15"/>
      <c r="AB186" s="15"/>
      <c r="AC186" s="15"/>
      <c r="AD186" s="15"/>
      <c r="AE186" s="15"/>
      <c r="AF186" s="15"/>
    </row>
    <row r="187" spans="4:32">
      <c r="D187" s="13"/>
      <c r="E187" s="13"/>
      <c r="F187" s="13"/>
      <c r="H187" s="14"/>
      <c r="I187" s="14"/>
      <c r="K187" s="14"/>
      <c r="L187" s="14"/>
      <c r="N187" s="14"/>
      <c r="O187" s="14"/>
      <c r="P187" s="15"/>
      <c r="R187" s="15"/>
      <c r="T187" s="15"/>
      <c r="U187" s="15"/>
      <c r="AB187" s="15"/>
      <c r="AC187" s="15"/>
      <c r="AD187" s="15"/>
      <c r="AE187" s="15"/>
      <c r="AF187" s="15"/>
    </row>
    <row r="188" spans="4:32">
      <c r="D188" s="13"/>
      <c r="E188" s="13"/>
      <c r="F188" s="13"/>
      <c r="H188" s="14"/>
      <c r="I188" s="14"/>
      <c r="K188" s="14"/>
      <c r="L188" s="14"/>
      <c r="N188" s="14"/>
      <c r="O188" s="14"/>
      <c r="P188" s="15"/>
      <c r="R188" s="15"/>
      <c r="T188" s="15"/>
      <c r="U188" s="15"/>
      <c r="AB188" s="15"/>
      <c r="AC188" s="15"/>
      <c r="AD188" s="15"/>
      <c r="AE188" s="15"/>
      <c r="AF188" s="15"/>
    </row>
    <row r="189" spans="4:32">
      <c r="D189" s="13"/>
      <c r="E189" s="13"/>
      <c r="F189" s="13"/>
      <c r="H189" s="14"/>
      <c r="I189" s="14"/>
      <c r="K189" s="14"/>
      <c r="L189" s="14"/>
      <c r="N189" s="14"/>
      <c r="O189" s="14"/>
      <c r="P189" s="15"/>
      <c r="R189" s="15"/>
      <c r="T189" s="15"/>
      <c r="U189" s="15"/>
      <c r="AB189" s="15"/>
      <c r="AC189" s="15"/>
      <c r="AD189" s="15"/>
      <c r="AE189" s="15"/>
      <c r="AF189" s="15"/>
    </row>
    <row r="190" spans="4:32">
      <c r="D190" s="13"/>
      <c r="E190" s="13"/>
      <c r="F190" s="13"/>
      <c r="H190" s="14"/>
      <c r="I190" s="14"/>
      <c r="K190" s="14"/>
      <c r="L190" s="14"/>
      <c r="N190" s="14"/>
      <c r="O190" s="14"/>
      <c r="P190" s="15"/>
      <c r="R190" s="15"/>
      <c r="T190" s="15"/>
      <c r="U190" s="15"/>
      <c r="AB190" s="15"/>
      <c r="AC190" s="15"/>
      <c r="AD190" s="15"/>
      <c r="AE190" s="15"/>
      <c r="AF190" s="15"/>
    </row>
    <row r="191" spans="4:32">
      <c r="D191" s="13"/>
      <c r="E191" s="13"/>
      <c r="F191" s="13"/>
      <c r="H191" s="14"/>
      <c r="I191" s="14"/>
      <c r="K191" s="14"/>
      <c r="L191" s="14"/>
      <c r="N191" s="14"/>
      <c r="O191" s="14"/>
      <c r="P191" s="15"/>
      <c r="R191" s="15"/>
      <c r="T191" s="15"/>
      <c r="U191" s="15"/>
      <c r="AB191" s="15"/>
      <c r="AC191" s="15"/>
      <c r="AD191" s="15"/>
      <c r="AE191" s="15"/>
      <c r="AF191" s="15"/>
    </row>
    <row r="192" spans="4:32">
      <c r="D192" s="13"/>
      <c r="E192" s="13"/>
      <c r="F192" s="13"/>
      <c r="H192" s="14"/>
      <c r="I192" s="14"/>
      <c r="K192" s="14"/>
      <c r="L192" s="14"/>
      <c r="N192" s="14"/>
      <c r="O192" s="14"/>
      <c r="P192" s="15"/>
      <c r="R192" s="15"/>
      <c r="T192" s="15"/>
      <c r="U192" s="15"/>
      <c r="AB192" s="15"/>
      <c r="AC192" s="15"/>
      <c r="AD192" s="15"/>
      <c r="AE192" s="15"/>
      <c r="AF192" s="15"/>
    </row>
    <row r="193" spans="4:32">
      <c r="D193" s="13"/>
      <c r="E193" s="13"/>
      <c r="F193" s="13"/>
      <c r="H193" s="14"/>
      <c r="I193" s="14"/>
      <c r="K193" s="14"/>
      <c r="L193" s="14"/>
      <c r="N193" s="14"/>
      <c r="O193" s="14"/>
      <c r="P193" s="15"/>
      <c r="R193" s="15"/>
      <c r="T193" s="15"/>
      <c r="U193" s="15"/>
      <c r="AB193" s="15"/>
      <c r="AC193" s="15"/>
      <c r="AD193" s="15"/>
      <c r="AE193" s="15"/>
      <c r="AF193" s="15"/>
    </row>
    <row r="194" spans="4:32">
      <c r="D194" s="13"/>
      <c r="E194" s="13"/>
      <c r="F194" s="13"/>
      <c r="H194" s="14"/>
      <c r="I194" s="14"/>
      <c r="K194" s="14"/>
      <c r="L194" s="14"/>
      <c r="N194" s="14"/>
      <c r="O194" s="14"/>
      <c r="P194" s="15"/>
      <c r="R194" s="15"/>
      <c r="T194" s="15"/>
      <c r="U194" s="15"/>
      <c r="AB194" s="15"/>
      <c r="AC194" s="15"/>
      <c r="AD194" s="15"/>
      <c r="AE194" s="15"/>
      <c r="AF194" s="15"/>
    </row>
    <row r="195" spans="4:32">
      <c r="D195" s="13"/>
      <c r="E195" s="13"/>
      <c r="F195" s="13"/>
      <c r="H195" s="14"/>
      <c r="I195" s="14"/>
      <c r="K195" s="14"/>
      <c r="L195" s="14"/>
      <c r="N195" s="14"/>
      <c r="O195" s="14"/>
      <c r="P195" s="15"/>
      <c r="R195" s="15"/>
      <c r="T195" s="15"/>
      <c r="U195" s="15"/>
      <c r="AB195" s="15"/>
      <c r="AC195" s="15"/>
      <c r="AD195" s="15"/>
      <c r="AE195" s="15"/>
      <c r="AF195" s="15"/>
    </row>
    <row r="196" spans="4:32">
      <c r="D196" s="13"/>
      <c r="E196" s="13"/>
      <c r="F196" s="13"/>
      <c r="H196" s="14"/>
      <c r="I196" s="14"/>
      <c r="K196" s="14"/>
      <c r="L196" s="14"/>
      <c r="N196" s="14"/>
      <c r="O196" s="14"/>
      <c r="P196" s="15"/>
      <c r="R196" s="15"/>
      <c r="T196" s="15"/>
      <c r="U196" s="15"/>
      <c r="AB196" s="15"/>
      <c r="AC196" s="15"/>
      <c r="AD196" s="15"/>
      <c r="AE196" s="15"/>
      <c r="AF196" s="15"/>
    </row>
    <row r="197" spans="4:32">
      <c r="D197" s="13"/>
      <c r="E197" s="13"/>
      <c r="F197" s="13"/>
      <c r="H197" s="14"/>
      <c r="I197" s="14"/>
      <c r="K197" s="14"/>
      <c r="L197" s="14"/>
      <c r="N197" s="14"/>
      <c r="O197" s="14"/>
      <c r="P197" s="15"/>
      <c r="R197" s="15"/>
      <c r="T197" s="15"/>
      <c r="U197" s="15"/>
      <c r="AB197" s="15"/>
      <c r="AC197" s="15"/>
      <c r="AD197" s="15"/>
      <c r="AE197" s="15"/>
      <c r="AF197" s="15"/>
    </row>
    <row r="198" spans="4:32">
      <c r="D198" s="13"/>
      <c r="E198" s="13"/>
      <c r="F198" s="13"/>
      <c r="H198" s="14"/>
      <c r="I198" s="14"/>
      <c r="K198" s="14"/>
      <c r="L198" s="14"/>
      <c r="N198" s="14"/>
      <c r="O198" s="14"/>
      <c r="P198" s="15"/>
      <c r="R198" s="15"/>
      <c r="T198" s="15"/>
      <c r="U198" s="15"/>
      <c r="AB198" s="15"/>
      <c r="AC198" s="15"/>
      <c r="AD198" s="15"/>
      <c r="AE198" s="15"/>
      <c r="AF198" s="15"/>
    </row>
    <row r="199" spans="4:32">
      <c r="D199" s="13"/>
      <c r="E199" s="13"/>
      <c r="F199" s="13"/>
      <c r="H199" s="14"/>
      <c r="I199" s="14"/>
      <c r="K199" s="14"/>
      <c r="L199" s="14"/>
      <c r="N199" s="14"/>
      <c r="O199" s="14"/>
      <c r="P199" s="15"/>
      <c r="R199" s="15"/>
      <c r="T199" s="15"/>
      <c r="U199" s="15"/>
      <c r="AB199" s="15"/>
      <c r="AC199" s="15"/>
      <c r="AD199" s="15"/>
      <c r="AE199" s="15"/>
      <c r="AF199" s="15"/>
    </row>
    <row r="200" spans="4:32">
      <c r="D200" s="13"/>
      <c r="E200" s="13"/>
      <c r="F200" s="13"/>
      <c r="H200" s="14"/>
      <c r="I200" s="14"/>
      <c r="K200" s="14"/>
      <c r="L200" s="14"/>
      <c r="N200" s="14"/>
      <c r="O200" s="14"/>
      <c r="P200" s="15"/>
      <c r="R200" s="15"/>
      <c r="T200" s="15"/>
      <c r="U200" s="15"/>
      <c r="AB200" s="15"/>
      <c r="AC200" s="15"/>
      <c r="AD200" s="15"/>
      <c r="AE200" s="15"/>
      <c r="AF200" s="15"/>
    </row>
  </sheetData>
  <conditionalFormatting sqref="AB2:AF144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AN2:AN144">
    <cfRule type="expression" dxfId="5" priority="2">
      <formula>AN2="Alta"</formula>
    </cfRule>
    <cfRule type="expression" dxfId="4" priority="3">
      <formula>AN2="Media"</formula>
    </cfRule>
    <cfRule type="expression" dxfId="3" priority="4">
      <formula>AN2="Baja"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D6C60-81EE-4463-9CE7-DE07DD549663}">
  <dimension ref="A1:K2113"/>
  <sheetViews>
    <sheetView workbookViewId="0">
      <selection activeCell="B17" sqref="B17"/>
    </sheetView>
  </sheetViews>
  <sheetFormatPr baseColWidth="10" defaultColWidth="9.77734375" defaultRowHeight="14.4"/>
  <cols>
    <col min="1" max="3" width="57.77734375" customWidth="1"/>
    <col min="4" max="9" width="15.5546875" customWidth="1"/>
    <col min="11" max="11" width="35.5546875" customWidth="1"/>
  </cols>
  <sheetData>
    <row r="1" spans="1:11" ht="41.4">
      <c r="A1" s="8" t="s">
        <v>559</v>
      </c>
      <c r="B1" s="8" t="s">
        <v>560</v>
      </c>
      <c r="C1" s="8" t="s">
        <v>405</v>
      </c>
      <c r="D1" s="8" t="s">
        <v>561</v>
      </c>
      <c r="E1" s="8" t="s">
        <v>562</v>
      </c>
      <c r="F1" s="8" t="s">
        <v>563</v>
      </c>
      <c r="G1" s="8" t="s">
        <v>564</v>
      </c>
      <c r="H1" s="8" t="s">
        <v>565</v>
      </c>
      <c r="I1" s="8" t="s">
        <v>566</v>
      </c>
      <c r="J1" s="8" t="s">
        <v>567</v>
      </c>
      <c r="K1" s="8" t="s">
        <v>568</v>
      </c>
    </row>
    <row r="2" spans="1:11">
      <c r="A2" t="s">
        <v>486</v>
      </c>
      <c r="B2" t="s">
        <v>569</v>
      </c>
      <c r="C2" t="s">
        <v>570</v>
      </c>
      <c r="D2" s="15">
        <v>-0.32400000000000001</v>
      </c>
      <c r="E2" s="15">
        <v>-0.30499999999999999</v>
      </c>
      <c r="F2" s="15">
        <v>0.79400000000000004</v>
      </c>
      <c r="G2" s="15">
        <v>-0.315</v>
      </c>
      <c r="H2" s="15">
        <v>5.5E-2</v>
      </c>
      <c r="I2" s="15">
        <v>0.47399999999999998</v>
      </c>
      <c r="J2" t="s">
        <v>75</v>
      </c>
      <c r="K2" t="s">
        <v>510</v>
      </c>
    </row>
    <row r="3" spans="1:11">
      <c r="A3" t="s">
        <v>479</v>
      </c>
      <c r="B3" t="s">
        <v>569</v>
      </c>
      <c r="C3" t="s">
        <v>570</v>
      </c>
      <c r="D3" s="15">
        <v>-0.26900000000000002</v>
      </c>
      <c r="E3" s="15">
        <v>-0.30099999999999999</v>
      </c>
      <c r="F3" s="15">
        <v>0.79400000000000004</v>
      </c>
      <c r="G3" s="15">
        <v>-0.28499999999999998</v>
      </c>
      <c r="H3" s="15">
        <v>7.4999999999999997E-2</v>
      </c>
      <c r="I3" s="15">
        <v>0.45500000000000002</v>
      </c>
      <c r="J3" t="s">
        <v>75</v>
      </c>
      <c r="K3" t="s">
        <v>510</v>
      </c>
    </row>
    <row r="4" spans="1:11">
      <c r="A4" t="s">
        <v>571</v>
      </c>
      <c r="B4" t="s">
        <v>569</v>
      </c>
      <c r="C4" t="s">
        <v>570</v>
      </c>
      <c r="D4" s="15">
        <v>-0.19700000000000001</v>
      </c>
      <c r="E4" s="15">
        <v>-0.19600000000000001</v>
      </c>
      <c r="F4" s="15">
        <v>0.79400000000000004</v>
      </c>
      <c r="G4" s="15">
        <v>-0.19600000000000001</v>
      </c>
      <c r="H4" s="15">
        <v>0.13400000000000001</v>
      </c>
      <c r="I4" s="15">
        <v>0.39600000000000002</v>
      </c>
      <c r="J4" t="s">
        <v>73</v>
      </c>
      <c r="K4" t="s">
        <v>510</v>
      </c>
    </row>
    <row r="5" spans="1:11">
      <c r="A5" t="s">
        <v>506</v>
      </c>
      <c r="B5" t="s">
        <v>569</v>
      </c>
      <c r="C5" t="s">
        <v>570</v>
      </c>
      <c r="D5" s="15">
        <v>-0.14199999999999999</v>
      </c>
      <c r="E5" s="15">
        <v>-0.22700000000000001</v>
      </c>
      <c r="F5" s="15">
        <v>0.79400000000000004</v>
      </c>
      <c r="G5" s="15">
        <v>-0.184</v>
      </c>
      <c r="H5" s="15">
        <v>0.14199999999999999</v>
      </c>
      <c r="I5" s="15">
        <v>0.38700000000000001</v>
      </c>
      <c r="J5" t="s">
        <v>73</v>
      </c>
      <c r="K5" t="s">
        <v>510</v>
      </c>
    </row>
    <row r="6" spans="1:11">
      <c r="A6" t="s">
        <v>486</v>
      </c>
      <c r="B6" t="s">
        <v>499</v>
      </c>
      <c r="C6" t="s">
        <v>572</v>
      </c>
      <c r="D6" s="15">
        <v>0.43</v>
      </c>
      <c r="E6" s="15">
        <v>0.28000000000000003</v>
      </c>
      <c r="F6" s="15">
        <v>0.41599999999999998</v>
      </c>
      <c r="G6" s="15">
        <v>0.35499999999999998</v>
      </c>
      <c r="H6" s="15">
        <v>0.375</v>
      </c>
      <c r="I6" s="15">
        <v>0.375</v>
      </c>
      <c r="J6" t="s">
        <v>73</v>
      </c>
      <c r="K6" t="s">
        <v>551</v>
      </c>
    </row>
    <row r="7" spans="1:11">
      <c r="A7" t="s">
        <v>573</v>
      </c>
      <c r="B7" t="s">
        <v>569</v>
      </c>
      <c r="C7" t="s">
        <v>570</v>
      </c>
      <c r="D7" s="15">
        <v>-0.17100000000000001</v>
      </c>
      <c r="E7" s="15">
        <v>-0.16</v>
      </c>
      <c r="F7" s="15">
        <v>0.79400000000000004</v>
      </c>
      <c r="G7" s="15">
        <v>-0.16600000000000001</v>
      </c>
      <c r="H7" s="15">
        <v>0.154</v>
      </c>
      <c r="I7" s="15">
        <v>0.375</v>
      </c>
      <c r="J7" t="s">
        <v>73</v>
      </c>
      <c r="K7" t="s">
        <v>510</v>
      </c>
    </row>
    <row r="8" spans="1:11">
      <c r="A8" t="s">
        <v>547</v>
      </c>
      <c r="B8" t="s">
        <v>569</v>
      </c>
      <c r="C8" t="s">
        <v>570</v>
      </c>
      <c r="D8" s="15">
        <v>-0.14799999999999999</v>
      </c>
      <c r="E8" s="15">
        <v>-0.14699999999999999</v>
      </c>
      <c r="F8" s="15">
        <v>0.79400000000000004</v>
      </c>
      <c r="G8" s="15">
        <v>-0.14699999999999999</v>
      </c>
      <c r="H8" s="15">
        <v>0.16600000000000001</v>
      </c>
      <c r="I8" s="15">
        <v>0.36299999999999999</v>
      </c>
      <c r="J8" t="s">
        <v>73</v>
      </c>
      <c r="K8" t="s">
        <v>510</v>
      </c>
    </row>
    <row r="9" spans="1:11">
      <c r="A9" t="s">
        <v>486</v>
      </c>
      <c r="B9" t="s">
        <v>574</v>
      </c>
      <c r="C9" t="s">
        <v>575</v>
      </c>
      <c r="D9" s="15">
        <v>-0.41299999999999998</v>
      </c>
      <c r="E9" s="15">
        <v>0.26200000000000001</v>
      </c>
      <c r="F9" s="15">
        <v>-0.40799999999999997</v>
      </c>
      <c r="G9" s="15">
        <v>-7.4999999999999997E-2</v>
      </c>
      <c r="H9" s="15">
        <v>-0.186</v>
      </c>
      <c r="I9" s="15">
        <v>0.36099999999999999</v>
      </c>
      <c r="J9" t="s">
        <v>73</v>
      </c>
      <c r="K9" t="s">
        <v>500</v>
      </c>
    </row>
    <row r="10" spans="1:11">
      <c r="A10" t="s">
        <v>486</v>
      </c>
      <c r="B10" t="s">
        <v>569</v>
      </c>
      <c r="C10" t="s">
        <v>575</v>
      </c>
      <c r="D10" s="15">
        <v>-0.41299999999999998</v>
      </c>
      <c r="E10" s="15">
        <v>-0.30499999999999999</v>
      </c>
      <c r="F10" s="15">
        <v>0.36</v>
      </c>
      <c r="G10" s="15">
        <v>-0.35899999999999999</v>
      </c>
      <c r="H10" s="15">
        <v>-0.11899999999999999</v>
      </c>
      <c r="I10" s="15">
        <v>0.36</v>
      </c>
      <c r="J10" t="s">
        <v>73</v>
      </c>
      <c r="K10" t="s">
        <v>510</v>
      </c>
    </row>
    <row r="11" spans="1:11">
      <c r="A11" t="s">
        <v>576</v>
      </c>
      <c r="B11" t="s">
        <v>569</v>
      </c>
      <c r="C11" t="s">
        <v>570</v>
      </c>
      <c r="D11" s="15">
        <v>-0.222</v>
      </c>
      <c r="E11" s="15">
        <v>-5.3999999999999999E-2</v>
      </c>
      <c r="F11" s="15">
        <v>0.79400000000000004</v>
      </c>
      <c r="G11" s="15">
        <v>-0.13800000000000001</v>
      </c>
      <c r="H11" s="15">
        <v>0.17299999999999999</v>
      </c>
      <c r="I11" s="15">
        <v>0.35599999999999998</v>
      </c>
      <c r="J11" t="s">
        <v>73</v>
      </c>
      <c r="K11" t="s">
        <v>510</v>
      </c>
    </row>
    <row r="12" spans="1:11">
      <c r="A12" t="s">
        <v>577</v>
      </c>
      <c r="B12" t="s">
        <v>569</v>
      </c>
      <c r="C12" t="s">
        <v>570</v>
      </c>
      <c r="D12" s="15">
        <v>-8.8999999999999996E-2</v>
      </c>
      <c r="E12" s="15">
        <v>-0.157</v>
      </c>
      <c r="F12" s="15">
        <v>0.79400000000000004</v>
      </c>
      <c r="G12" s="15">
        <v>-0.123</v>
      </c>
      <c r="H12" s="15">
        <v>0.182</v>
      </c>
      <c r="I12" s="15">
        <v>0.34699999999999998</v>
      </c>
      <c r="J12" t="s">
        <v>73</v>
      </c>
      <c r="K12" t="s">
        <v>510</v>
      </c>
    </row>
    <row r="13" spans="1:11">
      <c r="A13" t="s">
        <v>486</v>
      </c>
      <c r="B13" t="s">
        <v>578</v>
      </c>
      <c r="C13" t="s">
        <v>572</v>
      </c>
      <c r="D13" s="15">
        <v>0.43</v>
      </c>
      <c r="E13" s="15">
        <v>-0.2</v>
      </c>
      <c r="F13" s="15">
        <v>-0.40899999999999997</v>
      </c>
      <c r="G13" s="15">
        <v>0.115</v>
      </c>
      <c r="H13" s="15">
        <v>-0.06</v>
      </c>
      <c r="I13" s="15">
        <v>0.34599999999999997</v>
      </c>
      <c r="J13" t="s">
        <v>73</v>
      </c>
      <c r="K13" t="s">
        <v>579</v>
      </c>
    </row>
    <row r="14" spans="1:11">
      <c r="A14" t="s">
        <v>486</v>
      </c>
      <c r="B14" t="s">
        <v>574</v>
      </c>
      <c r="C14" t="s">
        <v>572</v>
      </c>
      <c r="D14" s="15">
        <v>0.43</v>
      </c>
      <c r="E14" s="15">
        <v>0.26200000000000001</v>
      </c>
      <c r="F14" s="15">
        <v>0.34</v>
      </c>
      <c r="G14" s="15">
        <v>0.34599999999999997</v>
      </c>
      <c r="H14" s="15">
        <v>0.34399999999999997</v>
      </c>
      <c r="I14" s="15">
        <v>0.34399999999999997</v>
      </c>
      <c r="J14" t="s">
        <v>73</v>
      </c>
      <c r="K14" t="s">
        <v>551</v>
      </c>
    </row>
    <row r="15" spans="1:11">
      <c r="A15" t="s">
        <v>479</v>
      </c>
      <c r="B15" t="s">
        <v>478</v>
      </c>
      <c r="C15" t="s">
        <v>575</v>
      </c>
      <c r="D15" s="15">
        <v>-0.22500000000000001</v>
      </c>
      <c r="E15" s="15">
        <v>-0.41199999999999998</v>
      </c>
      <c r="F15" s="15">
        <v>0.38500000000000001</v>
      </c>
      <c r="G15" s="15">
        <v>-0.31900000000000001</v>
      </c>
      <c r="H15" s="15">
        <v>-8.4000000000000005E-2</v>
      </c>
      <c r="I15" s="15">
        <v>0.34100000000000003</v>
      </c>
      <c r="J15" t="s">
        <v>73</v>
      </c>
      <c r="K15" t="s">
        <v>510</v>
      </c>
    </row>
    <row r="16" spans="1:11">
      <c r="A16" t="s">
        <v>486</v>
      </c>
      <c r="B16" t="s">
        <v>523</v>
      </c>
      <c r="C16" t="s">
        <v>492</v>
      </c>
      <c r="D16" s="15">
        <v>0.34899999999999998</v>
      </c>
      <c r="E16" s="15">
        <v>-0.21099999999999999</v>
      </c>
      <c r="F16" s="15">
        <v>-0.436</v>
      </c>
      <c r="G16" s="15">
        <v>6.9000000000000006E-2</v>
      </c>
      <c r="H16" s="15">
        <v>-9.9000000000000005E-2</v>
      </c>
      <c r="I16" s="15">
        <v>0.33200000000000002</v>
      </c>
      <c r="J16" t="s">
        <v>73</v>
      </c>
      <c r="K16" t="s">
        <v>579</v>
      </c>
    </row>
    <row r="17" spans="1:11">
      <c r="A17" t="s">
        <v>486</v>
      </c>
      <c r="B17" t="s">
        <v>578</v>
      </c>
      <c r="C17" t="s">
        <v>492</v>
      </c>
      <c r="D17" s="15">
        <v>0.34899999999999998</v>
      </c>
      <c r="E17" s="15">
        <v>-0.2</v>
      </c>
      <c r="F17" s="15">
        <v>-0.41899999999999998</v>
      </c>
      <c r="G17" s="15">
        <v>7.3999999999999996E-2</v>
      </c>
      <c r="H17" s="15">
        <v>-0.09</v>
      </c>
      <c r="I17" s="15">
        <v>0.32300000000000001</v>
      </c>
      <c r="J17" t="s">
        <v>73</v>
      </c>
      <c r="K17" t="s">
        <v>579</v>
      </c>
    </row>
    <row r="18" spans="1:11">
      <c r="A18" t="s">
        <v>479</v>
      </c>
      <c r="B18" t="s">
        <v>478</v>
      </c>
      <c r="C18" t="s">
        <v>570</v>
      </c>
      <c r="D18" s="15">
        <v>-0.26900000000000002</v>
      </c>
      <c r="E18" s="15">
        <v>-0.41199999999999998</v>
      </c>
      <c r="F18" s="15">
        <v>0.27400000000000002</v>
      </c>
      <c r="G18" s="15">
        <v>-0.34100000000000003</v>
      </c>
      <c r="H18" s="15">
        <v>-0.13600000000000001</v>
      </c>
      <c r="I18" s="15">
        <v>0.318</v>
      </c>
      <c r="J18" t="s">
        <v>73</v>
      </c>
      <c r="K18" t="s">
        <v>510</v>
      </c>
    </row>
    <row r="19" spans="1:11">
      <c r="A19" t="s">
        <v>486</v>
      </c>
      <c r="B19" t="s">
        <v>499</v>
      </c>
      <c r="C19" t="s">
        <v>575</v>
      </c>
      <c r="D19" s="15">
        <v>-0.41299999999999998</v>
      </c>
      <c r="E19" s="15">
        <v>0.28000000000000003</v>
      </c>
      <c r="F19" s="15">
        <v>-0.254</v>
      </c>
      <c r="G19" s="15">
        <v>-6.7000000000000004E-2</v>
      </c>
      <c r="H19" s="15">
        <v>-0.129</v>
      </c>
      <c r="I19" s="15">
        <v>0.316</v>
      </c>
      <c r="J19" t="s">
        <v>73</v>
      </c>
      <c r="K19" t="s">
        <v>500</v>
      </c>
    </row>
    <row r="20" spans="1:11">
      <c r="A20" t="s">
        <v>577</v>
      </c>
      <c r="B20" t="s">
        <v>578</v>
      </c>
      <c r="C20" t="s">
        <v>492</v>
      </c>
      <c r="D20" s="15">
        <v>-0.28699999999999998</v>
      </c>
      <c r="E20" s="15">
        <v>0.23799999999999999</v>
      </c>
      <c r="F20" s="15">
        <v>-0.41899999999999998</v>
      </c>
      <c r="G20" s="15">
        <v>-2.4E-2</v>
      </c>
      <c r="H20" s="15">
        <v>-0.156</v>
      </c>
      <c r="I20" s="15">
        <v>0.315</v>
      </c>
      <c r="J20" t="s">
        <v>73</v>
      </c>
      <c r="K20" t="s">
        <v>500</v>
      </c>
    </row>
    <row r="21" spans="1:11">
      <c r="A21" t="s">
        <v>486</v>
      </c>
      <c r="B21" t="s">
        <v>499</v>
      </c>
      <c r="C21" t="s">
        <v>492</v>
      </c>
      <c r="D21" s="15">
        <v>0.34899999999999998</v>
      </c>
      <c r="E21" s="15">
        <v>0.28000000000000003</v>
      </c>
      <c r="F21" s="15">
        <v>0.30399999999999999</v>
      </c>
      <c r="G21" s="15">
        <v>0.314</v>
      </c>
      <c r="H21" s="15">
        <v>0.311</v>
      </c>
      <c r="I21" s="15">
        <v>0.311</v>
      </c>
      <c r="J21" t="s">
        <v>73</v>
      </c>
      <c r="K21" t="s">
        <v>551</v>
      </c>
    </row>
    <row r="22" spans="1:11">
      <c r="A22" t="s">
        <v>486</v>
      </c>
      <c r="B22" t="s">
        <v>580</v>
      </c>
      <c r="C22" t="s">
        <v>572</v>
      </c>
      <c r="D22" s="15">
        <v>0.43</v>
      </c>
      <c r="E22" s="15">
        <v>-0.25700000000000001</v>
      </c>
      <c r="F22" s="15">
        <v>-0.245</v>
      </c>
      <c r="G22" s="15">
        <v>8.5999999999999993E-2</v>
      </c>
      <c r="H22" s="15">
        <v>-2.4E-2</v>
      </c>
      <c r="I22" s="15">
        <v>0.311</v>
      </c>
      <c r="J22" t="s">
        <v>73</v>
      </c>
      <c r="K22" t="s">
        <v>579</v>
      </c>
    </row>
    <row r="23" spans="1:11">
      <c r="A23" t="s">
        <v>486</v>
      </c>
      <c r="B23" t="s">
        <v>581</v>
      </c>
      <c r="C23" t="s">
        <v>575</v>
      </c>
      <c r="D23" s="15">
        <v>-0.41299999999999998</v>
      </c>
      <c r="E23" s="15">
        <v>0.14199999999999999</v>
      </c>
      <c r="F23" s="15">
        <v>-0.36299999999999999</v>
      </c>
      <c r="G23" s="15">
        <v>-0.13600000000000001</v>
      </c>
      <c r="H23" s="15">
        <v>-0.21199999999999999</v>
      </c>
      <c r="I23" s="15">
        <v>0.30599999999999999</v>
      </c>
      <c r="J23" t="s">
        <v>73</v>
      </c>
      <c r="K23" t="s">
        <v>500</v>
      </c>
    </row>
    <row r="24" spans="1:11">
      <c r="A24" t="s">
        <v>577</v>
      </c>
      <c r="B24" t="s">
        <v>523</v>
      </c>
      <c r="C24" t="s">
        <v>492</v>
      </c>
      <c r="D24" s="15">
        <v>-0.28699999999999998</v>
      </c>
      <c r="E24" s="15">
        <v>0.191</v>
      </c>
      <c r="F24" s="15">
        <v>-0.436</v>
      </c>
      <c r="G24" s="15">
        <v>-4.8000000000000001E-2</v>
      </c>
      <c r="H24" s="15">
        <v>-0.17699999999999999</v>
      </c>
      <c r="I24" s="15">
        <v>0.30499999999999999</v>
      </c>
      <c r="J24" t="s">
        <v>73</v>
      </c>
      <c r="K24" t="s">
        <v>500</v>
      </c>
    </row>
    <row r="25" spans="1:11">
      <c r="A25" t="s">
        <v>486</v>
      </c>
      <c r="B25" t="s">
        <v>523</v>
      </c>
      <c r="C25" t="s">
        <v>572</v>
      </c>
      <c r="D25" s="15">
        <v>0.43</v>
      </c>
      <c r="E25" s="15">
        <v>-0.21099999999999999</v>
      </c>
      <c r="F25" s="15">
        <v>-0.26900000000000002</v>
      </c>
      <c r="G25" s="15">
        <v>0.109</v>
      </c>
      <c r="H25" s="15">
        <v>-1.7000000000000001E-2</v>
      </c>
      <c r="I25" s="15">
        <v>0.30299999999999999</v>
      </c>
      <c r="J25" t="s">
        <v>73</v>
      </c>
      <c r="K25" t="s">
        <v>579</v>
      </c>
    </row>
    <row r="26" spans="1:11">
      <c r="A26" t="s">
        <v>486</v>
      </c>
      <c r="B26" t="s">
        <v>574</v>
      </c>
      <c r="C26" t="s">
        <v>492</v>
      </c>
      <c r="D26" s="15">
        <v>0.34899999999999998</v>
      </c>
      <c r="E26" s="15">
        <v>0.26200000000000001</v>
      </c>
      <c r="F26" s="15">
        <v>0.29499999999999998</v>
      </c>
      <c r="G26" s="15">
        <v>0.30599999999999999</v>
      </c>
      <c r="H26" s="15">
        <v>0.30199999999999999</v>
      </c>
      <c r="I26" s="15">
        <v>0.30199999999999999</v>
      </c>
      <c r="J26" t="s">
        <v>73</v>
      </c>
      <c r="K26" t="s">
        <v>551</v>
      </c>
    </row>
    <row r="27" spans="1:11">
      <c r="A27" t="s">
        <v>486</v>
      </c>
      <c r="B27" t="s">
        <v>523</v>
      </c>
      <c r="C27" t="s">
        <v>477</v>
      </c>
      <c r="D27" s="15">
        <v>-0.28399999999999997</v>
      </c>
      <c r="E27" s="15">
        <v>-0.21099999999999999</v>
      </c>
      <c r="F27" s="15">
        <v>0.41</v>
      </c>
      <c r="G27" s="15">
        <v>-0.247</v>
      </c>
      <c r="H27" s="15">
        <v>-2.8000000000000001E-2</v>
      </c>
      <c r="I27" s="15">
        <v>0.30199999999999999</v>
      </c>
      <c r="J27" t="s">
        <v>73</v>
      </c>
      <c r="K27" t="s">
        <v>510</v>
      </c>
    </row>
    <row r="28" spans="1:11">
      <c r="A28" t="s">
        <v>486</v>
      </c>
      <c r="B28" t="s">
        <v>478</v>
      </c>
      <c r="C28" t="s">
        <v>575</v>
      </c>
      <c r="D28" s="15">
        <v>-0.41299999999999998</v>
      </c>
      <c r="E28" s="15">
        <v>0.104</v>
      </c>
      <c r="F28" s="15">
        <v>0.38500000000000001</v>
      </c>
      <c r="G28" s="15">
        <v>-0.155</v>
      </c>
      <c r="H28" s="15">
        <v>2.5000000000000001E-2</v>
      </c>
      <c r="I28" s="15">
        <v>0.30099999999999999</v>
      </c>
      <c r="J28" t="s">
        <v>73</v>
      </c>
      <c r="K28" t="s">
        <v>487</v>
      </c>
    </row>
    <row r="29" spans="1:11">
      <c r="A29" t="s">
        <v>506</v>
      </c>
      <c r="B29" t="s">
        <v>509</v>
      </c>
      <c r="C29" t="s">
        <v>582</v>
      </c>
      <c r="D29" s="15">
        <v>0.34100000000000003</v>
      </c>
      <c r="E29" s="15">
        <v>0.35799999999999998</v>
      </c>
      <c r="F29" s="15">
        <v>0.19600000000000001</v>
      </c>
      <c r="G29" s="15">
        <v>0.34899999999999998</v>
      </c>
      <c r="H29" s="15">
        <v>0.29799999999999999</v>
      </c>
      <c r="I29" s="15">
        <v>0.29799999999999999</v>
      </c>
      <c r="J29" t="s">
        <v>412</v>
      </c>
      <c r="K29" t="s">
        <v>551</v>
      </c>
    </row>
    <row r="30" spans="1:11">
      <c r="A30" t="s">
        <v>479</v>
      </c>
      <c r="B30" t="s">
        <v>569</v>
      </c>
      <c r="C30" t="s">
        <v>575</v>
      </c>
      <c r="D30" s="15">
        <v>-0.22500000000000001</v>
      </c>
      <c r="E30" s="15">
        <v>-0.30099999999999999</v>
      </c>
      <c r="F30" s="15">
        <v>0.36</v>
      </c>
      <c r="G30" s="15">
        <v>-0.26300000000000001</v>
      </c>
      <c r="H30" s="15">
        <v>-5.5E-2</v>
      </c>
      <c r="I30" s="15">
        <v>0.29599999999999999</v>
      </c>
      <c r="J30" t="s">
        <v>412</v>
      </c>
      <c r="K30" t="s">
        <v>510</v>
      </c>
    </row>
    <row r="31" spans="1:11">
      <c r="A31" t="s">
        <v>577</v>
      </c>
      <c r="B31" t="s">
        <v>578</v>
      </c>
      <c r="C31" t="s">
        <v>477</v>
      </c>
      <c r="D31" s="15">
        <v>0.246</v>
      </c>
      <c r="E31" s="15">
        <v>0.23799999999999999</v>
      </c>
      <c r="F31" s="15">
        <v>0.39200000000000002</v>
      </c>
      <c r="G31" s="15">
        <v>0.24199999999999999</v>
      </c>
      <c r="H31" s="15">
        <v>0.29199999999999998</v>
      </c>
      <c r="I31" s="15">
        <v>0.29199999999999998</v>
      </c>
      <c r="J31" t="s">
        <v>412</v>
      </c>
      <c r="K31" t="s">
        <v>551</v>
      </c>
    </row>
    <row r="32" spans="1:11">
      <c r="A32" t="s">
        <v>486</v>
      </c>
      <c r="B32" t="s">
        <v>578</v>
      </c>
      <c r="C32" t="s">
        <v>477</v>
      </c>
      <c r="D32" s="15">
        <v>-0.28399999999999997</v>
      </c>
      <c r="E32" s="15">
        <v>-0.2</v>
      </c>
      <c r="F32" s="15">
        <v>0.39200000000000002</v>
      </c>
      <c r="G32" s="15">
        <v>-0.24199999999999999</v>
      </c>
      <c r="H32" s="15">
        <v>-0.03</v>
      </c>
      <c r="I32" s="15">
        <v>0.29199999999999998</v>
      </c>
      <c r="J32" t="s">
        <v>412</v>
      </c>
      <c r="K32" t="s">
        <v>510</v>
      </c>
    </row>
    <row r="33" spans="1:11">
      <c r="A33" t="s">
        <v>486</v>
      </c>
      <c r="B33" t="s">
        <v>574</v>
      </c>
      <c r="C33" t="s">
        <v>570</v>
      </c>
      <c r="D33" s="15">
        <v>-0.32400000000000001</v>
      </c>
      <c r="E33" s="15">
        <v>0.26200000000000001</v>
      </c>
      <c r="F33" s="15">
        <v>-0.28799999999999998</v>
      </c>
      <c r="G33" s="15">
        <v>-3.1E-2</v>
      </c>
      <c r="H33" s="15">
        <v>-0.11700000000000001</v>
      </c>
      <c r="I33" s="15">
        <v>0.29199999999999998</v>
      </c>
      <c r="J33" t="s">
        <v>412</v>
      </c>
      <c r="K33" t="s">
        <v>500</v>
      </c>
    </row>
    <row r="34" spans="1:11">
      <c r="A34" t="s">
        <v>486</v>
      </c>
      <c r="B34" t="s">
        <v>578</v>
      </c>
      <c r="C34" t="s">
        <v>575</v>
      </c>
      <c r="D34" s="15">
        <v>-0.41299999999999998</v>
      </c>
      <c r="E34" s="15">
        <v>-0.2</v>
      </c>
      <c r="F34" s="15">
        <v>0.254</v>
      </c>
      <c r="G34" s="15">
        <v>-0.307</v>
      </c>
      <c r="H34" s="15">
        <v>-0.12</v>
      </c>
      <c r="I34" s="15">
        <v>0.28899999999999998</v>
      </c>
      <c r="J34" t="s">
        <v>412</v>
      </c>
      <c r="K34" t="s">
        <v>510</v>
      </c>
    </row>
    <row r="35" spans="1:11">
      <c r="A35" t="s">
        <v>486</v>
      </c>
      <c r="B35" t="s">
        <v>498</v>
      </c>
      <c r="C35" t="s">
        <v>575</v>
      </c>
      <c r="D35" s="15">
        <v>-0.41299999999999998</v>
      </c>
      <c r="E35" s="15">
        <v>0.20599999999999999</v>
      </c>
      <c r="F35" s="15">
        <v>-0.24399999999999999</v>
      </c>
      <c r="G35" s="15">
        <v>-0.104</v>
      </c>
      <c r="H35" s="15">
        <v>-0.151</v>
      </c>
      <c r="I35" s="15">
        <v>0.28799999999999998</v>
      </c>
      <c r="J35" t="s">
        <v>412</v>
      </c>
      <c r="K35" t="s">
        <v>500</v>
      </c>
    </row>
    <row r="36" spans="1:11">
      <c r="A36" t="s">
        <v>486</v>
      </c>
      <c r="B36" t="s">
        <v>569</v>
      </c>
      <c r="C36" t="s">
        <v>583</v>
      </c>
      <c r="D36" s="15">
        <v>-0.16700000000000001</v>
      </c>
      <c r="E36" s="15">
        <v>-0.30499999999999999</v>
      </c>
      <c r="F36" s="15">
        <v>0.38800000000000001</v>
      </c>
      <c r="G36" s="15">
        <v>-0.23599999999999999</v>
      </c>
      <c r="H36" s="15">
        <v>-2.8000000000000001E-2</v>
      </c>
      <c r="I36" s="15">
        <v>0.28699999999999998</v>
      </c>
      <c r="J36" t="s">
        <v>412</v>
      </c>
      <c r="K36" t="s">
        <v>510</v>
      </c>
    </row>
    <row r="37" spans="1:11">
      <c r="A37" t="s">
        <v>486</v>
      </c>
      <c r="B37" t="s">
        <v>580</v>
      </c>
      <c r="C37" t="s">
        <v>492</v>
      </c>
      <c r="D37" s="15">
        <v>0.34899999999999998</v>
      </c>
      <c r="E37" s="15">
        <v>-0.25700000000000001</v>
      </c>
      <c r="F37" s="15">
        <v>-0.254</v>
      </c>
      <c r="G37" s="15">
        <v>4.5999999999999999E-2</v>
      </c>
      <c r="H37" s="15">
        <v>-5.3999999999999999E-2</v>
      </c>
      <c r="I37" s="15">
        <v>0.28599999999999998</v>
      </c>
      <c r="J37" t="s">
        <v>412</v>
      </c>
      <c r="K37" t="s">
        <v>579</v>
      </c>
    </row>
    <row r="38" spans="1:11">
      <c r="A38" t="s">
        <v>506</v>
      </c>
      <c r="B38" t="s">
        <v>569</v>
      </c>
      <c r="C38" t="s">
        <v>582</v>
      </c>
      <c r="D38" s="15">
        <v>0.34100000000000003</v>
      </c>
      <c r="E38" s="15">
        <v>-0.22700000000000001</v>
      </c>
      <c r="F38" s="15">
        <v>-0.28999999999999998</v>
      </c>
      <c r="G38" s="15">
        <v>5.7000000000000002E-2</v>
      </c>
      <c r="H38" s="15">
        <v>-5.8999999999999997E-2</v>
      </c>
      <c r="I38" s="15">
        <v>0.28599999999999998</v>
      </c>
      <c r="J38" t="s">
        <v>412</v>
      </c>
      <c r="K38" t="s">
        <v>579</v>
      </c>
    </row>
    <row r="39" spans="1:11">
      <c r="A39" t="s">
        <v>486</v>
      </c>
      <c r="B39" t="s">
        <v>499</v>
      </c>
      <c r="C39" t="s">
        <v>570</v>
      </c>
      <c r="D39" s="15">
        <v>-0.32400000000000001</v>
      </c>
      <c r="E39" s="15">
        <v>0.28000000000000003</v>
      </c>
      <c r="F39" s="15">
        <v>-0.246</v>
      </c>
      <c r="G39" s="15">
        <v>-2.1999999999999999E-2</v>
      </c>
      <c r="H39" s="15">
        <v>-9.7000000000000003E-2</v>
      </c>
      <c r="I39" s="15">
        <v>0.28399999999999997</v>
      </c>
      <c r="J39" t="s">
        <v>412</v>
      </c>
      <c r="K39" t="s">
        <v>500</v>
      </c>
    </row>
    <row r="40" spans="1:11">
      <c r="A40" t="s">
        <v>577</v>
      </c>
      <c r="B40" t="s">
        <v>523</v>
      </c>
      <c r="C40" t="s">
        <v>477</v>
      </c>
      <c r="D40" s="15">
        <v>0.246</v>
      </c>
      <c r="E40" s="15">
        <v>0.191</v>
      </c>
      <c r="F40" s="15">
        <v>0.41</v>
      </c>
      <c r="G40" s="15">
        <v>0.218</v>
      </c>
      <c r="H40" s="15">
        <v>0.28199999999999997</v>
      </c>
      <c r="I40" s="15">
        <v>0.28199999999999997</v>
      </c>
      <c r="J40" t="s">
        <v>412</v>
      </c>
      <c r="K40" t="s">
        <v>551</v>
      </c>
    </row>
    <row r="41" spans="1:11">
      <c r="A41" t="s">
        <v>486</v>
      </c>
      <c r="B41" t="s">
        <v>550</v>
      </c>
      <c r="C41" t="s">
        <v>572</v>
      </c>
      <c r="D41" s="15">
        <v>0.43</v>
      </c>
      <c r="E41" s="15">
        <v>-0.222</v>
      </c>
      <c r="F41" s="15">
        <v>-0.19400000000000001</v>
      </c>
      <c r="G41" s="15">
        <v>0.104</v>
      </c>
      <c r="H41" s="15">
        <v>5.0000000000000001E-3</v>
      </c>
      <c r="I41" s="15">
        <v>0.28199999999999997</v>
      </c>
      <c r="J41" t="s">
        <v>412</v>
      </c>
      <c r="K41" t="s">
        <v>579</v>
      </c>
    </row>
    <row r="42" spans="1:11">
      <c r="A42" t="s">
        <v>486</v>
      </c>
      <c r="B42" t="s">
        <v>499</v>
      </c>
      <c r="C42" t="s">
        <v>477</v>
      </c>
      <c r="D42" s="15">
        <v>-0.28399999999999997</v>
      </c>
      <c r="E42" s="15">
        <v>0.28000000000000003</v>
      </c>
      <c r="F42" s="15">
        <v>-0.28000000000000003</v>
      </c>
      <c r="G42" s="15">
        <v>-2E-3</v>
      </c>
      <c r="H42" s="15">
        <v>-9.5000000000000001E-2</v>
      </c>
      <c r="I42" s="15">
        <v>0.28100000000000003</v>
      </c>
      <c r="J42" t="s">
        <v>412</v>
      </c>
      <c r="K42" t="s">
        <v>500</v>
      </c>
    </row>
    <row r="43" spans="1:11">
      <c r="A43" t="s">
        <v>479</v>
      </c>
      <c r="B43" t="s">
        <v>550</v>
      </c>
      <c r="C43" t="s">
        <v>584</v>
      </c>
      <c r="D43" s="15">
        <v>0.106</v>
      </c>
      <c r="E43" s="15">
        <v>0.441</v>
      </c>
      <c r="F43" s="15">
        <v>0.28999999999999998</v>
      </c>
      <c r="G43" s="15">
        <v>0.27400000000000002</v>
      </c>
      <c r="H43" s="15">
        <v>0.27900000000000003</v>
      </c>
      <c r="I43" s="15">
        <v>0.27900000000000003</v>
      </c>
      <c r="J43" t="s">
        <v>412</v>
      </c>
      <c r="K43" t="s">
        <v>551</v>
      </c>
    </row>
    <row r="44" spans="1:11">
      <c r="A44" t="s">
        <v>486</v>
      </c>
      <c r="B44" t="s">
        <v>499</v>
      </c>
      <c r="C44" t="s">
        <v>585</v>
      </c>
      <c r="D44" s="15">
        <v>-0.27</v>
      </c>
      <c r="E44" s="15">
        <v>0.28000000000000003</v>
      </c>
      <c r="F44" s="15">
        <v>-0.28599999999999998</v>
      </c>
      <c r="G44" s="15">
        <v>5.0000000000000001E-3</v>
      </c>
      <c r="H44" s="15">
        <v>-9.1999999999999998E-2</v>
      </c>
      <c r="I44" s="15">
        <v>0.27900000000000003</v>
      </c>
      <c r="J44" t="s">
        <v>412</v>
      </c>
      <c r="K44" t="s">
        <v>500</v>
      </c>
    </row>
    <row r="45" spans="1:11">
      <c r="A45" t="s">
        <v>486</v>
      </c>
      <c r="B45" t="s">
        <v>586</v>
      </c>
      <c r="C45" t="s">
        <v>572</v>
      </c>
      <c r="D45" s="15">
        <v>0.43</v>
      </c>
      <c r="E45" s="15">
        <v>-0.189</v>
      </c>
      <c r="F45" s="15">
        <v>-0.20799999999999999</v>
      </c>
      <c r="G45" s="15">
        <v>0.12</v>
      </c>
      <c r="H45" s="15">
        <v>1.0999999999999999E-2</v>
      </c>
      <c r="I45" s="15">
        <v>0.27600000000000002</v>
      </c>
      <c r="J45" t="s">
        <v>412</v>
      </c>
      <c r="K45" t="s">
        <v>579</v>
      </c>
    </row>
    <row r="46" spans="1:11">
      <c r="A46" t="s">
        <v>486</v>
      </c>
      <c r="B46" t="s">
        <v>580</v>
      </c>
      <c r="C46" t="s">
        <v>477</v>
      </c>
      <c r="D46" s="15">
        <v>-0.28399999999999997</v>
      </c>
      <c r="E46" s="15">
        <v>-0.25700000000000001</v>
      </c>
      <c r="F46" s="15">
        <v>0.28399999999999997</v>
      </c>
      <c r="G46" s="15">
        <v>-0.27</v>
      </c>
      <c r="H46" s="15">
        <v>-8.5000000000000006E-2</v>
      </c>
      <c r="I46" s="15">
        <v>0.27500000000000002</v>
      </c>
      <c r="J46" t="s">
        <v>412</v>
      </c>
      <c r="K46" t="s">
        <v>510</v>
      </c>
    </row>
    <row r="47" spans="1:11">
      <c r="A47" t="s">
        <v>486</v>
      </c>
      <c r="B47" t="s">
        <v>523</v>
      </c>
      <c r="C47" t="s">
        <v>575</v>
      </c>
      <c r="D47" s="15">
        <v>-0.41299999999999998</v>
      </c>
      <c r="E47" s="15">
        <v>-0.21099999999999999</v>
      </c>
      <c r="F47" s="15">
        <v>0.19600000000000001</v>
      </c>
      <c r="G47" s="15">
        <v>-0.312</v>
      </c>
      <c r="H47" s="15">
        <v>-0.14299999999999999</v>
      </c>
      <c r="I47" s="15">
        <v>0.27400000000000002</v>
      </c>
      <c r="J47" t="s">
        <v>412</v>
      </c>
      <c r="K47" t="s">
        <v>510</v>
      </c>
    </row>
    <row r="48" spans="1:11">
      <c r="A48" t="s">
        <v>573</v>
      </c>
      <c r="B48" t="s">
        <v>523</v>
      </c>
      <c r="C48" t="s">
        <v>492</v>
      </c>
      <c r="D48" s="15">
        <v>-0.16400000000000001</v>
      </c>
      <c r="E48" s="15">
        <v>0.21199999999999999</v>
      </c>
      <c r="F48" s="15">
        <v>-0.436</v>
      </c>
      <c r="G48" s="15">
        <v>2.4E-2</v>
      </c>
      <c r="H48" s="15">
        <v>-0.129</v>
      </c>
      <c r="I48" s="15">
        <v>0.27100000000000002</v>
      </c>
      <c r="J48" t="s">
        <v>412</v>
      </c>
      <c r="K48" t="s">
        <v>500</v>
      </c>
    </row>
    <row r="49" spans="1:11">
      <c r="A49" t="s">
        <v>571</v>
      </c>
      <c r="B49" t="s">
        <v>581</v>
      </c>
      <c r="C49" t="s">
        <v>575</v>
      </c>
      <c r="D49" s="15">
        <v>-0.16800000000000001</v>
      </c>
      <c r="E49" s="15">
        <v>0.27500000000000002</v>
      </c>
      <c r="F49" s="15">
        <v>-0.36299999999999999</v>
      </c>
      <c r="G49" s="15">
        <v>5.2999999999999999E-2</v>
      </c>
      <c r="H49" s="15">
        <v>-8.5999999999999993E-2</v>
      </c>
      <c r="I49" s="15">
        <v>0.26900000000000002</v>
      </c>
      <c r="J49" t="s">
        <v>412</v>
      </c>
      <c r="K49" t="s">
        <v>500</v>
      </c>
    </row>
    <row r="50" spans="1:11">
      <c r="A50" t="s">
        <v>486</v>
      </c>
      <c r="B50" t="s">
        <v>499</v>
      </c>
      <c r="C50" t="s">
        <v>583</v>
      </c>
      <c r="D50" s="15">
        <v>-0.16700000000000001</v>
      </c>
      <c r="E50" s="15">
        <v>0.28000000000000003</v>
      </c>
      <c r="F50" s="15">
        <v>-0.35499999999999998</v>
      </c>
      <c r="G50" s="15">
        <v>5.6000000000000001E-2</v>
      </c>
      <c r="H50" s="15">
        <v>-8.1000000000000003E-2</v>
      </c>
      <c r="I50" s="15">
        <v>0.26800000000000002</v>
      </c>
      <c r="J50" t="s">
        <v>412</v>
      </c>
      <c r="K50" t="s">
        <v>500</v>
      </c>
    </row>
    <row r="51" spans="1:11">
      <c r="A51" t="s">
        <v>486</v>
      </c>
      <c r="B51" t="s">
        <v>569</v>
      </c>
      <c r="C51" t="s">
        <v>572</v>
      </c>
      <c r="D51" s="15">
        <v>0.43</v>
      </c>
      <c r="E51" s="15">
        <v>-0.30499999999999999</v>
      </c>
      <c r="F51" s="15">
        <v>6.7000000000000004E-2</v>
      </c>
      <c r="G51" s="15">
        <v>6.2E-2</v>
      </c>
      <c r="H51" s="15">
        <v>6.4000000000000001E-2</v>
      </c>
      <c r="I51" s="15">
        <v>0.26700000000000002</v>
      </c>
      <c r="J51" t="s">
        <v>412</v>
      </c>
      <c r="K51" t="s">
        <v>480</v>
      </c>
    </row>
    <row r="52" spans="1:11">
      <c r="A52" t="s">
        <v>573</v>
      </c>
      <c r="B52" t="s">
        <v>574</v>
      </c>
      <c r="C52" t="s">
        <v>584</v>
      </c>
      <c r="D52" s="15">
        <v>0.26500000000000001</v>
      </c>
      <c r="E52" s="15">
        <v>-0.124</v>
      </c>
      <c r="F52" s="15">
        <v>-0.41099999999999998</v>
      </c>
      <c r="G52" s="15">
        <v>7.0000000000000007E-2</v>
      </c>
      <c r="H52" s="15">
        <v>-0.09</v>
      </c>
      <c r="I52" s="15">
        <v>0.26700000000000002</v>
      </c>
      <c r="J52" t="s">
        <v>412</v>
      </c>
      <c r="K52" t="s">
        <v>579</v>
      </c>
    </row>
    <row r="53" spans="1:11">
      <c r="A53" t="s">
        <v>486</v>
      </c>
      <c r="B53" t="s">
        <v>581</v>
      </c>
      <c r="C53" t="s">
        <v>572</v>
      </c>
      <c r="D53" s="15">
        <v>0.43</v>
      </c>
      <c r="E53" s="15">
        <v>0.14199999999999999</v>
      </c>
      <c r="F53" s="15">
        <v>0.22500000000000001</v>
      </c>
      <c r="G53" s="15">
        <v>0.28599999999999998</v>
      </c>
      <c r="H53" s="15">
        <v>0.26600000000000001</v>
      </c>
      <c r="I53" s="15">
        <v>0.26600000000000001</v>
      </c>
      <c r="J53" t="s">
        <v>412</v>
      </c>
      <c r="K53" t="s">
        <v>551</v>
      </c>
    </row>
    <row r="54" spans="1:11">
      <c r="A54" t="s">
        <v>486</v>
      </c>
      <c r="B54" t="s">
        <v>587</v>
      </c>
      <c r="C54" t="s">
        <v>575</v>
      </c>
      <c r="D54" s="15">
        <v>-0.41299999999999998</v>
      </c>
      <c r="E54" s="15">
        <v>9.0999999999999998E-2</v>
      </c>
      <c r="F54" s="15">
        <v>-0.29299999999999998</v>
      </c>
      <c r="G54" s="15">
        <v>-0.161</v>
      </c>
      <c r="H54" s="15">
        <v>-0.20499999999999999</v>
      </c>
      <c r="I54" s="15">
        <v>0.26600000000000001</v>
      </c>
      <c r="J54" t="s">
        <v>412</v>
      </c>
      <c r="K54" t="s">
        <v>500</v>
      </c>
    </row>
    <row r="55" spans="1:11">
      <c r="A55" t="s">
        <v>577</v>
      </c>
      <c r="B55" t="s">
        <v>578</v>
      </c>
      <c r="C55" t="s">
        <v>572</v>
      </c>
      <c r="D55" s="15">
        <v>-0.14399999999999999</v>
      </c>
      <c r="E55" s="15">
        <v>0.23799999999999999</v>
      </c>
      <c r="F55" s="15">
        <v>-0.40899999999999997</v>
      </c>
      <c r="G55" s="15">
        <v>4.7E-2</v>
      </c>
      <c r="H55" s="15">
        <v>-0.105</v>
      </c>
      <c r="I55" s="15">
        <v>0.26400000000000001</v>
      </c>
      <c r="J55" t="s">
        <v>412</v>
      </c>
      <c r="K55" t="s">
        <v>500</v>
      </c>
    </row>
    <row r="56" spans="1:11">
      <c r="A56" t="s">
        <v>486</v>
      </c>
      <c r="B56" t="s">
        <v>498</v>
      </c>
      <c r="C56" t="s">
        <v>570</v>
      </c>
      <c r="D56" s="15">
        <v>-0.32400000000000001</v>
      </c>
      <c r="E56" s="15">
        <v>0.20599999999999999</v>
      </c>
      <c r="F56" s="15">
        <v>-0.252</v>
      </c>
      <c r="G56" s="15">
        <v>-5.8999999999999997E-2</v>
      </c>
      <c r="H56" s="15">
        <v>-0.124</v>
      </c>
      <c r="I56" s="15">
        <v>0.26100000000000001</v>
      </c>
      <c r="J56" t="s">
        <v>412</v>
      </c>
      <c r="K56" t="s">
        <v>500</v>
      </c>
    </row>
    <row r="57" spans="1:11">
      <c r="A57" t="s">
        <v>486</v>
      </c>
      <c r="B57" t="s">
        <v>588</v>
      </c>
      <c r="C57" t="s">
        <v>492</v>
      </c>
      <c r="D57" s="15">
        <v>0.34899999999999998</v>
      </c>
      <c r="E57" s="15">
        <v>-8.4000000000000005E-2</v>
      </c>
      <c r="F57" s="15">
        <v>-0.34300000000000003</v>
      </c>
      <c r="G57" s="15">
        <v>0.13200000000000001</v>
      </c>
      <c r="H57" s="15">
        <v>-2.5999999999999999E-2</v>
      </c>
      <c r="I57" s="15">
        <v>0.25900000000000001</v>
      </c>
      <c r="J57" t="s">
        <v>412</v>
      </c>
      <c r="K57" t="s">
        <v>579</v>
      </c>
    </row>
    <row r="58" spans="1:11">
      <c r="A58" t="s">
        <v>486</v>
      </c>
      <c r="B58" t="s">
        <v>574</v>
      </c>
      <c r="C58" t="s">
        <v>477</v>
      </c>
      <c r="D58" s="15">
        <v>-0.28399999999999997</v>
      </c>
      <c r="E58" s="15">
        <v>0.26200000000000001</v>
      </c>
      <c r="F58" s="15">
        <v>-0.23100000000000001</v>
      </c>
      <c r="G58" s="15">
        <v>-1.0999999999999999E-2</v>
      </c>
      <c r="H58" s="15">
        <v>-8.4000000000000005E-2</v>
      </c>
      <c r="I58" s="15">
        <v>0.25900000000000001</v>
      </c>
      <c r="J58" t="s">
        <v>412</v>
      </c>
      <c r="K58" t="s">
        <v>500</v>
      </c>
    </row>
    <row r="59" spans="1:11">
      <c r="A59" t="s">
        <v>506</v>
      </c>
      <c r="B59" t="s">
        <v>498</v>
      </c>
      <c r="C59" t="s">
        <v>582</v>
      </c>
      <c r="D59" s="15">
        <v>0.34100000000000003</v>
      </c>
      <c r="E59" s="15">
        <v>0.215</v>
      </c>
      <c r="F59" s="15">
        <v>0.217</v>
      </c>
      <c r="G59" s="15">
        <v>0.27800000000000002</v>
      </c>
      <c r="H59" s="15">
        <v>0.25800000000000001</v>
      </c>
      <c r="I59" s="15">
        <v>0.25800000000000001</v>
      </c>
      <c r="J59" t="s">
        <v>412</v>
      </c>
      <c r="K59" t="s">
        <v>551</v>
      </c>
    </row>
    <row r="60" spans="1:11">
      <c r="A60" t="s">
        <v>479</v>
      </c>
      <c r="B60" t="s">
        <v>550</v>
      </c>
      <c r="C60" t="s">
        <v>582</v>
      </c>
      <c r="D60" s="15">
        <v>-0.127</v>
      </c>
      <c r="E60" s="15">
        <v>0.441</v>
      </c>
      <c r="F60" s="15">
        <v>-0.20499999999999999</v>
      </c>
      <c r="G60" s="15">
        <v>0.157</v>
      </c>
      <c r="H60" s="15">
        <v>3.5999999999999997E-2</v>
      </c>
      <c r="I60" s="15">
        <v>0.25800000000000001</v>
      </c>
      <c r="J60" t="s">
        <v>412</v>
      </c>
      <c r="K60" t="s">
        <v>500</v>
      </c>
    </row>
    <row r="61" spans="1:11">
      <c r="A61" t="s">
        <v>486</v>
      </c>
      <c r="B61" t="s">
        <v>498</v>
      </c>
      <c r="C61" t="s">
        <v>572</v>
      </c>
      <c r="D61" s="15">
        <v>0.43</v>
      </c>
      <c r="E61" s="15">
        <v>0.20599999999999999</v>
      </c>
      <c r="F61" s="15">
        <v>0.13500000000000001</v>
      </c>
      <c r="G61" s="15">
        <v>0.318</v>
      </c>
      <c r="H61" s="15">
        <v>0.25700000000000001</v>
      </c>
      <c r="I61" s="15">
        <v>0.25700000000000001</v>
      </c>
      <c r="J61" t="s">
        <v>412</v>
      </c>
      <c r="K61" t="s">
        <v>551</v>
      </c>
    </row>
    <row r="62" spans="1:11">
      <c r="A62" t="s">
        <v>571</v>
      </c>
      <c r="B62" t="s">
        <v>478</v>
      </c>
      <c r="C62" t="s">
        <v>575</v>
      </c>
      <c r="D62" s="15">
        <v>-0.16800000000000001</v>
      </c>
      <c r="E62" s="15">
        <v>-0.216</v>
      </c>
      <c r="F62" s="15">
        <v>0.38500000000000001</v>
      </c>
      <c r="G62" s="15">
        <v>-0.192</v>
      </c>
      <c r="H62" s="15">
        <v>0</v>
      </c>
      <c r="I62" s="15">
        <v>0.25700000000000001</v>
      </c>
      <c r="J62" t="s">
        <v>412</v>
      </c>
      <c r="K62" t="s">
        <v>510</v>
      </c>
    </row>
    <row r="63" spans="1:11">
      <c r="A63" t="s">
        <v>486</v>
      </c>
      <c r="B63" t="s">
        <v>569</v>
      </c>
      <c r="C63" t="s">
        <v>477</v>
      </c>
      <c r="D63" s="15">
        <v>-0.28399999999999997</v>
      </c>
      <c r="E63" s="15">
        <v>-0.30499999999999999</v>
      </c>
      <c r="F63" s="15">
        <v>-0.18099999999999999</v>
      </c>
      <c r="G63" s="15">
        <v>-0.29399999999999998</v>
      </c>
      <c r="H63" s="15">
        <v>-0.25700000000000001</v>
      </c>
      <c r="I63" s="15">
        <v>0.25700000000000001</v>
      </c>
      <c r="J63" t="s">
        <v>412</v>
      </c>
      <c r="K63" t="s">
        <v>589</v>
      </c>
    </row>
    <row r="64" spans="1:11">
      <c r="A64" t="s">
        <v>573</v>
      </c>
      <c r="B64" t="s">
        <v>523</v>
      </c>
      <c r="C64" t="s">
        <v>477</v>
      </c>
      <c r="D64" s="15">
        <v>0.14599999999999999</v>
      </c>
      <c r="E64" s="15">
        <v>0.21199999999999999</v>
      </c>
      <c r="F64" s="15">
        <v>0.41</v>
      </c>
      <c r="G64" s="15">
        <v>0.17899999999999999</v>
      </c>
      <c r="H64" s="15">
        <v>0.25600000000000001</v>
      </c>
      <c r="I64" s="15">
        <v>0.25600000000000001</v>
      </c>
      <c r="J64" t="s">
        <v>412</v>
      </c>
      <c r="K64" t="s">
        <v>551</v>
      </c>
    </row>
    <row r="65" spans="1:11">
      <c r="A65" t="s">
        <v>506</v>
      </c>
      <c r="B65" t="s">
        <v>478</v>
      </c>
      <c r="C65" t="s">
        <v>582</v>
      </c>
      <c r="D65" s="15">
        <v>0.34100000000000003</v>
      </c>
      <c r="E65" s="15">
        <v>-0.224</v>
      </c>
      <c r="F65" s="15">
        <v>-0.20300000000000001</v>
      </c>
      <c r="G65" s="15">
        <v>5.8999999999999997E-2</v>
      </c>
      <c r="H65" s="15">
        <v>-2.9000000000000001E-2</v>
      </c>
      <c r="I65" s="15">
        <v>0.25600000000000001</v>
      </c>
      <c r="J65" t="s">
        <v>412</v>
      </c>
      <c r="K65" t="s">
        <v>579</v>
      </c>
    </row>
    <row r="66" spans="1:11">
      <c r="A66" t="s">
        <v>486</v>
      </c>
      <c r="B66" t="s">
        <v>590</v>
      </c>
      <c r="C66" t="s">
        <v>572</v>
      </c>
      <c r="D66" s="15">
        <v>0.43</v>
      </c>
      <c r="E66" s="15">
        <v>-0.106</v>
      </c>
      <c r="F66" s="15">
        <v>-0.23</v>
      </c>
      <c r="G66" s="15">
        <v>0.16200000000000001</v>
      </c>
      <c r="H66" s="15">
        <v>3.1E-2</v>
      </c>
      <c r="I66" s="15">
        <v>0.255</v>
      </c>
      <c r="J66" t="s">
        <v>412</v>
      </c>
      <c r="K66" t="s">
        <v>579</v>
      </c>
    </row>
    <row r="67" spans="1:11">
      <c r="A67" t="s">
        <v>577</v>
      </c>
      <c r="B67" t="s">
        <v>569</v>
      </c>
      <c r="C67" t="s">
        <v>582</v>
      </c>
      <c r="D67" s="15">
        <v>0.31900000000000001</v>
      </c>
      <c r="E67" s="15">
        <v>-0.157</v>
      </c>
      <c r="F67" s="15">
        <v>-0.28999999999999998</v>
      </c>
      <c r="G67" s="15">
        <v>8.1000000000000003E-2</v>
      </c>
      <c r="H67" s="15">
        <v>-4.2999999999999997E-2</v>
      </c>
      <c r="I67" s="15">
        <v>0.255</v>
      </c>
      <c r="J67" t="s">
        <v>412</v>
      </c>
      <c r="K67" t="s">
        <v>579</v>
      </c>
    </row>
    <row r="68" spans="1:11">
      <c r="A68" t="s">
        <v>479</v>
      </c>
      <c r="B68" t="s">
        <v>478</v>
      </c>
      <c r="C68" t="s">
        <v>585</v>
      </c>
      <c r="D68" s="15">
        <v>-0.123</v>
      </c>
      <c r="E68" s="15">
        <v>-0.41199999999999998</v>
      </c>
      <c r="F68" s="15">
        <v>0.22600000000000001</v>
      </c>
      <c r="G68" s="15">
        <v>-0.26800000000000002</v>
      </c>
      <c r="H68" s="15">
        <v>-0.10299999999999999</v>
      </c>
      <c r="I68" s="15">
        <v>0.254</v>
      </c>
      <c r="J68" t="s">
        <v>412</v>
      </c>
      <c r="K68" t="s">
        <v>510</v>
      </c>
    </row>
    <row r="69" spans="1:11">
      <c r="A69" t="s">
        <v>577</v>
      </c>
      <c r="B69" t="s">
        <v>523</v>
      </c>
      <c r="C69" t="s">
        <v>582</v>
      </c>
      <c r="D69" s="15">
        <v>0.31900000000000001</v>
      </c>
      <c r="E69" s="15">
        <v>0.191</v>
      </c>
      <c r="F69" s="15">
        <v>0.249</v>
      </c>
      <c r="G69" s="15">
        <v>0.255</v>
      </c>
      <c r="H69" s="15">
        <v>0.253</v>
      </c>
      <c r="I69" s="15">
        <v>0.253</v>
      </c>
      <c r="J69" t="s">
        <v>412</v>
      </c>
      <c r="K69" t="s">
        <v>551</v>
      </c>
    </row>
    <row r="70" spans="1:11">
      <c r="A70" t="s">
        <v>486</v>
      </c>
      <c r="B70" t="s">
        <v>578</v>
      </c>
      <c r="C70" t="s">
        <v>585</v>
      </c>
      <c r="D70" s="15">
        <v>-0.27</v>
      </c>
      <c r="E70" s="15">
        <v>-0.2</v>
      </c>
      <c r="F70" s="15">
        <v>0.28799999999999998</v>
      </c>
      <c r="G70" s="15">
        <v>-0.23499999999999999</v>
      </c>
      <c r="H70" s="15">
        <v>-6.0999999999999999E-2</v>
      </c>
      <c r="I70" s="15">
        <v>0.253</v>
      </c>
      <c r="J70" t="s">
        <v>412</v>
      </c>
      <c r="K70" t="s">
        <v>510</v>
      </c>
    </row>
    <row r="71" spans="1:11">
      <c r="A71" t="s">
        <v>573</v>
      </c>
      <c r="B71" t="s">
        <v>550</v>
      </c>
      <c r="C71" t="s">
        <v>584</v>
      </c>
      <c r="D71" s="15">
        <v>0.26500000000000001</v>
      </c>
      <c r="E71" s="15">
        <v>0.19800000000000001</v>
      </c>
      <c r="F71" s="15">
        <v>0.28999999999999998</v>
      </c>
      <c r="G71" s="15">
        <v>0.23200000000000001</v>
      </c>
      <c r="H71" s="15">
        <v>0.251</v>
      </c>
      <c r="I71" s="15">
        <v>0.251</v>
      </c>
      <c r="J71" t="s">
        <v>412</v>
      </c>
      <c r="K71" t="s">
        <v>551</v>
      </c>
    </row>
    <row r="72" spans="1:11">
      <c r="A72" t="s">
        <v>506</v>
      </c>
      <c r="B72" t="s">
        <v>478</v>
      </c>
      <c r="C72" t="s">
        <v>575</v>
      </c>
      <c r="D72" s="15">
        <v>-0.14399999999999999</v>
      </c>
      <c r="E72" s="15">
        <v>-0.224</v>
      </c>
      <c r="F72" s="15">
        <v>0.38500000000000001</v>
      </c>
      <c r="G72" s="15">
        <v>-0.184</v>
      </c>
      <c r="H72" s="15">
        <v>6.0000000000000001E-3</v>
      </c>
      <c r="I72" s="15">
        <v>0.251</v>
      </c>
      <c r="J72" t="s">
        <v>412</v>
      </c>
      <c r="K72" t="s">
        <v>510</v>
      </c>
    </row>
    <row r="73" spans="1:11">
      <c r="A73" t="s">
        <v>486</v>
      </c>
      <c r="B73" t="s">
        <v>574</v>
      </c>
      <c r="C73" t="s">
        <v>584</v>
      </c>
      <c r="D73" s="15">
        <v>-7.9000000000000001E-2</v>
      </c>
      <c r="E73" s="15">
        <v>0.26200000000000001</v>
      </c>
      <c r="F73" s="15">
        <v>-0.41099999999999998</v>
      </c>
      <c r="G73" s="15">
        <v>9.1999999999999998E-2</v>
      </c>
      <c r="H73" s="15">
        <v>-7.5999999999999998E-2</v>
      </c>
      <c r="I73" s="15">
        <v>0.251</v>
      </c>
      <c r="J73" t="s">
        <v>412</v>
      </c>
      <c r="K73" t="s">
        <v>500</v>
      </c>
    </row>
    <row r="74" spans="1:11">
      <c r="A74" t="s">
        <v>486</v>
      </c>
      <c r="B74" t="s">
        <v>580</v>
      </c>
      <c r="C74" t="s">
        <v>575</v>
      </c>
      <c r="D74" s="15">
        <v>-0.41299999999999998</v>
      </c>
      <c r="E74" s="15">
        <v>-0.25700000000000001</v>
      </c>
      <c r="F74" s="15">
        <v>0.08</v>
      </c>
      <c r="G74" s="15">
        <v>-0.33500000000000002</v>
      </c>
      <c r="H74" s="15">
        <v>-0.19700000000000001</v>
      </c>
      <c r="I74" s="15">
        <v>0.25</v>
      </c>
      <c r="J74" t="s">
        <v>412</v>
      </c>
      <c r="K74" t="s">
        <v>510</v>
      </c>
    </row>
    <row r="75" spans="1:11">
      <c r="A75" t="s">
        <v>573</v>
      </c>
      <c r="B75" t="s">
        <v>523</v>
      </c>
      <c r="C75" t="s">
        <v>582</v>
      </c>
      <c r="D75" s="15">
        <v>0.28599999999999998</v>
      </c>
      <c r="E75" s="15">
        <v>0.21199999999999999</v>
      </c>
      <c r="F75" s="15">
        <v>0.249</v>
      </c>
      <c r="G75" s="15">
        <v>0.249</v>
      </c>
      <c r="H75" s="15">
        <v>0.249</v>
      </c>
      <c r="I75" s="15">
        <v>0.249</v>
      </c>
      <c r="J75" t="s">
        <v>412</v>
      </c>
      <c r="K75" t="s">
        <v>551</v>
      </c>
    </row>
    <row r="76" spans="1:11">
      <c r="A76" t="s">
        <v>486</v>
      </c>
      <c r="B76" t="s">
        <v>574</v>
      </c>
      <c r="C76" t="s">
        <v>585</v>
      </c>
      <c r="D76" s="15">
        <v>-0.27</v>
      </c>
      <c r="E76" s="15">
        <v>0.26200000000000001</v>
      </c>
      <c r="F76" s="15">
        <v>-0.21299999999999999</v>
      </c>
      <c r="G76" s="15">
        <v>-4.0000000000000001E-3</v>
      </c>
      <c r="H76" s="15">
        <v>-7.2999999999999995E-2</v>
      </c>
      <c r="I76" s="15">
        <v>0.248</v>
      </c>
      <c r="J76" t="s">
        <v>412</v>
      </c>
      <c r="K76" t="s">
        <v>500</v>
      </c>
    </row>
    <row r="77" spans="1:11">
      <c r="A77" t="s">
        <v>577</v>
      </c>
      <c r="B77" t="s">
        <v>588</v>
      </c>
      <c r="C77" t="s">
        <v>492</v>
      </c>
      <c r="D77" s="15">
        <v>-0.28699999999999998</v>
      </c>
      <c r="E77" s="15">
        <v>0.114</v>
      </c>
      <c r="F77" s="15">
        <v>-0.34300000000000003</v>
      </c>
      <c r="G77" s="15">
        <v>-8.5999999999999993E-2</v>
      </c>
      <c r="H77" s="15">
        <v>-0.17199999999999999</v>
      </c>
      <c r="I77" s="15">
        <v>0.248</v>
      </c>
      <c r="J77" t="s">
        <v>412</v>
      </c>
      <c r="K77" t="s">
        <v>500</v>
      </c>
    </row>
    <row r="78" spans="1:11">
      <c r="A78" t="s">
        <v>479</v>
      </c>
      <c r="B78" t="s">
        <v>478</v>
      </c>
      <c r="C78" t="s">
        <v>582</v>
      </c>
      <c r="D78" s="15">
        <v>-0.127</v>
      </c>
      <c r="E78" s="15">
        <v>-0.41199999999999998</v>
      </c>
      <c r="F78" s="15">
        <v>-0.20300000000000001</v>
      </c>
      <c r="G78" s="15">
        <v>-0.27</v>
      </c>
      <c r="H78" s="15">
        <v>-0.248</v>
      </c>
      <c r="I78" s="15">
        <v>0.248</v>
      </c>
      <c r="J78" t="s">
        <v>412</v>
      </c>
      <c r="K78" t="s">
        <v>589</v>
      </c>
    </row>
    <row r="79" spans="1:11">
      <c r="A79" t="s">
        <v>486</v>
      </c>
      <c r="B79" t="s">
        <v>588</v>
      </c>
      <c r="C79" t="s">
        <v>575</v>
      </c>
      <c r="D79" s="15">
        <v>-0.41299999999999998</v>
      </c>
      <c r="E79" s="15">
        <v>-8.4000000000000005E-2</v>
      </c>
      <c r="F79" s="15">
        <v>0.24299999999999999</v>
      </c>
      <c r="G79" s="15">
        <v>-0.249</v>
      </c>
      <c r="H79" s="15">
        <v>-8.5000000000000006E-2</v>
      </c>
      <c r="I79" s="15">
        <v>0.247</v>
      </c>
      <c r="J79" t="s">
        <v>412</v>
      </c>
      <c r="K79" t="s">
        <v>510</v>
      </c>
    </row>
    <row r="80" spans="1:11">
      <c r="A80" t="s">
        <v>486</v>
      </c>
      <c r="B80" t="s">
        <v>586</v>
      </c>
      <c r="C80" t="s">
        <v>492</v>
      </c>
      <c r="D80" s="15">
        <v>0.34899999999999998</v>
      </c>
      <c r="E80" s="15">
        <v>-0.189</v>
      </c>
      <c r="F80" s="15">
        <v>-0.20100000000000001</v>
      </c>
      <c r="G80" s="15">
        <v>0.08</v>
      </c>
      <c r="H80" s="15">
        <v>-1.4E-2</v>
      </c>
      <c r="I80" s="15">
        <v>0.246</v>
      </c>
      <c r="J80" t="s">
        <v>412</v>
      </c>
      <c r="K80" t="s">
        <v>579</v>
      </c>
    </row>
    <row r="81" spans="1:11">
      <c r="A81" t="s">
        <v>506</v>
      </c>
      <c r="B81" t="s">
        <v>509</v>
      </c>
      <c r="C81" t="s">
        <v>591</v>
      </c>
      <c r="D81" s="15">
        <v>0.20899999999999999</v>
      </c>
      <c r="E81" s="15">
        <v>0.35799999999999998</v>
      </c>
      <c r="F81" s="15">
        <v>0.16800000000000001</v>
      </c>
      <c r="G81" s="15">
        <v>0.28299999999999997</v>
      </c>
      <c r="H81" s="15">
        <v>0.245</v>
      </c>
      <c r="I81" s="15">
        <v>0.245</v>
      </c>
      <c r="J81" t="s">
        <v>412</v>
      </c>
      <c r="K81" t="s">
        <v>551</v>
      </c>
    </row>
    <row r="82" spans="1:11">
      <c r="A82" t="s">
        <v>577</v>
      </c>
      <c r="B82" t="s">
        <v>586</v>
      </c>
      <c r="C82" t="s">
        <v>582</v>
      </c>
      <c r="D82" s="15">
        <v>0.31900000000000001</v>
      </c>
      <c r="E82" s="15">
        <v>0.217</v>
      </c>
      <c r="F82" s="15">
        <v>0.20100000000000001</v>
      </c>
      <c r="G82" s="15">
        <v>0.26800000000000002</v>
      </c>
      <c r="H82" s="15">
        <v>0.245</v>
      </c>
      <c r="I82" s="15">
        <v>0.245</v>
      </c>
      <c r="J82" t="s">
        <v>412</v>
      </c>
      <c r="K82" t="s">
        <v>551</v>
      </c>
    </row>
    <row r="83" spans="1:11">
      <c r="A83" t="s">
        <v>571</v>
      </c>
      <c r="B83" t="s">
        <v>569</v>
      </c>
      <c r="C83" t="s">
        <v>583</v>
      </c>
      <c r="D83" s="15">
        <v>-0.152</v>
      </c>
      <c r="E83" s="15">
        <v>-0.19600000000000001</v>
      </c>
      <c r="F83" s="15">
        <v>0.38800000000000001</v>
      </c>
      <c r="G83" s="15">
        <v>-0.17399999999999999</v>
      </c>
      <c r="H83" s="15">
        <v>1.2999999999999999E-2</v>
      </c>
      <c r="I83" s="15">
        <v>0.245</v>
      </c>
      <c r="J83" t="s">
        <v>412</v>
      </c>
      <c r="K83" t="s">
        <v>510</v>
      </c>
    </row>
    <row r="84" spans="1:11">
      <c r="A84" t="s">
        <v>573</v>
      </c>
      <c r="B84" t="s">
        <v>569</v>
      </c>
      <c r="C84" t="s">
        <v>582</v>
      </c>
      <c r="D84" s="15">
        <v>0.28599999999999998</v>
      </c>
      <c r="E84" s="15">
        <v>-0.16</v>
      </c>
      <c r="F84" s="15">
        <v>-0.28999999999999998</v>
      </c>
      <c r="G84" s="15">
        <v>6.3E-2</v>
      </c>
      <c r="H84" s="15">
        <v>-5.5E-2</v>
      </c>
      <c r="I84" s="15">
        <v>0.245</v>
      </c>
      <c r="J84" t="s">
        <v>412</v>
      </c>
      <c r="K84" t="s">
        <v>579</v>
      </c>
    </row>
    <row r="85" spans="1:11">
      <c r="A85" t="s">
        <v>571</v>
      </c>
      <c r="B85" t="s">
        <v>587</v>
      </c>
      <c r="C85" t="s">
        <v>570</v>
      </c>
      <c r="D85" s="15">
        <v>-0.19700000000000001</v>
      </c>
      <c r="E85" s="15">
        <v>0.27400000000000002</v>
      </c>
      <c r="F85" s="15">
        <v>-0.26500000000000001</v>
      </c>
      <c r="G85" s="15">
        <v>3.7999999999999999E-2</v>
      </c>
      <c r="H85" s="15">
        <v>-6.3E-2</v>
      </c>
      <c r="I85" s="15">
        <v>0.245</v>
      </c>
      <c r="J85" t="s">
        <v>412</v>
      </c>
      <c r="K85" t="s">
        <v>500</v>
      </c>
    </row>
    <row r="86" spans="1:11">
      <c r="A86" t="s">
        <v>571</v>
      </c>
      <c r="B86" t="s">
        <v>587</v>
      </c>
      <c r="C86" t="s">
        <v>575</v>
      </c>
      <c r="D86" s="15">
        <v>-0.16800000000000001</v>
      </c>
      <c r="E86" s="15">
        <v>0.27400000000000002</v>
      </c>
      <c r="F86" s="15">
        <v>-0.29299999999999998</v>
      </c>
      <c r="G86" s="15">
        <v>5.2999999999999999E-2</v>
      </c>
      <c r="H86" s="15">
        <v>-6.3E-2</v>
      </c>
      <c r="I86" s="15">
        <v>0.245</v>
      </c>
      <c r="J86" t="s">
        <v>412</v>
      </c>
      <c r="K86" t="s">
        <v>500</v>
      </c>
    </row>
    <row r="87" spans="1:11">
      <c r="A87" t="s">
        <v>506</v>
      </c>
      <c r="B87" t="s">
        <v>569</v>
      </c>
      <c r="C87" t="s">
        <v>575</v>
      </c>
      <c r="D87" s="15">
        <v>-0.14399999999999999</v>
      </c>
      <c r="E87" s="15">
        <v>-0.22700000000000001</v>
      </c>
      <c r="F87" s="15">
        <v>0.36</v>
      </c>
      <c r="G87" s="15">
        <v>-0.185</v>
      </c>
      <c r="H87" s="15">
        <v>-3.0000000000000001E-3</v>
      </c>
      <c r="I87" s="15">
        <v>0.24399999999999999</v>
      </c>
      <c r="J87" t="s">
        <v>412</v>
      </c>
      <c r="K87" t="s">
        <v>510</v>
      </c>
    </row>
    <row r="88" spans="1:11">
      <c r="A88" t="s">
        <v>486</v>
      </c>
      <c r="B88" t="s">
        <v>586</v>
      </c>
      <c r="C88" t="s">
        <v>575</v>
      </c>
      <c r="D88" s="15">
        <v>-0.41299999999999998</v>
      </c>
      <c r="E88" s="15">
        <v>-0.189</v>
      </c>
      <c r="F88" s="15">
        <v>0.128</v>
      </c>
      <c r="G88" s="15">
        <v>-0.30099999999999999</v>
      </c>
      <c r="H88" s="15">
        <v>-0.158</v>
      </c>
      <c r="I88" s="15">
        <v>0.24399999999999999</v>
      </c>
      <c r="J88" t="s">
        <v>412</v>
      </c>
      <c r="K88" t="s">
        <v>510</v>
      </c>
    </row>
    <row r="89" spans="1:11">
      <c r="A89" t="s">
        <v>479</v>
      </c>
      <c r="B89" t="s">
        <v>550</v>
      </c>
      <c r="C89" t="s">
        <v>570</v>
      </c>
      <c r="D89" s="15">
        <v>-0.26900000000000002</v>
      </c>
      <c r="E89" s="15">
        <v>0.441</v>
      </c>
      <c r="F89" s="15">
        <v>-1.9E-2</v>
      </c>
      <c r="G89" s="15">
        <v>8.5999999999999993E-2</v>
      </c>
      <c r="H89" s="15">
        <v>5.0999999999999997E-2</v>
      </c>
      <c r="I89" s="15">
        <v>0.24299999999999999</v>
      </c>
      <c r="J89" t="s">
        <v>412</v>
      </c>
      <c r="K89" t="s">
        <v>500</v>
      </c>
    </row>
    <row r="90" spans="1:11">
      <c r="A90" t="s">
        <v>506</v>
      </c>
      <c r="B90" t="s">
        <v>592</v>
      </c>
      <c r="C90" t="s">
        <v>582</v>
      </c>
      <c r="D90" s="15">
        <v>0.34100000000000003</v>
      </c>
      <c r="E90" s="15">
        <v>-0.30199999999999999</v>
      </c>
      <c r="F90" s="15">
        <v>-8.5999999999999993E-2</v>
      </c>
      <c r="G90" s="15">
        <v>0.02</v>
      </c>
      <c r="H90" s="15">
        <v>-1.6E-2</v>
      </c>
      <c r="I90" s="15">
        <v>0.24299999999999999</v>
      </c>
      <c r="J90" t="s">
        <v>412</v>
      </c>
      <c r="K90" t="s">
        <v>579</v>
      </c>
    </row>
    <row r="91" spans="1:11">
      <c r="A91" t="s">
        <v>571</v>
      </c>
      <c r="B91" t="s">
        <v>569</v>
      </c>
      <c r="C91" t="s">
        <v>575</v>
      </c>
      <c r="D91" s="15">
        <v>-0.16800000000000001</v>
      </c>
      <c r="E91" s="15">
        <v>-0.19600000000000001</v>
      </c>
      <c r="F91" s="15">
        <v>0.36</v>
      </c>
      <c r="G91" s="15">
        <v>-0.182</v>
      </c>
      <c r="H91" s="15">
        <v>-1E-3</v>
      </c>
      <c r="I91" s="15">
        <v>0.24199999999999999</v>
      </c>
      <c r="J91" t="s">
        <v>412</v>
      </c>
      <c r="K91" t="s">
        <v>510</v>
      </c>
    </row>
    <row r="92" spans="1:11">
      <c r="A92" t="s">
        <v>486</v>
      </c>
      <c r="B92" t="s">
        <v>574</v>
      </c>
      <c r="C92" t="s">
        <v>593</v>
      </c>
      <c r="D92" s="15">
        <v>-8.6999999999999994E-2</v>
      </c>
      <c r="E92" s="15">
        <v>0.26200000000000001</v>
      </c>
      <c r="F92" s="15">
        <v>-0.376</v>
      </c>
      <c r="G92" s="15">
        <v>8.7999999999999995E-2</v>
      </c>
      <c r="H92" s="15">
        <v>-6.7000000000000004E-2</v>
      </c>
      <c r="I92" s="15">
        <v>0.24199999999999999</v>
      </c>
      <c r="J92" t="s">
        <v>412</v>
      </c>
      <c r="K92" t="s">
        <v>500</v>
      </c>
    </row>
    <row r="93" spans="1:11">
      <c r="A93" t="s">
        <v>486</v>
      </c>
      <c r="B93" t="s">
        <v>581</v>
      </c>
      <c r="C93" t="s">
        <v>492</v>
      </c>
      <c r="D93" s="15">
        <v>0.34899999999999998</v>
      </c>
      <c r="E93" s="15">
        <v>0.14199999999999999</v>
      </c>
      <c r="F93" s="15">
        <v>0.23200000000000001</v>
      </c>
      <c r="G93" s="15">
        <v>0.245</v>
      </c>
      <c r="H93" s="15">
        <v>0.24099999999999999</v>
      </c>
      <c r="I93" s="15">
        <v>0.24099999999999999</v>
      </c>
      <c r="J93" t="s">
        <v>412</v>
      </c>
      <c r="K93" t="s">
        <v>551</v>
      </c>
    </row>
    <row r="94" spans="1:11">
      <c r="A94" t="s">
        <v>486</v>
      </c>
      <c r="B94" t="s">
        <v>569</v>
      </c>
      <c r="C94" t="s">
        <v>582</v>
      </c>
      <c r="D94" s="15">
        <v>-0.129</v>
      </c>
      <c r="E94" s="15">
        <v>-0.30499999999999999</v>
      </c>
      <c r="F94" s="15">
        <v>-0.28999999999999998</v>
      </c>
      <c r="G94" s="15">
        <v>-0.217</v>
      </c>
      <c r="H94" s="15">
        <v>-0.24099999999999999</v>
      </c>
      <c r="I94" s="15">
        <v>0.24099999999999999</v>
      </c>
      <c r="J94" t="s">
        <v>412</v>
      </c>
      <c r="K94" t="s">
        <v>589</v>
      </c>
    </row>
    <row r="95" spans="1:11">
      <c r="A95" t="s">
        <v>506</v>
      </c>
      <c r="B95" t="s">
        <v>499</v>
      </c>
      <c r="C95" t="s">
        <v>572</v>
      </c>
      <c r="D95" s="15">
        <v>-0.11899999999999999</v>
      </c>
      <c r="E95" s="15">
        <v>0.184</v>
      </c>
      <c r="F95" s="15">
        <v>0.41599999999999998</v>
      </c>
      <c r="G95" s="15">
        <v>3.3000000000000002E-2</v>
      </c>
      <c r="H95" s="15">
        <v>0.161</v>
      </c>
      <c r="I95" s="15">
        <v>0.24</v>
      </c>
      <c r="J95" t="s">
        <v>412</v>
      </c>
      <c r="K95" t="s">
        <v>487</v>
      </c>
    </row>
    <row r="96" spans="1:11">
      <c r="A96" t="s">
        <v>506</v>
      </c>
      <c r="B96" t="s">
        <v>550</v>
      </c>
      <c r="C96" t="s">
        <v>582</v>
      </c>
      <c r="D96" s="15">
        <v>0.34100000000000003</v>
      </c>
      <c r="E96" s="15">
        <v>-0.17299999999999999</v>
      </c>
      <c r="F96" s="15">
        <v>-0.20499999999999999</v>
      </c>
      <c r="G96" s="15">
        <v>8.4000000000000005E-2</v>
      </c>
      <c r="H96" s="15">
        <v>-1.2E-2</v>
      </c>
      <c r="I96" s="15">
        <v>0.24</v>
      </c>
      <c r="J96" t="s">
        <v>412</v>
      </c>
      <c r="K96" t="s">
        <v>579</v>
      </c>
    </row>
    <row r="97" spans="1:11">
      <c r="A97" t="s">
        <v>479</v>
      </c>
      <c r="B97" t="s">
        <v>569</v>
      </c>
      <c r="C97" t="s">
        <v>582</v>
      </c>
      <c r="D97" s="15">
        <v>-0.127</v>
      </c>
      <c r="E97" s="15">
        <v>-0.30099999999999999</v>
      </c>
      <c r="F97" s="15">
        <v>-0.28999999999999998</v>
      </c>
      <c r="G97" s="15">
        <v>-0.214</v>
      </c>
      <c r="H97" s="15">
        <v>-0.24</v>
      </c>
      <c r="I97" s="15">
        <v>0.24</v>
      </c>
      <c r="J97" t="s">
        <v>412</v>
      </c>
      <c r="K97" t="s">
        <v>589</v>
      </c>
    </row>
    <row r="98" spans="1:11">
      <c r="A98" t="s">
        <v>486</v>
      </c>
      <c r="B98" t="s">
        <v>517</v>
      </c>
      <c r="C98" t="s">
        <v>572</v>
      </c>
      <c r="D98" s="15">
        <v>0.43</v>
      </c>
      <c r="E98" s="15">
        <v>9.2999999999999999E-2</v>
      </c>
      <c r="F98" s="15">
        <v>-0.191</v>
      </c>
      <c r="G98" s="15">
        <v>0.26100000000000001</v>
      </c>
      <c r="H98" s="15">
        <v>0.11</v>
      </c>
      <c r="I98" s="15">
        <v>0.23799999999999999</v>
      </c>
      <c r="J98" t="s">
        <v>412</v>
      </c>
      <c r="K98" t="s">
        <v>493</v>
      </c>
    </row>
    <row r="99" spans="1:11">
      <c r="A99" t="s">
        <v>573</v>
      </c>
      <c r="B99" t="s">
        <v>499</v>
      </c>
      <c r="C99" t="s">
        <v>572</v>
      </c>
      <c r="D99" s="15">
        <v>-0.20799999999999999</v>
      </c>
      <c r="E99" s="15">
        <v>-8.8999999999999996E-2</v>
      </c>
      <c r="F99" s="15">
        <v>0.41599999999999998</v>
      </c>
      <c r="G99" s="15">
        <v>-0.14799999999999999</v>
      </c>
      <c r="H99" s="15">
        <v>0.04</v>
      </c>
      <c r="I99" s="15">
        <v>0.23799999999999999</v>
      </c>
      <c r="J99" t="s">
        <v>412</v>
      </c>
      <c r="K99" t="s">
        <v>510</v>
      </c>
    </row>
    <row r="100" spans="1:11">
      <c r="A100" t="s">
        <v>576</v>
      </c>
      <c r="B100" t="s">
        <v>581</v>
      </c>
      <c r="C100" t="s">
        <v>575</v>
      </c>
      <c r="D100" s="15">
        <v>-0.17100000000000001</v>
      </c>
      <c r="E100" s="15">
        <v>0.18</v>
      </c>
      <c r="F100" s="15">
        <v>-0.36299999999999999</v>
      </c>
      <c r="G100" s="15">
        <v>4.0000000000000001E-3</v>
      </c>
      <c r="H100" s="15">
        <v>-0.11799999999999999</v>
      </c>
      <c r="I100" s="15">
        <v>0.23799999999999999</v>
      </c>
      <c r="J100" t="s">
        <v>412</v>
      </c>
      <c r="K100" t="s">
        <v>500</v>
      </c>
    </row>
    <row r="101" spans="1:11">
      <c r="A101" t="s">
        <v>573</v>
      </c>
      <c r="B101" t="s">
        <v>590</v>
      </c>
      <c r="C101" t="s">
        <v>582</v>
      </c>
      <c r="D101" s="15">
        <v>0.28599999999999998</v>
      </c>
      <c r="E101" s="15">
        <v>0.23</v>
      </c>
      <c r="F101" s="15">
        <v>0.19500000000000001</v>
      </c>
      <c r="G101" s="15">
        <v>0.25800000000000001</v>
      </c>
      <c r="H101" s="15">
        <v>0.23699999999999999</v>
      </c>
      <c r="I101" s="15">
        <v>0.23699999999999999</v>
      </c>
      <c r="J101" t="s">
        <v>412</v>
      </c>
      <c r="K101" t="s">
        <v>551</v>
      </c>
    </row>
    <row r="102" spans="1:11">
      <c r="A102" t="s">
        <v>486</v>
      </c>
      <c r="B102" t="s">
        <v>569</v>
      </c>
      <c r="C102" t="s">
        <v>492</v>
      </c>
      <c r="D102" s="15">
        <v>0.34899999999999998</v>
      </c>
      <c r="E102" s="15">
        <v>-0.30499999999999999</v>
      </c>
      <c r="F102" s="15">
        <v>5.7000000000000002E-2</v>
      </c>
      <c r="G102" s="15">
        <v>2.1999999999999999E-2</v>
      </c>
      <c r="H102" s="15">
        <v>3.4000000000000002E-2</v>
      </c>
      <c r="I102" s="15">
        <v>0.23699999999999999</v>
      </c>
      <c r="J102" t="s">
        <v>412</v>
      </c>
      <c r="K102" t="s">
        <v>480</v>
      </c>
    </row>
    <row r="103" spans="1:11">
      <c r="A103" t="s">
        <v>479</v>
      </c>
      <c r="B103" t="s">
        <v>569</v>
      </c>
      <c r="C103" t="s">
        <v>583</v>
      </c>
      <c r="D103" s="15">
        <v>-0.02</v>
      </c>
      <c r="E103" s="15">
        <v>-0.30099999999999999</v>
      </c>
      <c r="F103" s="15">
        <v>0.38800000000000001</v>
      </c>
      <c r="G103" s="15">
        <v>-0.161</v>
      </c>
      <c r="H103" s="15">
        <v>2.1999999999999999E-2</v>
      </c>
      <c r="I103" s="15">
        <v>0.23699999999999999</v>
      </c>
      <c r="J103" t="s">
        <v>412</v>
      </c>
      <c r="K103" t="s">
        <v>510</v>
      </c>
    </row>
    <row r="104" spans="1:11">
      <c r="A104" t="s">
        <v>486</v>
      </c>
      <c r="B104" t="s">
        <v>499</v>
      </c>
      <c r="C104" t="s">
        <v>584</v>
      </c>
      <c r="D104" s="15">
        <v>-7.9000000000000001E-2</v>
      </c>
      <c r="E104" s="15">
        <v>0.28000000000000003</v>
      </c>
      <c r="F104" s="15">
        <v>-0.35199999999999998</v>
      </c>
      <c r="G104" s="15">
        <v>0.10100000000000001</v>
      </c>
      <c r="H104" s="15">
        <v>-0.05</v>
      </c>
      <c r="I104" s="15">
        <v>0.23699999999999999</v>
      </c>
      <c r="J104" t="s">
        <v>412</v>
      </c>
      <c r="K104" t="s">
        <v>500</v>
      </c>
    </row>
    <row r="105" spans="1:11">
      <c r="A105" t="s">
        <v>486</v>
      </c>
      <c r="B105" t="s">
        <v>586</v>
      </c>
      <c r="C105" t="s">
        <v>570</v>
      </c>
      <c r="D105" s="15">
        <v>-0.32400000000000001</v>
      </c>
      <c r="E105" s="15">
        <v>-0.189</v>
      </c>
      <c r="F105" s="15">
        <v>0.19600000000000001</v>
      </c>
      <c r="G105" s="15">
        <v>-0.25700000000000001</v>
      </c>
      <c r="H105" s="15">
        <v>-0.106</v>
      </c>
      <c r="I105" s="15">
        <v>0.23699999999999999</v>
      </c>
      <c r="J105" t="s">
        <v>412</v>
      </c>
      <c r="K105" t="s">
        <v>510</v>
      </c>
    </row>
    <row r="106" spans="1:11">
      <c r="A106" t="s">
        <v>486</v>
      </c>
      <c r="B106" t="s">
        <v>517</v>
      </c>
      <c r="C106" t="s">
        <v>492</v>
      </c>
      <c r="D106" s="15">
        <v>0.34899999999999998</v>
      </c>
      <c r="E106" s="15">
        <v>9.2999999999999999E-2</v>
      </c>
      <c r="F106" s="15">
        <v>-0.26700000000000002</v>
      </c>
      <c r="G106" s="15">
        <v>0.221</v>
      </c>
      <c r="H106" s="15">
        <v>5.8000000000000003E-2</v>
      </c>
      <c r="I106" s="15">
        <v>0.23599999999999999</v>
      </c>
      <c r="J106" t="s">
        <v>412</v>
      </c>
      <c r="K106" t="s">
        <v>493</v>
      </c>
    </row>
    <row r="107" spans="1:11">
      <c r="A107" t="s">
        <v>506</v>
      </c>
      <c r="B107" t="s">
        <v>586</v>
      </c>
      <c r="C107" t="s">
        <v>582</v>
      </c>
      <c r="D107" s="15">
        <v>0.34100000000000003</v>
      </c>
      <c r="E107" s="15">
        <v>0.16400000000000001</v>
      </c>
      <c r="F107" s="15">
        <v>0.20100000000000001</v>
      </c>
      <c r="G107" s="15">
        <v>0.252</v>
      </c>
      <c r="H107" s="15">
        <v>0.23499999999999999</v>
      </c>
      <c r="I107" s="15">
        <v>0.23499999999999999</v>
      </c>
      <c r="J107" t="s">
        <v>412</v>
      </c>
      <c r="K107" t="s">
        <v>551</v>
      </c>
    </row>
    <row r="108" spans="1:11">
      <c r="A108" t="s">
        <v>573</v>
      </c>
      <c r="B108" t="s">
        <v>499</v>
      </c>
      <c r="C108" t="s">
        <v>584</v>
      </c>
      <c r="D108" s="15">
        <v>0.26500000000000001</v>
      </c>
      <c r="E108" s="15">
        <v>-8.8999999999999996E-2</v>
      </c>
      <c r="F108" s="15">
        <v>-0.35199999999999998</v>
      </c>
      <c r="G108" s="15">
        <v>8.7999999999999995E-2</v>
      </c>
      <c r="H108" s="15">
        <v>-5.8000000000000003E-2</v>
      </c>
      <c r="I108" s="15">
        <v>0.23499999999999999</v>
      </c>
      <c r="J108" t="s">
        <v>412</v>
      </c>
      <c r="K108" t="s">
        <v>579</v>
      </c>
    </row>
    <row r="109" spans="1:11">
      <c r="A109" t="s">
        <v>577</v>
      </c>
      <c r="B109" t="s">
        <v>586</v>
      </c>
      <c r="C109" t="s">
        <v>492</v>
      </c>
      <c r="D109" s="15">
        <v>-0.28699999999999998</v>
      </c>
      <c r="E109" s="15">
        <v>0.217</v>
      </c>
      <c r="F109" s="15">
        <v>-0.20100000000000001</v>
      </c>
      <c r="G109" s="15">
        <v>-3.5000000000000003E-2</v>
      </c>
      <c r="H109" s="15">
        <v>-0.09</v>
      </c>
      <c r="I109" s="15">
        <v>0.23499999999999999</v>
      </c>
      <c r="J109" t="s">
        <v>412</v>
      </c>
      <c r="K109" t="s">
        <v>500</v>
      </c>
    </row>
    <row r="110" spans="1:11">
      <c r="A110" t="s">
        <v>486</v>
      </c>
      <c r="B110" t="s">
        <v>587</v>
      </c>
      <c r="C110" t="s">
        <v>572</v>
      </c>
      <c r="D110" s="15">
        <v>0.43</v>
      </c>
      <c r="E110" s="15">
        <v>9.0999999999999998E-2</v>
      </c>
      <c r="F110" s="15">
        <v>0.182</v>
      </c>
      <c r="G110" s="15">
        <v>0.26</v>
      </c>
      <c r="H110" s="15">
        <v>0.23400000000000001</v>
      </c>
      <c r="I110" s="15">
        <v>0.23400000000000001</v>
      </c>
      <c r="J110" t="s">
        <v>412</v>
      </c>
      <c r="K110" t="s">
        <v>551</v>
      </c>
    </row>
    <row r="111" spans="1:11">
      <c r="A111" t="s">
        <v>479</v>
      </c>
      <c r="B111" t="s">
        <v>550</v>
      </c>
      <c r="C111" t="s">
        <v>572</v>
      </c>
      <c r="D111" s="15">
        <v>-6.8000000000000005E-2</v>
      </c>
      <c r="E111" s="15">
        <v>0.441</v>
      </c>
      <c r="F111" s="15">
        <v>-0.19400000000000001</v>
      </c>
      <c r="G111" s="15">
        <v>0.187</v>
      </c>
      <c r="H111" s="15">
        <v>0.06</v>
      </c>
      <c r="I111" s="15">
        <v>0.23400000000000001</v>
      </c>
      <c r="J111" t="s">
        <v>412</v>
      </c>
      <c r="K111" t="s">
        <v>500</v>
      </c>
    </row>
    <row r="112" spans="1:11">
      <c r="A112" t="s">
        <v>486</v>
      </c>
      <c r="B112" t="s">
        <v>478</v>
      </c>
      <c r="C112" t="s">
        <v>570</v>
      </c>
      <c r="D112" s="15">
        <v>-0.32400000000000001</v>
      </c>
      <c r="E112" s="15">
        <v>0.104</v>
      </c>
      <c r="F112" s="15">
        <v>0.27400000000000002</v>
      </c>
      <c r="G112" s="15">
        <v>-0.11</v>
      </c>
      <c r="H112" s="15">
        <v>1.7999999999999999E-2</v>
      </c>
      <c r="I112" s="15">
        <v>0.23400000000000001</v>
      </c>
      <c r="J112" t="s">
        <v>412</v>
      </c>
      <c r="K112" t="s">
        <v>487</v>
      </c>
    </row>
    <row r="113" spans="1:11">
      <c r="A113" t="s">
        <v>486</v>
      </c>
      <c r="B113" t="s">
        <v>574</v>
      </c>
      <c r="C113" t="s">
        <v>583</v>
      </c>
      <c r="D113" s="15">
        <v>-0.16700000000000001</v>
      </c>
      <c r="E113" s="15">
        <v>0.26200000000000001</v>
      </c>
      <c r="F113" s="15">
        <v>-0.26900000000000002</v>
      </c>
      <c r="G113" s="15">
        <v>4.8000000000000001E-2</v>
      </c>
      <c r="H113" s="15">
        <v>-5.8000000000000003E-2</v>
      </c>
      <c r="I113" s="15">
        <v>0.23300000000000001</v>
      </c>
      <c r="J113" t="s">
        <v>412</v>
      </c>
      <c r="K113" t="s">
        <v>500</v>
      </c>
    </row>
    <row r="114" spans="1:11">
      <c r="A114" t="s">
        <v>479</v>
      </c>
      <c r="B114" t="s">
        <v>574</v>
      </c>
      <c r="C114" t="s">
        <v>575</v>
      </c>
      <c r="D114" s="15">
        <v>-0.22500000000000001</v>
      </c>
      <c r="E114" s="15">
        <v>-6.6000000000000003E-2</v>
      </c>
      <c r="F114" s="15">
        <v>-0.40799999999999997</v>
      </c>
      <c r="G114" s="15">
        <v>-0.14599999999999999</v>
      </c>
      <c r="H114" s="15">
        <v>-0.23300000000000001</v>
      </c>
      <c r="I114" s="15">
        <v>0.23300000000000001</v>
      </c>
      <c r="J114" t="s">
        <v>412</v>
      </c>
      <c r="K114" t="s">
        <v>589</v>
      </c>
    </row>
    <row r="115" spans="1:11">
      <c r="A115" t="s">
        <v>486</v>
      </c>
      <c r="B115" t="s">
        <v>498</v>
      </c>
      <c r="C115" t="s">
        <v>492</v>
      </c>
      <c r="D115" s="15">
        <v>0.34899999999999998</v>
      </c>
      <c r="E115" s="15">
        <v>0.20599999999999999</v>
      </c>
      <c r="F115" s="15">
        <v>0.14099999999999999</v>
      </c>
      <c r="G115" s="15">
        <v>0.27700000000000002</v>
      </c>
      <c r="H115" s="15">
        <v>0.23200000000000001</v>
      </c>
      <c r="I115" s="15">
        <v>0.23200000000000001</v>
      </c>
      <c r="J115" t="s">
        <v>412</v>
      </c>
      <c r="K115" t="s">
        <v>551</v>
      </c>
    </row>
    <row r="116" spans="1:11">
      <c r="A116" t="s">
        <v>486</v>
      </c>
      <c r="B116" t="s">
        <v>498</v>
      </c>
      <c r="C116" t="s">
        <v>585</v>
      </c>
      <c r="D116" s="15">
        <v>-0.27</v>
      </c>
      <c r="E116" s="15">
        <v>0.20599999999999999</v>
      </c>
      <c r="F116" s="15">
        <v>-0.221</v>
      </c>
      <c r="G116" s="15">
        <v>-3.2000000000000001E-2</v>
      </c>
      <c r="H116" s="15">
        <v>-9.5000000000000001E-2</v>
      </c>
      <c r="I116" s="15">
        <v>0.23200000000000001</v>
      </c>
      <c r="J116" t="s">
        <v>412</v>
      </c>
      <c r="K116" t="s">
        <v>500</v>
      </c>
    </row>
    <row r="117" spans="1:11">
      <c r="A117" t="s">
        <v>479</v>
      </c>
      <c r="B117" t="s">
        <v>550</v>
      </c>
      <c r="C117" t="s">
        <v>575</v>
      </c>
      <c r="D117" s="15">
        <v>-0.22500000000000001</v>
      </c>
      <c r="E117" s="15">
        <v>0.441</v>
      </c>
      <c r="F117" s="15">
        <v>-2.8000000000000001E-2</v>
      </c>
      <c r="G117" s="15">
        <v>0.108</v>
      </c>
      <c r="H117" s="15">
        <v>6.3E-2</v>
      </c>
      <c r="I117" s="15">
        <v>0.23100000000000001</v>
      </c>
      <c r="J117" t="s">
        <v>412</v>
      </c>
      <c r="K117" t="s">
        <v>500</v>
      </c>
    </row>
    <row r="118" spans="1:11">
      <c r="A118" t="s">
        <v>573</v>
      </c>
      <c r="B118" t="s">
        <v>478</v>
      </c>
      <c r="C118" t="s">
        <v>582</v>
      </c>
      <c r="D118" s="15">
        <v>0.28599999999999998</v>
      </c>
      <c r="E118" s="15">
        <v>-0.20399999999999999</v>
      </c>
      <c r="F118" s="15">
        <v>-0.20300000000000001</v>
      </c>
      <c r="G118" s="15">
        <v>4.1000000000000002E-2</v>
      </c>
      <c r="H118" s="15">
        <v>-4.1000000000000002E-2</v>
      </c>
      <c r="I118" s="15">
        <v>0.23100000000000001</v>
      </c>
      <c r="J118" t="s">
        <v>412</v>
      </c>
      <c r="K118" t="s">
        <v>579</v>
      </c>
    </row>
    <row r="119" spans="1:11">
      <c r="A119" t="s">
        <v>577</v>
      </c>
      <c r="B119" t="s">
        <v>517</v>
      </c>
      <c r="C119" t="s">
        <v>492</v>
      </c>
      <c r="D119" s="15">
        <v>-0.28699999999999998</v>
      </c>
      <c r="E119" s="15">
        <v>0.13900000000000001</v>
      </c>
      <c r="F119" s="15">
        <v>-0.26700000000000002</v>
      </c>
      <c r="G119" s="15">
        <v>-7.3999999999999996E-2</v>
      </c>
      <c r="H119" s="15">
        <v>-0.13800000000000001</v>
      </c>
      <c r="I119" s="15">
        <v>0.23100000000000001</v>
      </c>
      <c r="J119" t="s">
        <v>412</v>
      </c>
      <c r="K119" t="s">
        <v>500</v>
      </c>
    </row>
    <row r="120" spans="1:11">
      <c r="A120" t="s">
        <v>486</v>
      </c>
      <c r="B120" t="s">
        <v>587</v>
      </c>
      <c r="C120" t="s">
        <v>492</v>
      </c>
      <c r="D120" s="15">
        <v>0.34899999999999998</v>
      </c>
      <c r="E120" s="15">
        <v>9.0999999999999998E-2</v>
      </c>
      <c r="F120" s="15">
        <v>0.25</v>
      </c>
      <c r="G120" s="15">
        <v>0.22</v>
      </c>
      <c r="H120" s="15">
        <v>0.23</v>
      </c>
      <c r="I120" s="15">
        <v>0.23</v>
      </c>
      <c r="J120" t="s">
        <v>412</v>
      </c>
      <c r="K120" t="s">
        <v>551</v>
      </c>
    </row>
    <row r="121" spans="1:11">
      <c r="A121" t="s">
        <v>573</v>
      </c>
      <c r="B121" t="s">
        <v>523</v>
      </c>
      <c r="C121" t="s">
        <v>572</v>
      </c>
      <c r="D121" s="15">
        <v>-0.20799999999999999</v>
      </c>
      <c r="E121" s="15">
        <v>0.21199999999999999</v>
      </c>
      <c r="F121" s="15">
        <v>-0.26900000000000002</v>
      </c>
      <c r="G121" s="15">
        <v>2E-3</v>
      </c>
      <c r="H121" s="15">
        <v>-8.8999999999999996E-2</v>
      </c>
      <c r="I121" s="15">
        <v>0.23</v>
      </c>
      <c r="J121" t="s">
        <v>412</v>
      </c>
      <c r="K121" t="s">
        <v>500</v>
      </c>
    </row>
    <row r="122" spans="1:11">
      <c r="A122" t="s">
        <v>573</v>
      </c>
      <c r="B122" t="s">
        <v>550</v>
      </c>
      <c r="C122" t="s">
        <v>582</v>
      </c>
      <c r="D122" s="15">
        <v>0.28599999999999998</v>
      </c>
      <c r="E122" s="15">
        <v>0.19800000000000001</v>
      </c>
      <c r="F122" s="15">
        <v>-0.20499999999999999</v>
      </c>
      <c r="G122" s="15">
        <v>0.24199999999999999</v>
      </c>
      <c r="H122" s="15">
        <v>9.2999999999999999E-2</v>
      </c>
      <c r="I122" s="15">
        <v>0.22900000000000001</v>
      </c>
      <c r="J122" t="s">
        <v>412</v>
      </c>
      <c r="K122" t="s">
        <v>493</v>
      </c>
    </row>
    <row r="123" spans="1:11">
      <c r="A123" t="s">
        <v>486</v>
      </c>
      <c r="B123" t="s">
        <v>550</v>
      </c>
      <c r="C123" t="s">
        <v>492</v>
      </c>
      <c r="D123" s="15">
        <v>0.34899999999999998</v>
      </c>
      <c r="E123" s="15">
        <v>-0.222</v>
      </c>
      <c r="F123" s="15">
        <v>0.11700000000000001</v>
      </c>
      <c r="G123" s="15">
        <v>6.3E-2</v>
      </c>
      <c r="H123" s="15">
        <v>8.1000000000000003E-2</v>
      </c>
      <c r="I123" s="15">
        <v>0.22900000000000001</v>
      </c>
      <c r="J123" t="s">
        <v>412</v>
      </c>
      <c r="K123" t="s">
        <v>480</v>
      </c>
    </row>
    <row r="124" spans="1:11">
      <c r="A124" t="s">
        <v>486</v>
      </c>
      <c r="B124" t="s">
        <v>588</v>
      </c>
      <c r="C124" t="s">
        <v>477</v>
      </c>
      <c r="D124" s="15">
        <v>-0.28399999999999997</v>
      </c>
      <c r="E124" s="15">
        <v>-8.4000000000000005E-2</v>
      </c>
      <c r="F124" s="15">
        <v>0.31900000000000001</v>
      </c>
      <c r="G124" s="15">
        <v>-0.184</v>
      </c>
      <c r="H124" s="15">
        <v>-1.6E-2</v>
      </c>
      <c r="I124" s="15">
        <v>0.22900000000000001</v>
      </c>
      <c r="J124" t="s">
        <v>412</v>
      </c>
      <c r="K124" t="s">
        <v>510</v>
      </c>
    </row>
    <row r="125" spans="1:11">
      <c r="A125" t="s">
        <v>571</v>
      </c>
      <c r="B125" t="s">
        <v>478</v>
      </c>
      <c r="C125" t="s">
        <v>570</v>
      </c>
      <c r="D125" s="15">
        <v>-0.19700000000000001</v>
      </c>
      <c r="E125" s="15">
        <v>-0.216</v>
      </c>
      <c r="F125" s="15">
        <v>0.27400000000000002</v>
      </c>
      <c r="G125" s="15">
        <v>-0.20699999999999999</v>
      </c>
      <c r="H125" s="15">
        <v>-4.7E-2</v>
      </c>
      <c r="I125" s="15">
        <v>0.22900000000000001</v>
      </c>
      <c r="J125" t="s">
        <v>412</v>
      </c>
      <c r="K125" t="s">
        <v>510</v>
      </c>
    </row>
    <row r="126" spans="1:11">
      <c r="A126" t="s">
        <v>577</v>
      </c>
      <c r="B126" t="s">
        <v>587</v>
      </c>
      <c r="C126" t="s">
        <v>492</v>
      </c>
      <c r="D126" s="15">
        <v>-0.28699999999999998</v>
      </c>
      <c r="E126" s="15">
        <v>-0.15</v>
      </c>
      <c r="F126" s="15">
        <v>0.25</v>
      </c>
      <c r="G126" s="15">
        <v>-0.219</v>
      </c>
      <c r="H126" s="15">
        <v>-6.2E-2</v>
      </c>
      <c r="I126" s="15">
        <v>0.22900000000000001</v>
      </c>
      <c r="J126" t="s">
        <v>412</v>
      </c>
      <c r="K126" t="s">
        <v>510</v>
      </c>
    </row>
    <row r="127" spans="1:11">
      <c r="A127" t="s">
        <v>576</v>
      </c>
      <c r="B127" t="s">
        <v>574</v>
      </c>
      <c r="C127" t="s">
        <v>575</v>
      </c>
      <c r="D127" s="15">
        <v>-0.17100000000000001</v>
      </c>
      <c r="E127" s="15">
        <v>0.109</v>
      </c>
      <c r="F127" s="15">
        <v>-0.40799999999999997</v>
      </c>
      <c r="G127" s="15">
        <v>-3.1E-2</v>
      </c>
      <c r="H127" s="15">
        <v>-0.157</v>
      </c>
      <c r="I127" s="15">
        <v>0.22900000000000001</v>
      </c>
      <c r="J127" t="s">
        <v>412</v>
      </c>
      <c r="K127" t="s">
        <v>500</v>
      </c>
    </row>
    <row r="128" spans="1:11">
      <c r="A128" t="s">
        <v>571</v>
      </c>
      <c r="B128" t="s">
        <v>580</v>
      </c>
      <c r="C128" t="s">
        <v>477</v>
      </c>
      <c r="D128" s="15">
        <v>0.13300000000000001</v>
      </c>
      <c r="E128" s="15">
        <v>0.26200000000000001</v>
      </c>
      <c r="F128" s="15">
        <v>0.28399999999999997</v>
      </c>
      <c r="G128" s="15">
        <v>0.19800000000000001</v>
      </c>
      <c r="H128" s="15">
        <v>0.22700000000000001</v>
      </c>
      <c r="I128" s="15">
        <v>0.22700000000000001</v>
      </c>
      <c r="J128" t="s">
        <v>412</v>
      </c>
      <c r="K128" t="s">
        <v>551</v>
      </c>
    </row>
    <row r="129" spans="1:11">
      <c r="A129" t="s">
        <v>571</v>
      </c>
      <c r="B129" t="s">
        <v>587</v>
      </c>
      <c r="C129" t="s">
        <v>583</v>
      </c>
      <c r="D129" s="15">
        <v>-0.152</v>
      </c>
      <c r="E129" s="15">
        <v>0.27400000000000002</v>
      </c>
      <c r="F129" s="15">
        <v>-0.254</v>
      </c>
      <c r="G129" s="15">
        <v>6.0999999999999999E-2</v>
      </c>
      <c r="H129" s="15">
        <v>-4.3999999999999997E-2</v>
      </c>
      <c r="I129" s="15">
        <v>0.22700000000000001</v>
      </c>
      <c r="J129" t="s">
        <v>412</v>
      </c>
      <c r="K129" t="s">
        <v>500</v>
      </c>
    </row>
    <row r="130" spans="1:11">
      <c r="A130" t="s">
        <v>486</v>
      </c>
      <c r="B130" t="s">
        <v>587</v>
      </c>
      <c r="C130" t="s">
        <v>570</v>
      </c>
      <c r="D130" s="15">
        <v>-0.32400000000000001</v>
      </c>
      <c r="E130" s="15">
        <v>9.0999999999999998E-2</v>
      </c>
      <c r="F130" s="15">
        <v>-0.26500000000000001</v>
      </c>
      <c r="G130" s="15">
        <v>-0.11700000000000001</v>
      </c>
      <c r="H130" s="15">
        <v>-0.16600000000000001</v>
      </c>
      <c r="I130" s="15">
        <v>0.22700000000000001</v>
      </c>
      <c r="J130" t="s">
        <v>412</v>
      </c>
      <c r="K130" t="s">
        <v>500</v>
      </c>
    </row>
    <row r="131" spans="1:11">
      <c r="A131" t="s">
        <v>577</v>
      </c>
      <c r="B131" t="s">
        <v>588</v>
      </c>
      <c r="C131" t="s">
        <v>477</v>
      </c>
      <c r="D131" s="15">
        <v>0.246</v>
      </c>
      <c r="E131" s="15">
        <v>0.114</v>
      </c>
      <c r="F131" s="15">
        <v>0.31900000000000001</v>
      </c>
      <c r="G131" s="15">
        <v>0.18</v>
      </c>
      <c r="H131" s="15">
        <v>0.22600000000000001</v>
      </c>
      <c r="I131" s="15">
        <v>0.22600000000000001</v>
      </c>
      <c r="J131" t="s">
        <v>412</v>
      </c>
      <c r="K131" t="s">
        <v>551</v>
      </c>
    </row>
    <row r="132" spans="1:11">
      <c r="A132" t="s">
        <v>571</v>
      </c>
      <c r="B132" t="s">
        <v>523</v>
      </c>
      <c r="C132" t="s">
        <v>477</v>
      </c>
      <c r="D132" s="15">
        <v>0.13300000000000001</v>
      </c>
      <c r="E132" s="15">
        <v>-0.13200000000000001</v>
      </c>
      <c r="F132" s="15">
        <v>0.41</v>
      </c>
      <c r="G132" s="15">
        <v>0</v>
      </c>
      <c r="H132" s="15">
        <v>0.13700000000000001</v>
      </c>
      <c r="I132" s="15">
        <v>0.22500000000000001</v>
      </c>
      <c r="J132" t="s">
        <v>412</v>
      </c>
      <c r="K132" t="s">
        <v>480</v>
      </c>
    </row>
    <row r="133" spans="1:11">
      <c r="A133" t="s">
        <v>573</v>
      </c>
      <c r="B133" t="s">
        <v>574</v>
      </c>
      <c r="C133" t="s">
        <v>572</v>
      </c>
      <c r="D133" s="15">
        <v>-0.20799999999999999</v>
      </c>
      <c r="E133" s="15">
        <v>-0.124</v>
      </c>
      <c r="F133" s="15">
        <v>0.34</v>
      </c>
      <c r="G133" s="15">
        <v>-0.16600000000000001</v>
      </c>
      <c r="H133" s="15">
        <v>2E-3</v>
      </c>
      <c r="I133" s="15">
        <v>0.224</v>
      </c>
      <c r="J133" t="s">
        <v>412</v>
      </c>
      <c r="K133" t="s">
        <v>510</v>
      </c>
    </row>
    <row r="134" spans="1:11">
      <c r="A134" t="s">
        <v>571</v>
      </c>
      <c r="B134" t="s">
        <v>580</v>
      </c>
      <c r="C134" t="s">
        <v>572</v>
      </c>
      <c r="D134" s="15">
        <v>-0.16300000000000001</v>
      </c>
      <c r="E134" s="15">
        <v>0.26200000000000001</v>
      </c>
      <c r="F134" s="15">
        <v>-0.245</v>
      </c>
      <c r="G134" s="15">
        <v>4.9000000000000002E-2</v>
      </c>
      <c r="H134" s="15">
        <v>-4.9000000000000002E-2</v>
      </c>
      <c r="I134" s="15">
        <v>0.224</v>
      </c>
      <c r="J134" t="s">
        <v>412</v>
      </c>
      <c r="K134" t="s">
        <v>500</v>
      </c>
    </row>
    <row r="135" spans="1:11">
      <c r="A135" t="s">
        <v>486</v>
      </c>
      <c r="B135" t="s">
        <v>587</v>
      </c>
      <c r="C135" t="s">
        <v>585</v>
      </c>
      <c r="D135" s="15">
        <v>-0.27</v>
      </c>
      <c r="E135" s="15">
        <v>9.0999999999999998E-2</v>
      </c>
      <c r="F135" s="15">
        <v>-0.31</v>
      </c>
      <c r="G135" s="15">
        <v>-8.8999999999999996E-2</v>
      </c>
      <c r="H135" s="15">
        <v>-0.16300000000000001</v>
      </c>
      <c r="I135" s="15">
        <v>0.224</v>
      </c>
      <c r="J135" t="s">
        <v>412</v>
      </c>
      <c r="K135" t="s">
        <v>500</v>
      </c>
    </row>
    <row r="136" spans="1:11">
      <c r="A136" t="s">
        <v>547</v>
      </c>
      <c r="B136" t="s">
        <v>581</v>
      </c>
      <c r="C136" t="s">
        <v>575</v>
      </c>
      <c r="D136" s="15">
        <v>-6.8000000000000005E-2</v>
      </c>
      <c r="E136" s="15">
        <v>0.23699999999999999</v>
      </c>
      <c r="F136" s="15">
        <v>-0.36299999999999999</v>
      </c>
      <c r="G136" s="15">
        <v>8.4000000000000005E-2</v>
      </c>
      <c r="H136" s="15">
        <v>-6.5000000000000002E-2</v>
      </c>
      <c r="I136" s="15">
        <v>0.223</v>
      </c>
      <c r="J136" t="s">
        <v>412</v>
      </c>
      <c r="K136" t="s">
        <v>500</v>
      </c>
    </row>
    <row r="137" spans="1:11">
      <c r="A137" t="s">
        <v>573</v>
      </c>
      <c r="B137" t="s">
        <v>590</v>
      </c>
      <c r="C137" t="s">
        <v>572</v>
      </c>
      <c r="D137" s="15">
        <v>-0.20799999999999999</v>
      </c>
      <c r="E137" s="15">
        <v>0.23</v>
      </c>
      <c r="F137" s="15">
        <v>-0.23</v>
      </c>
      <c r="G137" s="15">
        <v>1.0999999999999999E-2</v>
      </c>
      <c r="H137" s="15">
        <v>-6.9000000000000006E-2</v>
      </c>
      <c r="I137" s="15">
        <v>0.223</v>
      </c>
      <c r="J137" t="s">
        <v>412</v>
      </c>
      <c r="K137" t="s">
        <v>500</v>
      </c>
    </row>
    <row r="138" spans="1:11">
      <c r="A138" t="s">
        <v>573</v>
      </c>
      <c r="B138" t="s">
        <v>590</v>
      </c>
      <c r="C138" t="s">
        <v>594</v>
      </c>
      <c r="D138" s="15">
        <v>0.13700000000000001</v>
      </c>
      <c r="E138" s="15">
        <v>0.23</v>
      </c>
      <c r="F138" s="15">
        <v>0.29899999999999999</v>
      </c>
      <c r="G138" s="15">
        <v>0.184</v>
      </c>
      <c r="H138" s="15">
        <v>0.222</v>
      </c>
      <c r="I138" s="15">
        <v>0.222</v>
      </c>
      <c r="J138" t="s">
        <v>412</v>
      </c>
      <c r="K138" t="s">
        <v>551</v>
      </c>
    </row>
    <row r="139" spans="1:11">
      <c r="A139" t="s">
        <v>506</v>
      </c>
      <c r="B139" t="s">
        <v>509</v>
      </c>
      <c r="C139" t="s">
        <v>492</v>
      </c>
      <c r="D139" s="15">
        <v>-0.17399999999999999</v>
      </c>
      <c r="E139" s="15">
        <v>0.35799999999999998</v>
      </c>
      <c r="F139" s="15">
        <v>-0.13500000000000001</v>
      </c>
      <c r="G139" s="15">
        <v>9.1999999999999998E-2</v>
      </c>
      <c r="H139" s="15">
        <v>1.6E-2</v>
      </c>
      <c r="I139" s="15">
        <v>0.222</v>
      </c>
      <c r="J139" t="s">
        <v>412</v>
      </c>
      <c r="K139" t="s">
        <v>500</v>
      </c>
    </row>
    <row r="140" spans="1:11">
      <c r="A140" t="s">
        <v>486</v>
      </c>
      <c r="B140" t="s">
        <v>499</v>
      </c>
      <c r="C140" t="s">
        <v>593</v>
      </c>
      <c r="D140" s="15">
        <v>-8.6999999999999994E-2</v>
      </c>
      <c r="E140" s="15">
        <v>0.28000000000000003</v>
      </c>
      <c r="F140" s="15">
        <v>-0.3</v>
      </c>
      <c r="G140" s="15">
        <v>9.7000000000000003E-2</v>
      </c>
      <c r="H140" s="15">
        <v>-3.5000000000000003E-2</v>
      </c>
      <c r="I140" s="15">
        <v>0.222</v>
      </c>
      <c r="J140" t="s">
        <v>412</v>
      </c>
      <c r="K140" t="s">
        <v>500</v>
      </c>
    </row>
    <row r="141" spans="1:11">
      <c r="A141" t="s">
        <v>573</v>
      </c>
      <c r="B141" t="s">
        <v>578</v>
      </c>
      <c r="C141" t="s">
        <v>572</v>
      </c>
      <c r="D141" s="15">
        <v>-0.20799999999999999</v>
      </c>
      <c r="E141" s="15">
        <v>4.8000000000000001E-2</v>
      </c>
      <c r="F141" s="15">
        <v>-0.40899999999999997</v>
      </c>
      <c r="G141" s="15">
        <v>-0.08</v>
      </c>
      <c r="H141" s="15">
        <v>-0.19</v>
      </c>
      <c r="I141" s="15">
        <v>0.222</v>
      </c>
      <c r="J141" t="s">
        <v>412</v>
      </c>
      <c r="K141" t="s">
        <v>500</v>
      </c>
    </row>
    <row r="142" spans="1:11">
      <c r="A142" t="s">
        <v>479</v>
      </c>
      <c r="B142" t="s">
        <v>581</v>
      </c>
      <c r="C142" t="s">
        <v>575</v>
      </c>
      <c r="D142" s="15">
        <v>-0.22500000000000001</v>
      </c>
      <c r="E142" s="15">
        <v>-7.8E-2</v>
      </c>
      <c r="F142" s="15">
        <v>-0.36299999999999999</v>
      </c>
      <c r="G142" s="15">
        <v>-0.152</v>
      </c>
      <c r="H142" s="15">
        <v>-0.222</v>
      </c>
      <c r="I142" s="15">
        <v>0.222</v>
      </c>
      <c r="J142" t="s">
        <v>412</v>
      </c>
      <c r="K142" t="s">
        <v>589</v>
      </c>
    </row>
    <row r="143" spans="1:11">
      <c r="A143" t="s">
        <v>571</v>
      </c>
      <c r="B143" t="s">
        <v>581</v>
      </c>
      <c r="C143" t="s">
        <v>572</v>
      </c>
      <c r="D143" s="15">
        <v>-0.16300000000000001</v>
      </c>
      <c r="E143" s="15">
        <v>0.27500000000000002</v>
      </c>
      <c r="F143" s="15">
        <v>0.22500000000000001</v>
      </c>
      <c r="G143" s="15">
        <v>5.6000000000000001E-2</v>
      </c>
      <c r="H143" s="15">
        <v>0.112</v>
      </c>
      <c r="I143" s="15">
        <v>0.221</v>
      </c>
      <c r="J143" t="s">
        <v>412</v>
      </c>
      <c r="K143" t="s">
        <v>487</v>
      </c>
    </row>
    <row r="144" spans="1:11">
      <c r="A144" t="s">
        <v>506</v>
      </c>
      <c r="B144" t="s">
        <v>499</v>
      </c>
      <c r="C144" t="s">
        <v>492</v>
      </c>
      <c r="D144" s="15">
        <v>-0.17399999999999999</v>
      </c>
      <c r="E144" s="15">
        <v>0.184</v>
      </c>
      <c r="F144" s="15">
        <v>0.30399999999999999</v>
      </c>
      <c r="G144" s="15">
        <v>5.0000000000000001E-3</v>
      </c>
      <c r="H144" s="15">
        <v>0.105</v>
      </c>
      <c r="I144" s="15">
        <v>0.221</v>
      </c>
      <c r="J144" t="s">
        <v>412</v>
      </c>
      <c r="K144" t="s">
        <v>487</v>
      </c>
    </row>
    <row r="145" spans="1:11">
      <c r="A145" t="s">
        <v>486</v>
      </c>
      <c r="B145" t="s">
        <v>578</v>
      </c>
      <c r="C145" t="s">
        <v>583</v>
      </c>
      <c r="D145" s="15">
        <v>-0.16700000000000001</v>
      </c>
      <c r="E145" s="15">
        <v>-0.2</v>
      </c>
      <c r="F145" s="15">
        <v>0.29499999999999998</v>
      </c>
      <c r="G145" s="15">
        <v>-0.184</v>
      </c>
      <c r="H145" s="15">
        <v>-2.4E-2</v>
      </c>
      <c r="I145" s="15">
        <v>0.221</v>
      </c>
      <c r="J145" t="s">
        <v>412</v>
      </c>
      <c r="K145" t="s">
        <v>510</v>
      </c>
    </row>
    <row r="146" spans="1:11">
      <c r="A146" t="s">
        <v>506</v>
      </c>
      <c r="B146" t="s">
        <v>523</v>
      </c>
      <c r="C146" t="s">
        <v>492</v>
      </c>
      <c r="D146" s="15">
        <v>-0.17399999999999999</v>
      </c>
      <c r="E146" s="15">
        <v>5.2999999999999999E-2</v>
      </c>
      <c r="F146" s="15">
        <v>-0.436</v>
      </c>
      <c r="G146" s="15">
        <v>-0.06</v>
      </c>
      <c r="H146" s="15">
        <v>-0.185</v>
      </c>
      <c r="I146" s="15">
        <v>0.221</v>
      </c>
      <c r="J146" t="s">
        <v>412</v>
      </c>
      <c r="K146" t="s">
        <v>500</v>
      </c>
    </row>
    <row r="147" spans="1:11">
      <c r="A147" t="s">
        <v>486</v>
      </c>
      <c r="B147" t="s">
        <v>550</v>
      </c>
      <c r="C147" t="s">
        <v>575</v>
      </c>
      <c r="D147" s="15">
        <v>-0.41299999999999998</v>
      </c>
      <c r="E147" s="15">
        <v>-0.222</v>
      </c>
      <c r="F147" s="15">
        <v>-2.8000000000000001E-2</v>
      </c>
      <c r="G147" s="15">
        <v>-0.318</v>
      </c>
      <c r="H147" s="15">
        <v>-0.221</v>
      </c>
      <c r="I147" s="15">
        <v>0.221</v>
      </c>
      <c r="J147" t="s">
        <v>412</v>
      </c>
      <c r="K147" t="s">
        <v>589</v>
      </c>
    </row>
    <row r="148" spans="1:11">
      <c r="A148" t="s">
        <v>577</v>
      </c>
      <c r="B148" t="s">
        <v>569</v>
      </c>
      <c r="C148" t="s">
        <v>575</v>
      </c>
      <c r="D148" s="15">
        <v>0.14199999999999999</v>
      </c>
      <c r="E148" s="15">
        <v>-0.157</v>
      </c>
      <c r="F148" s="15">
        <v>0.36</v>
      </c>
      <c r="G148" s="15">
        <v>-8.0000000000000002E-3</v>
      </c>
      <c r="H148" s="15">
        <v>0.115</v>
      </c>
      <c r="I148" s="15">
        <v>0.22</v>
      </c>
      <c r="J148" t="s">
        <v>412</v>
      </c>
      <c r="K148" t="s">
        <v>480</v>
      </c>
    </row>
    <row r="149" spans="1:11">
      <c r="A149" t="s">
        <v>571</v>
      </c>
      <c r="B149" t="s">
        <v>595</v>
      </c>
      <c r="C149" t="s">
        <v>583</v>
      </c>
      <c r="D149" s="15">
        <v>-0.152</v>
      </c>
      <c r="E149" s="15">
        <v>0.32600000000000001</v>
      </c>
      <c r="F149" s="15">
        <v>-0.18099999999999999</v>
      </c>
      <c r="G149" s="15">
        <v>8.6999999999999994E-2</v>
      </c>
      <c r="H149" s="15">
        <v>-2E-3</v>
      </c>
      <c r="I149" s="15">
        <v>0.22</v>
      </c>
      <c r="J149" t="s">
        <v>412</v>
      </c>
      <c r="K149" t="s">
        <v>500</v>
      </c>
    </row>
    <row r="150" spans="1:11">
      <c r="A150" t="s">
        <v>479</v>
      </c>
      <c r="B150" t="s">
        <v>596</v>
      </c>
      <c r="C150" t="s">
        <v>575</v>
      </c>
      <c r="D150" s="15">
        <v>-0.22500000000000001</v>
      </c>
      <c r="E150" s="15">
        <v>0.28599999999999998</v>
      </c>
      <c r="F150" s="15">
        <v>-0.151</v>
      </c>
      <c r="G150" s="15">
        <v>0.03</v>
      </c>
      <c r="H150" s="15">
        <v>-0.03</v>
      </c>
      <c r="I150" s="15">
        <v>0.22</v>
      </c>
      <c r="J150" t="s">
        <v>412</v>
      </c>
      <c r="K150" t="s">
        <v>500</v>
      </c>
    </row>
    <row r="151" spans="1:11">
      <c r="A151" t="s">
        <v>486</v>
      </c>
      <c r="B151" t="s">
        <v>581</v>
      </c>
      <c r="C151" t="s">
        <v>477</v>
      </c>
      <c r="D151" s="15">
        <v>-0.28399999999999997</v>
      </c>
      <c r="E151" s="15">
        <v>0.14199999999999999</v>
      </c>
      <c r="F151" s="15">
        <v>-0.23400000000000001</v>
      </c>
      <c r="G151" s="15">
        <v>-7.0999999999999994E-2</v>
      </c>
      <c r="H151" s="15">
        <v>-0.125</v>
      </c>
      <c r="I151" s="15">
        <v>0.22</v>
      </c>
      <c r="J151" t="s">
        <v>412</v>
      </c>
      <c r="K151" t="s">
        <v>500</v>
      </c>
    </row>
    <row r="152" spans="1:11">
      <c r="A152" t="s">
        <v>577</v>
      </c>
      <c r="B152" t="s">
        <v>578</v>
      </c>
      <c r="C152" t="s">
        <v>582</v>
      </c>
      <c r="D152" s="15">
        <v>0.31900000000000001</v>
      </c>
      <c r="E152" s="15">
        <v>0.23799999999999999</v>
      </c>
      <c r="F152" s="15">
        <v>0.1</v>
      </c>
      <c r="G152" s="15">
        <v>0.27800000000000002</v>
      </c>
      <c r="H152" s="15">
        <v>0.219</v>
      </c>
      <c r="I152" s="15">
        <v>0.219</v>
      </c>
      <c r="J152" t="s">
        <v>412</v>
      </c>
      <c r="K152" t="s">
        <v>551</v>
      </c>
    </row>
    <row r="153" spans="1:11">
      <c r="A153" t="s">
        <v>479</v>
      </c>
      <c r="B153" t="s">
        <v>550</v>
      </c>
      <c r="C153" t="s">
        <v>593</v>
      </c>
      <c r="D153" s="15">
        <v>-8.0000000000000002E-3</v>
      </c>
      <c r="E153" s="15">
        <v>0.441</v>
      </c>
      <c r="F153" s="15">
        <v>0.20799999999999999</v>
      </c>
      <c r="G153" s="15">
        <v>0.217</v>
      </c>
      <c r="H153" s="15">
        <v>0.214</v>
      </c>
      <c r="I153" s="15">
        <v>0.219</v>
      </c>
      <c r="J153" t="s">
        <v>412</v>
      </c>
      <c r="K153" t="s">
        <v>487</v>
      </c>
    </row>
    <row r="154" spans="1:11">
      <c r="A154" t="s">
        <v>506</v>
      </c>
      <c r="B154" t="s">
        <v>569</v>
      </c>
      <c r="C154" t="s">
        <v>583</v>
      </c>
      <c r="D154" s="15">
        <v>4.1000000000000002E-2</v>
      </c>
      <c r="E154" s="15">
        <v>-0.22700000000000001</v>
      </c>
      <c r="F154" s="15">
        <v>0.38800000000000001</v>
      </c>
      <c r="G154" s="15">
        <v>-9.2999999999999999E-2</v>
      </c>
      <c r="H154" s="15">
        <v>6.8000000000000005E-2</v>
      </c>
      <c r="I154" s="15">
        <v>0.219</v>
      </c>
      <c r="J154" t="s">
        <v>412</v>
      </c>
      <c r="K154" t="s">
        <v>480</v>
      </c>
    </row>
    <row r="155" spans="1:11">
      <c r="A155" t="s">
        <v>571</v>
      </c>
      <c r="B155" t="s">
        <v>595</v>
      </c>
      <c r="C155" t="s">
        <v>570</v>
      </c>
      <c r="D155" s="15">
        <v>-0.19700000000000001</v>
      </c>
      <c r="E155" s="15">
        <v>0.32600000000000001</v>
      </c>
      <c r="F155" s="15">
        <v>-0.13500000000000001</v>
      </c>
      <c r="G155" s="15">
        <v>6.5000000000000002E-2</v>
      </c>
      <c r="H155" s="15">
        <v>-2E-3</v>
      </c>
      <c r="I155" s="15">
        <v>0.219</v>
      </c>
      <c r="J155" t="s">
        <v>412</v>
      </c>
      <c r="K155" t="s">
        <v>500</v>
      </c>
    </row>
    <row r="156" spans="1:11">
      <c r="A156" t="s">
        <v>506</v>
      </c>
      <c r="B156" t="s">
        <v>499</v>
      </c>
      <c r="C156" t="s">
        <v>584</v>
      </c>
      <c r="D156" s="15">
        <v>0.11899999999999999</v>
      </c>
      <c r="E156" s="15">
        <v>0.184</v>
      </c>
      <c r="F156" s="15">
        <v>-0.35199999999999998</v>
      </c>
      <c r="G156" s="15">
        <v>0.152</v>
      </c>
      <c r="H156" s="15">
        <v>-1.6E-2</v>
      </c>
      <c r="I156" s="15">
        <v>0.219</v>
      </c>
      <c r="J156" t="s">
        <v>412</v>
      </c>
      <c r="K156" t="s">
        <v>493</v>
      </c>
    </row>
    <row r="157" spans="1:11">
      <c r="A157" t="s">
        <v>486</v>
      </c>
      <c r="B157" t="s">
        <v>580</v>
      </c>
      <c r="C157" t="s">
        <v>585</v>
      </c>
      <c r="D157" s="15">
        <v>-0.27</v>
      </c>
      <c r="E157" s="15">
        <v>-0.25700000000000001</v>
      </c>
      <c r="F157" s="15">
        <v>0.13</v>
      </c>
      <c r="G157" s="15">
        <v>-0.26400000000000001</v>
      </c>
      <c r="H157" s="15">
        <v>-0.13200000000000001</v>
      </c>
      <c r="I157" s="15">
        <v>0.219</v>
      </c>
      <c r="J157" t="s">
        <v>412</v>
      </c>
      <c r="K157" t="s">
        <v>510</v>
      </c>
    </row>
    <row r="158" spans="1:11">
      <c r="A158" t="s">
        <v>486</v>
      </c>
      <c r="B158" t="s">
        <v>590</v>
      </c>
      <c r="C158" t="s">
        <v>492</v>
      </c>
      <c r="D158" s="15">
        <v>0.34899999999999998</v>
      </c>
      <c r="E158" s="15">
        <v>-0.106</v>
      </c>
      <c r="F158" s="15">
        <v>-0.19900000000000001</v>
      </c>
      <c r="G158" s="15">
        <v>0.121</v>
      </c>
      <c r="H158" s="15">
        <v>1.4E-2</v>
      </c>
      <c r="I158" s="15">
        <v>0.218</v>
      </c>
      <c r="J158" t="s">
        <v>412</v>
      </c>
      <c r="K158" t="s">
        <v>579</v>
      </c>
    </row>
    <row r="159" spans="1:11">
      <c r="A159" t="s">
        <v>479</v>
      </c>
      <c r="B159" t="s">
        <v>590</v>
      </c>
      <c r="C159" t="s">
        <v>570</v>
      </c>
      <c r="D159" s="15">
        <v>-0.26900000000000002</v>
      </c>
      <c r="E159" s="15">
        <v>0.17899999999999999</v>
      </c>
      <c r="F159" s="15">
        <v>-0.20599999999999999</v>
      </c>
      <c r="G159" s="15">
        <v>-4.4999999999999998E-2</v>
      </c>
      <c r="H159" s="15">
        <v>-9.8000000000000004E-2</v>
      </c>
      <c r="I159" s="15">
        <v>0.218</v>
      </c>
      <c r="J159" t="s">
        <v>412</v>
      </c>
      <c r="K159" t="s">
        <v>500</v>
      </c>
    </row>
    <row r="160" spans="1:11">
      <c r="A160" t="s">
        <v>573</v>
      </c>
      <c r="B160" t="s">
        <v>590</v>
      </c>
      <c r="C160" t="s">
        <v>584</v>
      </c>
      <c r="D160" s="15">
        <v>0.26500000000000001</v>
      </c>
      <c r="E160" s="15">
        <v>0.23</v>
      </c>
      <c r="F160" s="15">
        <v>0.155</v>
      </c>
      <c r="G160" s="15">
        <v>0.248</v>
      </c>
      <c r="H160" s="15">
        <v>0.217</v>
      </c>
      <c r="I160" s="15">
        <v>0.217</v>
      </c>
      <c r="J160" t="s">
        <v>412</v>
      </c>
      <c r="K160" t="s">
        <v>551</v>
      </c>
    </row>
    <row r="161" spans="1:11">
      <c r="A161" t="s">
        <v>577</v>
      </c>
      <c r="B161" t="s">
        <v>578</v>
      </c>
      <c r="C161" t="s">
        <v>584</v>
      </c>
      <c r="D161" s="15">
        <v>0.182</v>
      </c>
      <c r="E161" s="15">
        <v>0.23799999999999999</v>
      </c>
      <c r="F161" s="15">
        <v>0.23100000000000001</v>
      </c>
      <c r="G161" s="15">
        <v>0.21</v>
      </c>
      <c r="H161" s="15">
        <v>0.217</v>
      </c>
      <c r="I161" s="15">
        <v>0.217</v>
      </c>
      <c r="J161" t="s">
        <v>412</v>
      </c>
      <c r="K161" t="s">
        <v>551</v>
      </c>
    </row>
    <row r="162" spans="1:11">
      <c r="A162" t="s">
        <v>577</v>
      </c>
      <c r="B162" t="s">
        <v>596</v>
      </c>
      <c r="C162" t="s">
        <v>492</v>
      </c>
      <c r="D162" s="15">
        <v>-0.28699999999999998</v>
      </c>
      <c r="E162" s="15">
        <v>-7.0000000000000007E-2</v>
      </c>
      <c r="F162" s="15">
        <v>0.29499999999999998</v>
      </c>
      <c r="G162" s="15">
        <v>-0.17799999999999999</v>
      </c>
      <c r="H162" s="15">
        <v>-2.1000000000000001E-2</v>
      </c>
      <c r="I162" s="15">
        <v>0.217</v>
      </c>
      <c r="J162" t="s">
        <v>412</v>
      </c>
      <c r="K162" t="s">
        <v>510</v>
      </c>
    </row>
    <row r="163" spans="1:11">
      <c r="A163" t="s">
        <v>486</v>
      </c>
      <c r="B163" t="s">
        <v>597</v>
      </c>
      <c r="C163" t="s">
        <v>572</v>
      </c>
      <c r="D163" s="15">
        <v>0.43</v>
      </c>
      <c r="E163" s="15">
        <v>-8.9999999999999993E-3</v>
      </c>
      <c r="F163" s="15">
        <v>0.21</v>
      </c>
      <c r="G163" s="15">
        <v>0.21</v>
      </c>
      <c r="H163" s="15">
        <v>0.21</v>
      </c>
      <c r="I163" s="15">
        <v>0.216</v>
      </c>
      <c r="J163" t="s">
        <v>412</v>
      </c>
      <c r="K163" t="s">
        <v>480</v>
      </c>
    </row>
    <row r="164" spans="1:11">
      <c r="A164" t="s">
        <v>573</v>
      </c>
      <c r="B164" t="s">
        <v>587</v>
      </c>
      <c r="C164" t="s">
        <v>584</v>
      </c>
      <c r="D164" s="15">
        <v>0.26500000000000001</v>
      </c>
      <c r="E164" s="15">
        <v>0.16200000000000001</v>
      </c>
      <c r="F164" s="15">
        <v>-0.221</v>
      </c>
      <c r="G164" s="15">
        <v>0.214</v>
      </c>
      <c r="H164" s="15">
        <v>6.9000000000000006E-2</v>
      </c>
      <c r="I164" s="15">
        <v>0.216</v>
      </c>
      <c r="J164" t="s">
        <v>412</v>
      </c>
      <c r="K164" t="s">
        <v>493</v>
      </c>
    </row>
    <row r="165" spans="1:11">
      <c r="A165" t="s">
        <v>506</v>
      </c>
      <c r="B165" t="s">
        <v>499</v>
      </c>
      <c r="C165" t="s">
        <v>591</v>
      </c>
      <c r="D165" s="15">
        <v>0.20899999999999999</v>
      </c>
      <c r="E165" s="15">
        <v>0.184</v>
      </c>
      <c r="F165" s="15">
        <v>-0.25700000000000001</v>
      </c>
      <c r="G165" s="15">
        <v>0.19600000000000001</v>
      </c>
      <c r="H165" s="15">
        <v>4.4999999999999998E-2</v>
      </c>
      <c r="I165" s="15">
        <v>0.216</v>
      </c>
      <c r="J165" t="s">
        <v>412</v>
      </c>
      <c r="K165" t="s">
        <v>493</v>
      </c>
    </row>
    <row r="166" spans="1:11">
      <c r="A166" t="s">
        <v>573</v>
      </c>
      <c r="B166" t="s">
        <v>478</v>
      </c>
      <c r="C166" t="s">
        <v>570</v>
      </c>
      <c r="D166" s="15">
        <v>-0.17100000000000001</v>
      </c>
      <c r="E166" s="15">
        <v>-0.20399999999999999</v>
      </c>
      <c r="F166" s="15">
        <v>0.27400000000000002</v>
      </c>
      <c r="G166" s="15">
        <v>-0.187</v>
      </c>
      <c r="H166" s="15">
        <v>-3.4000000000000002E-2</v>
      </c>
      <c r="I166" s="15">
        <v>0.216</v>
      </c>
      <c r="J166" t="s">
        <v>412</v>
      </c>
      <c r="K166" t="s">
        <v>510</v>
      </c>
    </row>
    <row r="167" spans="1:11">
      <c r="A167" t="s">
        <v>573</v>
      </c>
      <c r="B167" t="s">
        <v>505</v>
      </c>
      <c r="C167" t="s">
        <v>584</v>
      </c>
      <c r="D167" s="15">
        <v>0.26500000000000001</v>
      </c>
      <c r="E167" s="15">
        <v>-0.20300000000000001</v>
      </c>
      <c r="F167" s="15">
        <v>-0.18099999999999999</v>
      </c>
      <c r="G167" s="15">
        <v>3.1E-2</v>
      </c>
      <c r="H167" s="15">
        <v>-3.9E-2</v>
      </c>
      <c r="I167" s="15">
        <v>0.216</v>
      </c>
      <c r="J167" t="s">
        <v>412</v>
      </c>
      <c r="K167" t="s">
        <v>579</v>
      </c>
    </row>
    <row r="168" spans="1:11">
      <c r="A168" t="s">
        <v>506</v>
      </c>
      <c r="B168" t="s">
        <v>578</v>
      </c>
      <c r="C168" t="s">
        <v>492</v>
      </c>
      <c r="D168" s="15">
        <v>-0.17399999999999999</v>
      </c>
      <c r="E168" s="15">
        <v>-5.6000000000000001E-2</v>
      </c>
      <c r="F168" s="15">
        <v>-0.41899999999999998</v>
      </c>
      <c r="G168" s="15">
        <v>-0.115</v>
      </c>
      <c r="H168" s="15">
        <v>-0.216</v>
      </c>
      <c r="I168" s="15">
        <v>0.216</v>
      </c>
      <c r="J168" t="s">
        <v>412</v>
      </c>
      <c r="K168" t="s">
        <v>589</v>
      </c>
    </row>
    <row r="169" spans="1:11">
      <c r="A169" t="s">
        <v>486</v>
      </c>
      <c r="B169" t="s">
        <v>596</v>
      </c>
      <c r="C169" t="s">
        <v>492</v>
      </c>
      <c r="D169" s="15">
        <v>0.34899999999999998</v>
      </c>
      <c r="E169" s="15">
        <v>-1E-3</v>
      </c>
      <c r="F169" s="15">
        <v>0.29499999999999998</v>
      </c>
      <c r="G169" s="15">
        <v>0.17399999999999999</v>
      </c>
      <c r="H169" s="15">
        <v>0.214</v>
      </c>
      <c r="I169" s="15">
        <v>0.215</v>
      </c>
      <c r="J169" t="s">
        <v>412</v>
      </c>
      <c r="K169" t="s">
        <v>480</v>
      </c>
    </row>
    <row r="170" spans="1:11">
      <c r="A170" t="s">
        <v>486</v>
      </c>
      <c r="B170" t="s">
        <v>569</v>
      </c>
      <c r="C170" t="s">
        <v>593</v>
      </c>
      <c r="D170" s="15">
        <v>-8.6999999999999994E-2</v>
      </c>
      <c r="E170" s="15">
        <v>-0.30499999999999999</v>
      </c>
      <c r="F170" s="15">
        <v>0.253</v>
      </c>
      <c r="G170" s="15">
        <v>-0.19600000000000001</v>
      </c>
      <c r="H170" s="15">
        <v>-4.5999999999999999E-2</v>
      </c>
      <c r="I170" s="15">
        <v>0.215</v>
      </c>
      <c r="J170" t="s">
        <v>412</v>
      </c>
      <c r="K170" t="s">
        <v>510</v>
      </c>
    </row>
    <row r="171" spans="1:11">
      <c r="A171" t="s">
        <v>506</v>
      </c>
      <c r="B171" t="s">
        <v>523</v>
      </c>
      <c r="C171" t="s">
        <v>582</v>
      </c>
      <c r="D171" s="15">
        <v>0.34100000000000003</v>
      </c>
      <c r="E171" s="15">
        <v>5.2999999999999999E-2</v>
      </c>
      <c r="F171" s="15">
        <v>0.249</v>
      </c>
      <c r="G171" s="15">
        <v>0.19700000000000001</v>
      </c>
      <c r="H171" s="15">
        <v>0.214</v>
      </c>
      <c r="I171" s="15">
        <v>0.214</v>
      </c>
      <c r="J171" t="s">
        <v>412</v>
      </c>
      <c r="K171" t="s">
        <v>551</v>
      </c>
    </row>
    <row r="172" spans="1:11">
      <c r="A172" t="s">
        <v>577</v>
      </c>
      <c r="B172" t="s">
        <v>517</v>
      </c>
      <c r="C172" t="s">
        <v>477</v>
      </c>
      <c r="D172" s="15">
        <v>0.246</v>
      </c>
      <c r="E172" s="15">
        <v>0.13900000000000001</v>
      </c>
      <c r="F172" s="15">
        <v>0.25800000000000001</v>
      </c>
      <c r="G172" s="15">
        <v>0.192</v>
      </c>
      <c r="H172" s="15">
        <v>0.214</v>
      </c>
      <c r="I172" s="15">
        <v>0.214</v>
      </c>
      <c r="J172" t="s">
        <v>412</v>
      </c>
      <c r="K172" t="s">
        <v>551</v>
      </c>
    </row>
    <row r="173" spans="1:11">
      <c r="A173" t="s">
        <v>571</v>
      </c>
      <c r="B173" t="s">
        <v>581</v>
      </c>
      <c r="C173" t="s">
        <v>477</v>
      </c>
      <c r="D173" s="15">
        <v>0.13300000000000001</v>
      </c>
      <c r="E173" s="15">
        <v>0.27500000000000002</v>
      </c>
      <c r="F173" s="15">
        <v>-0.23400000000000001</v>
      </c>
      <c r="G173" s="15">
        <v>0.20399999999999999</v>
      </c>
      <c r="H173" s="15">
        <v>5.8000000000000003E-2</v>
      </c>
      <c r="I173" s="15">
        <v>0.214</v>
      </c>
      <c r="J173" t="s">
        <v>412</v>
      </c>
      <c r="K173" t="s">
        <v>493</v>
      </c>
    </row>
    <row r="174" spans="1:11">
      <c r="A174" t="s">
        <v>506</v>
      </c>
      <c r="B174" t="s">
        <v>592</v>
      </c>
      <c r="C174" t="s">
        <v>591</v>
      </c>
      <c r="D174" s="15">
        <v>0.20899999999999999</v>
      </c>
      <c r="E174" s="15">
        <v>-0.30199999999999999</v>
      </c>
      <c r="F174" s="15">
        <v>-0.13</v>
      </c>
      <c r="G174" s="15">
        <v>-4.7E-2</v>
      </c>
      <c r="H174" s="15">
        <v>-7.3999999999999996E-2</v>
      </c>
      <c r="I174" s="15">
        <v>0.214</v>
      </c>
      <c r="J174" t="s">
        <v>412</v>
      </c>
      <c r="K174" t="s">
        <v>579</v>
      </c>
    </row>
    <row r="175" spans="1:11">
      <c r="A175" t="s">
        <v>479</v>
      </c>
      <c r="B175" t="s">
        <v>596</v>
      </c>
      <c r="C175" t="s">
        <v>492</v>
      </c>
      <c r="D175" s="15">
        <v>5.8999999999999997E-2</v>
      </c>
      <c r="E175" s="15">
        <v>0.28599999999999998</v>
      </c>
      <c r="F175" s="15">
        <v>0.29499999999999998</v>
      </c>
      <c r="G175" s="15">
        <v>0.17199999999999999</v>
      </c>
      <c r="H175" s="15">
        <v>0.21299999999999999</v>
      </c>
      <c r="I175" s="15">
        <v>0.21299999999999999</v>
      </c>
      <c r="J175" t="s">
        <v>412</v>
      </c>
      <c r="K175" t="s">
        <v>551</v>
      </c>
    </row>
    <row r="176" spans="1:11">
      <c r="A176" t="s">
        <v>573</v>
      </c>
      <c r="B176" t="s">
        <v>478</v>
      </c>
      <c r="C176" t="s">
        <v>575</v>
      </c>
      <c r="D176" s="15">
        <v>-4.9000000000000002E-2</v>
      </c>
      <c r="E176" s="15">
        <v>-0.20399999999999999</v>
      </c>
      <c r="F176" s="15">
        <v>0.38500000000000001</v>
      </c>
      <c r="G176" s="15">
        <v>-0.126</v>
      </c>
      <c r="H176" s="15">
        <v>4.3999999999999997E-2</v>
      </c>
      <c r="I176" s="15">
        <v>0.21299999999999999</v>
      </c>
      <c r="J176" t="s">
        <v>412</v>
      </c>
      <c r="K176" t="s">
        <v>510</v>
      </c>
    </row>
    <row r="177" spans="1:11">
      <c r="A177" t="s">
        <v>577</v>
      </c>
      <c r="B177" t="s">
        <v>550</v>
      </c>
      <c r="C177" t="s">
        <v>582</v>
      </c>
      <c r="D177" s="15">
        <v>0.31900000000000001</v>
      </c>
      <c r="E177" s="15">
        <v>-0.11600000000000001</v>
      </c>
      <c r="F177" s="15">
        <v>-0.20499999999999999</v>
      </c>
      <c r="G177" s="15">
        <v>0.10100000000000001</v>
      </c>
      <c r="H177" s="15">
        <v>-1E-3</v>
      </c>
      <c r="I177" s="15">
        <v>0.21299999999999999</v>
      </c>
      <c r="J177" t="s">
        <v>412</v>
      </c>
      <c r="K177" t="s">
        <v>579</v>
      </c>
    </row>
    <row r="178" spans="1:11">
      <c r="A178" t="s">
        <v>506</v>
      </c>
      <c r="B178" t="s">
        <v>478</v>
      </c>
      <c r="C178" t="s">
        <v>570</v>
      </c>
      <c r="D178" s="15">
        <v>-0.14199999999999999</v>
      </c>
      <c r="E178" s="15">
        <v>-0.224</v>
      </c>
      <c r="F178" s="15">
        <v>0.27400000000000002</v>
      </c>
      <c r="G178" s="15">
        <v>-0.183</v>
      </c>
      <c r="H178" s="15">
        <v>-3.1E-2</v>
      </c>
      <c r="I178" s="15">
        <v>0.21299999999999999</v>
      </c>
      <c r="J178" t="s">
        <v>412</v>
      </c>
      <c r="K178" t="s">
        <v>510</v>
      </c>
    </row>
    <row r="179" spans="1:11">
      <c r="A179" t="s">
        <v>479</v>
      </c>
      <c r="B179" t="s">
        <v>597</v>
      </c>
      <c r="C179" t="s">
        <v>584</v>
      </c>
      <c r="D179" s="15">
        <v>0.106</v>
      </c>
      <c r="E179" s="15">
        <v>-0.251</v>
      </c>
      <c r="F179" s="15">
        <v>-0.28299999999999997</v>
      </c>
      <c r="G179" s="15">
        <v>-7.1999999999999995E-2</v>
      </c>
      <c r="H179" s="15">
        <v>-0.14199999999999999</v>
      </c>
      <c r="I179" s="15">
        <v>0.21299999999999999</v>
      </c>
      <c r="J179" t="s">
        <v>412</v>
      </c>
      <c r="K179" t="s">
        <v>579</v>
      </c>
    </row>
    <row r="180" spans="1:11">
      <c r="A180" t="s">
        <v>479</v>
      </c>
      <c r="B180" t="s">
        <v>596</v>
      </c>
      <c r="C180" t="s">
        <v>584</v>
      </c>
      <c r="D180" s="15">
        <v>0.106</v>
      </c>
      <c r="E180" s="15">
        <v>0.28599999999999998</v>
      </c>
      <c r="F180" s="15">
        <v>0.245</v>
      </c>
      <c r="G180" s="15">
        <v>0.19600000000000001</v>
      </c>
      <c r="H180" s="15">
        <v>0.21199999999999999</v>
      </c>
      <c r="I180" s="15">
        <v>0.21199999999999999</v>
      </c>
      <c r="J180" t="s">
        <v>412</v>
      </c>
      <c r="K180" t="s">
        <v>551</v>
      </c>
    </row>
    <row r="181" spans="1:11">
      <c r="A181" t="s">
        <v>486</v>
      </c>
      <c r="B181" t="s">
        <v>588</v>
      </c>
      <c r="C181" t="s">
        <v>572</v>
      </c>
      <c r="D181" s="15">
        <v>0.43</v>
      </c>
      <c r="E181" s="15">
        <v>-8.4000000000000005E-2</v>
      </c>
      <c r="F181" s="15">
        <v>-0.124</v>
      </c>
      <c r="G181" s="15">
        <v>0.17299999999999999</v>
      </c>
      <c r="H181" s="15">
        <v>7.3999999999999996E-2</v>
      </c>
      <c r="I181" s="15">
        <v>0.21199999999999999</v>
      </c>
      <c r="J181" t="s">
        <v>412</v>
      </c>
      <c r="K181" t="s">
        <v>579</v>
      </c>
    </row>
    <row r="182" spans="1:11">
      <c r="A182" t="s">
        <v>577</v>
      </c>
      <c r="B182" t="s">
        <v>569</v>
      </c>
      <c r="C182" t="s">
        <v>583</v>
      </c>
      <c r="D182" s="15">
        <v>-0.09</v>
      </c>
      <c r="E182" s="15">
        <v>-0.157</v>
      </c>
      <c r="F182" s="15">
        <v>0.38800000000000001</v>
      </c>
      <c r="G182" s="15">
        <v>-0.124</v>
      </c>
      <c r="H182" s="15">
        <v>4.7E-2</v>
      </c>
      <c r="I182" s="15">
        <v>0.21199999999999999</v>
      </c>
      <c r="J182" t="s">
        <v>412</v>
      </c>
      <c r="K182" t="s">
        <v>510</v>
      </c>
    </row>
    <row r="183" spans="1:11">
      <c r="A183" t="s">
        <v>576</v>
      </c>
      <c r="B183" t="s">
        <v>478</v>
      </c>
      <c r="C183" t="s">
        <v>575</v>
      </c>
      <c r="D183" s="15">
        <v>-0.17100000000000001</v>
      </c>
      <c r="E183" s="15">
        <v>-8.1000000000000003E-2</v>
      </c>
      <c r="F183" s="15">
        <v>0.38500000000000001</v>
      </c>
      <c r="G183" s="15">
        <v>-0.126</v>
      </c>
      <c r="H183" s="15">
        <v>4.3999999999999997E-2</v>
      </c>
      <c r="I183" s="15">
        <v>0.21199999999999999</v>
      </c>
      <c r="J183" t="s">
        <v>412</v>
      </c>
      <c r="K183" t="s">
        <v>510</v>
      </c>
    </row>
    <row r="184" spans="1:11">
      <c r="A184" t="s">
        <v>486</v>
      </c>
      <c r="B184" t="s">
        <v>590</v>
      </c>
      <c r="C184" t="s">
        <v>570</v>
      </c>
      <c r="D184" s="15">
        <v>-0.32400000000000001</v>
      </c>
      <c r="E184" s="15">
        <v>-0.106</v>
      </c>
      <c r="F184" s="15">
        <v>-0.20599999999999999</v>
      </c>
      <c r="G184" s="15">
        <v>-0.215</v>
      </c>
      <c r="H184" s="15">
        <v>-0.21199999999999999</v>
      </c>
      <c r="I184" s="15">
        <v>0.21199999999999999</v>
      </c>
      <c r="J184" t="s">
        <v>412</v>
      </c>
      <c r="K184" t="s">
        <v>589</v>
      </c>
    </row>
    <row r="185" spans="1:11">
      <c r="A185" t="s">
        <v>479</v>
      </c>
      <c r="B185" t="s">
        <v>550</v>
      </c>
      <c r="C185" t="s">
        <v>591</v>
      </c>
      <c r="D185" s="15">
        <v>9.4E-2</v>
      </c>
      <c r="E185" s="15">
        <v>0.441</v>
      </c>
      <c r="F185" s="15">
        <v>9.9000000000000005E-2</v>
      </c>
      <c r="G185" s="15">
        <v>0.26800000000000002</v>
      </c>
      <c r="H185" s="15">
        <v>0.21099999999999999</v>
      </c>
      <c r="I185" s="15">
        <v>0.21099999999999999</v>
      </c>
      <c r="J185" t="s">
        <v>412</v>
      </c>
      <c r="K185" t="s">
        <v>551</v>
      </c>
    </row>
    <row r="186" spans="1:11">
      <c r="A186" t="s">
        <v>506</v>
      </c>
      <c r="B186" t="s">
        <v>509</v>
      </c>
      <c r="C186" t="s">
        <v>584</v>
      </c>
      <c r="D186" s="15">
        <v>0.11899999999999999</v>
      </c>
      <c r="E186" s="15">
        <v>0.35799999999999998</v>
      </c>
      <c r="F186" s="15">
        <v>0.157</v>
      </c>
      <c r="G186" s="15">
        <v>0.23899999999999999</v>
      </c>
      <c r="H186" s="15">
        <v>0.21099999999999999</v>
      </c>
      <c r="I186" s="15">
        <v>0.21099999999999999</v>
      </c>
      <c r="J186" t="s">
        <v>412</v>
      </c>
      <c r="K186" t="s">
        <v>551</v>
      </c>
    </row>
    <row r="187" spans="1:11">
      <c r="A187" t="s">
        <v>573</v>
      </c>
      <c r="B187" t="s">
        <v>498</v>
      </c>
      <c r="C187" t="s">
        <v>582</v>
      </c>
      <c r="D187" s="15">
        <v>0.28599999999999998</v>
      </c>
      <c r="E187" s="15">
        <v>0.13100000000000001</v>
      </c>
      <c r="F187" s="15">
        <v>0.217</v>
      </c>
      <c r="G187" s="15">
        <v>0.20799999999999999</v>
      </c>
      <c r="H187" s="15">
        <v>0.21099999999999999</v>
      </c>
      <c r="I187" s="15">
        <v>0.21099999999999999</v>
      </c>
      <c r="J187" t="s">
        <v>412</v>
      </c>
      <c r="K187" t="s">
        <v>551</v>
      </c>
    </row>
    <row r="188" spans="1:11">
      <c r="A188" t="s">
        <v>577</v>
      </c>
      <c r="B188" t="s">
        <v>578</v>
      </c>
      <c r="C188" t="s">
        <v>575</v>
      </c>
      <c r="D188" s="15">
        <v>0.14199999999999999</v>
      </c>
      <c r="E188" s="15">
        <v>0.23799999999999999</v>
      </c>
      <c r="F188" s="15">
        <v>0.254</v>
      </c>
      <c r="G188" s="15">
        <v>0.19</v>
      </c>
      <c r="H188" s="15">
        <v>0.21099999999999999</v>
      </c>
      <c r="I188" s="15">
        <v>0.21099999999999999</v>
      </c>
      <c r="J188" t="s">
        <v>412</v>
      </c>
      <c r="K188" t="s">
        <v>551</v>
      </c>
    </row>
    <row r="189" spans="1:11">
      <c r="A189" t="s">
        <v>486</v>
      </c>
      <c r="B189" t="s">
        <v>517</v>
      </c>
      <c r="C189" t="s">
        <v>477</v>
      </c>
      <c r="D189" s="15">
        <v>-0.28399999999999997</v>
      </c>
      <c r="E189" s="15">
        <v>9.2999999999999999E-2</v>
      </c>
      <c r="F189" s="15">
        <v>0.25800000000000001</v>
      </c>
      <c r="G189" s="15">
        <v>-9.6000000000000002E-2</v>
      </c>
      <c r="H189" s="15">
        <v>2.1999999999999999E-2</v>
      </c>
      <c r="I189" s="15">
        <v>0.21099999999999999</v>
      </c>
      <c r="J189" t="s">
        <v>412</v>
      </c>
      <c r="K189" t="s">
        <v>487</v>
      </c>
    </row>
    <row r="190" spans="1:11">
      <c r="A190" t="s">
        <v>571</v>
      </c>
      <c r="B190" t="s">
        <v>523</v>
      </c>
      <c r="C190" t="s">
        <v>492</v>
      </c>
      <c r="D190" s="15">
        <v>-6.5000000000000002E-2</v>
      </c>
      <c r="E190" s="15">
        <v>-0.13200000000000001</v>
      </c>
      <c r="F190" s="15">
        <v>-0.436</v>
      </c>
      <c r="G190" s="15">
        <v>-9.9000000000000005E-2</v>
      </c>
      <c r="H190" s="15">
        <v>-0.21099999999999999</v>
      </c>
      <c r="I190" s="15">
        <v>0.21099999999999999</v>
      </c>
      <c r="J190" t="s">
        <v>412</v>
      </c>
      <c r="K190" t="s">
        <v>589</v>
      </c>
    </row>
    <row r="191" spans="1:11">
      <c r="A191" t="s">
        <v>506</v>
      </c>
      <c r="B191" t="s">
        <v>509</v>
      </c>
      <c r="C191" t="s">
        <v>583</v>
      </c>
      <c r="D191" s="15">
        <v>4.1000000000000002E-2</v>
      </c>
      <c r="E191" s="15">
        <v>0.35799999999999998</v>
      </c>
      <c r="F191" s="15">
        <v>0.23200000000000001</v>
      </c>
      <c r="G191" s="15">
        <v>0.19900000000000001</v>
      </c>
      <c r="H191" s="15">
        <v>0.21</v>
      </c>
      <c r="I191" s="15">
        <v>0.21</v>
      </c>
      <c r="J191" t="s">
        <v>412</v>
      </c>
      <c r="K191" t="s">
        <v>551</v>
      </c>
    </row>
    <row r="192" spans="1:11">
      <c r="A192" t="s">
        <v>486</v>
      </c>
      <c r="B192" t="s">
        <v>517</v>
      </c>
      <c r="C192" t="s">
        <v>575</v>
      </c>
      <c r="D192" s="15">
        <v>-0.41299999999999998</v>
      </c>
      <c r="E192" s="15">
        <v>9.2999999999999999E-2</v>
      </c>
      <c r="F192" s="15">
        <v>0.123</v>
      </c>
      <c r="G192" s="15">
        <v>-0.16</v>
      </c>
      <c r="H192" s="15">
        <v>-6.6000000000000003E-2</v>
      </c>
      <c r="I192" s="15">
        <v>0.21</v>
      </c>
      <c r="J192" t="s">
        <v>412</v>
      </c>
      <c r="K192" t="s">
        <v>487</v>
      </c>
    </row>
    <row r="193" spans="1:11">
      <c r="A193" t="s">
        <v>573</v>
      </c>
      <c r="B193" t="s">
        <v>578</v>
      </c>
      <c r="C193" t="s">
        <v>492</v>
      </c>
      <c r="D193" s="15">
        <v>-0.16400000000000001</v>
      </c>
      <c r="E193" s="15">
        <v>4.8000000000000001E-2</v>
      </c>
      <c r="F193" s="15">
        <v>-0.41899999999999998</v>
      </c>
      <c r="G193" s="15">
        <v>-5.8000000000000003E-2</v>
      </c>
      <c r="H193" s="15">
        <v>-0.17799999999999999</v>
      </c>
      <c r="I193" s="15">
        <v>0.21</v>
      </c>
      <c r="J193" t="s">
        <v>412</v>
      </c>
      <c r="K193" t="s">
        <v>500</v>
      </c>
    </row>
    <row r="194" spans="1:11">
      <c r="A194" t="s">
        <v>479</v>
      </c>
      <c r="B194" t="s">
        <v>596</v>
      </c>
      <c r="C194" t="s">
        <v>570</v>
      </c>
      <c r="D194" s="15">
        <v>-0.26900000000000002</v>
      </c>
      <c r="E194" s="15">
        <v>0.28599999999999998</v>
      </c>
      <c r="F194" s="15">
        <v>-7.2999999999999995E-2</v>
      </c>
      <c r="G194" s="15">
        <v>8.9999999999999993E-3</v>
      </c>
      <c r="H194" s="15">
        <v>-1.9E-2</v>
      </c>
      <c r="I194" s="15">
        <v>0.20899999999999999</v>
      </c>
      <c r="J194" t="s">
        <v>412</v>
      </c>
      <c r="K194" t="s">
        <v>500</v>
      </c>
    </row>
    <row r="195" spans="1:11">
      <c r="A195" t="s">
        <v>571</v>
      </c>
      <c r="B195" t="s">
        <v>581</v>
      </c>
      <c r="C195" t="s">
        <v>570</v>
      </c>
      <c r="D195" s="15">
        <v>-0.19700000000000001</v>
      </c>
      <c r="E195" s="15">
        <v>0.27500000000000002</v>
      </c>
      <c r="F195" s="15">
        <v>-0.155</v>
      </c>
      <c r="G195" s="15">
        <v>3.9E-2</v>
      </c>
      <c r="H195" s="15">
        <v>-2.5999999999999999E-2</v>
      </c>
      <c r="I195" s="15">
        <v>0.20899999999999999</v>
      </c>
      <c r="J195" t="s">
        <v>412</v>
      </c>
      <c r="K195" t="s">
        <v>500</v>
      </c>
    </row>
    <row r="196" spans="1:11">
      <c r="A196" t="s">
        <v>571</v>
      </c>
      <c r="B196" t="s">
        <v>578</v>
      </c>
      <c r="C196" t="s">
        <v>572</v>
      </c>
      <c r="D196" s="15">
        <v>-0.16300000000000001</v>
      </c>
      <c r="E196" s="15">
        <v>-5.3999999999999999E-2</v>
      </c>
      <c r="F196" s="15">
        <v>-0.40899999999999997</v>
      </c>
      <c r="G196" s="15">
        <v>-0.109</v>
      </c>
      <c r="H196" s="15">
        <v>-0.20899999999999999</v>
      </c>
      <c r="I196" s="15">
        <v>0.20899999999999999</v>
      </c>
      <c r="J196" t="s">
        <v>412</v>
      </c>
      <c r="K196" t="s">
        <v>589</v>
      </c>
    </row>
    <row r="197" spans="1:11">
      <c r="A197" t="s">
        <v>577</v>
      </c>
      <c r="B197" t="s">
        <v>578</v>
      </c>
      <c r="C197" t="s">
        <v>583</v>
      </c>
      <c r="D197" s="15">
        <v>-0.09</v>
      </c>
      <c r="E197" s="15">
        <v>0.23799999999999999</v>
      </c>
      <c r="F197" s="15">
        <v>0.29499999999999998</v>
      </c>
      <c r="G197" s="15">
        <v>7.3999999999999996E-2</v>
      </c>
      <c r="H197" s="15">
        <v>0.14799999999999999</v>
      </c>
      <c r="I197" s="15">
        <v>0.20799999999999999</v>
      </c>
      <c r="J197" t="s">
        <v>412</v>
      </c>
      <c r="K197" t="s">
        <v>487</v>
      </c>
    </row>
    <row r="198" spans="1:11">
      <c r="A198" t="s">
        <v>573</v>
      </c>
      <c r="B198" t="s">
        <v>569</v>
      </c>
      <c r="C198" t="s">
        <v>583</v>
      </c>
      <c r="D198" s="15">
        <v>7.3999999999999996E-2</v>
      </c>
      <c r="E198" s="15">
        <v>-0.16</v>
      </c>
      <c r="F198" s="15">
        <v>0.38800000000000001</v>
      </c>
      <c r="G198" s="15">
        <v>-4.2999999999999997E-2</v>
      </c>
      <c r="H198" s="15">
        <v>0.10100000000000001</v>
      </c>
      <c r="I198" s="15">
        <v>0.20799999999999999</v>
      </c>
      <c r="J198" t="s">
        <v>412</v>
      </c>
      <c r="K198" t="s">
        <v>480</v>
      </c>
    </row>
    <row r="199" spans="1:11">
      <c r="A199" t="s">
        <v>486</v>
      </c>
      <c r="B199" t="s">
        <v>498</v>
      </c>
      <c r="C199" t="s">
        <v>477</v>
      </c>
      <c r="D199" s="15">
        <v>-0.28399999999999997</v>
      </c>
      <c r="E199" s="15">
        <v>0.20599999999999999</v>
      </c>
      <c r="F199" s="15">
        <v>-0.13400000000000001</v>
      </c>
      <c r="G199" s="15">
        <v>-3.9E-2</v>
      </c>
      <c r="H199" s="15">
        <v>-7.0999999999999994E-2</v>
      </c>
      <c r="I199" s="15">
        <v>0.20799999999999999</v>
      </c>
      <c r="J199" t="s">
        <v>412</v>
      </c>
      <c r="K199" t="s">
        <v>500</v>
      </c>
    </row>
    <row r="200" spans="1:11">
      <c r="A200" t="s">
        <v>479</v>
      </c>
      <c r="B200" t="s">
        <v>574</v>
      </c>
      <c r="C200" t="s">
        <v>570</v>
      </c>
      <c r="D200" s="15">
        <v>-0.26900000000000002</v>
      </c>
      <c r="E200" s="15">
        <v>-6.6000000000000003E-2</v>
      </c>
      <c r="F200" s="15">
        <v>-0.28799999999999998</v>
      </c>
      <c r="G200" s="15">
        <v>-0.16700000000000001</v>
      </c>
      <c r="H200" s="15">
        <v>-0.20799999999999999</v>
      </c>
      <c r="I200" s="15">
        <v>0.20799999999999999</v>
      </c>
      <c r="J200" t="s">
        <v>412</v>
      </c>
      <c r="K200" t="s">
        <v>589</v>
      </c>
    </row>
    <row r="201" spans="1:11">
      <c r="A201" t="s">
        <v>573</v>
      </c>
      <c r="B201" t="s">
        <v>505</v>
      </c>
      <c r="C201" t="s">
        <v>582</v>
      </c>
      <c r="D201" s="15">
        <v>0.28599999999999998</v>
      </c>
      <c r="E201" s="15">
        <v>-0.20300000000000001</v>
      </c>
      <c r="F201" s="15">
        <v>-0.13200000000000001</v>
      </c>
      <c r="G201" s="15">
        <v>4.1000000000000002E-2</v>
      </c>
      <c r="H201" s="15">
        <v>-1.6E-2</v>
      </c>
      <c r="I201" s="15">
        <v>0.20699999999999999</v>
      </c>
      <c r="J201" t="s">
        <v>412</v>
      </c>
      <c r="K201" t="s">
        <v>579</v>
      </c>
    </row>
    <row r="202" spans="1:11">
      <c r="A202" t="s">
        <v>486</v>
      </c>
      <c r="B202" t="s">
        <v>581</v>
      </c>
      <c r="C202" t="s">
        <v>570</v>
      </c>
      <c r="D202" s="15">
        <v>-0.32400000000000001</v>
      </c>
      <c r="E202" s="15">
        <v>0.14199999999999999</v>
      </c>
      <c r="F202" s="15">
        <v>-0.155</v>
      </c>
      <c r="G202" s="15">
        <v>-9.0999999999999998E-2</v>
      </c>
      <c r="H202" s="15">
        <v>-0.112</v>
      </c>
      <c r="I202" s="15">
        <v>0.20699999999999999</v>
      </c>
      <c r="J202" t="s">
        <v>412</v>
      </c>
      <c r="K202" t="s">
        <v>500</v>
      </c>
    </row>
    <row r="203" spans="1:11">
      <c r="A203" t="s">
        <v>576</v>
      </c>
      <c r="B203" t="s">
        <v>574</v>
      </c>
      <c r="C203" t="s">
        <v>584</v>
      </c>
      <c r="D203" s="15">
        <v>-0.1</v>
      </c>
      <c r="E203" s="15">
        <v>0.109</v>
      </c>
      <c r="F203" s="15">
        <v>-0.41099999999999998</v>
      </c>
      <c r="G203" s="15">
        <v>5.0000000000000001E-3</v>
      </c>
      <c r="H203" s="15">
        <v>-0.13400000000000001</v>
      </c>
      <c r="I203" s="15">
        <v>0.20699999999999999</v>
      </c>
      <c r="J203" t="s">
        <v>412</v>
      </c>
      <c r="K203" t="s">
        <v>500</v>
      </c>
    </row>
    <row r="204" spans="1:11">
      <c r="A204" t="s">
        <v>571</v>
      </c>
      <c r="B204" t="s">
        <v>574</v>
      </c>
      <c r="C204" t="s">
        <v>575</v>
      </c>
      <c r="D204" s="15">
        <v>-0.16800000000000001</v>
      </c>
      <c r="E204" s="15">
        <v>-4.4999999999999998E-2</v>
      </c>
      <c r="F204" s="15">
        <v>-0.40799999999999997</v>
      </c>
      <c r="G204" s="15">
        <v>-0.107</v>
      </c>
      <c r="H204" s="15">
        <v>-0.20699999999999999</v>
      </c>
      <c r="I204" s="15">
        <v>0.20699999999999999</v>
      </c>
      <c r="J204" t="s">
        <v>412</v>
      </c>
      <c r="K204" t="s">
        <v>589</v>
      </c>
    </row>
    <row r="205" spans="1:11">
      <c r="A205" t="s">
        <v>479</v>
      </c>
      <c r="B205" t="s">
        <v>550</v>
      </c>
      <c r="C205" t="s">
        <v>492</v>
      </c>
      <c r="D205" s="15">
        <v>5.8999999999999997E-2</v>
      </c>
      <c r="E205" s="15">
        <v>0.441</v>
      </c>
      <c r="F205" s="15">
        <v>0.11700000000000001</v>
      </c>
      <c r="G205" s="15">
        <v>0.25</v>
      </c>
      <c r="H205" s="15">
        <v>0.20599999999999999</v>
      </c>
      <c r="I205" s="15">
        <v>0.20599999999999999</v>
      </c>
      <c r="J205" t="s">
        <v>412</v>
      </c>
      <c r="K205" t="s">
        <v>551</v>
      </c>
    </row>
    <row r="206" spans="1:11">
      <c r="A206" t="s">
        <v>577</v>
      </c>
      <c r="B206" t="s">
        <v>509</v>
      </c>
      <c r="C206" t="s">
        <v>582</v>
      </c>
      <c r="D206" s="15">
        <v>0.31900000000000001</v>
      </c>
      <c r="E206" s="15">
        <v>0.104</v>
      </c>
      <c r="F206" s="15">
        <v>0.19600000000000001</v>
      </c>
      <c r="G206" s="15">
        <v>0.21099999999999999</v>
      </c>
      <c r="H206" s="15">
        <v>0.20599999999999999</v>
      </c>
      <c r="I206" s="15">
        <v>0.20599999999999999</v>
      </c>
      <c r="J206" t="s">
        <v>412</v>
      </c>
      <c r="K206" t="s">
        <v>551</v>
      </c>
    </row>
    <row r="207" spans="1:11">
      <c r="A207" t="s">
        <v>571</v>
      </c>
      <c r="B207" t="s">
        <v>587</v>
      </c>
      <c r="C207" t="s">
        <v>572</v>
      </c>
      <c r="D207" s="15">
        <v>-0.16300000000000001</v>
      </c>
      <c r="E207" s="15">
        <v>0.27400000000000002</v>
      </c>
      <c r="F207" s="15">
        <v>0.182</v>
      </c>
      <c r="G207" s="15">
        <v>5.5E-2</v>
      </c>
      <c r="H207" s="15">
        <v>9.7000000000000003E-2</v>
      </c>
      <c r="I207" s="15">
        <v>0.20599999999999999</v>
      </c>
      <c r="J207" t="s">
        <v>412</v>
      </c>
      <c r="K207" t="s">
        <v>487</v>
      </c>
    </row>
    <row r="208" spans="1:11">
      <c r="A208" t="s">
        <v>506</v>
      </c>
      <c r="B208" t="s">
        <v>509</v>
      </c>
      <c r="C208" t="s">
        <v>572</v>
      </c>
      <c r="D208" s="15">
        <v>-0.11899999999999999</v>
      </c>
      <c r="E208" s="15">
        <v>0.35799999999999998</v>
      </c>
      <c r="F208" s="15">
        <v>-0.14199999999999999</v>
      </c>
      <c r="G208" s="15">
        <v>0.12</v>
      </c>
      <c r="H208" s="15">
        <v>3.2000000000000001E-2</v>
      </c>
      <c r="I208" s="15">
        <v>0.20599999999999999</v>
      </c>
      <c r="J208" t="s">
        <v>412</v>
      </c>
      <c r="K208" t="s">
        <v>500</v>
      </c>
    </row>
    <row r="209" spans="1:11">
      <c r="A209" t="s">
        <v>486</v>
      </c>
      <c r="B209" t="s">
        <v>592</v>
      </c>
      <c r="C209" t="s">
        <v>575</v>
      </c>
      <c r="D209" s="15">
        <v>-0.41299999999999998</v>
      </c>
      <c r="E209" s="15">
        <v>-9.1999999999999998E-2</v>
      </c>
      <c r="F209" s="15">
        <v>0.112</v>
      </c>
      <c r="G209" s="15">
        <v>-0.253</v>
      </c>
      <c r="H209" s="15">
        <v>-0.13100000000000001</v>
      </c>
      <c r="I209" s="15">
        <v>0.20599999999999999</v>
      </c>
      <c r="J209" t="s">
        <v>412</v>
      </c>
      <c r="K209" t="s">
        <v>510</v>
      </c>
    </row>
    <row r="210" spans="1:11">
      <c r="A210" t="s">
        <v>576</v>
      </c>
      <c r="B210" t="s">
        <v>574</v>
      </c>
      <c r="C210" t="s">
        <v>570</v>
      </c>
      <c r="D210" s="15">
        <v>-0.222</v>
      </c>
      <c r="E210" s="15">
        <v>0.109</v>
      </c>
      <c r="F210" s="15">
        <v>-0.28799999999999998</v>
      </c>
      <c r="G210" s="15">
        <v>-5.6000000000000001E-2</v>
      </c>
      <c r="H210" s="15">
        <v>-0.13400000000000001</v>
      </c>
      <c r="I210" s="15">
        <v>0.20599999999999999</v>
      </c>
      <c r="J210" t="s">
        <v>412</v>
      </c>
      <c r="K210" t="s">
        <v>500</v>
      </c>
    </row>
    <row r="211" spans="1:11">
      <c r="A211" t="s">
        <v>486</v>
      </c>
      <c r="B211" t="s">
        <v>578</v>
      </c>
      <c r="C211" t="s">
        <v>570</v>
      </c>
      <c r="D211" s="15">
        <v>-0.32400000000000001</v>
      </c>
      <c r="E211" s="15">
        <v>-0.2</v>
      </c>
      <c r="F211" s="15">
        <v>9.5000000000000001E-2</v>
      </c>
      <c r="G211" s="15">
        <v>-0.26200000000000001</v>
      </c>
      <c r="H211" s="15">
        <v>-0.14299999999999999</v>
      </c>
      <c r="I211" s="15">
        <v>0.20599999999999999</v>
      </c>
      <c r="J211" t="s">
        <v>412</v>
      </c>
      <c r="K211" t="s">
        <v>510</v>
      </c>
    </row>
    <row r="212" spans="1:11">
      <c r="A212" t="s">
        <v>486</v>
      </c>
      <c r="B212" t="s">
        <v>498</v>
      </c>
      <c r="C212" t="s">
        <v>583</v>
      </c>
      <c r="D212" s="15">
        <v>-0.16700000000000001</v>
      </c>
      <c r="E212" s="15">
        <v>0.20599999999999999</v>
      </c>
      <c r="F212" s="15">
        <v>-0.24199999999999999</v>
      </c>
      <c r="G212" s="15">
        <v>1.9E-2</v>
      </c>
      <c r="H212" s="15">
        <v>-6.8000000000000005E-2</v>
      </c>
      <c r="I212" s="15">
        <v>0.20499999999999999</v>
      </c>
      <c r="J212" t="s">
        <v>412</v>
      </c>
      <c r="K212" t="s">
        <v>500</v>
      </c>
    </row>
    <row r="213" spans="1:11">
      <c r="A213" t="s">
        <v>573</v>
      </c>
      <c r="B213" t="s">
        <v>597</v>
      </c>
      <c r="C213" t="s">
        <v>584</v>
      </c>
      <c r="D213" s="15">
        <v>0.26500000000000001</v>
      </c>
      <c r="E213" s="15">
        <v>-6.4000000000000001E-2</v>
      </c>
      <c r="F213" s="15">
        <v>-0.28299999999999997</v>
      </c>
      <c r="G213" s="15">
        <v>0.10100000000000001</v>
      </c>
      <c r="H213" s="15">
        <v>-2.7E-2</v>
      </c>
      <c r="I213" s="15">
        <v>0.20399999999999999</v>
      </c>
      <c r="J213" t="s">
        <v>412</v>
      </c>
      <c r="K213" t="s">
        <v>579</v>
      </c>
    </row>
    <row r="214" spans="1:11">
      <c r="A214" t="s">
        <v>486</v>
      </c>
      <c r="B214" t="s">
        <v>590</v>
      </c>
      <c r="C214" t="s">
        <v>477</v>
      </c>
      <c r="D214" s="15">
        <v>-0.28399999999999997</v>
      </c>
      <c r="E214" s="15">
        <v>-0.106</v>
      </c>
      <c r="F214" s="15">
        <v>0.221</v>
      </c>
      <c r="G214" s="15">
        <v>-0.19500000000000001</v>
      </c>
      <c r="H214" s="15">
        <v>-5.6000000000000001E-2</v>
      </c>
      <c r="I214" s="15">
        <v>0.20399999999999999</v>
      </c>
      <c r="J214" t="s">
        <v>412</v>
      </c>
      <c r="K214" t="s">
        <v>510</v>
      </c>
    </row>
    <row r="215" spans="1:11">
      <c r="A215" t="s">
        <v>547</v>
      </c>
      <c r="B215" t="s">
        <v>588</v>
      </c>
      <c r="C215" t="s">
        <v>492</v>
      </c>
      <c r="D215" s="15">
        <v>-6.6000000000000003E-2</v>
      </c>
      <c r="E215" s="15">
        <v>0.20200000000000001</v>
      </c>
      <c r="F215" s="15">
        <v>-0.34300000000000003</v>
      </c>
      <c r="G215" s="15">
        <v>6.8000000000000005E-2</v>
      </c>
      <c r="H215" s="15">
        <v>-6.9000000000000006E-2</v>
      </c>
      <c r="I215" s="15">
        <v>0.20399999999999999</v>
      </c>
      <c r="J215" t="s">
        <v>412</v>
      </c>
      <c r="K215" t="s">
        <v>500</v>
      </c>
    </row>
    <row r="216" spans="1:11">
      <c r="A216" t="s">
        <v>576</v>
      </c>
      <c r="B216" t="s">
        <v>578</v>
      </c>
      <c r="C216" t="s">
        <v>572</v>
      </c>
      <c r="D216" s="15">
        <v>-5.8999999999999997E-2</v>
      </c>
      <c r="E216" s="15">
        <v>-0.14499999999999999</v>
      </c>
      <c r="F216" s="15">
        <v>-0.40899999999999997</v>
      </c>
      <c r="G216" s="15">
        <v>-0.10199999999999999</v>
      </c>
      <c r="H216" s="15">
        <v>-0.20399999999999999</v>
      </c>
      <c r="I216" s="15">
        <v>0.20399999999999999</v>
      </c>
      <c r="J216" t="s">
        <v>412</v>
      </c>
      <c r="K216" t="s">
        <v>589</v>
      </c>
    </row>
    <row r="217" spans="1:11">
      <c r="A217" t="s">
        <v>506</v>
      </c>
      <c r="B217" t="s">
        <v>523</v>
      </c>
      <c r="C217" t="s">
        <v>477</v>
      </c>
      <c r="D217" s="15">
        <v>0.14399999999999999</v>
      </c>
      <c r="E217" s="15">
        <v>5.2999999999999999E-2</v>
      </c>
      <c r="F217" s="15">
        <v>0.41</v>
      </c>
      <c r="G217" s="15">
        <v>9.9000000000000005E-2</v>
      </c>
      <c r="H217" s="15">
        <v>0.20300000000000001</v>
      </c>
      <c r="I217" s="15">
        <v>0.20300000000000001</v>
      </c>
      <c r="J217" t="s">
        <v>412</v>
      </c>
      <c r="K217" t="s">
        <v>551</v>
      </c>
    </row>
    <row r="218" spans="1:11">
      <c r="A218" t="s">
        <v>571</v>
      </c>
      <c r="B218" t="s">
        <v>587</v>
      </c>
      <c r="C218" t="s">
        <v>477</v>
      </c>
      <c r="D218" s="15">
        <v>0.13300000000000001</v>
      </c>
      <c r="E218" s="15">
        <v>0.27400000000000002</v>
      </c>
      <c r="F218" s="15">
        <v>-0.20200000000000001</v>
      </c>
      <c r="G218" s="15">
        <v>0.20300000000000001</v>
      </c>
      <c r="H218" s="15">
        <v>6.8000000000000005E-2</v>
      </c>
      <c r="I218" s="15">
        <v>0.20300000000000001</v>
      </c>
      <c r="J218" t="s">
        <v>412</v>
      </c>
      <c r="K218" t="s">
        <v>493</v>
      </c>
    </row>
    <row r="219" spans="1:11">
      <c r="A219" t="s">
        <v>506</v>
      </c>
      <c r="B219" t="s">
        <v>499</v>
      </c>
      <c r="C219" t="s">
        <v>477</v>
      </c>
      <c r="D219" s="15">
        <v>0.14399999999999999</v>
      </c>
      <c r="E219" s="15">
        <v>0.184</v>
      </c>
      <c r="F219" s="15">
        <v>-0.28000000000000003</v>
      </c>
      <c r="G219" s="15">
        <v>0.16400000000000001</v>
      </c>
      <c r="H219" s="15">
        <v>1.6E-2</v>
      </c>
      <c r="I219" s="15">
        <v>0.20300000000000001</v>
      </c>
      <c r="J219" t="s">
        <v>412</v>
      </c>
      <c r="K219" t="s">
        <v>493</v>
      </c>
    </row>
    <row r="220" spans="1:11">
      <c r="A220" t="s">
        <v>506</v>
      </c>
      <c r="B220" t="s">
        <v>498</v>
      </c>
      <c r="C220" t="s">
        <v>570</v>
      </c>
      <c r="D220" s="15">
        <v>-0.14199999999999999</v>
      </c>
      <c r="E220" s="15">
        <v>0.215</v>
      </c>
      <c r="F220" s="15">
        <v>-0.252</v>
      </c>
      <c r="G220" s="15">
        <v>3.6999999999999998E-2</v>
      </c>
      <c r="H220" s="15">
        <v>-0.06</v>
      </c>
      <c r="I220" s="15">
        <v>0.20300000000000001</v>
      </c>
      <c r="J220" t="s">
        <v>412</v>
      </c>
      <c r="K220" t="s">
        <v>500</v>
      </c>
    </row>
    <row r="221" spans="1:11">
      <c r="A221" t="s">
        <v>486</v>
      </c>
      <c r="B221" t="s">
        <v>586</v>
      </c>
      <c r="C221" t="s">
        <v>477</v>
      </c>
      <c r="D221" s="15">
        <v>-0.28399999999999997</v>
      </c>
      <c r="E221" s="15">
        <v>-0.189</v>
      </c>
      <c r="F221" s="15">
        <v>0.13600000000000001</v>
      </c>
      <c r="G221" s="15">
        <v>-0.23699999999999999</v>
      </c>
      <c r="H221" s="15">
        <v>-0.112</v>
      </c>
      <c r="I221" s="15">
        <v>0.20300000000000001</v>
      </c>
      <c r="J221" t="s">
        <v>412</v>
      </c>
      <c r="K221" t="s">
        <v>510</v>
      </c>
    </row>
    <row r="222" spans="1:11">
      <c r="A222" t="s">
        <v>573</v>
      </c>
      <c r="B222" t="s">
        <v>590</v>
      </c>
      <c r="C222" t="s">
        <v>570</v>
      </c>
      <c r="D222" s="15">
        <v>-0.17100000000000001</v>
      </c>
      <c r="E222" s="15">
        <v>0.23</v>
      </c>
      <c r="F222" s="15">
        <v>-0.20599999999999999</v>
      </c>
      <c r="G222" s="15">
        <v>0.03</v>
      </c>
      <c r="H222" s="15">
        <v>-4.9000000000000002E-2</v>
      </c>
      <c r="I222" s="15">
        <v>0.20200000000000001</v>
      </c>
      <c r="J222" t="s">
        <v>412</v>
      </c>
      <c r="K222" t="s">
        <v>500</v>
      </c>
    </row>
    <row r="223" spans="1:11">
      <c r="A223" t="s">
        <v>577</v>
      </c>
      <c r="B223" t="s">
        <v>523</v>
      </c>
      <c r="C223" t="s">
        <v>572</v>
      </c>
      <c r="D223" s="15">
        <v>-0.14399999999999999</v>
      </c>
      <c r="E223" s="15">
        <v>0.191</v>
      </c>
      <c r="F223" s="15">
        <v>-0.26900000000000002</v>
      </c>
      <c r="G223" s="15">
        <v>2.3E-2</v>
      </c>
      <c r="H223" s="15">
        <v>-7.3999999999999996E-2</v>
      </c>
      <c r="I223" s="15">
        <v>0.20200000000000001</v>
      </c>
      <c r="J223" t="s">
        <v>412</v>
      </c>
      <c r="K223" t="s">
        <v>500</v>
      </c>
    </row>
    <row r="224" spans="1:11">
      <c r="A224" t="s">
        <v>486</v>
      </c>
      <c r="B224" t="s">
        <v>581</v>
      </c>
      <c r="C224" t="s">
        <v>585</v>
      </c>
      <c r="D224" s="15">
        <v>-0.27</v>
      </c>
      <c r="E224" s="15">
        <v>0.14199999999999999</v>
      </c>
      <c r="F224" s="15">
        <v>-0.193</v>
      </c>
      <c r="G224" s="15">
        <v>-6.4000000000000001E-2</v>
      </c>
      <c r="H224" s="15">
        <v>-0.107</v>
      </c>
      <c r="I224" s="15">
        <v>0.20200000000000001</v>
      </c>
      <c r="J224" t="s">
        <v>412</v>
      </c>
      <c r="K224" t="s">
        <v>500</v>
      </c>
    </row>
    <row r="225" spans="1:11">
      <c r="A225" t="s">
        <v>506</v>
      </c>
      <c r="B225" t="s">
        <v>588</v>
      </c>
      <c r="C225" t="s">
        <v>492</v>
      </c>
      <c r="D225" s="15">
        <v>-0.17399999999999999</v>
      </c>
      <c r="E225" s="15">
        <v>-8.7999999999999995E-2</v>
      </c>
      <c r="F225" s="15">
        <v>-0.34300000000000003</v>
      </c>
      <c r="G225" s="15">
        <v>-0.13100000000000001</v>
      </c>
      <c r="H225" s="15">
        <v>-0.20200000000000001</v>
      </c>
      <c r="I225" s="15">
        <v>0.20200000000000001</v>
      </c>
      <c r="J225" t="s">
        <v>412</v>
      </c>
      <c r="K225" t="s">
        <v>589</v>
      </c>
    </row>
    <row r="226" spans="1:11">
      <c r="A226" t="s">
        <v>479</v>
      </c>
      <c r="B226" t="s">
        <v>550</v>
      </c>
      <c r="C226" t="s">
        <v>583</v>
      </c>
      <c r="D226" s="15">
        <v>-0.02</v>
      </c>
      <c r="E226" s="15">
        <v>0.441</v>
      </c>
      <c r="F226" s="15">
        <v>0.14299999999999999</v>
      </c>
      <c r="G226" s="15">
        <v>0.21099999999999999</v>
      </c>
      <c r="H226" s="15">
        <v>0.188</v>
      </c>
      <c r="I226" s="15">
        <v>0.20100000000000001</v>
      </c>
      <c r="J226" t="s">
        <v>412</v>
      </c>
      <c r="K226" t="s">
        <v>487</v>
      </c>
    </row>
    <row r="227" spans="1:11">
      <c r="A227" t="s">
        <v>506</v>
      </c>
      <c r="B227" t="s">
        <v>578</v>
      </c>
      <c r="C227" t="s">
        <v>591</v>
      </c>
      <c r="D227" s="15">
        <v>0.20899999999999999</v>
      </c>
      <c r="E227" s="15">
        <v>-5.6000000000000001E-2</v>
      </c>
      <c r="F227" s="15">
        <v>0.33800000000000002</v>
      </c>
      <c r="G227" s="15">
        <v>7.5999999999999998E-2</v>
      </c>
      <c r="H227" s="15">
        <v>0.16300000000000001</v>
      </c>
      <c r="I227" s="15">
        <v>0.20100000000000001</v>
      </c>
      <c r="J227" t="s">
        <v>412</v>
      </c>
      <c r="K227" t="s">
        <v>480</v>
      </c>
    </row>
    <row r="228" spans="1:11">
      <c r="A228" t="s">
        <v>577</v>
      </c>
      <c r="B228" t="s">
        <v>499</v>
      </c>
      <c r="C228" t="s">
        <v>492</v>
      </c>
      <c r="D228" s="15">
        <v>-0.28699999999999998</v>
      </c>
      <c r="E228" s="15">
        <v>-1.2E-2</v>
      </c>
      <c r="F228" s="15">
        <v>0.30399999999999999</v>
      </c>
      <c r="G228" s="15">
        <v>-0.15</v>
      </c>
      <c r="H228" s="15">
        <v>2E-3</v>
      </c>
      <c r="I228" s="15">
        <v>0.20100000000000001</v>
      </c>
      <c r="J228" t="s">
        <v>412</v>
      </c>
      <c r="K228" t="s">
        <v>510</v>
      </c>
    </row>
    <row r="229" spans="1:11">
      <c r="A229" t="s">
        <v>571</v>
      </c>
      <c r="B229" t="s">
        <v>587</v>
      </c>
      <c r="C229" t="s">
        <v>584</v>
      </c>
      <c r="D229" s="15">
        <v>-0.108</v>
      </c>
      <c r="E229" s="15">
        <v>0.27400000000000002</v>
      </c>
      <c r="F229" s="15">
        <v>-0.221</v>
      </c>
      <c r="G229" s="15">
        <v>8.3000000000000004E-2</v>
      </c>
      <c r="H229" s="15">
        <v>-1.7999999999999999E-2</v>
      </c>
      <c r="I229" s="15">
        <v>0.20100000000000001</v>
      </c>
      <c r="J229" t="s">
        <v>412</v>
      </c>
      <c r="K229" t="s">
        <v>500</v>
      </c>
    </row>
    <row r="230" spans="1:11">
      <c r="A230" t="s">
        <v>571</v>
      </c>
      <c r="B230" t="s">
        <v>587</v>
      </c>
      <c r="C230" t="s">
        <v>593</v>
      </c>
      <c r="D230" s="15">
        <v>-0.10100000000000001</v>
      </c>
      <c r="E230" s="15">
        <v>0.27400000000000002</v>
      </c>
      <c r="F230" s="15">
        <v>-0.22800000000000001</v>
      </c>
      <c r="G230" s="15">
        <v>8.5999999999999993E-2</v>
      </c>
      <c r="H230" s="15">
        <v>-1.9E-2</v>
      </c>
      <c r="I230" s="15">
        <v>0.20100000000000001</v>
      </c>
      <c r="J230" t="s">
        <v>412</v>
      </c>
      <c r="K230" t="s">
        <v>500</v>
      </c>
    </row>
    <row r="231" spans="1:11">
      <c r="A231" t="s">
        <v>506</v>
      </c>
      <c r="B231" t="s">
        <v>498</v>
      </c>
      <c r="C231" t="s">
        <v>575</v>
      </c>
      <c r="D231" s="15">
        <v>-0.14399999999999999</v>
      </c>
      <c r="E231" s="15">
        <v>0.215</v>
      </c>
      <c r="F231" s="15">
        <v>-0.24399999999999999</v>
      </c>
      <c r="G231" s="15">
        <v>3.5999999999999997E-2</v>
      </c>
      <c r="H231" s="15">
        <v>-5.8000000000000003E-2</v>
      </c>
      <c r="I231" s="15">
        <v>0.20100000000000001</v>
      </c>
      <c r="J231" t="s">
        <v>412</v>
      </c>
      <c r="K231" t="s">
        <v>500</v>
      </c>
    </row>
    <row r="232" spans="1:11">
      <c r="A232" t="s">
        <v>576</v>
      </c>
      <c r="B232" t="s">
        <v>587</v>
      </c>
      <c r="C232" t="s">
        <v>570</v>
      </c>
      <c r="D232" s="15">
        <v>-0.222</v>
      </c>
      <c r="E232" s="15">
        <v>0.11700000000000001</v>
      </c>
      <c r="F232" s="15">
        <v>-0.26500000000000001</v>
      </c>
      <c r="G232" s="15">
        <v>-5.2999999999999999E-2</v>
      </c>
      <c r="H232" s="15">
        <v>-0.123</v>
      </c>
      <c r="I232" s="15">
        <v>0.20100000000000001</v>
      </c>
      <c r="J232" t="s">
        <v>412</v>
      </c>
      <c r="K232" t="s">
        <v>500</v>
      </c>
    </row>
    <row r="233" spans="1:11">
      <c r="A233" t="s">
        <v>577</v>
      </c>
      <c r="B233" t="s">
        <v>586</v>
      </c>
      <c r="C233" t="s">
        <v>477</v>
      </c>
      <c r="D233" s="15">
        <v>0.246</v>
      </c>
      <c r="E233" s="15">
        <v>0.217</v>
      </c>
      <c r="F233" s="15">
        <v>0.13600000000000001</v>
      </c>
      <c r="G233" s="15">
        <v>0.23100000000000001</v>
      </c>
      <c r="H233" s="15">
        <v>0.2</v>
      </c>
      <c r="I233" s="15">
        <v>0.2</v>
      </c>
      <c r="J233" t="s">
        <v>412</v>
      </c>
      <c r="K233" t="s">
        <v>551</v>
      </c>
    </row>
    <row r="234" spans="1:11">
      <c r="A234" t="s">
        <v>486</v>
      </c>
      <c r="B234" t="s">
        <v>478</v>
      </c>
      <c r="C234" t="s">
        <v>585</v>
      </c>
      <c r="D234" s="15">
        <v>-0.27</v>
      </c>
      <c r="E234" s="15">
        <v>0.104</v>
      </c>
      <c r="F234" s="15">
        <v>0.22600000000000001</v>
      </c>
      <c r="G234" s="15">
        <v>-8.3000000000000004E-2</v>
      </c>
      <c r="H234" s="15">
        <v>0.02</v>
      </c>
      <c r="I234" s="15">
        <v>0.2</v>
      </c>
      <c r="J234" t="s">
        <v>412</v>
      </c>
      <c r="K234" t="s">
        <v>487</v>
      </c>
    </row>
    <row r="235" spans="1:11">
      <c r="A235" t="s">
        <v>573</v>
      </c>
      <c r="B235" t="s">
        <v>550</v>
      </c>
      <c r="C235" t="s">
        <v>572</v>
      </c>
      <c r="D235" s="15">
        <v>-0.20799999999999999</v>
      </c>
      <c r="E235" s="15">
        <v>0.19800000000000001</v>
      </c>
      <c r="F235" s="15">
        <v>-0.19400000000000001</v>
      </c>
      <c r="G235" s="15">
        <v>-5.0000000000000001E-3</v>
      </c>
      <c r="H235" s="15">
        <v>-6.8000000000000005E-2</v>
      </c>
      <c r="I235" s="15">
        <v>0.2</v>
      </c>
      <c r="J235" t="s">
        <v>412</v>
      </c>
      <c r="K235" t="s">
        <v>500</v>
      </c>
    </row>
    <row r="236" spans="1:11">
      <c r="A236" t="s">
        <v>479</v>
      </c>
      <c r="B236" t="s">
        <v>478</v>
      </c>
      <c r="C236" t="s">
        <v>584</v>
      </c>
      <c r="D236" s="15">
        <v>0.106</v>
      </c>
      <c r="E236" s="15">
        <v>-0.41199999999999998</v>
      </c>
      <c r="F236" s="15">
        <v>8.1000000000000003E-2</v>
      </c>
      <c r="G236" s="15">
        <v>-0.153</v>
      </c>
      <c r="H236" s="15">
        <v>-7.4999999999999997E-2</v>
      </c>
      <c r="I236" s="15">
        <v>0.2</v>
      </c>
      <c r="J236" t="s">
        <v>412</v>
      </c>
      <c r="K236" t="s">
        <v>480</v>
      </c>
    </row>
    <row r="237" spans="1:11">
      <c r="A237" t="s">
        <v>479</v>
      </c>
      <c r="B237" t="s">
        <v>478</v>
      </c>
      <c r="C237" t="s">
        <v>594</v>
      </c>
      <c r="D237" s="15">
        <v>8.5000000000000006E-2</v>
      </c>
      <c r="E237" s="15">
        <v>-0.41199999999999998</v>
      </c>
      <c r="F237" s="15">
        <v>-0.10299999999999999</v>
      </c>
      <c r="G237" s="15">
        <v>-0.16400000000000001</v>
      </c>
      <c r="H237" s="15">
        <v>-0.14299999999999999</v>
      </c>
      <c r="I237" s="15">
        <v>0.2</v>
      </c>
      <c r="J237" t="s">
        <v>412</v>
      </c>
      <c r="K237" t="s">
        <v>579</v>
      </c>
    </row>
    <row r="238" spans="1:11">
      <c r="A238" t="s">
        <v>573</v>
      </c>
      <c r="B238" t="s">
        <v>590</v>
      </c>
      <c r="C238" t="s">
        <v>477</v>
      </c>
      <c r="D238" s="15">
        <v>0.14599999999999999</v>
      </c>
      <c r="E238" s="15">
        <v>0.23</v>
      </c>
      <c r="F238" s="15">
        <v>0.221</v>
      </c>
      <c r="G238" s="15">
        <v>0.188</v>
      </c>
      <c r="H238" s="15">
        <v>0.19900000000000001</v>
      </c>
      <c r="I238" s="15">
        <v>0.19900000000000001</v>
      </c>
      <c r="J238" t="s">
        <v>412</v>
      </c>
      <c r="K238" t="s">
        <v>551</v>
      </c>
    </row>
    <row r="239" spans="1:11">
      <c r="A239" t="s">
        <v>479</v>
      </c>
      <c r="B239" t="s">
        <v>596</v>
      </c>
      <c r="C239" t="s">
        <v>477</v>
      </c>
      <c r="D239" s="15">
        <v>4.5999999999999999E-2</v>
      </c>
      <c r="E239" s="15">
        <v>0.28599999999999998</v>
      </c>
      <c r="F239" s="15">
        <v>-0.26400000000000001</v>
      </c>
      <c r="G239" s="15">
        <v>0.16600000000000001</v>
      </c>
      <c r="H239" s="15">
        <v>2.3E-2</v>
      </c>
      <c r="I239" s="15">
        <v>0.19900000000000001</v>
      </c>
      <c r="J239" t="s">
        <v>412</v>
      </c>
      <c r="K239" t="s">
        <v>493</v>
      </c>
    </row>
    <row r="240" spans="1:11">
      <c r="A240" t="s">
        <v>571</v>
      </c>
      <c r="B240" t="s">
        <v>587</v>
      </c>
      <c r="C240" t="s">
        <v>585</v>
      </c>
      <c r="D240" s="15">
        <v>-1.2999999999999999E-2</v>
      </c>
      <c r="E240" s="15">
        <v>0.27400000000000002</v>
      </c>
      <c r="F240" s="15">
        <v>-0.31</v>
      </c>
      <c r="G240" s="15">
        <v>0.13100000000000001</v>
      </c>
      <c r="H240" s="15">
        <v>-1.6E-2</v>
      </c>
      <c r="I240" s="15">
        <v>0.19900000000000001</v>
      </c>
      <c r="J240" t="s">
        <v>412</v>
      </c>
      <c r="K240" t="s">
        <v>500</v>
      </c>
    </row>
    <row r="241" spans="1:11">
      <c r="A241" t="s">
        <v>577</v>
      </c>
      <c r="B241" t="s">
        <v>587</v>
      </c>
      <c r="C241" t="s">
        <v>477</v>
      </c>
      <c r="D241" s="15">
        <v>0.246</v>
      </c>
      <c r="E241" s="15">
        <v>-0.15</v>
      </c>
      <c r="F241" s="15">
        <v>-0.20200000000000001</v>
      </c>
      <c r="G241" s="15">
        <v>4.8000000000000001E-2</v>
      </c>
      <c r="H241" s="15">
        <v>-3.5999999999999997E-2</v>
      </c>
      <c r="I241" s="15">
        <v>0.19900000000000001</v>
      </c>
      <c r="J241" t="s">
        <v>412</v>
      </c>
      <c r="K241" t="s">
        <v>579</v>
      </c>
    </row>
    <row r="242" spans="1:11">
      <c r="A242" t="s">
        <v>577</v>
      </c>
      <c r="B242" t="s">
        <v>574</v>
      </c>
      <c r="C242" t="s">
        <v>584</v>
      </c>
      <c r="D242" s="15">
        <v>0.182</v>
      </c>
      <c r="E242" s="15">
        <v>-4.0000000000000001E-3</v>
      </c>
      <c r="F242" s="15">
        <v>-0.41099999999999998</v>
      </c>
      <c r="G242" s="15">
        <v>8.8999999999999996E-2</v>
      </c>
      <c r="H242" s="15">
        <v>-7.8E-2</v>
      </c>
      <c r="I242" s="15">
        <v>0.19900000000000001</v>
      </c>
      <c r="J242" t="s">
        <v>412</v>
      </c>
      <c r="K242" t="s">
        <v>579</v>
      </c>
    </row>
    <row r="243" spans="1:11">
      <c r="A243" t="s">
        <v>573</v>
      </c>
      <c r="B243" t="s">
        <v>587</v>
      </c>
      <c r="C243" t="s">
        <v>570</v>
      </c>
      <c r="D243" s="15">
        <v>-0.17100000000000001</v>
      </c>
      <c r="E243" s="15">
        <v>0.16200000000000001</v>
      </c>
      <c r="F243" s="15">
        <v>-0.26500000000000001</v>
      </c>
      <c r="G243" s="15">
        <v>-5.0000000000000001E-3</v>
      </c>
      <c r="H243" s="15">
        <v>-9.0999999999999998E-2</v>
      </c>
      <c r="I243" s="15">
        <v>0.19900000000000001</v>
      </c>
      <c r="J243" t="s">
        <v>412</v>
      </c>
      <c r="K243" t="s">
        <v>500</v>
      </c>
    </row>
    <row r="244" spans="1:11">
      <c r="A244" t="s">
        <v>486</v>
      </c>
      <c r="B244" t="s">
        <v>523</v>
      </c>
      <c r="C244" t="s">
        <v>585</v>
      </c>
      <c r="D244" s="15">
        <v>-0.27</v>
      </c>
      <c r="E244" s="15">
        <v>-0.21099999999999999</v>
      </c>
      <c r="F244" s="15">
        <v>0.115</v>
      </c>
      <c r="G244" s="15">
        <v>-0.24099999999999999</v>
      </c>
      <c r="H244" s="15">
        <v>-0.122</v>
      </c>
      <c r="I244" s="15">
        <v>0.19900000000000001</v>
      </c>
      <c r="J244" t="s">
        <v>412</v>
      </c>
      <c r="K244" t="s">
        <v>510</v>
      </c>
    </row>
    <row r="245" spans="1:11">
      <c r="A245" t="s">
        <v>479</v>
      </c>
      <c r="B245" t="s">
        <v>498</v>
      </c>
      <c r="C245" t="s">
        <v>570</v>
      </c>
      <c r="D245" s="15">
        <v>-0.26900000000000002</v>
      </c>
      <c r="E245" s="15">
        <v>7.6999999999999999E-2</v>
      </c>
      <c r="F245" s="15">
        <v>-0.252</v>
      </c>
      <c r="G245" s="15">
        <v>-9.6000000000000002E-2</v>
      </c>
      <c r="H245" s="15">
        <v>-0.14799999999999999</v>
      </c>
      <c r="I245" s="15">
        <v>0.19900000000000001</v>
      </c>
      <c r="J245" t="s">
        <v>412</v>
      </c>
      <c r="K245" t="s">
        <v>500</v>
      </c>
    </row>
    <row r="246" spans="1:11">
      <c r="A246" t="s">
        <v>486</v>
      </c>
      <c r="B246" t="s">
        <v>580</v>
      </c>
      <c r="C246" t="s">
        <v>570</v>
      </c>
      <c r="D246" s="15">
        <v>-0.32400000000000001</v>
      </c>
      <c r="E246" s="15">
        <v>-0.25700000000000001</v>
      </c>
      <c r="F246" s="15">
        <v>1.6E-2</v>
      </c>
      <c r="G246" s="15">
        <v>-0.29099999999999998</v>
      </c>
      <c r="H246" s="15">
        <v>-0.189</v>
      </c>
      <c r="I246" s="15">
        <v>0.19900000000000001</v>
      </c>
      <c r="J246" t="s">
        <v>412</v>
      </c>
      <c r="K246" t="s">
        <v>510</v>
      </c>
    </row>
    <row r="247" spans="1:11">
      <c r="A247" t="s">
        <v>506</v>
      </c>
      <c r="B247" t="s">
        <v>578</v>
      </c>
      <c r="C247" t="s">
        <v>477</v>
      </c>
      <c r="D247" s="15">
        <v>0.14399999999999999</v>
      </c>
      <c r="E247" s="15">
        <v>-5.6000000000000001E-2</v>
      </c>
      <c r="F247" s="15">
        <v>0.39200000000000002</v>
      </c>
      <c r="G247" s="15">
        <v>4.3999999999999997E-2</v>
      </c>
      <c r="H247" s="15">
        <v>0.16</v>
      </c>
      <c r="I247" s="15">
        <v>0.19800000000000001</v>
      </c>
      <c r="J247" t="s">
        <v>412</v>
      </c>
      <c r="K247" t="s">
        <v>480</v>
      </c>
    </row>
    <row r="248" spans="1:11">
      <c r="A248" t="s">
        <v>479</v>
      </c>
      <c r="B248" t="s">
        <v>550</v>
      </c>
      <c r="C248" t="s">
        <v>585</v>
      </c>
      <c r="D248" s="15">
        <v>-0.123</v>
      </c>
      <c r="E248" s="15">
        <v>0.441</v>
      </c>
      <c r="F248" s="15">
        <v>2.9000000000000001E-2</v>
      </c>
      <c r="G248" s="15">
        <v>0.159</v>
      </c>
      <c r="H248" s="15">
        <v>0.11600000000000001</v>
      </c>
      <c r="I248" s="15">
        <v>0.19800000000000001</v>
      </c>
      <c r="J248" t="s">
        <v>412</v>
      </c>
      <c r="K248" t="s">
        <v>487</v>
      </c>
    </row>
    <row r="249" spans="1:11">
      <c r="A249" t="s">
        <v>573</v>
      </c>
      <c r="B249" t="s">
        <v>590</v>
      </c>
      <c r="C249" t="s">
        <v>492</v>
      </c>
      <c r="D249" s="15">
        <v>-0.16400000000000001</v>
      </c>
      <c r="E249" s="15">
        <v>0.23</v>
      </c>
      <c r="F249" s="15">
        <v>-0.19900000000000001</v>
      </c>
      <c r="G249" s="15">
        <v>3.3000000000000002E-2</v>
      </c>
      <c r="H249" s="15">
        <v>-4.3999999999999997E-2</v>
      </c>
      <c r="I249" s="15">
        <v>0.19800000000000001</v>
      </c>
      <c r="J249" t="s">
        <v>412</v>
      </c>
      <c r="K249" t="s">
        <v>500</v>
      </c>
    </row>
    <row r="250" spans="1:11">
      <c r="A250" t="s">
        <v>486</v>
      </c>
      <c r="B250" t="s">
        <v>550</v>
      </c>
      <c r="C250" t="s">
        <v>584</v>
      </c>
      <c r="D250" s="15">
        <v>-7.9000000000000001E-2</v>
      </c>
      <c r="E250" s="15">
        <v>-0.222</v>
      </c>
      <c r="F250" s="15">
        <v>0.28999999999999998</v>
      </c>
      <c r="G250" s="15">
        <v>-0.15</v>
      </c>
      <c r="H250" s="15">
        <v>-3.0000000000000001E-3</v>
      </c>
      <c r="I250" s="15">
        <v>0.19700000000000001</v>
      </c>
      <c r="J250" t="s">
        <v>412</v>
      </c>
      <c r="K250" t="s">
        <v>510</v>
      </c>
    </row>
    <row r="251" spans="1:11">
      <c r="A251" t="s">
        <v>577</v>
      </c>
      <c r="B251" t="s">
        <v>578</v>
      </c>
      <c r="C251" t="s">
        <v>591</v>
      </c>
      <c r="D251" s="15">
        <v>-1.4E-2</v>
      </c>
      <c r="E251" s="15">
        <v>0.23799999999999999</v>
      </c>
      <c r="F251" s="15">
        <v>0.33800000000000002</v>
      </c>
      <c r="G251" s="15">
        <v>0.112</v>
      </c>
      <c r="H251" s="15">
        <v>0.187</v>
      </c>
      <c r="I251" s="15">
        <v>0.19600000000000001</v>
      </c>
      <c r="J251" t="s">
        <v>412</v>
      </c>
      <c r="K251" t="s">
        <v>487</v>
      </c>
    </row>
    <row r="252" spans="1:11">
      <c r="A252" t="s">
        <v>571</v>
      </c>
      <c r="B252" t="s">
        <v>587</v>
      </c>
      <c r="C252" t="s">
        <v>492</v>
      </c>
      <c r="D252" s="15">
        <v>-6.5000000000000002E-2</v>
      </c>
      <c r="E252" s="15">
        <v>0.27400000000000002</v>
      </c>
      <c r="F252" s="15">
        <v>0.25</v>
      </c>
      <c r="G252" s="15">
        <v>0.104</v>
      </c>
      <c r="H252" s="15">
        <v>0.153</v>
      </c>
      <c r="I252" s="15">
        <v>0.19600000000000001</v>
      </c>
      <c r="J252" t="s">
        <v>412</v>
      </c>
      <c r="K252" t="s">
        <v>487</v>
      </c>
    </row>
    <row r="253" spans="1:11">
      <c r="A253" t="s">
        <v>573</v>
      </c>
      <c r="B253" t="s">
        <v>586</v>
      </c>
      <c r="C253" t="s">
        <v>582</v>
      </c>
      <c r="D253" s="15">
        <v>0.28599999999999998</v>
      </c>
      <c r="E253" s="15">
        <v>-0.10299999999999999</v>
      </c>
      <c r="F253" s="15">
        <v>0.20100000000000001</v>
      </c>
      <c r="G253" s="15">
        <v>9.0999999999999998E-2</v>
      </c>
      <c r="H253" s="15">
        <v>0.128</v>
      </c>
      <c r="I253" s="15">
        <v>0.19600000000000001</v>
      </c>
      <c r="J253" t="s">
        <v>412</v>
      </c>
      <c r="K253" t="s">
        <v>480</v>
      </c>
    </row>
    <row r="254" spans="1:11">
      <c r="A254" t="s">
        <v>577</v>
      </c>
      <c r="B254" t="s">
        <v>550</v>
      </c>
      <c r="C254" t="s">
        <v>584</v>
      </c>
      <c r="D254" s="15">
        <v>0.182</v>
      </c>
      <c r="E254" s="15">
        <v>-0.11600000000000001</v>
      </c>
      <c r="F254" s="15">
        <v>0.28999999999999998</v>
      </c>
      <c r="G254" s="15">
        <v>3.3000000000000002E-2</v>
      </c>
      <c r="H254" s="15">
        <v>0.11899999999999999</v>
      </c>
      <c r="I254" s="15">
        <v>0.19600000000000001</v>
      </c>
      <c r="J254" t="s">
        <v>412</v>
      </c>
      <c r="K254" t="s">
        <v>480</v>
      </c>
    </row>
    <row r="255" spans="1:11">
      <c r="A255" t="s">
        <v>486</v>
      </c>
      <c r="B255" t="s">
        <v>523</v>
      </c>
      <c r="C255" t="s">
        <v>582</v>
      </c>
      <c r="D255" s="15">
        <v>-0.129</v>
      </c>
      <c r="E255" s="15">
        <v>-0.21099999999999999</v>
      </c>
      <c r="F255" s="15">
        <v>0.249</v>
      </c>
      <c r="G255" s="15">
        <v>-0.17</v>
      </c>
      <c r="H255" s="15">
        <v>-0.03</v>
      </c>
      <c r="I255" s="15">
        <v>0.19600000000000001</v>
      </c>
      <c r="J255" t="s">
        <v>412</v>
      </c>
      <c r="K255" t="s">
        <v>510</v>
      </c>
    </row>
    <row r="256" spans="1:11">
      <c r="A256" t="s">
        <v>479</v>
      </c>
      <c r="B256" t="s">
        <v>478</v>
      </c>
      <c r="C256" t="s">
        <v>492</v>
      </c>
      <c r="D256" s="15">
        <v>5.8999999999999997E-2</v>
      </c>
      <c r="E256" s="15">
        <v>-0.41199999999999998</v>
      </c>
      <c r="F256" s="15">
        <v>-0.115</v>
      </c>
      <c r="G256" s="15">
        <v>-0.17699999999999999</v>
      </c>
      <c r="H256" s="15">
        <v>-0.156</v>
      </c>
      <c r="I256" s="15">
        <v>0.19600000000000001</v>
      </c>
      <c r="J256" t="s">
        <v>412</v>
      </c>
      <c r="K256" t="s">
        <v>579</v>
      </c>
    </row>
    <row r="257" spans="1:11">
      <c r="A257" t="s">
        <v>506</v>
      </c>
      <c r="B257" t="s">
        <v>574</v>
      </c>
      <c r="C257" t="s">
        <v>575</v>
      </c>
      <c r="D257" s="15">
        <v>-0.14399999999999999</v>
      </c>
      <c r="E257" s="15">
        <v>3.5999999999999997E-2</v>
      </c>
      <c r="F257" s="15">
        <v>-0.40799999999999997</v>
      </c>
      <c r="G257" s="15">
        <v>-5.3999999999999999E-2</v>
      </c>
      <c r="H257" s="15">
        <v>-0.17199999999999999</v>
      </c>
      <c r="I257" s="15">
        <v>0.19600000000000001</v>
      </c>
      <c r="J257" t="s">
        <v>412</v>
      </c>
      <c r="K257" t="s">
        <v>500</v>
      </c>
    </row>
    <row r="258" spans="1:11">
      <c r="A258" t="s">
        <v>486</v>
      </c>
      <c r="B258" t="s">
        <v>569</v>
      </c>
      <c r="C258" t="s">
        <v>585</v>
      </c>
      <c r="D258" s="15">
        <v>-0.27</v>
      </c>
      <c r="E258" s="15">
        <v>-0.30499999999999999</v>
      </c>
      <c r="F258" s="15">
        <v>1.4E-2</v>
      </c>
      <c r="G258" s="15">
        <v>-0.28699999999999998</v>
      </c>
      <c r="H258" s="15">
        <v>-0.187</v>
      </c>
      <c r="I258" s="15">
        <v>0.19600000000000001</v>
      </c>
      <c r="J258" t="s">
        <v>412</v>
      </c>
      <c r="K258" t="s">
        <v>510</v>
      </c>
    </row>
    <row r="259" spans="1:11">
      <c r="A259" t="s">
        <v>506</v>
      </c>
      <c r="B259" t="s">
        <v>509</v>
      </c>
      <c r="C259" t="s">
        <v>477</v>
      </c>
      <c r="D259" s="15">
        <v>0.14399999999999999</v>
      </c>
      <c r="E259" s="15">
        <v>0.35799999999999998</v>
      </c>
      <c r="F259" s="15">
        <v>8.2000000000000003E-2</v>
      </c>
      <c r="G259" s="15">
        <v>0.251</v>
      </c>
      <c r="H259" s="15">
        <v>0.19500000000000001</v>
      </c>
      <c r="I259" s="15">
        <v>0.19500000000000001</v>
      </c>
      <c r="J259" t="s">
        <v>412</v>
      </c>
      <c r="K259" t="s">
        <v>551</v>
      </c>
    </row>
    <row r="260" spans="1:11">
      <c r="A260" t="s">
        <v>547</v>
      </c>
      <c r="B260" t="s">
        <v>588</v>
      </c>
      <c r="C260" t="s">
        <v>477</v>
      </c>
      <c r="D260" s="15">
        <v>6.4000000000000001E-2</v>
      </c>
      <c r="E260" s="15">
        <v>0.20200000000000001</v>
      </c>
      <c r="F260" s="15">
        <v>0.31900000000000001</v>
      </c>
      <c r="G260" s="15">
        <v>0.13300000000000001</v>
      </c>
      <c r="H260" s="15">
        <v>0.19500000000000001</v>
      </c>
      <c r="I260" s="15">
        <v>0.19500000000000001</v>
      </c>
      <c r="J260" t="s">
        <v>412</v>
      </c>
      <c r="K260" t="s">
        <v>551</v>
      </c>
    </row>
    <row r="261" spans="1:11">
      <c r="A261" t="s">
        <v>547</v>
      </c>
      <c r="B261" t="s">
        <v>588</v>
      </c>
      <c r="C261" t="s">
        <v>584</v>
      </c>
      <c r="D261" s="15">
        <v>0.112</v>
      </c>
      <c r="E261" s="15">
        <v>0.20200000000000001</v>
      </c>
      <c r="F261" s="15">
        <v>0.26900000000000002</v>
      </c>
      <c r="G261" s="15">
        <v>0.157</v>
      </c>
      <c r="H261" s="15">
        <v>0.19500000000000001</v>
      </c>
      <c r="I261" s="15">
        <v>0.19500000000000001</v>
      </c>
      <c r="J261" t="s">
        <v>412</v>
      </c>
      <c r="K261" t="s">
        <v>551</v>
      </c>
    </row>
    <row r="262" spans="1:11">
      <c r="A262" t="s">
        <v>573</v>
      </c>
      <c r="B262" t="s">
        <v>588</v>
      </c>
      <c r="C262" t="s">
        <v>584</v>
      </c>
      <c r="D262" s="15">
        <v>0.26500000000000001</v>
      </c>
      <c r="E262" s="15">
        <v>4.9000000000000002E-2</v>
      </c>
      <c r="F262" s="15">
        <v>0.26900000000000002</v>
      </c>
      <c r="G262" s="15">
        <v>0.157</v>
      </c>
      <c r="H262" s="15">
        <v>0.19500000000000001</v>
      </c>
      <c r="I262" s="15">
        <v>0.19500000000000001</v>
      </c>
      <c r="J262" t="s">
        <v>412</v>
      </c>
      <c r="K262" t="s">
        <v>551</v>
      </c>
    </row>
    <row r="263" spans="1:11">
      <c r="A263" t="s">
        <v>573</v>
      </c>
      <c r="B263" t="s">
        <v>578</v>
      </c>
      <c r="C263" t="s">
        <v>477</v>
      </c>
      <c r="D263" s="15">
        <v>0.14599999999999999</v>
      </c>
      <c r="E263" s="15">
        <v>4.8000000000000001E-2</v>
      </c>
      <c r="F263" s="15">
        <v>0.39200000000000002</v>
      </c>
      <c r="G263" s="15">
        <v>9.7000000000000003E-2</v>
      </c>
      <c r="H263" s="15">
        <v>0.19500000000000001</v>
      </c>
      <c r="I263" s="15">
        <v>0.19500000000000001</v>
      </c>
      <c r="J263" t="s">
        <v>412</v>
      </c>
      <c r="K263" t="s">
        <v>551</v>
      </c>
    </row>
    <row r="264" spans="1:11">
      <c r="A264" t="s">
        <v>576</v>
      </c>
      <c r="B264" t="s">
        <v>569</v>
      </c>
      <c r="C264" t="s">
        <v>575</v>
      </c>
      <c r="D264" s="15">
        <v>-0.17100000000000001</v>
      </c>
      <c r="E264" s="15">
        <v>-5.3999999999999999E-2</v>
      </c>
      <c r="F264" s="15">
        <v>0.36</v>
      </c>
      <c r="G264" s="15">
        <v>-0.112</v>
      </c>
      <c r="H264" s="15">
        <v>4.4999999999999998E-2</v>
      </c>
      <c r="I264" s="15">
        <v>0.19500000000000001</v>
      </c>
      <c r="J264" t="s">
        <v>412</v>
      </c>
      <c r="K264" t="s">
        <v>510</v>
      </c>
    </row>
    <row r="265" spans="1:11">
      <c r="A265" t="s">
        <v>577</v>
      </c>
      <c r="B265" t="s">
        <v>574</v>
      </c>
      <c r="C265" t="s">
        <v>492</v>
      </c>
      <c r="D265" s="15">
        <v>-0.28699999999999998</v>
      </c>
      <c r="E265" s="15">
        <v>-4.0000000000000001E-3</v>
      </c>
      <c r="F265" s="15">
        <v>0.29499999999999998</v>
      </c>
      <c r="G265" s="15">
        <v>-0.14599999999999999</v>
      </c>
      <c r="H265" s="15">
        <v>1E-3</v>
      </c>
      <c r="I265" s="15">
        <v>0.19500000000000001</v>
      </c>
      <c r="J265" t="s">
        <v>412</v>
      </c>
      <c r="K265" t="s">
        <v>510</v>
      </c>
    </row>
    <row r="266" spans="1:11">
      <c r="A266" t="s">
        <v>577</v>
      </c>
      <c r="B266" t="s">
        <v>569</v>
      </c>
      <c r="C266" t="s">
        <v>477</v>
      </c>
      <c r="D266" s="15">
        <v>0.246</v>
      </c>
      <c r="E266" s="15">
        <v>-0.157</v>
      </c>
      <c r="F266" s="15">
        <v>-0.18099999999999999</v>
      </c>
      <c r="G266" s="15">
        <v>4.3999999999999997E-2</v>
      </c>
      <c r="H266" s="15">
        <v>-3.1E-2</v>
      </c>
      <c r="I266" s="15">
        <v>0.19500000000000001</v>
      </c>
      <c r="J266" t="s">
        <v>412</v>
      </c>
      <c r="K266" t="s">
        <v>579</v>
      </c>
    </row>
    <row r="267" spans="1:11">
      <c r="A267" t="s">
        <v>577</v>
      </c>
      <c r="B267" t="s">
        <v>587</v>
      </c>
      <c r="C267" t="s">
        <v>575</v>
      </c>
      <c r="D267" s="15">
        <v>0.14199999999999999</v>
      </c>
      <c r="E267" s="15">
        <v>-0.15</v>
      </c>
      <c r="F267" s="15">
        <v>-0.29299999999999998</v>
      </c>
      <c r="G267" s="15">
        <v>-4.0000000000000001E-3</v>
      </c>
      <c r="H267" s="15">
        <v>-0.10100000000000001</v>
      </c>
      <c r="I267" s="15">
        <v>0.19500000000000001</v>
      </c>
      <c r="J267" t="s">
        <v>412</v>
      </c>
      <c r="K267" t="s">
        <v>579</v>
      </c>
    </row>
    <row r="268" spans="1:11">
      <c r="A268" t="s">
        <v>479</v>
      </c>
      <c r="B268" t="s">
        <v>574</v>
      </c>
      <c r="C268" t="s">
        <v>584</v>
      </c>
      <c r="D268" s="15">
        <v>0.106</v>
      </c>
      <c r="E268" s="15">
        <v>-6.6000000000000003E-2</v>
      </c>
      <c r="F268" s="15">
        <v>-0.41099999999999998</v>
      </c>
      <c r="G268" s="15">
        <v>0.02</v>
      </c>
      <c r="H268" s="15">
        <v>-0.124</v>
      </c>
      <c r="I268" s="15">
        <v>0.19500000000000001</v>
      </c>
      <c r="J268" t="s">
        <v>412</v>
      </c>
      <c r="K268" t="s">
        <v>579</v>
      </c>
    </row>
    <row r="269" spans="1:11">
      <c r="A269" t="s">
        <v>506</v>
      </c>
      <c r="B269" t="s">
        <v>578</v>
      </c>
      <c r="C269" t="s">
        <v>572</v>
      </c>
      <c r="D269" s="15">
        <v>-0.11899999999999999</v>
      </c>
      <c r="E269" s="15">
        <v>-5.6000000000000001E-2</v>
      </c>
      <c r="F269" s="15">
        <v>-0.40899999999999997</v>
      </c>
      <c r="G269" s="15">
        <v>-8.6999999999999994E-2</v>
      </c>
      <c r="H269" s="15">
        <v>-0.19500000000000001</v>
      </c>
      <c r="I269" s="15">
        <v>0.19500000000000001</v>
      </c>
      <c r="J269" t="s">
        <v>412</v>
      </c>
      <c r="K269" t="s">
        <v>589</v>
      </c>
    </row>
    <row r="270" spans="1:11">
      <c r="A270" t="s">
        <v>506</v>
      </c>
      <c r="B270" t="s">
        <v>499</v>
      </c>
      <c r="C270" t="s">
        <v>582</v>
      </c>
      <c r="D270" s="15">
        <v>0.34100000000000003</v>
      </c>
      <c r="E270" s="15">
        <v>0.184</v>
      </c>
      <c r="F270" s="15">
        <v>5.6000000000000001E-2</v>
      </c>
      <c r="G270" s="15">
        <v>0.26300000000000001</v>
      </c>
      <c r="H270" s="15">
        <v>0.19400000000000001</v>
      </c>
      <c r="I270" s="15">
        <v>0.19400000000000001</v>
      </c>
      <c r="J270" t="s">
        <v>412</v>
      </c>
      <c r="K270" t="s">
        <v>551</v>
      </c>
    </row>
    <row r="271" spans="1:11">
      <c r="A271" t="s">
        <v>573</v>
      </c>
      <c r="B271" t="s">
        <v>523</v>
      </c>
      <c r="C271" t="s">
        <v>584</v>
      </c>
      <c r="D271" s="15">
        <v>0.26500000000000001</v>
      </c>
      <c r="E271" s="15">
        <v>0.21199999999999999</v>
      </c>
      <c r="F271" s="15">
        <v>0.106</v>
      </c>
      <c r="G271" s="15">
        <v>0.23899999999999999</v>
      </c>
      <c r="H271" s="15">
        <v>0.19400000000000001</v>
      </c>
      <c r="I271" s="15">
        <v>0.19400000000000001</v>
      </c>
      <c r="J271" t="s">
        <v>412</v>
      </c>
      <c r="K271" t="s">
        <v>551</v>
      </c>
    </row>
    <row r="272" spans="1:11">
      <c r="A272" t="s">
        <v>577</v>
      </c>
      <c r="B272" t="s">
        <v>478</v>
      </c>
      <c r="C272" t="s">
        <v>575</v>
      </c>
      <c r="D272" s="15">
        <v>0.14199999999999999</v>
      </c>
      <c r="E272" s="15">
        <v>-5.3999999999999999E-2</v>
      </c>
      <c r="F272" s="15">
        <v>0.38500000000000001</v>
      </c>
      <c r="G272" s="15">
        <v>4.3999999999999997E-2</v>
      </c>
      <c r="H272" s="15">
        <v>0.158</v>
      </c>
      <c r="I272" s="15">
        <v>0.19400000000000001</v>
      </c>
      <c r="J272" t="s">
        <v>412</v>
      </c>
      <c r="K272" t="s">
        <v>480</v>
      </c>
    </row>
    <row r="273" spans="1:11">
      <c r="A273" t="s">
        <v>571</v>
      </c>
      <c r="B273" t="s">
        <v>499</v>
      </c>
      <c r="C273" t="s">
        <v>572</v>
      </c>
      <c r="D273" s="15">
        <v>-0.16300000000000001</v>
      </c>
      <c r="E273" s="15">
        <v>-1E-3</v>
      </c>
      <c r="F273" s="15">
        <v>0.41599999999999998</v>
      </c>
      <c r="G273" s="15">
        <v>-8.2000000000000003E-2</v>
      </c>
      <c r="H273" s="15">
        <v>8.4000000000000005E-2</v>
      </c>
      <c r="I273" s="15">
        <v>0.19400000000000001</v>
      </c>
      <c r="J273" t="s">
        <v>412</v>
      </c>
      <c r="K273" t="s">
        <v>510</v>
      </c>
    </row>
    <row r="274" spans="1:11">
      <c r="A274" t="s">
        <v>506</v>
      </c>
      <c r="B274" t="s">
        <v>550</v>
      </c>
      <c r="C274" t="s">
        <v>584</v>
      </c>
      <c r="D274" s="15">
        <v>0.11899999999999999</v>
      </c>
      <c r="E274" s="15">
        <v>-0.17299999999999999</v>
      </c>
      <c r="F274" s="15">
        <v>0.28999999999999998</v>
      </c>
      <c r="G274" s="15">
        <v>-2.7E-2</v>
      </c>
      <c r="H274" s="15">
        <v>7.9000000000000001E-2</v>
      </c>
      <c r="I274" s="15">
        <v>0.19400000000000001</v>
      </c>
      <c r="J274" t="s">
        <v>412</v>
      </c>
      <c r="K274" t="s">
        <v>480</v>
      </c>
    </row>
    <row r="275" spans="1:11">
      <c r="A275" t="s">
        <v>573</v>
      </c>
      <c r="B275" t="s">
        <v>574</v>
      </c>
      <c r="C275" t="s">
        <v>492</v>
      </c>
      <c r="D275" s="15">
        <v>-0.16400000000000001</v>
      </c>
      <c r="E275" s="15">
        <v>-0.124</v>
      </c>
      <c r="F275" s="15">
        <v>0.29499999999999998</v>
      </c>
      <c r="G275" s="15">
        <v>-0.14399999999999999</v>
      </c>
      <c r="H275" s="15">
        <v>2E-3</v>
      </c>
      <c r="I275" s="15">
        <v>0.19400000000000001</v>
      </c>
      <c r="J275" t="s">
        <v>412</v>
      </c>
      <c r="K275" t="s">
        <v>510</v>
      </c>
    </row>
    <row r="276" spans="1:11">
      <c r="A276" t="s">
        <v>571</v>
      </c>
      <c r="B276" t="s">
        <v>580</v>
      </c>
      <c r="C276" t="s">
        <v>492</v>
      </c>
      <c r="D276" s="15">
        <v>-6.5000000000000002E-2</v>
      </c>
      <c r="E276" s="15">
        <v>0.26200000000000001</v>
      </c>
      <c r="F276" s="15">
        <v>-0.254</v>
      </c>
      <c r="G276" s="15">
        <v>9.8000000000000004E-2</v>
      </c>
      <c r="H276" s="15">
        <v>-1.9E-2</v>
      </c>
      <c r="I276" s="15">
        <v>0.19400000000000001</v>
      </c>
      <c r="J276" t="s">
        <v>412</v>
      </c>
      <c r="K276" t="s">
        <v>500</v>
      </c>
    </row>
    <row r="277" spans="1:11">
      <c r="A277" t="s">
        <v>506</v>
      </c>
      <c r="B277" t="s">
        <v>499</v>
      </c>
      <c r="C277" t="s">
        <v>575</v>
      </c>
      <c r="D277" s="15">
        <v>-0.14399999999999999</v>
      </c>
      <c r="E277" s="15">
        <v>0.184</v>
      </c>
      <c r="F277" s="15">
        <v>-0.254</v>
      </c>
      <c r="G277" s="15">
        <v>0.02</v>
      </c>
      <c r="H277" s="15">
        <v>-7.0999999999999994E-2</v>
      </c>
      <c r="I277" s="15">
        <v>0.19400000000000001</v>
      </c>
      <c r="J277" t="s">
        <v>412</v>
      </c>
      <c r="K277" t="s">
        <v>500</v>
      </c>
    </row>
    <row r="278" spans="1:11">
      <c r="A278" t="s">
        <v>479</v>
      </c>
      <c r="B278" t="s">
        <v>478</v>
      </c>
      <c r="C278" t="s">
        <v>593</v>
      </c>
      <c r="D278" s="15">
        <v>-8.0000000000000002E-3</v>
      </c>
      <c r="E278" s="15">
        <v>-0.41199999999999998</v>
      </c>
      <c r="F278" s="15">
        <v>0.16300000000000001</v>
      </c>
      <c r="G278" s="15">
        <v>-0.21</v>
      </c>
      <c r="H278" s="15">
        <v>-8.5999999999999993E-2</v>
      </c>
      <c r="I278" s="15">
        <v>0.19400000000000001</v>
      </c>
      <c r="J278" t="s">
        <v>412</v>
      </c>
      <c r="K278" t="s">
        <v>510</v>
      </c>
    </row>
    <row r="279" spans="1:11">
      <c r="A279" t="s">
        <v>576</v>
      </c>
      <c r="B279" t="s">
        <v>523</v>
      </c>
      <c r="C279" t="s">
        <v>492</v>
      </c>
      <c r="D279" s="15">
        <v>1.7999999999999999E-2</v>
      </c>
      <c r="E279" s="15">
        <v>0.129</v>
      </c>
      <c r="F279" s="15">
        <v>-0.436</v>
      </c>
      <c r="G279" s="15">
        <v>7.3999999999999996E-2</v>
      </c>
      <c r="H279" s="15">
        <v>-9.6000000000000002E-2</v>
      </c>
      <c r="I279" s="15">
        <v>0.19400000000000001</v>
      </c>
      <c r="J279" t="s">
        <v>412</v>
      </c>
      <c r="K279" t="s">
        <v>493</v>
      </c>
    </row>
    <row r="280" spans="1:11">
      <c r="A280" t="s">
        <v>506</v>
      </c>
      <c r="B280" t="s">
        <v>592</v>
      </c>
      <c r="C280" t="s">
        <v>570</v>
      </c>
      <c r="D280" s="15">
        <v>-0.14199999999999999</v>
      </c>
      <c r="E280" s="15">
        <v>-0.30199999999999999</v>
      </c>
      <c r="F280" s="15">
        <v>0.13900000000000001</v>
      </c>
      <c r="G280" s="15">
        <v>-0.222</v>
      </c>
      <c r="H280" s="15">
        <v>-0.10199999999999999</v>
      </c>
      <c r="I280" s="15">
        <v>0.19400000000000001</v>
      </c>
      <c r="J280" t="s">
        <v>412</v>
      </c>
      <c r="K280" t="s">
        <v>510</v>
      </c>
    </row>
    <row r="281" spans="1:11">
      <c r="A281" t="s">
        <v>576</v>
      </c>
      <c r="B281" t="s">
        <v>587</v>
      </c>
      <c r="C281" t="s">
        <v>575</v>
      </c>
      <c r="D281" s="15">
        <v>-0.17100000000000001</v>
      </c>
      <c r="E281" s="15">
        <v>0.11700000000000001</v>
      </c>
      <c r="F281" s="15">
        <v>-0.29299999999999998</v>
      </c>
      <c r="G281" s="15">
        <v>-2.7E-2</v>
      </c>
      <c r="H281" s="15">
        <v>-0.11600000000000001</v>
      </c>
      <c r="I281" s="15">
        <v>0.19400000000000001</v>
      </c>
      <c r="J281" t="s">
        <v>412</v>
      </c>
      <c r="K281" t="s">
        <v>500</v>
      </c>
    </row>
    <row r="282" spans="1:11">
      <c r="A282" t="s">
        <v>479</v>
      </c>
      <c r="B282" t="s">
        <v>499</v>
      </c>
      <c r="C282" t="s">
        <v>570</v>
      </c>
      <c r="D282" s="15">
        <v>-0.26900000000000002</v>
      </c>
      <c r="E282" s="15">
        <v>6.6000000000000003E-2</v>
      </c>
      <c r="F282" s="15">
        <v>-0.246</v>
      </c>
      <c r="G282" s="15">
        <v>-0.10100000000000001</v>
      </c>
      <c r="H282" s="15">
        <v>-0.14899999999999999</v>
      </c>
      <c r="I282" s="15">
        <v>0.19400000000000001</v>
      </c>
      <c r="J282" t="s">
        <v>412</v>
      </c>
      <c r="K282" t="s">
        <v>500</v>
      </c>
    </row>
    <row r="283" spans="1:11">
      <c r="A283" t="s">
        <v>576</v>
      </c>
      <c r="B283" t="s">
        <v>578</v>
      </c>
      <c r="C283" t="s">
        <v>492</v>
      </c>
      <c r="D283" s="15">
        <v>1.7999999999999999E-2</v>
      </c>
      <c r="E283" s="15">
        <v>-0.14499999999999999</v>
      </c>
      <c r="F283" s="15">
        <v>-0.41899999999999998</v>
      </c>
      <c r="G283" s="15">
        <v>-6.3E-2</v>
      </c>
      <c r="H283" s="15">
        <v>-0.182</v>
      </c>
      <c r="I283" s="15">
        <v>0.19400000000000001</v>
      </c>
      <c r="J283" t="s">
        <v>412</v>
      </c>
      <c r="K283" t="s">
        <v>579</v>
      </c>
    </row>
    <row r="284" spans="1:11">
      <c r="A284" t="s">
        <v>573</v>
      </c>
      <c r="B284" t="s">
        <v>574</v>
      </c>
      <c r="C284" t="s">
        <v>570</v>
      </c>
      <c r="D284" s="15">
        <v>-0.17100000000000001</v>
      </c>
      <c r="E284" s="15">
        <v>-0.124</v>
      </c>
      <c r="F284" s="15">
        <v>-0.28799999999999998</v>
      </c>
      <c r="G284" s="15">
        <v>-0.14799999999999999</v>
      </c>
      <c r="H284" s="15">
        <v>-0.19400000000000001</v>
      </c>
      <c r="I284" s="15">
        <v>0.19400000000000001</v>
      </c>
      <c r="J284" t="s">
        <v>412</v>
      </c>
      <c r="K284" t="s">
        <v>589</v>
      </c>
    </row>
    <row r="285" spans="1:11">
      <c r="A285" t="s">
        <v>573</v>
      </c>
      <c r="B285" t="s">
        <v>574</v>
      </c>
      <c r="C285" t="s">
        <v>575</v>
      </c>
      <c r="D285" s="15">
        <v>-4.9000000000000002E-2</v>
      </c>
      <c r="E285" s="15">
        <v>-0.124</v>
      </c>
      <c r="F285" s="15">
        <v>-0.40799999999999997</v>
      </c>
      <c r="G285" s="15">
        <v>-8.6999999999999994E-2</v>
      </c>
      <c r="H285" s="15">
        <v>-0.19400000000000001</v>
      </c>
      <c r="I285" s="15">
        <v>0.19400000000000001</v>
      </c>
      <c r="J285" t="s">
        <v>412</v>
      </c>
      <c r="K285" t="s">
        <v>589</v>
      </c>
    </row>
    <row r="286" spans="1:11">
      <c r="A286" t="s">
        <v>571</v>
      </c>
      <c r="B286" t="s">
        <v>578</v>
      </c>
      <c r="C286" t="s">
        <v>477</v>
      </c>
      <c r="D286" s="15">
        <v>0.13300000000000001</v>
      </c>
      <c r="E286" s="15">
        <v>-5.3999999999999999E-2</v>
      </c>
      <c r="F286" s="15">
        <v>0.39200000000000002</v>
      </c>
      <c r="G286" s="15">
        <v>0.04</v>
      </c>
      <c r="H286" s="15">
        <v>0.157</v>
      </c>
      <c r="I286" s="15">
        <v>0.193</v>
      </c>
      <c r="J286" t="s">
        <v>412</v>
      </c>
      <c r="K286" t="s">
        <v>480</v>
      </c>
    </row>
    <row r="287" spans="1:11">
      <c r="A287" t="s">
        <v>577</v>
      </c>
      <c r="B287" t="s">
        <v>596</v>
      </c>
      <c r="C287" t="s">
        <v>477</v>
      </c>
      <c r="D287" s="15">
        <v>0.246</v>
      </c>
      <c r="E287" s="15">
        <v>-7.0000000000000007E-2</v>
      </c>
      <c r="F287" s="15">
        <v>-0.26400000000000001</v>
      </c>
      <c r="G287" s="15">
        <v>8.7999999999999995E-2</v>
      </c>
      <c r="H287" s="15">
        <v>-2.9000000000000001E-2</v>
      </c>
      <c r="I287" s="15">
        <v>0.193</v>
      </c>
      <c r="J287" t="s">
        <v>412</v>
      </c>
      <c r="K287" t="s">
        <v>579</v>
      </c>
    </row>
    <row r="288" spans="1:11">
      <c r="A288" t="s">
        <v>506</v>
      </c>
      <c r="B288" t="s">
        <v>499</v>
      </c>
      <c r="C288" t="s">
        <v>583</v>
      </c>
      <c r="D288" s="15">
        <v>4.1000000000000002E-2</v>
      </c>
      <c r="E288" s="15">
        <v>0.184</v>
      </c>
      <c r="F288" s="15">
        <v>-0.35499999999999998</v>
      </c>
      <c r="G288" s="15">
        <v>0.113</v>
      </c>
      <c r="H288" s="15">
        <v>-4.2999999999999997E-2</v>
      </c>
      <c r="I288" s="15">
        <v>0.193</v>
      </c>
      <c r="J288" t="s">
        <v>412</v>
      </c>
      <c r="K288" t="s">
        <v>493</v>
      </c>
    </row>
    <row r="289" spans="1:11">
      <c r="A289" t="s">
        <v>547</v>
      </c>
      <c r="B289" t="s">
        <v>569</v>
      </c>
      <c r="C289" t="s">
        <v>582</v>
      </c>
      <c r="D289" s="15">
        <v>0.14299999999999999</v>
      </c>
      <c r="E289" s="15">
        <v>-0.14699999999999999</v>
      </c>
      <c r="F289" s="15">
        <v>-0.28999999999999998</v>
      </c>
      <c r="G289" s="15">
        <v>-2E-3</v>
      </c>
      <c r="H289" s="15">
        <v>-9.8000000000000004E-2</v>
      </c>
      <c r="I289" s="15">
        <v>0.193</v>
      </c>
      <c r="J289" t="s">
        <v>412</v>
      </c>
      <c r="K289" t="s">
        <v>579</v>
      </c>
    </row>
    <row r="290" spans="1:11">
      <c r="A290" t="s">
        <v>571</v>
      </c>
      <c r="B290" t="s">
        <v>569</v>
      </c>
      <c r="C290" t="s">
        <v>582</v>
      </c>
      <c r="D290" s="15">
        <v>9.1999999999999998E-2</v>
      </c>
      <c r="E290" s="15">
        <v>-0.19600000000000001</v>
      </c>
      <c r="F290" s="15">
        <v>-0.28999999999999998</v>
      </c>
      <c r="G290" s="15">
        <v>-5.1999999999999998E-2</v>
      </c>
      <c r="H290" s="15">
        <v>-0.13100000000000001</v>
      </c>
      <c r="I290" s="15">
        <v>0.193</v>
      </c>
      <c r="J290" t="s">
        <v>412</v>
      </c>
      <c r="K290" t="s">
        <v>579</v>
      </c>
    </row>
    <row r="291" spans="1:11">
      <c r="A291" t="s">
        <v>479</v>
      </c>
      <c r="B291" t="s">
        <v>550</v>
      </c>
      <c r="C291" t="s">
        <v>594</v>
      </c>
      <c r="D291" s="15">
        <v>8.5000000000000006E-2</v>
      </c>
      <c r="E291" s="15">
        <v>0.441</v>
      </c>
      <c r="F291" s="15">
        <v>4.9000000000000002E-2</v>
      </c>
      <c r="G291" s="15">
        <v>0.26300000000000001</v>
      </c>
      <c r="H291" s="15">
        <v>0.192</v>
      </c>
      <c r="I291" s="15">
        <v>0.192</v>
      </c>
      <c r="J291" t="s">
        <v>412</v>
      </c>
      <c r="K291" t="s">
        <v>551</v>
      </c>
    </row>
    <row r="292" spans="1:11">
      <c r="A292" t="s">
        <v>506</v>
      </c>
      <c r="B292" t="s">
        <v>509</v>
      </c>
      <c r="C292" t="s">
        <v>570</v>
      </c>
      <c r="D292" s="15">
        <v>-0.14199999999999999</v>
      </c>
      <c r="E292" s="15">
        <v>0.35799999999999998</v>
      </c>
      <c r="F292" s="15">
        <v>7.6999999999999999E-2</v>
      </c>
      <c r="G292" s="15">
        <v>0.108</v>
      </c>
      <c r="H292" s="15">
        <v>9.8000000000000004E-2</v>
      </c>
      <c r="I292" s="15">
        <v>0.192</v>
      </c>
      <c r="J292" t="s">
        <v>412</v>
      </c>
      <c r="K292" t="s">
        <v>487</v>
      </c>
    </row>
    <row r="293" spans="1:11">
      <c r="A293" t="s">
        <v>486</v>
      </c>
      <c r="B293" t="s">
        <v>509</v>
      </c>
      <c r="C293" t="s">
        <v>572</v>
      </c>
      <c r="D293" s="15">
        <v>0.43</v>
      </c>
      <c r="E293" s="15">
        <v>-5.0000000000000001E-3</v>
      </c>
      <c r="F293" s="15">
        <v>-0.14199999999999999</v>
      </c>
      <c r="G293" s="15">
        <v>0.21199999999999999</v>
      </c>
      <c r="H293" s="15">
        <v>9.4E-2</v>
      </c>
      <c r="I293" s="15">
        <v>0.192</v>
      </c>
      <c r="J293" t="s">
        <v>412</v>
      </c>
      <c r="K293" t="s">
        <v>579</v>
      </c>
    </row>
    <row r="294" spans="1:11">
      <c r="A294" t="s">
        <v>573</v>
      </c>
      <c r="B294" t="s">
        <v>587</v>
      </c>
      <c r="C294" t="s">
        <v>492</v>
      </c>
      <c r="D294" s="15">
        <v>-0.16400000000000001</v>
      </c>
      <c r="E294" s="15">
        <v>0.16200000000000001</v>
      </c>
      <c r="F294" s="15">
        <v>0.25</v>
      </c>
      <c r="G294" s="15">
        <v>-1E-3</v>
      </c>
      <c r="H294" s="15">
        <v>8.3000000000000004E-2</v>
      </c>
      <c r="I294" s="15">
        <v>0.192</v>
      </c>
      <c r="J294" t="s">
        <v>412</v>
      </c>
      <c r="K294" t="s">
        <v>487</v>
      </c>
    </row>
    <row r="295" spans="1:11">
      <c r="A295" t="s">
        <v>547</v>
      </c>
      <c r="B295" t="s">
        <v>569</v>
      </c>
      <c r="C295" t="s">
        <v>575</v>
      </c>
      <c r="D295" s="15">
        <v>-6.8000000000000005E-2</v>
      </c>
      <c r="E295" s="15">
        <v>-0.14699999999999999</v>
      </c>
      <c r="F295" s="15">
        <v>0.36</v>
      </c>
      <c r="G295" s="15">
        <v>-0.107</v>
      </c>
      <c r="H295" s="15">
        <v>4.8000000000000001E-2</v>
      </c>
      <c r="I295" s="15">
        <v>0.192</v>
      </c>
      <c r="J295" t="s">
        <v>412</v>
      </c>
      <c r="K295" t="s">
        <v>510</v>
      </c>
    </row>
    <row r="296" spans="1:11">
      <c r="A296" t="s">
        <v>577</v>
      </c>
      <c r="B296" t="s">
        <v>478</v>
      </c>
      <c r="C296" t="s">
        <v>582</v>
      </c>
      <c r="D296" s="15">
        <v>0.31900000000000001</v>
      </c>
      <c r="E296" s="15">
        <v>-5.3999999999999999E-2</v>
      </c>
      <c r="F296" s="15">
        <v>-0.20300000000000001</v>
      </c>
      <c r="G296" s="15">
        <v>0.13200000000000001</v>
      </c>
      <c r="H296" s="15">
        <v>0.02</v>
      </c>
      <c r="I296" s="15">
        <v>0.192</v>
      </c>
      <c r="J296" t="s">
        <v>412</v>
      </c>
      <c r="K296" t="s">
        <v>579</v>
      </c>
    </row>
    <row r="297" spans="1:11">
      <c r="A297" t="s">
        <v>571</v>
      </c>
      <c r="B297" t="s">
        <v>581</v>
      </c>
      <c r="C297" t="s">
        <v>584</v>
      </c>
      <c r="D297" s="15">
        <v>-0.108</v>
      </c>
      <c r="E297" s="15">
        <v>0.27500000000000002</v>
      </c>
      <c r="F297" s="15">
        <v>-0.193</v>
      </c>
      <c r="G297" s="15">
        <v>8.4000000000000005E-2</v>
      </c>
      <c r="H297" s="15">
        <v>-8.9999999999999993E-3</v>
      </c>
      <c r="I297" s="15">
        <v>0.192</v>
      </c>
      <c r="J297" t="s">
        <v>412</v>
      </c>
      <c r="K297" t="s">
        <v>500</v>
      </c>
    </row>
    <row r="298" spans="1:11">
      <c r="A298" t="s">
        <v>576</v>
      </c>
      <c r="B298" t="s">
        <v>478</v>
      </c>
      <c r="C298" t="s">
        <v>570</v>
      </c>
      <c r="D298" s="15">
        <v>-0.222</v>
      </c>
      <c r="E298" s="15">
        <v>-8.1000000000000003E-2</v>
      </c>
      <c r="F298" s="15">
        <v>0.27400000000000002</v>
      </c>
      <c r="G298" s="15">
        <v>-0.151</v>
      </c>
      <c r="H298" s="15">
        <v>-0.01</v>
      </c>
      <c r="I298" s="15">
        <v>0.192</v>
      </c>
      <c r="J298" t="s">
        <v>412</v>
      </c>
      <c r="K298" t="s">
        <v>510</v>
      </c>
    </row>
    <row r="299" spans="1:11">
      <c r="A299" t="s">
        <v>486</v>
      </c>
      <c r="B299" t="s">
        <v>587</v>
      </c>
      <c r="C299" t="s">
        <v>477</v>
      </c>
      <c r="D299" s="15">
        <v>-0.28399999999999997</v>
      </c>
      <c r="E299" s="15">
        <v>9.0999999999999998E-2</v>
      </c>
      <c r="F299" s="15">
        <v>-0.20200000000000001</v>
      </c>
      <c r="G299" s="15">
        <v>-9.6000000000000002E-2</v>
      </c>
      <c r="H299" s="15">
        <v>-0.13200000000000001</v>
      </c>
      <c r="I299" s="15">
        <v>0.192</v>
      </c>
      <c r="J299" t="s">
        <v>412</v>
      </c>
      <c r="K299" t="s">
        <v>500</v>
      </c>
    </row>
    <row r="300" spans="1:11">
      <c r="A300" t="s">
        <v>479</v>
      </c>
      <c r="B300" t="s">
        <v>597</v>
      </c>
      <c r="C300" t="s">
        <v>570</v>
      </c>
      <c r="D300" s="15">
        <v>-0.26900000000000002</v>
      </c>
      <c r="E300" s="15">
        <v>-0.251</v>
      </c>
      <c r="F300" s="15">
        <v>-5.6000000000000001E-2</v>
      </c>
      <c r="G300" s="15">
        <v>-0.26</v>
      </c>
      <c r="H300" s="15">
        <v>-0.192</v>
      </c>
      <c r="I300" s="15">
        <v>0.192</v>
      </c>
      <c r="J300" t="s">
        <v>412</v>
      </c>
      <c r="K300" t="s">
        <v>589</v>
      </c>
    </row>
    <row r="301" spans="1:11">
      <c r="A301" t="s">
        <v>571</v>
      </c>
      <c r="B301" t="s">
        <v>581</v>
      </c>
      <c r="C301" t="s">
        <v>492</v>
      </c>
      <c r="D301" s="15">
        <v>-6.5000000000000002E-2</v>
      </c>
      <c r="E301" s="15">
        <v>0.27500000000000002</v>
      </c>
      <c r="F301" s="15">
        <v>0.23200000000000001</v>
      </c>
      <c r="G301" s="15">
        <v>0.105</v>
      </c>
      <c r="H301" s="15">
        <v>0.14699999999999999</v>
      </c>
      <c r="I301" s="15">
        <v>0.191</v>
      </c>
      <c r="J301" t="s">
        <v>412</v>
      </c>
      <c r="K301" t="s">
        <v>487</v>
      </c>
    </row>
    <row r="302" spans="1:11">
      <c r="A302" t="s">
        <v>577</v>
      </c>
      <c r="B302" t="s">
        <v>499</v>
      </c>
      <c r="C302" t="s">
        <v>572</v>
      </c>
      <c r="D302" s="15">
        <v>-0.14399999999999999</v>
      </c>
      <c r="E302" s="15">
        <v>-1.2E-2</v>
      </c>
      <c r="F302" s="15">
        <v>0.41599999999999998</v>
      </c>
      <c r="G302" s="15">
        <v>-7.8E-2</v>
      </c>
      <c r="H302" s="15">
        <v>8.6999999999999994E-2</v>
      </c>
      <c r="I302" s="15">
        <v>0.191</v>
      </c>
      <c r="J302" t="s">
        <v>412</v>
      </c>
      <c r="K302" t="s">
        <v>510</v>
      </c>
    </row>
    <row r="303" spans="1:11">
      <c r="A303" t="s">
        <v>506</v>
      </c>
      <c r="B303" t="s">
        <v>499</v>
      </c>
      <c r="C303" t="s">
        <v>570</v>
      </c>
      <c r="D303" s="15">
        <v>-0.14199999999999999</v>
      </c>
      <c r="E303" s="15">
        <v>0.184</v>
      </c>
      <c r="F303" s="15">
        <v>-0.246</v>
      </c>
      <c r="G303" s="15">
        <v>2.1000000000000001E-2</v>
      </c>
      <c r="H303" s="15">
        <v>-6.8000000000000005E-2</v>
      </c>
      <c r="I303" s="15">
        <v>0.191</v>
      </c>
      <c r="J303" t="s">
        <v>412</v>
      </c>
      <c r="K303" t="s">
        <v>500</v>
      </c>
    </row>
    <row r="304" spans="1:11">
      <c r="A304" t="s">
        <v>573</v>
      </c>
      <c r="B304" t="s">
        <v>569</v>
      </c>
      <c r="C304" t="s">
        <v>575</v>
      </c>
      <c r="D304" s="15">
        <v>-4.9000000000000002E-2</v>
      </c>
      <c r="E304" s="15">
        <v>-0.16</v>
      </c>
      <c r="F304" s="15">
        <v>0.36</v>
      </c>
      <c r="G304" s="15">
        <v>-0.105</v>
      </c>
      <c r="H304" s="15">
        <v>0.05</v>
      </c>
      <c r="I304" s="15">
        <v>0.19</v>
      </c>
      <c r="J304" t="s">
        <v>412</v>
      </c>
      <c r="K304" t="s">
        <v>510</v>
      </c>
    </row>
    <row r="305" spans="1:11">
      <c r="A305" t="s">
        <v>576</v>
      </c>
      <c r="B305" t="s">
        <v>578</v>
      </c>
      <c r="C305" t="s">
        <v>575</v>
      </c>
      <c r="D305" s="15">
        <v>-0.17100000000000001</v>
      </c>
      <c r="E305" s="15">
        <v>-0.14499999999999999</v>
      </c>
      <c r="F305" s="15">
        <v>0.254</v>
      </c>
      <c r="G305" s="15">
        <v>-0.158</v>
      </c>
      <c r="H305" s="15">
        <v>-2.1000000000000001E-2</v>
      </c>
      <c r="I305" s="15">
        <v>0.19</v>
      </c>
      <c r="J305" t="s">
        <v>412</v>
      </c>
      <c r="K305" t="s">
        <v>510</v>
      </c>
    </row>
    <row r="306" spans="1:11">
      <c r="A306" t="s">
        <v>577</v>
      </c>
      <c r="B306" t="s">
        <v>586</v>
      </c>
      <c r="C306" t="s">
        <v>572</v>
      </c>
      <c r="D306" s="15">
        <v>-0.14399999999999999</v>
      </c>
      <c r="E306" s="15">
        <v>0.217</v>
      </c>
      <c r="F306" s="15">
        <v>-0.20799999999999999</v>
      </c>
      <c r="G306" s="15">
        <v>3.5999999999999997E-2</v>
      </c>
      <c r="H306" s="15">
        <v>-4.4999999999999998E-2</v>
      </c>
      <c r="I306" s="15">
        <v>0.19</v>
      </c>
      <c r="J306" t="s">
        <v>412</v>
      </c>
      <c r="K306" t="s">
        <v>500</v>
      </c>
    </row>
    <row r="307" spans="1:11">
      <c r="A307" t="s">
        <v>576</v>
      </c>
      <c r="B307" t="s">
        <v>523</v>
      </c>
      <c r="C307" t="s">
        <v>477</v>
      </c>
      <c r="D307" s="15">
        <v>2.9000000000000001E-2</v>
      </c>
      <c r="E307" s="15">
        <v>0.129</v>
      </c>
      <c r="F307" s="15">
        <v>0.41</v>
      </c>
      <c r="G307" s="15">
        <v>7.9000000000000001E-2</v>
      </c>
      <c r="H307" s="15">
        <v>0.189</v>
      </c>
      <c r="I307" s="15">
        <v>0.189</v>
      </c>
      <c r="J307" t="s">
        <v>412</v>
      </c>
      <c r="K307" t="s">
        <v>551</v>
      </c>
    </row>
    <row r="308" spans="1:11">
      <c r="A308" t="s">
        <v>486</v>
      </c>
      <c r="B308" t="s">
        <v>478</v>
      </c>
      <c r="C308" t="s">
        <v>492</v>
      </c>
      <c r="D308" s="15">
        <v>0.34899999999999998</v>
      </c>
      <c r="E308" s="15">
        <v>0.104</v>
      </c>
      <c r="F308" s="15">
        <v>-0.115</v>
      </c>
      <c r="G308" s="15">
        <v>0.22600000000000001</v>
      </c>
      <c r="H308" s="15">
        <v>0.112</v>
      </c>
      <c r="I308" s="15">
        <v>0.189</v>
      </c>
      <c r="J308" t="s">
        <v>412</v>
      </c>
      <c r="K308" t="s">
        <v>493</v>
      </c>
    </row>
    <row r="309" spans="1:11">
      <c r="A309" t="s">
        <v>576</v>
      </c>
      <c r="B309" t="s">
        <v>578</v>
      </c>
      <c r="C309" t="s">
        <v>477</v>
      </c>
      <c r="D309" s="15">
        <v>2.9000000000000001E-2</v>
      </c>
      <c r="E309" s="15">
        <v>-0.14499999999999999</v>
      </c>
      <c r="F309" s="15">
        <v>0.39200000000000002</v>
      </c>
      <c r="G309" s="15">
        <v>-5.8000000000000003E-2</v>
      </c>
      <c r="H309" s="15">
        <v>9.1999999999999998E-2</v>
      </c>
      <c r="I309" s="15">
        <v>0.189</v>
      </c>
      <c r="J309" t="s">
        <v>412</v>
      </c>
      <c r="K309" t="s">
        <v>480</v>
      </c>
    </row>
    <row r="310" spans="1:11">
      <c r="A310" t="s">
        <v>479</v>
      </c>
      <c r="B310" t="s">
        <v>586</v>
      </c>
      <c r="C310" t="s">
        <v>570</v>
      </c>
      <c r="D310" s="15">
        <v>-0.26900000000000002</v>
      </c>
      <c r="E310" s="15">
        <v>-0.10100000000000001</v>
      </c>
      <c r="F310" s="15">
        <v>0.19600000000000001</v>
      </c>
      <c r="G310" s="15">
        <v>-0.185</v>
      </c>
      <c r="H310" s="15">
        <v>-5.8000000000000003E-2</v>
      </c>
      <c r="I310" s="15">
        <v>0.189</v>
      </c>
      <c r="J310" t="s">
        <v>412</v>
      </c>
      <c r="K310" t="s">
        <v>510</v>
      </c>
    </row>
    <row r="311" spans="1:11">
      <c r="A311" t="s">
        <v>547</v>
      </c>
      <c r="B311" t="s">
        <v>498</v>
      </c>
      <c r="C311" t="s">
        <v>570</v>
      </c>
      <c r="D311" s="15">
        <v>-0.14799999999999999</v>
      </c>
      <c r="E311" s="15">
        <v>0.16500000000000001</v>
      </c>
      <c r="F311" s="15">
        <v>-0.252</v>
      </c>
      <c r="G311" s="15">
        <v>8.9999999999999993E-3</v>
      </c>
      <c r="H311" s="15">
        <v>-7.8E-2</v>
      </c>
      <c r="I311" s="15">
        <v>0.189</v>
      </c>
      <c r="J311" t="s">
        <v>412</v>
      </c>
      <c r="K311" t="s">
        <v>500</v>
      </c>
    </row>
    <row r="312" spans="1:11">
      <c r="A312" t="s">
        <v>506</v>
      </c>
      <c r="B312" t="s">
        <v>574</v>
      </c>
      <c r="C312" t="s">
        <v>584</v>
      </c>
      <c r="D312" s="15">
        <v>0.11899999999999999</v>
      </c>
      <c r="E312" s="15">
        <v>3.5999999999999997E-2</v>
      </c>
      <c r="F312" s="15">
        <v>-0.41099999999999998</v>
      </c>
      <c r="G312" s="15">
        <v>7.8E-2</v>
      </c>
      <c r="H312" s="15">
        <v>-8.5000000000000006E-2</v>
      </c>
      <c r="I312" s="15">
        <v>0.189</v>
      </c>
      <c r="J312" t="s">
        <v>412</v>
      </c>
      <c r="K312" t="s">
        <v>493</v>
      </c>
    </row>
    <row r="313" spans="1:11">
      <c r="A313" t="s">
        <v>486</v>
      </c>
      <c r="B313" t="s">
        <v>596</v>
      </c>
      <c r="C313" t="s">
        <v>575</v>
      </c>
      <c r="D313" s="15">
        <v>-0.41299999999999998</v>
      </c>
      <c r="E313" s="15">
        <v>-1E-3</v>
      </c>
      <c r="F313" s="15">
        <v>-0.151</v>
      </c>
      <c r="G313" s="15">
        <v>-0.20699999999999999</v>
      </c>
      <c r="H313" s="15">
        <v>-0.189</v>
      </c>
      <c r="I313" s="15">
        <v>0.189</v>
      </c>
      <c r="J313" t="s">
        <v>412</v>
      </c>
      <c r="K313" t="s">
        <v>589</v>
      </c>
    </row>
    <row r="314" spans="1:11">
      <c r="A314" t="s">
        <v>486</v>
      </c>
      <c r="B314" t="s">
        <v>550</v>
      </c>
      <c r="C314" t="s">
        <v>477</v>
      </c>
      <c r="D314" s="15">
        <v>-0.28399999999999997</v>
      </c>
      <c r="E314" s="15">
        <v>-0.222</v>
      </c>
      <c r="F314" s="15">
        <v>-0.06</v>
      </c>
      <c r="G314" s="15">
        <v>-0.253</v>
      </c>
      <c r="H314" s="15">
        <v>-0.189</v>
      </c>
      <c r="I314" s="15">
        <v>0.189</v>
      </c>
      <c r="J314" t="s">
        <v>412</v>
      </c>
      <c r="K314" t="s">
        <v>589</v>
      </c>
    </row>
    <row r="315" spans="1:11">
      <c r="A315" t="s">
        <v>479</v>
      </c>
      <c r="B315" t="s">
        <v>590</v>
      </c>
      <c r="C315" t="s">
        <v>594</v>
      </c>
      <c r="D315" s="15">
        <v>8.5000000000000006E-2</v>
      </c>
      <c r="E315" s="15">
        <v>0.17899999999999999</v>
      </c>
      <c r="F315" s="15">
        <v>0.29899999999999999</v>
      </c>
      <c r="G315" s="15">
        <v>0.13200000000000001</v>
      </c>
      <c r="H315" s="15">
        <v>0.188</v>
      </c>
      <c r="I315" s="15">
        <v>0.188</v>
      </c>
      <c r="J315" t="s">
        <v>412</v>
      </c>
      <c r="K315" t="s">
        <v>551</v>
      </c>
    </row>
    <row r="316" spans="1:11">
      <c r="A316" t="s">
        <v>573</v>
      </c>
      <c r="B316" t="s">
        <v>517</v>
      </c>
      <c r="C316" t="s">
        <v>584</v>
      </c>
      <c r="D316" s="15">
        <v>0.26500000000000001</v>
      </c>
      <c r="E316" s="15">
        <v>7.4999999999999997E-2</v>
      </c>
      <c r="F316" s="15">
        <v>0.224</v>
      </c>
      <c r="G316" s="15">
        <v>0.17</v>
      </c>
      <c r="H316" s="15">
        <v>0.188</v>
      </c>
      <c r="I316" s="15">
        <v>0.188</v>
      </c>
      <c r="J316" t="s">
        <v>412</v>
      </c>
      <c r="K316" t="s">
        <v>551</v>
      </c>
    </row>
    <row r="317" spans="1:11">
      <c r="A317" t="s">
        <v>577</v>
      </c>
      <c r="B317" t="s">
        <v>588</v>
      </c>
      <c r="C317" t="s">
        <v>584</v>
      </c>
      <c r="D317" s="15">
        <v>0.182</v>
      </c>
      <c r="E317" s="15">
        <v>0.114</v>
      </c>
      <c r="F317" s="15">
        <v>0.26900000000000002</v>
      </c>
      <c r="G317" s="15">
        <v>0.14799999999999999</v>
      </c>
      <c r="H317" s="15">
        <v>0.188</v>
      </c>
      <c r="I317" s="15">
        <v>0.188</v>
      </c>
      <c r="J317" t="s">
        <v>412</v>
      </c>
      <c r="K317" t="s">
        <v>551</v>
      </c>
    </row>
    <row r="318" spans="1:11">
      <c r="A318" t="s">
        <v>547</v>
      </c>
      <c r="B318" t="s">
        <v>569</v>
      </c>
      <c r="C318" t="s">
        <v>583</v>
      </c>
      <c r="D318" s="15">
        <v>-0.03</v>
      </c>
      <c r="E318" s="15">
        <v>-0.14699999999999999</v>
      </c>
      <c r="F318" s="15">
        <v>0.38800000000000001</v>
      </c>
      <c r="G318" s="15">
        <v>-8.8999999999999996E-2</v>
      </c>
      <c r="H318" s="15">
        <v>7.0000000000000007E-2</v>
      </c>
      <c r="I318" s="15">
        <v>0.188</v>
      </c>
      <c r="J318" t="s">
        <v>412</v>
      </c>
      <c r="K318" t="s">
        <v>510</v>
      </c>
    </row>
    <row r="319" spans="1:11">
      <c r="A319" t="s">
        <v>577</v>
      </c>
      <c r="B319" t="s">
        <v>581</v>
      </c>
      <c r="C319" t="s">
        <v>492</v>
      </c>
      <c r="D319" s="15">
        <v>-0.28699999999999998</v>
      </c>
      <c r="E319" s="15">
        <v>-4.5999999999999999E-2</v>
      </c>
      <c r="F319" s="15">
        <v>0.23200000000000001</v>
      </c>
      <c r="G319" s="15">
        <v>-0.16600000000000001</v>
      </c>
      <c r="H319" s="15">
        <v>-3.3000000000000002E-2</v>
      </c>
      <c r="I319" s="15">
        <v>0.188</v>
      </c>
      <c r="J319" t="s">
        <v>412</v>
      </c>
      <c r="K319" t="s">
        <v>510</v>
      </c>
    </row>
    <row r="320" spans="1:11">
      <c r="A320" t="s">
        <v>486</v>
      </c>
      <c r="B320" t="s">
        <v>588</v>
      </c>
      <c r="C320" t="s">
        <v>585</v>
      </c>
      <c r="D320" s="15">
        <v>-0.27</v>
      </c>
      <c r="E320" s="15">
        <v>-8.4000000000000005E-2</v>
      </c>
      <c r="F320" s="15">
        <v>0.21</v>
      </c>
      <c r="G320" s="15">
        <v>-0.17699999999999999</v>
      </c>
      <c r="H320" s="15">
        <v>-4.8000000000000001E-2</v>
      </c>
      <c r="I320" s="15">
        <v>0.188</v>
      </c>
      <c r="J320" t="s">
        <v>412</v>
      </c>
      <c r="K320" t="s">
        <v>510</v>
      </c>
    </row>
    <row r="321" spans="1:11">
      <c r="A321" t="s">
        <v>486</v>
      </c>
      <c r="B321" t="s">
        <v>550</v>
      </c>
      <c r="C321" t="s">
        <v>570</v>
      </c>
      <c r="D321" s="15">
        <v>-0.32400000000000001</v>
      </c>
      <c r="E321" s="15">
        <v>-0.222</v>
      </c>
      <c r="F321" s="15">
        <v>-1.9E-2</v>
      </c>
      <c r="G321" s="15">
        <v>-0.27300000000000002</v>
      </c>
      <c r="H321" s="15">
        <v>-0.188</v>
      </c>
      <c r="I321" s="15">
        <v>0.188</v>
      </c>
      <c r="J321" t="s">
        <v>412</v>
      </c>
      <c r="K321" t="s">
        <v>589</v>
      </c>
    </row>
    <row r="322" spans="1:11">
      <c r="A322" t="s">
        <v>571</v>
      </c>
      <c r="B322" t="s">
        <v>574</v>
      </c>
      <c r="C322" t="s">
        <v>584</v>
      </c>
      <c r="D322" s="15">
        <v>-0.108</v>
      </c>
      <c r="E322" s="15">
        <v>-4.4999999999999998E-2</v>
      </c>
      <c r="F322" s="15">
        <v>-0.41099999999999998</v>
      </c>
      <c r="G322" s="15">
        <v>-7.5999999999999998E-2</v>
      </c>
      <c r="H322" s="15">
        <v>-0.188</v>
      </c>
      <c r="I322" s="15">
        <v>0.188</v>
      </c>
      <c r="J322" t="s">
        <v>412</v>
      </c>
      <c r="K322" t="s">
        <v>589</v>
      </c>
    </row>
    <row r="323" spans="1:11">
      <c r="A323" t="s">
        <v>571</v>
      </c>
      <c r="B323" t="s">
        <v>523</v>
      </c>
      <c r="C323" t="s">
        <v>572</v>
      </c>
      <c r="D323" s="15">
        <v>-0.16300000000000001</v>
      </c>
      <c r="E323" s="15">
        <v>-0.13200000000000001</v>
      </c>
      <c r="F323" s="15">
        <v>-0.26900000000000002</v>
      </c>
      <c r="G323" s="15">
        <v>-0.14799999999999999</v>
      </c>
      <c r="H323" s="15">
        <v>-0.188</v>
      </c>
      <c r="I323" s="15">
        <v>0.188</v>
      </c>
      <c r="J323" t="s">
        <v>412</v>
      </c>
      <c r="K323" t="s">
        <v>589</v>
      </c>
    </row>
    <row r="324" spans="1:11">
      <c r="A324" t="s">
        <v>479</v>
      </c>
      <c r="B324" t="s">
        <v>569</v>
      </c>
      <c r="C324" t="s">
        <v>593</v>
      </c>
      <c r="D324" s="15">
        <v>-8.0000000000000002E-3</v>
      </c>
      <c r="E324" s="15">
        <v>-0.30099999999999999</v>
      </c>
      <c r="F324" s="15">
        <v>0.253</v>
      </c>
      <c r="G324" s="15">
        <v>-0.154</v>
      </c>
      <c r="H324" s="15">
        <v>-1.9E-2</v>
      </c>
      <c r="I324" s="15">
        <v>0.187</v>
      </c>
      <c r="J324" t="s">
        <v>412</v>
      </c>
      <c r="K324" t="s">
        <v>510</v>
      </c>
    </row>
    <row r="325" spans="1:11">
      <c r="A325" t="s">
        <v>486</v>
      </c>
      <c r="B325" t="s">
        <v>523</v>
      </c>
      <c r="C325" t="s">
        <v>570</v>
      </c>
      <c r="D325" s="15">
        <v>-0.32400000000000001</v>
      </c>
      <c r="E325" s="15">
        <v>-0.21099999999999999</v>
      </c>
      <c r="F325" s="15">
        <v>-2.5000000000000001E-2</v>
      </c>
      <c r="G325" s="15">
        <v>-0.26800000000000002</v>
      </c>
      <c r="H325" s="15">
        <v>-0.187</v>
      </c>
      <c r="I325" s="15">
        <v>0.187</v>
      </c>
      <c r="J325" t="s">
        <v>412</v>
      </c>
      <c r="K325" t="s">
        <v>589</v>
      </c>
    </row>
    <row r="326" spans="1:11">
      <c r="A326" t="s">
        <v>577</v>
      </c>
      <c r="B326" t="s">
        <v>590</v>
      </c>
      <c r="C326" t="s">
        <v>582</v>
      </c>
      <c r="D326" s="15">
        <v>0.31900000000000001</v>
      </c>
      <c r="E326" s="15">
        <v>4.4999999999999998E-2</v>
      </c>
      <c r="F326" s="15">
        <v>0.19500000000000001</v>
      </c>
      <c r="G326" s="15">
        <v>0.182</v>
      </c>
      <c r="H326" s="15">
        <v>0.186</v>
      </c>
      <c r="I326" s="15">
        <v>0.186</v>
      </c>
      <c r="J326" t="s">
        <v>412</v>
      </c>
      <c r="K326" t="s">
        <v>551</v>
      </c>
    </row>
    <row r="327" spans="1:11">
      <c r="A327" t="s">
        <v>486</v>
      </c>
      <c r="B327" t="s">
        <v>578</v>
      </c>
      <c r="C327" t="s">
        <v>591</v>
      </c>
      <c r="D327" s="15">
        <v>-0.02</v>
      </c>
      <c r="E327" s="15">
        <v>-0.2</v>
      </c>
      <c r="F327" s="15">
        <v>0.33800000000000002</v>
      </c>
      <c r="G327" s="15">
        <v>-0.11</v>
      </c>
      <c r="H327" s="15">
        <v>3.9E-2</v>
      </c>
      <c r="I327" s="15">
        <v>0.186</v>
      </c>
      <c r="J327" t="s">
        <v>412</v>
      </c>
      <c r="K327" t="s">
        <v>510</v>
      </c>
    </row>
    <row r="328" spans="1:11">
      <c r="A328" t="s">
        <v>573</v>
      </c>
      <c r="B328" t="s">
        <v>499</v>
      </c>
      <c r="C328" t="s">
        <v>492</v>
      </c>
      <c r="D328" s="15">
        <v>-0.16400000000000001</v>
      </c>
      <c r="E328" s="15">
        <v>-8.8999999999999996E-2</v>
      </c>
      <c r="F328" s="15">
        <v>0.30399999999999999</v>
      </c>
      <c r="G328" s="15">
        <v>-0.126</v>
      </c>
      <c r="H328" s="15">
        <v>1.7000000000000001E-2</v>
      </c>
      <c r="I328" s="15">
        <v>0.186</v>
      </c>
      <c r="J328" t="s">
        <v>412</v>
      </c>
      <c r="K328" t="s">
        <v>510</v>
      </c>
    </row>
    <row r="329" spans="1:11">
      <c r="A329" t="s">
        <v>486</v>
      </c>
      <c r="B329" t="s">
        <v>499</v>
      </c>
      <c r="C329" t="s">
        <v>591</v>
      </c>
      <c r="D329" s="15">
        <v>-0.02</v>
      </c>
      <c r="E329" s="15">
        <v>0.28000000000000003</v>
      </c>
      <c r="F329" s="15">
        <v>-0.25700000000000001</v>
      </c>
      <c r="G329" s="15">
        <v>0.13</v>
      </c>
      <c r="H329" s="15">
        <v>1E-3</v>
      </c>
      <c r="I329" s="15">
        <v>0.186</v>
      </c>
      <c r="J329" t="s">
        <v>412</v>
      </c>
      <c r="K329" t="s">
        <v>500</v>
      </c>
    </row>
    <row r="330" spans="1:11">
      <c r="A330" t="s">
        <v>506</v>
      </c>
      <c r="B330" t="s">
        <v>592</v>
      </c>
      <c r="C330" t="s">
        <v>575</v>
      </c>
      <c r="D330" s="15">
        <v>-0.14399999999999999</v>
      </c>
      <c r="E330" s="15">
        <v>-0.30199999999999999</v>
      </c>
      <c r="F330" s="15">
        <v>0.112</v>
      </c>
      <c r="G330" s="15">
        <v>-0.223</v>
      </c>
      <c r="H330" s="15">
        <v>-0.111</v>
      </c>
      <c r="I330" s="15">
        <v>0.186</v>
      </c>
      <c r="J330" t="s">
        <v>412</v>
      </c>
      <c r="K330" t="s">
        <v>510</v>
      </c>
    </row>
    <row r="331" spans="1:11">
      <c r="A331" t="s">
        <v>571</v>
      </c>
      <c r="B331" t="s">
        <v>498</v>
      </c>
      <c r="C331" t="s">
        <v>570</v>
      </c>
      <c r="D331" s="15">
        <v>-0.19700000000000001</v>
      </c>
      <c r="E331" s="15">
        <v>0.11</v>
      </c>
      <c r="F331" s="15">
        <v>-0.252</v>
      </c>
      <c r="G331" s="15">
        <v>-4.3999999999999997E-2</v>
      </c>
      <c r="H331" s="15">
        <v>-0.113</v>
      </c>
      <c r="I331" s="15">
        <v>0.186</v>
      </c>
      <c r="J331" t="s">
        <v>412</v>
      </c>
      <c r="K331" t="s">
        <v>500</v>
      </c>
    </row>
    <row r="332" spans="1:11">
      <c r="A332" t="s">
        <v>506</v>
      </c>
      <c r="B332" t="s">
        <v>499</v>
      </c>
      <c r="C332" t="s">
        <v>593</v>
      </c>
      <c r="D332" s="15">
        <v>-7.1999999999999995E-2</v>
      </c>
      <c r="E332" s="15">
        <v>0.184</v>
      </c>
      <c r="F332" s="15">
        <v>-0.3</v>
      </c>
      <c r="G332" s="15">
        <v>5.6000000000000001E-2</v>
      </c>
      <c r="H332" s="15">
        <v>-6.2E-2</v>
      </c>
      <c r="I332" s="15">
        <v>0.185</v>
      </c>
      <c r="J332" t="s">
        <v>412</v>
      </c>
      <c r="K332" t="s">
        <v>500</v>
      </c>
    </row>
    <row r="333" spans="1:11">
      <c r="A333" t="s">
        <v>576</v>
      </c>
      <c r="B333" t="s">
        <v>581</v>
      </c>
      <c r="C333" t="s">
        <v>570</v>
      </c>
      <c r="D333" s="15">
        <v>-0.222</v>
      </c>
      <c r="E333" s="15">
        <v>0.18</v>
      </c>
      <c r="F333" s="15">
        <v>-0.155</v>
      </c>
      <c r="G333" s="15">
        <v>-2.1000000000000001E-2</v>
      </c>
      <c r="H333" s="15">
        <v>-6.6000000000000003E-2</v>
      </c>
      <c r="I333" s="15">
        <v>0.185</v>
      </c>
      <c r="J333" t="s">
        <v>412</v>
      </c>
      <c r="K333" t="s">
        <v>500</v>
      </c>
    </row>
    <row r="334" spans="1:11">
      <c r="A334" t="s">
        <v>577</v>
      </c>
      <c r="B334" t="s">
        <v>574</v>
      </c>
      <c r="C334" t="s">
        <v>575</v>
      </c>
      <c r="D334" s="15">
        <v>0.14199999999999999</v>
      </c>
      <c r="E334" s="15">
        <v>-4.0000000000000001E-3</v>
      </c>
      <c r="F334" s="15">
        <v>-0.40799999999999997</v>
      </c>
      <c r="G334" s="15">
        <v>6.9000000000000006E-2</v>
      </c>
      <c r="H334" s="15">
        <v>-0.09</v>
      </c>
      <c r="I334" s="15">
        <v>0.185</v>
      </c>
      <c r="J334" t="s">
        <v>412</v>
      </c>
      <c r="K334" t="s">
        <v>579</v>
      </c>
    </row>
    <row r="335" spans="1:11">
      <c r="A335" t="s">
        <v>486</v>
      </c>
      <c r="B335" t="s">
        <v>592</v>
      </c>
      <c r="C335" t="s">
        <v>570</v>
      </c>
      <c r="D335" s="15">
        <v>-0.32400000000000001</v>
      </c>
      <c r="E335" s="15">
        <v>-9.1999999999999998E-2</v>
      </c>
      <c r="F335" s="15">
        <v>0.13900000000000001</v>
      </c>
      <c r="G335" s="15">
        <v>-0.20799999999999999</v>
      </c>
      <c r="H335" s="15">
        <v>-9.1999999999999998E-2</v>
      </c>
      <c r="I335" s="15">
        <v>0.185</v>
      </c>
      <c r="J335" t="s">
        <v>412</v>
      </c>
      <c r="K335" t="s">
        <v>510</v>
      </c>
    </row>
    <row r="336" spans="1:11">
      <c r="A336" t="s">
        <v>573</v>
      </c>
      <c r="B336" t="s">
        <v>498</v>
      </c>
      <c r="C336" t="s">
        <v>570</v>
      </c>
      <c r="D336" s="15">
        <v>-0.17100000000000001</v>
      </c>
      <c r="E336" s="15">
        <v>0.13100000000000001</v>
      </c>
      <c r="F336" s="15">
        <v>-0.252</v>
      </c>
      <c r="G336" s="15">
        <v>-0.02</v>
      </c>
      <c r="H336" s="15">
        <v>-9.7000000000000003E-2</v>
      </c>
      <c r="I336" s="15">
        <v>0.185</v>
      </c>
      <c r="J336" t="s">
        <v>412</v>
      </c>
      <c r="K336" t="s">
        <v>500</v>
      </c>
    </row>
    <row r="337" spans="1:11">
      <c r="A337" t="s">
        <v>479</v>
      </c>
      <c r="B337" t="s">
        <v>523</v>
      </c>
      <c r="C337" t="s">
        <v>492</v>
      </c>
      <c r="D337" s="15">
        <v>5.8999999999999997E-2</v>
      </c>
      <c r="E337" s="15">
        <v>0.06</v>
      </c>
      <c r="F337" s="15">
        <v>-0.436</v>
      </c>
      <c r="G337" s="15">
        <v>5.8999999999999997E-2</v>
      </c>
      <c r="H337" s="15">
        <v>-0.106</v>
      </c>
      <c r="I337" s="15">
        <v>0.185</v>
      </c>
      <c r="J337" t="s">
        <v>412</v>
      </c>
      <c r="K337" t="s">
        <v>493</v>
      </c>
    </row>
    <row r="338" spans="1:11">
      <c r="A338" t="s">
        <v>573</v>
      </c>
      <c r="B338" t="s">
        <v>588</v>
      </c>
      <c r="C338" t="s">
        <v>492</v>
      </c>
      <c r="D338" s="15">
        <v>-0.16400000000000001</v>
      </c>
      <c r="E338" s="15">
        <v>4.9000000000000002E-2</v>
      </c>
      <c r="F338" s="15">
        <v>-0.34300000000000003</v>
      </c>
      <c r="G338" s="15">
        <v>-5.7000000000000002E-2</v>
      </c>
      <c r="H338" s="15">
        <v>-0.153</v>
      </c>
      <c r="I338" s="15">
        <v>0.185</v>
      </c>
      <c r="J338" t="s">
        <v>412</v>
      </c>
      <c r="K338" t="s">
        <v>500</v>
      </c>
    </row>
    <row r="339" spans="1:11">
      <c r="A339" t="s">
        <v>486</v>
      </c>
      <c r="B339" t="s">
        <v>550</v>
      </c>
      <c r="C339" t="s">
        <v>582</v>
      </c>
      <c r="D339" s="15">
        <v>-0.129</v>
      </c>
      <c r="E339" s="15">
        <v>-0.222</v>
      </c>
      <c r="F339" s="15">
        <v>-0.20499999999999999</v>
      </c>
      <c r="G339" s="15">
        <v>-0.17599999999999999</v>
      </c>
      <c r="H339" s="15">
        <v>-0.185</v>
      </c>
      <c r="I339" s="15">
        <v>0.185</v>
      </c>
      <c r="J339" t="s">
        <v>412</v>
      </c>
      <c r="K339" t="s">
        <v>589</v>
      </c>
    </row>
    <row r="340" spans="1:11">
      <c r="A340" t="s">
        <v>506</v>
      </c>
      <c r="B340" t="s">
        <v>588</v>
      </c>
      <c r="C340" t="s">
        <v>477</v>
      </c>
      <c r="D340" s="15">
        <v>0.14399999999999999</v>
      </c>
      <c r="E340" s="15">
        <v>-8.7999999999999995E-2</v>
      </c>
      <c r="F340" s="15">
        <v>0.31900000000000001</v>
      </c>
      <c r="G340" s="15">
        <v>2.8000000000000001E-2</v>
      </c>
      <c r="H340" s="15">
        <v>0.125</v>
      </c>
      <c r="I340" s="15">
        <v>0.184</v>
      </c>
      <c r="J340" t="s">
        <v>412</v>
      </c>
      <c r="K340" t="s">
        <v>480</v>
      </c>
    </row>
    <row r="341" spans="1:11">
      <c r="A341" t="s">
        <v>486</v>
      </c>
      <c r="B341" t="s">
        <v>498</v>
      </c>
      <c r="C341" t="s">
        <v>582</v>
      </c>
      <c r="D341" s="15">
        <v>-0.129</v>
      </c>
      <c r="E341" s="15">
        <v>0.20599999999999999</v>
      </c>
      <c r="F341" s="15">
        <v>0.217</v>
      </c>
      <c r="G341" s="15">
        <v>3.7999999999999999E-2</v>
      </c>
      <c r="H341" s="15">
        <v>9.8000000000000004E-2</v>
      </c>
      <c r="I341" s="15">
        <v>0.184</v>
      </c>
      <c r="J341" t="s">
        <v>412</v>
      </c>
      <c r="K341" t="s">
        <v>487</v>
      </c>
    </row>
    <row r="342" spans="1:11">
      <c r="A342" t="s">
        <v>576</v>
      </c>
      <c r="B342" t="s">
        <v>569</v>
      </c>
      <c r="C342" t="s">
        <v>583</v>
      </c>
      <c r="D342" s="15">
        <v>-0.109</v>
      </c>
      <c r="E342" s="15">
        <v>-5.3999999999999999E-2</v>
      </c>
      <c r="F342" s="15">
        <v>0.38800000000000001</v>
      </c>
      <c r="G342" s="15">
        <v>-8.2000000000000003E-2</v>
      </c>
      <c r="H342" s="15">
        <v>7.4999999999999997E-2</v>
      </c>
      <c r="I342" s="15">
        <v>0.184</v>
      </c>
      <c r="J342" t="s">
        <v>412</v>
      </c>
      <c r="K342" t="s">
        <v>510</v>
      </c>
    </row>
    <row r="343" spans="1:11">
      <c r="A343" t="s">
        <v>573</v>
      </c>
      <c r="B343" t="s">
        <v>587</v>
      </c>
      <c r="C343" t="s">
        <v>572</v>
      </c>
      <c r="D343" s="15">
        <v>-0.20799999999999999</v>
      </c>
      <c r="E343" s="15">
        <v>0.16200000000000001</v>
      </c>
      <c r="F343" s="15">
        <v>0.182</v>
      </c>
      <c r="G343" s="15">
        <v>-2.3E-2</v>
      </c>
      <c r="H343" s="15">
        <v>4.4999999999999998E-2</v>
      </c>
      <c r="I343" s="15">
        <v>0.184</v>
      </c>
      <c r="J343" t="s">
        <v>412</v>
      </c>
      <c r="K343" t="s">
        <v>487</v>
      </c>
    </row>
    <row r="344" spans="1:11">
      <c r="A344" t="s">
        <v>571</v>
      </c>
      <c r="B344" t="s">
        <v>595</v>
      </c>
      <c r="C344" t="s">
        <v>593</v>
      </c>
      <c r="D344" s="15">
        <v>-0.10100000000000001</v>
      </c>
      <c r="E344" s="15">
        <v>0.32600000000000001</v>
      </c>
      <c r="F344" s="15">
        <v>-0.124</v>
      </c>
      <c r="G344" s="15">
        <v>0.113</v>
      </c>
      <c r="H344" s="15">
        <v>3.4000000000000002E-2</v>
      </c>
      <c r="I344" s="15">
        <v>0.184</v>
      </c>
      <c r="J344" t="s">
        <v>412</v>
      </c>
      <c r="K344" t="s">
        <v>500</v>
      </c>
    </row>
    <row r="345" spans="1:11">
      <c r="A345" t="s">
        <v>506</v>
      </c>
      <c r="B345" t="s">
        <v>569</v>
      </c>
      <c r="C345" t="s">
        <v>593</v>
      </c>
      <c r="D345" s="15">
        <v>-7.1999999999999995E-2</v>
      </c>
      <c r="E345" s="15">
        <v>-0.22700000000000001</v>
      </c>
      <c r="F345" s="15">
        <v>0.253</v>
      </c>
      <c r="G345" s="15">
        <v>-0.14899999999999999</v>
      </c>
      <c r="H345" s="15">
        <v>-1.4999999999999999E-2</v>
      </c>
      <c r="I345" s="15">
        <v>0.184</v>
      </c>
      <c r="J345" t="s">
        <v>412</v>
      </c>
      <c r="K345" t="s">
        <v>510</v>
      </c>
    </row>
    <row r="346" spans="1:11">
      <c r="A346" t="s">
        <v>577</v>
      </c>
      <c r="B346" t="s">
        <v>587</v>
      </c>
      <c r="C346" t="s">
        <v>584</v>
      </c>
      <c r="D346" s="15">
        <v>0.182</v>
      </c>
      <c r="E346" s="15">
        <v>-0.15</v>
      </c>
      <c r="F346" s="15">
        <v>-0.221</v>
      </c>
      <c r="G346" s="15">
        <v>1.6E-2</v>
      </c>
      <c r="H346" s="15">
        <v>-6.3E-2</v>
      </c>
      <c r="I346" s="15">
        <v>0.184</v>
      </c>
      <c r="J346" t="s">
        <v>412</v>
      </c>
      <c r="K346" t="s">
        <v>579</v>
      </c>
    </row>
    <row r="347" spans="1:11">
      <c r="A347" t="s">
        <v>506</v>
      </c>
      <c r="B347" t="s">
        <v>569</v>
      </c>
      <c r="C347" t="s">
        <v>477</v>
      </c>
      <c r="D347" s="15">
        <v>0.14399999999999999</v>
      </c>
      <c r="E347" s="15">
        <v>-0.22700000000000001</v>
      </c>
      <c r="F347" s="15">
        <v>-0.18099999999999999</v>
      </c>
      <c r="G347" s="15">
        <v>-4.1000000000000002E-2</v>
      </c>
      <c r="H347" s="15">
        <v>-8.7999999999999995E-2</v>
      </c>
      <c r="I347" s="15">
        <v>0.184</v>
      </c>
      <c r="J347" t="s">
        <v>412</v>
      </c>
      <c r="K347" t="s">
        <v>579</v>
      </c>
    </row>
    <row r="348" spans="1:11">
      <c r="A348" t="s">
        <v>577</v>
      </c>
      <c r="B348" t="s">
        <v>581</v>
      </c>
      <c r="C348" t="s">
        <v>575</v>
      </c>
      <c r="D348" s="15">
        <v>0.14199999999999999</v>
      </c>
      <c r="E348" s="15">
        <v>-4.5999999999999999E-2</v>
      </c>
      <c r="F348" s="15">
        <v>-0.36299999999999999</v>
      </c>
      <c r="G348" s="15">
        <v>4.8000000000000001E-2</v>
      </c>
      <c r="H348" s="15">
        <v>-8.8999999999999996E-2</v>
      </c>
      <c r="I348" s="15">
        <v>0.184</v>
      </c>
      <c r="J348" t="s">
        <v>412</v>
      </c>
      <c r="K348" t="s">
        <v>579</v>
      </c>
    </row>
    <row r="349" spans="1:11">
      <c r="A349" t="s">
        <v>479</v>
      </c>
      <c r="B349" t="s">
        <v>550</v>
      </c>
      <c r="C349" t="s">
        <v>477</v>
      </c>
      <c r="D349" s="15">
        <v>4.5999999999999999E-2</v>
      </c>
      <c r="E349" s="15">
        <v>0.441</v>
      </c>
      <c r="F349" s="15">
        <v>-0.06</v>
      </c>
      <c r="G349" s="15">
        <v>0.24399999999999999</v>
      </c>
      <c r="H349" s="15">
        <v>0.14199999999999999</v>
      </c>
      <c r="I349" s="15">
        <v>0.183</v>
      </c>
      <c r="J349" t="s">
        <v>412</v>
      </c>
      <c r="K349" t="s">
        <v>493</v>
      </c>
    </row>
    <row r="350" spans="1:11">
      <c r="A350" t="s">
        <v>479</v>
      </c>
      <c r="B350" t="s">
        <v>499</v>
      </c>
      <c r="C350" t="s">
        <v>572</v>
      </c>
      <c r="D350" s="15">
        <v>-6.8000000000000005E-2</v>
      </c>
      <c r="E350" s="15">
        <v>6.6000000000000003E-2</v>
      </c>
      <c r="F350" s="15">
        <v>0.41599999999999998</v>
      </c>
      <c r="G350" s="15">
        <v>-1E-3</v>
      </c>
      <c r="H350" s="15">
        <v>0.13800000000000001</v>
      </c>
      <c r="I350" s="15">
        <v>0.183</v>
      </c>
      <c r="J350" t="s">
        <v>412</v>
      </c>
      <c r="K350" t="s">
        <v>487</v>
      </c>
    </row>
    <row r="351" spans="1:11">
      <c r="A351" t="s">
        <v>573</v>
      </c>
      <c r="B351" t="s">
        <v>478</v>
      </c>
      <c r="C351" t="s">
        <v>584</v>
      </c>
      <c r="D351" s="15">
        <v>0.26500000000000001</v>
      </c>
      <c r="E351" s="15">
        <v>-0.20399999999999999</v>
      </c>
      <c r="F351" s="15">
        <v>8.1000000000000003E-2</v>
      </c>
      <c r="G351" s="15">
        <v>3.1E-2</v>
      </c>
      <c r="H351" s="15">
        <v>4.7E-2</v>
      </c>
      <c r="I351" s="15">
        <v>0.183</v>
      </c>
      <c r="J351" t="s">
        <v>412</v>
      </c>
      <c r="K351" t="s">
        <v>480</v>
      </c>
    </row>
    <row r="352" spans="1:11">
      <c r="A352" t="s">
        <v>571</v>
      </c>
      <c r="B352" t="s">
        <v>574</v>
      </c>
      <c r="C352" t="s">
        <v>572</v>
      </c>
      <c r="D352" s="15">
        <v>-0.16300000000000001</v>
      </c>
      <c r="E352" s="15">
        <v>-4.4999999999999998E-2</v>
      </c>
      <c r="F352" s="15">
        <v>0.34</v>
      </c>
      <c r="G352" s="15">
        <v>-0.104</v>
      </c>
      <c r="H352" s="15">
        <v>4.3999999999999997E-2</v>
      </c>
      <c r="I352" s="15">
        <v>0.183</v>
      </c>
      <c r="J352" t="s">
        <v>412</v>
      </c>
      <c r="K352" t="s">
        <v>510</v>
      </c>
    </row>
    <row r="353" spans="1:11">
      <c r="A353" t="s">
        <v>571</v>
      </c>
      <c r="B353" t="s">
        <v>587</v>
      </c>
      <c r="C353" t="s">
        <v>591</v>
      </c>
      <c r="D353" s="15">
        <v>6.6000000000000003E-2</v>
      </c>
      <c r="E353" s="15">
        <v>0.27400000000000002</v>
      </c>
      <c r="F353" s="15">
        <v>-0.20899999999999999</v>
      </c>
      <c r="G353" s="15">
        <v>0.17</v>
      </c>
      <c r="H353" s="15">
        <v>4.3999999999999997E-2</v>
      </c>
      <c r="I353" s="15">
        <v>0.183</v>
      </c>
      <c r="J353" t="s">
        <v>412</v>
      </c>
      <c r="K353" t="s">
        <v>493</v>
      </c>
    </row>
    <row r="354" spans="1:11">
      <c r="A354" t="s">
        <v>576</v>
      </c>
      <c r="B354" t="s">
        <v>578</v>
      </c>
      <c r="C354" t="s">
        <v>591</v>
      </c>
      <c r="D354" s="15">
        <v>-6.5000000000000002E-2</v>
      </c>
      <c r="E354" s="15">
        <v>-0.14499999999999999</v>
      </c>
      <c r="F354" s="15">
        <v>0.33800000000000002</v>
      </c>
      <c r="G354" s="15">
        <v>-0.105</v>
      </c>
      <c r="H354" s="15">
        <v>4.2000000000000003E-2</v>
      </c>
      <c r="I354" s="15">
        <v>0.183</v>
      </c>
      <c r="J354" t="s">
        <v>412</v>
      </c>
      <c r="K354" t="s">
        <v>510</v>
      </c>
    </row>
    <row r="355" spans="1:11">
      <c r="A355" t="s">
        <v>576</v>
      </c>
      <c r="B355" t="s">
        <v>578</v>
      </c>
      <c r="C355" t="s">
        <v>583</v>
      </c>
      <c r="D355" s="15">
        <v>-0.109</v>
      </c>
      <c r="E355" s="15">
        <v>-0.14499999999999999</v>
      </c>
      <c r="F355" s="15">
        <v>0.29499999999999998</v>
      </c>
      <c r="G355" s="15">
        <v>-0.127</v>
      </c>
      <c r="H355" s="15">
        <v>1.2999999999999999E-2</v>
      </c>
      <c r="I355" s="15">
        <v>0.183</v>
      </c>
      <c r="J355" t="s">
        <v>412</v>
      </c>
      <c r="K355" t="s">
        <v>510</v>
      </c>
    </row>
    <row r="356" spans="1:11">
      <c r="A356" t="s">
        <v>573</v>
      </c>
      <c r="B356" t="s">
        <v>569</v>
      </c>
      <c r="C356" t="s">
        <v>584</v>
      </c>
      <c r="D356" s="15">
        <v>0.26500000000000001</v>
      </c>
      <c r="E356" s="15">
        <v>-0.16</v>
      </c>
      <c r="F356" s="15">
        <v>-0.124</v>
      </c>
      <c r="G356" s="15">
        <v>5.1999999999999998E-2</v>
      </c>
      <c r="H356" s="15">
        <v>-6.0000000000000001E-3</v>
      </c>
      <c r="I356" s="15">
        <v>0.183</v>
      </c>
      <c r="J356" t="s">
        <v>412</v>
      </c>
      <c r="K356" t="s">
        <v>579</v>
      </c>
    </row>
    <row r="357" spans="1:11">
      <c r="A357" t="s">
        <v>571</v>
      </c>
      <c r="B357" t="s">
        <v>569</v>
      </c>
      <c r="C357" t="s">
        <v>593</v>
      </c>
      <c r="D357" s="15">
        <v>-0.10100000000000001</v>
      </c>
      <c r="E357" s="15">
        <v>-0.19600000000000001</v>
      </c>
      <c r="F357" s="15">
        <v>0.253</v>
      </c>
      <c r="G357" s="15">
        <v>-0.14799999999999999</v>
      </c>
      <c r="H357" s="15">
        <v>-1.4E-2</v>
      </c>
      <c r="I357" s="15">
        <v>0.183</v>
      </c>
      <c r="J357" t="s">
        <v>412</v>
      </c>
      <c r="K357" t="s">
        <v>510</v>
      </c>
    </row>
    <row r="358" spans="1:11">
      <c r="A358" t="s">
        <v>577</v>
      </c>
      <c r="B358" t="s">
        <v>580</v>
      </c>
      <c r="C358" t="s">
        <v>492</v>
      </c>
      <c r="D358" s="15">
        <v>-0.28699999999999998</v>
      </c>
      <c r="E358" s="15">
        <v>0.01</v>
      </c>
      <c r="F358" s="15">
        <v>-0.254</v>
      </c>
      <c r="G358" s="15">
        <v>-0.13900000000000001</v>
      </c>
      <c r="H358" s="15">
        <v>-0.17699999999999999</v>
      </c>
      <c r="I358" s="15">
        <v>0.183</v>
      </c>
      <c r="J358" t="s">
        <v>412</v>
      </c>
      <c r="K358" t="s">
        <v>500</v>
      </c>
    </row>
    <row r="359" spans="1:11">
      <c r="A359" t="s">
        <v>486</v>
      </c>
      <c r="B359" t="s">
        <v>596</v>
      </c>
      <c r="C359" t="s">
        <v>477</v>
      </c>
      <c r="D359" s="15">
        <v>-0.28399999999999997</v>
      </c>
      <c r="E359" s="15">
        <v>-1E-3</v>
      </c>
      <c r="F359" s="15">
        <v>-0.26400000000000001</v>
      </c>
      <c r="G359" s="15">
        <v>-0.14299999999999999</v>
      </c>
      <c r="H359" s="15">
        <v>-0.183</v>
      </c>
      <c r="I359" s="15">
        <v>0.183</v>
      </c>
      <c r="J359" t="s">
        <v>412</v>
      </c>
      <c r="K359" t="s">
        <v>589</v>
      </c>
    </row>
    <row r="360" spans="1:11">
      <c r="A360" t="s">
        <v>577</v>
      </c>
      <c r="B360" t="s">
        <v>517</v>
      </c>
      <c r="C360" t="s">
        <v>584</v>
      </c>
      <c r="D360" s="15">
        <v>0.182</v>
      </c>
      <c r="E360" s="15">
        <v>0.13900000000000001</v>
      </c>
      <c r="F360" s="15">
        <v>0.224</v>
      </c>
      <c r="G360" s="15">
        <v>0.16</v>
      </c>
      <c r="H360" s="15">
        <v>0.182</v>
      </c>
      <c r="I360" s="15">
        <v>0.182</v>
      </c>
      <c r="J360" t="s">
        <v>412</v>
      </c>
      <c r="K360" t="s">
        <v>551</v>
      </c>
    </row>
    <row r="361" spans="1:11">
      <c r="A361" t="s">
        <v>577</v>
      </c>
      <c r="B361" t="s">
        <v>498</v>
      </c>
      <c r="C361" t="s">
        <v>582</v>
      </c>
      <c r="D361" s="15">
        <v>0.31900000000000001</v>
      </c>
      <c r="E361" s="15">
        <v>-1.2E-2</v>
      </c>
      <c r="F361" s="15">
        <v>0.217</v>
      </c>
      <c r="G361" s="15">
        <v>0.153</v>
      </c>
      <c r="H361" s="15">
        <v>0.17399999999999999</v>
      </c>
      <c r="I361" s="15">
        <v>0.182</v>
      </c>
      <c r="J361" t="s">
        <v>412</v>
      </c>
      <c r="K361" t="s">
        <v>480</v>
      </c>
    </row>
    <row r="362" spans="1:11">
      <c r="A362" t="s">
        <v>573</v>
      </c>
      <c r="B362" t="s">
        <v>509</v>
      </c>
      <c r="C362" t="s">
        <v>582</v>
      </c>
      <c r="D362" s="15">
        <v>0.28599999999999998</v>
      </c>
      <c r="E362" s="15">
        <v>-6.3E-2</v>
      </c>
      <c r="F362" s="15">
        <v>0.19600000000000001</v>
      </c>
      <c r="G362" s="15">
        <v>0.111</v>
      </c>
      <c r="H362" s="15">
        <v>0.13900000000000001</v>
      </c>
      <c r="I362" s="15">
        <v>0.182</v>
      </c>
      <c r="J362" t="s">
        <v>412</v>
      </c>
      <c r="K362" t="s">
        <v>480</v>
      </c>
    </row>
    <row r="363" spans="1:11">
      <c r="A363" t="s">
        <v>576</v>
      </c>
      <c r="B363" t="s">
        <v>499</v>
      </c>
      <c r="C363" t="s">
        <v>572</v>
      </c>
      <c r="D363" s="15">
        <v>-5.8999999999999997E-2</v>
      </c>
      <c r="E363" s="15">
        <v>-7.0999999999999994E-2</v>
      </c>
      <c r="F363" s="15">
        <v>0.41599999999999998</v>
      </c>
      <c r="G363" s="15">
        <v>-6.5000000000000002E-2</v>
      </c>
      <c r="H363" s="15">
        <v>9.5000000000000001E-2</v>
      </c>
      <c r="I363" s="15">
        <v>0.182</v>
      </c>
      <c r="J363" t="s">
        <v>412</v>
      </c>
      <c r="K363" t="s">
        <v>510</v>
      </c>
    </row>
    <row r="364" spans="1:11">
      <c r="A364" t="s">
        <v>547</v>
      </c>
      <c r="B364" t="s">
        <v>478</v>
      </c>
      <c r="C364" t="s">
        <v>575</v>
      </c>
      <c r="D364" s="15">
        <v>-6.8000000000000005E-2</v>
      </c>
      <c r="E364" s="15">
        <v>-9.4E-2</v>
      </c>
      <c r="F364" s="15">
        <v>0.38500000000000001</v>
      </c>
      <c r="G364" s="15">
        <v>-8.1000000000000003E-2</v>
      </c>
      <c r="H364" s="15">
        <v>7.3999999999999996E-2</v>
      </c>
      <c r="I364" s="15">
        <v>0.182</v>
      </c>
      <c r="J364" t="s">
        <v>412</v>
      </c>
      <c r="K364" t="s">
        <v>510</v>
      </c>
    </row>
    <row r="365" spans="1:11">
      <c r="A365" t="s">
        <v>577</v>
      </c>
      <c r="B365" t="s">
        <v>598</v>
      </c>
      <c r="C365" t="s">
        <v>582</v>
      </c>
      <c r="D365" s="15">
        <v>0.31900000000000001</v>
      </c>
      <c r="E365" s="15">
        <v>-0.188</v>
      </c>
      <c r="F365" s="15">
        <v>-4.1000000000000002E-2</v>
      </c>
      <c r="G365" s="15">
        <v>6.5000000000000002E-2</v>
      </c>
      <c r="H365" s="15">
        <v>0.03</v>
      </c>
      <c r="I365" s="15">
        <v>0.182</v>
      </c>
      <c r="J365" t="s">
        <v>412</v>
      </c>
      <c r="K365" t="s">
        <v>579</v>
      </c>
    </row>
    <row r="366" spans="1:11">
      <c r="A366" t="s">
        <v>577</v>
      </c>
      <c r="B366" t="s">
        <v>499</v>
      </c>
      <c r="C366" t="s">
        <v>584</v>
      </c>
      <c r="D366" s="15">
        <v>0.182</v>
      </c>
      <c r="E366" s="15">
        <v>-1.2E-2</v>
      </c>
      <c r="F366" s="15">
        <v>-0.35199999999999998</v>
      </c>
      <c r="G366" s="15">
        <v>8.5000000000000006E-2</v>
      </c>
      <c r="H366" s="15">
        <v>-6.0999999999999999E-2</v>
      </c>
      <c r="I366" s="15">
        <v>0.182</v>
      </c>
      <c r="J366" t="s">
        <v>412</v>
      </c>
      <c r="K366" t="s">
        <v>579</v>
      </c>
    </row>
    <row r="367" spans="1:11">
      <c r="A367" t="s">
        <v>547</v>
      </c>
      <c r="B367" t="s">
        <v>574</v>
      </c>
      <c r="C367" t="s">
        <v>584</v>
      </c>
      <c r="D367" s="15">
        <v>0.112</v>
      </c>
      <c r="E367" s="15">
        <v>-2.4E-2</v>
      </c>
      <c r="F367" s="15">
        <v>-0.41099999999999998</v>
      </c>
      <c r="G367" s="15">
        <v>4.3999999999999997E-2</v>
      </c>
      <c r="H367" s="15">
        <v>-0.108</v>
      </c>
      <c r="I367" s="15">
        <v>0.182</v>
      </c>
      <c r="J367" t="s">
        <v>412</v>
      </c>
      <c r="K367" t="s">
        <v>579</v>
      </c>
    </row>
    <row r="368" spans="1:11">
      <c r="A368" t="s">
        <v>479</v>
      </c>
      <c r="B368" t="s">
        <v>498</v>
      </c>
      <c r="C368" t="s">
        <v>575</v>
      </c>
      <c r="D368" s="15">
        <v>-0.22500000000000001</v>
      </c>
      <c r="E368" s="15">
        <v>7.6999999999999999E-2</v>
      </c>
      <c r="F368" s="15">
        <v>-0.24399999999999999</v>
      </c>
      <c r="G368" s="15">
        <v>-7.3999999999999996E-2</v>
      </c>
      <c r="H368" s="15">
        <v>-0.13</v>
      </c>
      <c r="I368" s="15">
        <v>0.182</v>
      </c>
      <c r="J368" t="s">
        <v>412</v>
      </c>
      <c r="K368" t="s">
        <v>500</v>
      </c>
    </row>
    <row r="369" spans="1:11">
      <c r="A369" t="s">
        <v>479</v>
      </c>
      <c r="B369" t="s">
        <v>499</v>
      </c>
      <c r="C369" t="s">
        <v>575</v>
      </c>
      <c r="D369" s="15">
        <v>-0.22500000000000001</v>
      </c>
      <c r="E369" s="15">
        <v>6.6000000000000003E-2</v>
      </c>
      <c r="F369" s="15">
        <v>-0.254</v>
      </c>
      <c r="G369" s="15">
        <v>-7.9000000000000001E-2</v>
      </c>
      <c r="H369" s="15">
        <v>-0.13800000000000001</v>
      </c>
      <c r="I369" s="15">
        <v>0.182</v>
      </c>
      <c r="J369" t="s">
        <v>412</v>
      </c>
      <c r="K369" t="s">
        <v>500</v>
      </c>
    </row>
    <row r="370" spans="1:11">
      <c r="A370" t="s">
        <v>573</v>
      </c>
      <c r="B370" t="s">
        <v>578</v>
      </c>
      <c r="C370" t="s">
        <v>584</v>
      </c>
      <c r="D370" s="15">
        <v>0.26500000000000001</v>
      </c>
      <c r="E370" s="15">
        <v>4.8000000000000001E-2</v>
      </c>
      <c r="F370" s="15">
        <v>0.23100000000000001</v>
      </c>
      <c r="G370" s="15">
        <v>0.157</v>
      </c>
      <c r="H370" s="15">
        <v>0.18099999999999999</v>
      </c>
      <c r="I370" s="15">
        <v>0.18099999999999999</v>
      </c>
      <c r="J370" t="s">
        <v>412</v>
      </c>
      <c r="K370" t="s">
        <v>551</v>
      </c>
    </row>
    <row r="371" spans="1:11">
      <c r="A371" t="s">
        <v>577</v>
      </c>
      <c r="B371" t="s">
        <v>587</v>
      </c>
      <c r="C371" t="s">
        <v>582</v>
      </c>
      <c r="D371" s="15">
        <v>0.31900000000000001</v>
      </c>
      <c r="E371" s="15">
        <v>-0.15</v>
      </c>
      <c r="F371" s="15">
        <v>7.2999999999999995E-2</v>
      </c>
      <c r="G371" s="15">
        <v>8.4000000000000005E-2</v>
      </c>
      <c r="H371" s="15">
        <v>8.1000000000000003E-2</v>
      </c>
      <c r="I371" s="15">
        <v>0.18099999999999999</v>
      </c>
      <c r="J371" t="s">
        <v>412</v>
      </c>
      <c r="K371" t="s">
        <v>480</v>
      </c>
    </row>
    <row r="372" spans="1:11">
      <c r="A372" t="s">
        <v>479</v>
      </c>
      <c r="B372" t="s">
        <v>596</v>
      </c>
      <c r="C372" t="s">
        <v>591</v>
      </c>
      <c r="D372" s="15">
        <v>9.4E-2</v>
      </c>
      <c r="E372" s="15">
        <v>0.28599999999999998</v>
      </c>
      <c r="F372" s="15">
        <v>-0.16300000000000001</v>
      </c>
      <c r="G372" s="15">
        <v>0.19</v>
      </c>
      <c r="H372" s="15">
        <v>7.1999999999999995E-2</v>
      </c>
      <c r="I372" s="15">
        <v>0.18099999999999999</v>
      </c>
      <c r="J372" t="s">
        <v>412</v>
      </c>
      <c r="K372" t="s">
        <v>493</v>
      </c>
    </row>
    <row r="373" spans="1:11">
      <c r="A373" t="s">
        <v>547</v>
      </c>
      <c r="B373" t="s">
        <v>581</v>
      </c>
      <c r="C373" t="s">
        <v>584</v>
      </c>
      <c r="D373" s="15">
        <v>0.112</v>
      </c>
      <c r="E373" s="15">
        <v>0.23699999999999999</v>
      </c>
      <c r="F373" s="15">
        <v>-0.193</v>
      </c>
      <c r="G373" s="15">
        <v>0.17499999999999999</v>
      </c>
      <c r="H373" s="15">
        <v>5.1999999999999998E-2</v>
      </c>
      <c r="I373" s="15">
        <v>0.18099999999999999</v>
      </c>
      <c r="J373" t="s">
        <v>412</v>
      </c>
      <c r="K373" t="s">
        <v>493</v>
      </c>
    </row>
    <row r="374" spans="1:11">
      <c r="A374" t="s">
        <v>506</v>
      </c>
      <c r="B374" t="s">
        <v>569</v>
      </c>
      <c r="C374" t="s">
        <v>591</v>
      </c>
      <c r="D374" s="15">
        <v>0.20899999999999999</v>
      </c>
      <c r="E374" s="15">
        <v>-0.22700000000000001</v>
      </c>
      <c r="F374" s="15">
        <v>-0.106</v>
      </c>
      <c r="G374" s="15">
        <v>-8.9999999999999993E-3</v>
      </c>
      <c r="H374" s="15">
        <v>-4.1000000000000002E-2</v>
      </c>
      <c r="I374" s="15">
        <v>0.18099999999999999</v>
      </c>
      <c r="J374" t="s">
        <v>412</v>
      </c>
      <c r="K374" t="s">
        <v>579</v>
      </c>
    </row>
    <row r="375" spans="1:11">
      <c r="A375" t="s">
        <v>547</v>
      </c>
      <c r="B375" t="s">
        <v>587</v>
      </c>
      <c r="C375" t="s">
        <v>570</v>
      </c>
      <c r="D375" s="15">
        <v>-0.14799999999999999</v>
      </c>
      <c r="E375" s="15">
        <v>0.13</v>
      </c>
      <c r="F375" s="15">
        <v>-0.26500000000000001</v>
      </c>
      <c r="G375" s="15">
        <v>-8.9999999999999993E-3</v>
      </c>
      <c r="H375" s="15">
        <v>-9.4E-2</v>
      </c>
      <c r="I375" s="15">
        <v>0.18099999999999999</v>
      </c>
      <c r="J375" t="s">
        <v>412</v>
      </c>
      <c r="K375" t="s">
        <v>500</v>
      </c>
    </row>
    <row r="376" spans="1:11">
      <c r="A376" t="s">
        <v>573</v>
      </c>
      <c r="B376" t="s">
        <v>587</v>
      </c>
      <c r="C376" t="s">
        <v>594</v>
      </c>
      <c r="D376" s="15">
        <v>0.13700000000000001</v>
      </c>
      <c r="E376" s="15">
        <v>0.16200000000000001</v>
      </c>
      <c r="F376" s="15">
        <v>0.24</v>
      </c>
      <c r="G376" s="15">
        <v>0.15</v>
      </c>
      <c r="H376" s="15">
        <v>0.18</v>
      </c>
      <c r="I376" s="15">
        <v>0.18</v>
      </c>
      <c r="J376" t="s">
        <v>412</v>
      </c>
      <c r="K376" t="s">
        <v>551</v>
      </c>
    </row>
    <row r="377" spans="1:11">
      <c r="A377" t="s">
        <v>577</v>
      </c>
      <c r="B377" t="s">
        <v>580</v>
      </c>
      <c r="C377" t="s">
        <v>477</v>
      </c>
      <c r="D377" s="15">
        <v>0.246</v>
      </c>
      <c r="E377" s="15">
        <v>0.01</v>
      </c>
      <c r="F377" s="15">
        <v>0.28399999999999997</v>
      </c>
      <c r="G377" s="15">
        <v>0.128</v>
      </c>
      <c r="H377" s="15">
        <v>0.18</v>
      </c>
      <c r="I377" s="15">
        <v>0.18</v>
      </c>
      <c r="J377" t="s">
        <v>412</v>
      </c>
      <c r="K377" t="s">
        <v>551</v>
      </c>
    </row>
    <row r="378" spans="1:11">
      <c r="A378" t="s">
        <v>547</v>
      </c>
      <c r="B378" t="s">
        <v>581</v>
      </c>
      <c r="C378" t="s">
        <v>570</v>
      </c>
      <c r="D378" s="15">
        <v>-0.14799999999999999</v>
      </c>
      <c r="E378" s="15">
        <v>0.23699999999999999</v>
      </c>
      <c r="F378" s="15">
        <v>-0.155</v>
      </c>
      <c r="G378" s="15">
        <v>4.3999999999999997E-2</v>
      </c>
      <c r="H378" s="15">
        <v>-2.1999999999999999E-2</v>
      </c>
      <c r="I378" s="15">
        <v>0.18</v>
      </c>
      <c r="J378" t="s">
        <v>412</v>
      </c>
      <c r="K378" t="s">
        <v>500</v>
      </c>
    </row>
    <row r="379" spans="1:11">
      <c r="A379" t="s">
        <v>479</v>
      </c>
      <c r="B379" t="s">
        <v>478</v>
      </c>
      <c r="C379" t="s">
        <v>591</v>
      </c>
      <c r="D379" s="15">
        <v>9.4E-2</v>
      </c>
      <c r="E379" s="15">
        <v>-0.41199999999999998</v>
      </c>
      <c r="F379" s="15">
        <v>3.4000000000000002E-2</v>
      </c>
      <c r="G379" s="15">
        <v>-0.159</v>
      </c>
      <c r="H379" s="15">
        <v>-9.5000000000000001E-2</v>
      </c>
      <c r="I379" s="15">
        <v>0.18</v>
      </c>
      <c r="J379" t="s">
        <v>412</v>
      </c>
      <c r="K379" t="s">
        <v>480</v>
      </c>
    </row>
    <row r="380" spans="1:11">
      <c r="A380" t="s">
        <v>479</v>
      </c>
      <c r="B380" t="s">
        <v>587</v>
      </c>
      <c r="C380" t="s">
        <v>570</v>
      </c>
      <c r="D380" s="15">
        <v>-0.26900000000000002</v>
      </c>
      <c r="E380" s="15">
        <v>-7.0000000000000001E-3</v>
      </c>
      <c r="F380" s="15">
        <v>-0.26500000000000001</v>
      </c>
      <c r="G380" s="15">
        <v>-0.13800000000000001</v>
      </c>
      <c r="H380" s="15">
        <v>-0.18</v>
      </c>
      <c r="I380" s="15">
        <v>0.18</v>
      </c>
      <c r="J380" t="s">
        <v>412</v>
      </c>
      <c r="K380" t="s">
        <v>589</v>
      </c>
    </row>
    <row r="381" spans="1:11">
      <c r="A381" t="s">
        <v>547</v>
      </c>
      <c r="B381" t="s">
        <v>523</v>
      </c>
      <c r="C381" t="s">
        <v>492</v>
      </c>
      <c r="D381" s="15">
        <v>-6.6000000000000003E-2</v>
      </c>
      <c r="E381" s="15">
        <v>-3.6999999999999998E-2</v>
      </c>
      <c r="F381" s="15">
        <v>-0.436</v>
      </c>
      <c r="G381" s="15">
        <v>-5.1999999999999998E-2</v>
      </c>
      <c r="H381" s="15">
        <v>-0.18</v>
      </c>
      <c r="I381" s="15">
        <v>0.18</v>
      </c>
      <c r="J381" t="s">
        <v>412</v>
      </c>
      <c r="K381" t="s">
        <v>589</v>
      </c>
    </row>
    <row r="382" spans="1:11">
      <c r="A382" t="s">
        <v>576</v>
      </c>
      <c r="B382" t="s">
        <v>499</v>
      </c>
      <c r="C382" t="s">
        <v>570</v>
      </c>
      <c r="D382" s="15">
        <v>-0.222</v>
      </c>
      <c r="E382" s="15">
        <v>-7.0999999999999994E-2</v>
      </c>
      <c r="F382" s="15">
        <v>-0.246</v>
      </c>
      <c r="G382" s="15">
        <v>-0.14599999999999999</v>
      </c>
      <c r="H382" s="15">
        <v>-0.18</v>
      </c>
      <c r="I382" s="15">
        <v>0.18</v>
      </c>
      <c r="J382" t="s">
        <v>412</v>
      </c>
      <c r="K382" t="s">
        <v>589</v>
      </c>
    </row>
    <row r="383" spans="1:11">
      <c r="A383" t="s">
        <v>486</v>
      </c>
      <c r="B383" t="s">
        <v>478</v>
      </c>
      <c r="C383" t="s">
        <v>572</v>
      </c>
      <c r="D383" s="15">
        <v>0.43</v>
      </c>
      <c r="E383" s="15">
        <v>0.104</v>
      </c>
      <c r="F383" s="15">
        <v>4.0000000000000001E-3</v>
      </c>
      <c r="G383" s="15">
        <v>0.26700000000000002</v>
      </c>
      <c r="H383" s="15">
        <v>0.17899999999999999</v>
      </c>
      <c r="I383" s="15">
        <v>0.17899999999999999</v>
      </c>
      <c r="J383" t="s">
        <v>412</v>
      </c>
      <c r="K383" t="s">
        <v>551</v>
      </c>
    </row>
    <row r="384" spans="1:11">
      <c r="A384" t="s">
        <v>506</v>
      </c>
      <c r="B384" t="s">
        <v>590</v>
      </c>
      <c r="C384" t="s">
        <v>582</v>
      </c>
      <c r="D384" s="15">
        <v>0.34100000000000003</v>
      </c>
      <c r="E384" s="15">
        <v>1E-3</v>
      </c>
      <c r="F384" s="15">
        <v>0.19500000000000001</v>
      </c>
      <c r="G384" s="15">
        <v>0.17100000000000001</v>
      </c>
      <c r="H384" s="15">
        <v>0.17899999999999999</v>
      </c>
      <c r="I384" s="15">
        <v>0.17899999999999999</v>
      </c>
      <c r="J384" t="s">
        <v>412</v>
      </c>
      <c r="K384" t="s">
        <v>551</v>
      </c>
    </row>
    <row r="385" spans="1:11">
      <c r="A385" t="s">
        <v>576</v>
      </c>
      <c r="B385" t="s">
        <v>588</v>
      </c>
      <c r="C385" t="s">
        <v>575</v>
      </c>
      <c r="D385" s="15">
        <v>-0.17100000000000001</v>
      </c>
      <c r="E385" s="15">
        <v>0.124</v>
      </c>
      <c r="F385" s="15">
        <v>0.24299999999999999</v>
      </c>
      <c r="G385" s="15">
        <v>-2.3E-2</v>
      </c>
      <c r="H385" s="15">
        <v>6.5000000000000002E-2</v>
      </c>
      <c r="I385" s="15">
        <v>0.17899999999999999</v>
      </c>
      <c r="J385" t="s">
        <v>412</v>
      </c>
      <c r="K385" t="s">
        <v>487</v>
      </c>
    </row>
    <row r="386" spans="1:11">
      <c r="A386" t="s">
        <v>506</v>
      </c>
      <c r="B386" t="s">
        <v>505</v>
      </c>
      <c r="C386" t="s">
        <v>582</v>
      </c>
      <c r="D386" s="15">
        <v>0.34100000000000003</v>
      </c>
      <c r="E386" s="15">
        <v>-6.5000000000000002E-2</v>
      </c>
      <c r="F386" s="15">
        <v>-0.13200000000000001</v>
      </c>
      <c r="G386" s="15">
        <v>0.13800000000000001</v>
      </c>
      <c r="H386" s="15">
        <v>4.8000000000000001E-2</v>
      </c>
      <c r="I386" s="15">
        <v>0.17899999999999999</v>
      </c>
      <c r="J386" t="s">
        <v>412</v>
      </c>
      <c r="K386" t="s">
        <v>579</v>
      </c>
    </row>
    <row r="387" spans="1:11">
      <c r="A387" t="s">
        <v>577</v>
      </c>
      <c r="B387" t="s">
        <v>499</v>
      </c>
      <c r="C387" t="s">
        <v>477</v>
      </c>
      <c r="D387" s="15">
        <v>0.246</v>
      </c>
      <c r="E387" s="15">
        <v>-1.2E-2</v>
      </c>
      <c r="F387" s="15">
        <v>-0.28000000000000003</v>
      </c>
      <c r="G387" s="15">
        <v>0.11700000000000001</v>
      </c>
      <c r="H387" s="15">
        <v>-1.6E-2</v>
      </c>
      <c r="I387" s="15">
        <v>0.17899999999999999</v>
      </c>
      <c r="J387" t="s">
        <v>412</v>
      </c>
      <c r="K387" t="s">
        <v>579</v>
      </c>
    </row>
    <row r="388" spans="1:11">
      <c r="A388" t="s">
        <v>506</v>
      </c>
      <c r="B388" t="s">
        <v>586</v>
      </c>
      <c r="C388" t="s">
        <v>492</v>
      </c>
      <c r="D388" s="15">
        <v>-0.17399999999999999</v>
      </c>
      <c r="E388" s="15">
        <v>0.16400000000000001</v>
      </c>
      <c r="F388" s="15">
        <v>-0.20100000000000001</v>
      </c>
      <c r="G388" s="15">
        <v>-5.0000000000000001E-3</v>
      </c>
      <c r="H388" s="15">
        <v>-7.0000000000000007E-2</v>
      </c>
      <c r="I388" s="15">
        <v>0.17899999999999999</v>
      </c>
      <c r="J388" t="s">
        <v>412</v>
      </c>
      <c r="K388" t="s">
        <v>500</v>
      </c>
    </row>
    <row r="389" spans="1:11">
      <c r="A389" t="s">
        <v>479</v>
      </c>
      <c r="B389" t="s">
        <v>478</v>
      </c>
      <c r="C389" t="s">
        <v>477</v>
      </c>
      <c r="D389" s="15">
        <v>4.5999999999999999E-2</v>
      </c>
      <c r="E389" s="15">
        <v>-0.41199999999999998</v>
      </c>
      <c r="F389" s="15">
        <v>7.6999999999999999E-2</v>
      </c>
      <c r="G389" s="15">
        <v>-0.183</v>
      </c>
      <c r="H389" s="15">
        <v>-9.6000000000000002E-2</v>
      </c>
      <c r="I389" s="15">
        <v>0.17899999999999999</v>
      </c>
      <c r="J389" t="s">
        <v>412</v>
      </c>
      <c r="K389" t="s">
        <v>480</v>
      </c>
    </row>
    <row r="390" spans="1:11">
      <c r="A390" t="s">
        <v>547</v>
      </c>
      <c r="B390" t="s">
        <v>499</v>
      </c>
      <c r="C390" t="s">
        <v>584</v>
      </c>
      <c r="D390" s="15">
        <v>0.112</v>
      </c>
      <c r="E390" s="15">
        <v>-7.0999999999999994E-2</v>
      </c>
      <c r="F390" s="15">
        <v>-0.35199999999999998</v>
      </c>
      <c r="G390" s="15">
        <v>0.02</v>
      </c>
      <c r="H390" s="15">
        <v>-0.104</v>
      </c>
      <c r="I390" s="15">
        <v>0.17899999999999999</v>
      </c>
      <c r="J390" t="s">
        <v>412</v>
      </c>
      <c r="K390" t="s">
        <v>579</v>
      </c>
    </row>
    <row r="391" spans="1:11">
      <c r="A391" t="s">
        <v>506</v>
      </c>
      <c r="B391" t="s">
        <v>581</v>
      </c>
      <c r="C391" t="s">
        <v>575</v>
      </c>
      <c r="D391" s="15">
        <v>-0.14399999999999999</v>
      </c>
      <c r="E391" s="15">
        <v>-0.03</v>
      </c>
      <c r="F391" s="15">
        <v>-0.36299999999999999</v>
      </c>
      <c r="G391" s="15">
        <v>-8.6999999999999994E-2</v>
      </c>
      <c r="H391" s="15">
        <v>-0.17899999999999999</v>
      </c>
      <c r="I391" s="15">
        <v>0.17899999999999999</v>
      </c>
      <c r="J391" t="s">
        <v>412</v>
      </c>
      <c r="K391" t="s">
        <v>589</v>
      </c>
    </row>
    <row r="392" spans="1:11">
      <c r="A392" t="s">
        <v>571</v>
      </c>
      <c r="B392" t="s">
        <v>578</v>
      </c>
      <c r="C392" t="s">
        <v>492</v>
      </c>
      <c r="D392" s="15">
        <v>-6.5000000000000002E-2</v>
      </c>
      <c r="E392" s="15">
        <v>-5.3999999999999999E-2</v>
      </c>
      <c r="F392" s="15">
        <v>-0.41899999999999998</v>
      </c>
      <c r="G392" s="15">
        <v>-0.06</v>
      </c>
      <c r="H392" s="15">
        <v>-0.17899999999999999</v>
      </c>
      <c r="I392" s="15">
        <v>0.17899999999999999</v>
      </c>
      <c r="J392" t="s">
        <v>412</v>
      </c>
      <c r="K392" t="s">
        <v>589</v>
      </c>
    </row>
    <row r="393" spans="1:11">
      <c r="A393" t="s">
        <v>576</v>
      </c>
      <c r="B393" t="s">
        <v>499</v>
      </c>
      <c r="C393" t="s">
        <v>583</v>
      </c>
      <c r="D393" s="15">
        <v>-0.109</v>
      </c>
      <c r="E393" s="15">
        <v>-7.0999999999999994E-2</v>
      </c>
      <c r="F393" s="15">
        <v>-0.35499999999999998</v>
      </c>
      <c r="G393" s="15">
        <v>-0.09</v>
      </c>
      <c r="H393" s="15">
        <v>-0.17899999999999999</v>
      </c>
      <c r="I393" s="15">
        <v>0.17899999999999999</v>
      </c>
      <c r="J393" t="s">
        <v>412</v>
      </c>
      <c r="K393" t="s">
        <v>589</v>
      </c>
    </row>
    <row r="394" spans="1:11">
      <c r="A394" t="s">
        <v>547</v>
      </c>
      <c r="B394" t="s">
        <v>581</v>
      </c>
      <c r="C394" t="s">
        <v>492</v>
      </c>
      <c r="D394" s="15">
        <v>-6.6000000000000003E-2</v>
      </c>
      <c r="E394" s="15">
        <v>0.23699999999999999</v>
      </c>
      <c r="F394" s="15">
        <v>0.23200000000000001</v>
      </c>
      <c r="G394" s="15">
        <v>8.5000000000000006E-2</v>
      </c>
      <c r="H394" s="15">
        <v>0.13400000000000001</v>
      </c>
      <c r="I394" s="15">
        <v>0.17799999999999999</v>
      </c>
      <c r="J394" t="s">
        <v>412</v>
      </c>
      <c r="K394" t="s">
        <v>487</v>
      </c>
    </row>
    <row r="395" spans="1:11">
      <c r="A395" t="s">
        <v>573</v>
      </c>
      <c r="B395" t="s">
        <v>581</v>
      </c>
      <c r="C395" t="s">
        <v>584</v>
      </c>
      <c r="D395" s="15">
        <v>0.26500000000000001</v>
      </c>
      <c r="E395" s="15">
        <v>7.3999999999999996E-2</v>
      </c>
      <c r="F395" s="15">
        <v>-0.193</v>
      </c>
      <c r="G395" s="15">
        <v>0.17</v>
      </c>
      <c r="H395" s="15">
        <v>4.9000000000000002E-2</v>
      </c>
      <c r="I395" s="15">
        <v>0.17799999999999999</v>
      </c>
      <c r="J395" t="s">
        <v>412</v>
      </c>
      <c r="K395" t="s">
        <v>493</v>
      </c>
    </row>
    <row r="396" spans="1:11">
      <c r="A396" t="s">
        <v>547</v>
      </c>
      <c r="B396" t="s">
        <v>581</v>
      </c>
      <c r="C396" t="s">
        <v>477</v>
      </c>
      <c r="D396" s="15">
        <v>6.4000000000000001E-2</v>
      </c>
      <c r="E396" s="15">
        <v>0.23699999999999999</v>
      </c>
      <c r="F396" s="15">
        <v>-0.23400000000000001</v>
      </c>
      <c r="G396" s="15">
        <v>0.15</v>
      </c>
      <c r="H396" s="15">
        <v>2.1999999999999999E-2</v>
      </c>
      <c r="I396" s="15">
        <v>0.17799999999999999</v>
      </c>
      <c r="J396" t="s">
        <v>412</v>
      </c>
      <c r="K396" t="s">
        <v>493</v>
      </c>
    </row>
    <row r="397" spans="1:11">
      <c r="A397" t="s">
        <v>486</v>
      </c>
      <c r="B397" t="s">
        <v>590</v>
      </c>
      <c r="C397" t="s">
        <v>575</v>
      </c>
      <c r="D397" s="15">
        <v>-0.41299999999999998</v>
      </c>
      <c r="E397" s="15">
        <v>-0.106</v>
      </c>
      <c r="F397" s="15">
        <v>1.2999999999999999E-2</v>
      </c>
      <c r="G397" s="15">
        <v>-0.26</v>
      </c>
      <c r="H397" s="15">
        <v>-0.16900000000000001</v>
      </c>
      <c r="I397" s="15">
        <v>0.17799999999999999</v>
      </c>
      <c r="J397" t="s">
        <v>412</v>
      </c>
      <c r="K397" t="s">
        <v>510</v>
      </c>
    </row>
    <row r="398" spans="1:11">
      <c r="A398" t="s">
        <v>573</v>
      </c>
      <c r="B398" t="s">
        <v>596</v>
      </c>
      <c r="C398" t="s">
        <v>584</v>
      </c>
      <c r="D398" s="15">
        <v>0.26500000000000001</v>
      </c>
      <c r="E398" s="15">
        <v>0.02</v>
      </c>
      <c r="F398" s="15">
        <v>0.245</v>
      </c>
      <c r="G398" s="15">
        <v>0.14299999999999999</v>
      </c>
      <c r="H398" s="15">
        <v>0.17699999999999999</v>
      </c>
      <c r="I398" s="15">
        <v>0.17699999999999999</v>
      </c>
      <c r="J398" t="s">
        <v>412</v>
      </c>
      <c r="K398" t="s">
        <v>551</v>
      </c>
    </row>
    <row r="399" spans="1:11">
      <c r="A399" t="s">
        <v>577</v>
      </c>
      <c r="B399" t="s">
        <v>578</v>
      </c>
      <c r="C399" t="s">
        <v>585</v>
      </c>
      <c r="D399" s="15">
        <v>-6.0000000000000001E-3</v>
      </c>
      <c r="E399" s="15">
        <v>0.23799999999999999</v>
      </c>
      <c r="F399" s="15">
        <v>0.28799999999999998</v>
      </c>
      <c r="G399" s="15">
        <v>0.11600000000000001</v>
      </c>
      <c r="H399" s="15">
        <v>0.17299999999999999</v>
      </c>
      <c r="I399" s="15">
        <v>0.17699999999999999</v>
      </c>
      <c r="J399" t="s">
        <v>412</v>
      </c>
      <c r="K399" t="s">
        <v>487</v>
      </c>
    </row>
    <row r="400" spans="1:11">
      <c r="A400" t="s">
        <v>486</v>
      </c>
      <c r="B400" t="s">
        <v>574</v>
      </c>
      <c r="C400" t="s">
        <v>594</v>
      </c>
      <c r="D400" s="15">
        <v>-9.7000000000000003E-2</v>
      </c>
      <c r="E400" s="15">
        <v>0.26200000000000001</v>
      </c>
      <c r="F400" s="15">
        <v>-0.17299999999999999</v>
      </c>
      <c r="G400" s="15">
        <v>8.3000000000000004E-2</v>
      </c>
      <c r="H400" s="15">
        <v>-2E-3</v>
      </c>
      <c r="I400" s="15">
        <v>0.17699999999999999</v>
      </c>
      <c r="J400" t="s">
        <v>412</v>
      </c>
      <c r="K400" t="s">
        <v>500</v>
      </c>
    </row>
    <row r="401" spans="1:11">
      <c r="A401" t="s">
        <v>577</v>
      </c>
      <c r="B401" t="s">
        <v>597</v>
      </c>
      <c r="C401" t="s">
        <v>584</v>
      </c>
      <c r="D401" s="15">
        <v>0.182</v>
      </c>
      <c r="E401" s="15">
        <v>6.6000000000000003E-2</v>
      </c>
      <c r="F401" s="15">
        <v>-0.28299999999999997</v>
      </c>
      <c r="G401" s="15">
        <v>0.124</v>
      </c>
      <c r="H401" s="15">
        <v>-1.2E-2</v>
      </c>
      <c r="I401" s="15">
        <v>0.17699999999999999</v>
      </c>
      <c r="J401" t="s">
        <v>412</v>
      </c>
      <c r="K401" t="s">
        <v>493</v>
      </c>
    </row>
    <row r="402" spans="1:11">
      <c r="A402" t="s">
        <v>486</v>
      </c>
      <c r="B402" t="s">
        <v>550</v>
      </c>
      <c r="C402" t="s">
        <v>583</v>
      </c>
      <c r="D402" s="15">
        <v>-0.16700000000000001</v>
      </c>
      <c r="E402" s="15">
        <v>-0.222</v>
      </c>
      <c r="F402" s="15">
        <v>0.14299999999999999</v>
      </c>
      <c r="G402" s="15">
        <v>-0.19500000000000001</v>
      </c>
      <c r="H402" s="15">
        <v>-8.2000000000000003E-2</v>
      </c>
      <c r="I402" s="15">
        <v>0.17699999999999999</v>
      </c>
      <c r="J402" t="s">
        <v>412</v>
      </c>
      <c r="K402" t="s">
        <v>510</v>
      </c>
    </row>
    <row r="403" spans="1:11">
      <c r="A403" t="s">
        <v>479</v>
      </c>
      <c r="B403" t="s">
        <v>569</v>
      </c>
      <c r="C403" t="s">
        <v>584</v>
      </c>
      <c r="D403" s="15">
        <v>0.106</v>
      </c>
      <c r="E403" s="15">
        <v>-0.30099999999999999</v>
      </c>
      <c r="F403" s="15">
        <v>-0.124</v>
      </c>
      <c r="G403" s="15">
        <v>-9.8000000000000004E-2</v>
      </c>
      <c r="H403" s="15">
        <v>-0.106</v>
      </c>
      <c r="I403" s="15">
        <v>0.17699999999999999</v>
      </c>
      <c r="J403" t="s">
        <v>412</v>
      </c>
      <c r="K403" t="s">
        <v>579</v>
      </c>
    </row>
    <row r="404" spans="1:11">
      <c r="A404" t="s">
        <v>506</v>
      </c>
      <c r="B404" t="s">
        <v>592</v>
      </c>
      <c r="C404" t="s">
        <v>492</v>
      </c>
      <c r="D404" s="15">
        <v>-0.17399999999999999</v>
      </c>
      <c r="E404" s="15">
        <v>-0.30199999999999999</v>
      </c>
      <c r="F404" s="15">
        <v>5.5E-2</v>
      </c>
      <c r="G404" s="15">
        <v>-0.23799999999999999</v>
      </c>
      <c r="H404" s="15">
        <v>-0.14000000000000001</v>
      </c>
      <c r="I404" s="15">
        <v>0.17699999999999999</v>
      </c>
      <c r="J404" t="s">
        <v>412</v>
      </c>
      <c r="K404" t="s">
        <v>510</v>
      </c>
    </row>
    <row r="405" spans="1:11">
      <c r="A405" t="s">
        <v>577</v>
      </c>
      <c r="B405" t="s">
        <v>590</v>
      </c>
      <c r="C405" t="s">
        <v>492</v>
      </c>
      <c r="D405" s="15">
        <v>-0.28699999999999998</v>
      </c>
      <c r="E405" s="15">
        <v>4.4999999999999998E-2</v>
      </c>
      <c r="F405" s="15">
        <v>-0.19900000000000001</v>
      </c>
      <c r="G405" s="15">
        <v>-0.121</v>
      </c>
      <c r="H405" s="15">
        <v>-0.14699999999999999</v>
      </c>
      <c r="I405" s="15">
        <v>0.17699999999999999</v>
      </c>
      <c r="J405" t="s">
        <v>412</v>
      </c>
      <c r="K405" t="s">
        <v>500</v>
      </c>
    </row>
    <row r="406" spans="1:11">
      <c r="A406" t="s">
        <v>571</v>
      </c>
      <c r="B406" t="s">
        <v>574</v>
      </c>
      <c r="C406" t="s">
        <v>570</v>
      </c>
      <c r="D406" s="15">
        <v>-0.19700000000000001</v>
      </c>
      <c r="E406" s="15">
        <v>-4.4999999999999998E-2</v>
      </c>
      <c r="F406" s="15">
        <v>-0.28799999999999998</v>
      </c>
      <c r="G406" s="15">
        <v>-0.121</v>
      </c>
      <c r="H406" s="15">
        <v>-0.17699999999999999</v>
      </c>
      <c r="I406" s="15">
        <v>0.17699999999999999</v>
      </c>
      <c r="J406" t="s">
        <v>412</v>
      </c>
      <c r="K406" t="s">
        <v>589</v>
      </c>
    </row>
    <row r="407" spans="1:11">
      <c r="A407" t="s">
        <v>577</v>
      </c>
      <c r="B407" t="s">
        <v>523</v>
      </c>
      <c r="C407" t="s">
        <v>575</v>
      </c>
      <c r="D407" s="15">
        <v>0.14199999999999999</v>
      </c>
      <c r="E407" s="15">
        <v>0.191</v>
      </c>
      <c r="F407" s="15">
        <v>0.19600000000000001</v>
      </c>
      <c r="G407" s="15">
        <v>0.16600000000000001</v>
      </c>
      <c r="H407" s="15">
        <v>0.17599999999999999</v>
      </c>
      <c r="I407" s="15">
        <v>0.17599999999999999</v>
      </c>
      <c r="J407" t="s">
        <v>412</v>
      </c>
      <c r="K407" t="s">
        <v>551</v>
      </c>
    </row>
    <row r="408" spans="1:11">
      <c r="A408" t="s">
        <v>571</v>
      </c>
      <c r="B408" t="s">
        <v>595</v>
      </c>
      <c r="C408" t="s">
        <v>572</v>
      </c>
      <c r="D408" s="15">
        <v>-0.16300000000000001</v>
      </c>
      <c r="E408" s="15">
        <v>0.32600000000000001</v>
      </c>
      <c r="F408" s="15">
        <v>3.7999999999999999E-2</v>
      </c>
      <c r="G408" s="15">
        <v>8.1000000000000003E-2</v>
      </c>
      <c r="H408" s="15">
        <v>6.7000000000000004E-2</v>
      </c>
      <c r="I408" s="15">
        <v>0.17599999999999999</v>
      </c>
      <c r="J408" t="s">
        <v>412</v>
      </c>
      <c r="K408" t="s">
        <v>487</v>
      </c>
    </row>
    <row r="409" spans="1:11">
      <c r="A409" t="s">
        <v>506</v>
      </c>
      <c r="B409" t="s">
        <v>498</v>
      </c>
      <c r="C409" t="s">
        <v>492</v>
      </c>
      <c r="D409" s="15">
        <v>-0.17399999999999999</v>
      </c>
      <c r="E409" s="15">
        <v>0.215</v>
      </c>
      <c r="F409" s="15">
        <v>0.14099999999999999</v>
      </c>
      <c r="G409" s="15">
        <v>2.1000000000000001E-2</v>
      </c>
      <c r="H409" s="15">
        <v>6.0999999999999999E-2</v>
      </c>
      <c r="I409" s="15">
        <v>0.17599999999999999</v>
      </c>
      <c r="J409" t="s">
        <v>412</v>
      </c>
      <c r="K409" t="s">
        <v>487</v>
      </c>
    </row>
    <row r="410" spans="1:11">
      <c r="A410" t="s">
        <v>479</v>
      </c>
      <c r="B410" t="s">
        <v>597</v>
      </c>
      <c r="C410" t="s">
        <v>572</v>
      </c>
      <c r="D410" s="15">
        <v>-6.8000000000000005E-2</v>
      </c>
      <c r="E410" s="15">
        <v>-0.251</v>
      </c>
      <c r="F410" s="15">
        <v>0.21</v>
      </c>
      <c r="G410" s="15">
        <v>-0.159</v>
      </c>
      <c r="H410" s="15">
        <v>-3.5999999999999997E-2</v>
      </c>
      <c r="I410" s="15">
        <v>0.17599999999999999</v>
      </c>
      <c r="J410" t="s">
        <v>412</v>
      </c>
      <c r="K410" t="s">
        <v>510</v>
      </c>
    </row>
    <row r="411" spans="1:11">
      <c r="A411" t="s">
        <v>577</v>
      </c>
      <c r="B411" t="s">
        <v>598</v>
      </c>
      <c r="C411" t="s">
        <v>492</v>
      </c>
      <c r="D411" s="15">
        <v>-0.28699999999999998</v>
      </c>
      <c r="E411" s="15">
        <v>-0.188</v>
      </c>
      <c r="F411" s="15">
        <v>5.3999999999999999E-2</v>
      </c>
      <c r="G411" s="15">
        <v>-0.23699999999999999</v>
      </c>
      <c r="H411" s="15">
        <v>-0.14000000000000001</v>
      </c>
      <c r="I411" s="15">
        <v>0.17599999999999999</v>
      </c>
      <c r="J411" t="s">
        <v>412</v>
      </c>
      <c r="K411" t="s">
        <v>510</v>
      </c>
    </row>
    <row r="412" spans="1:11">
      <c r="A412" t="s">
        <v>479</v>
      </c>
      <c r="B412" t="s">
        <v>569</v>
      </c>
      <c r="C412" t="s">
        <v>477</v>
      </c>
      <c r="D412" s="15">
        <v>4.5999999999999999E-2</v>
      </c>
      <c r="E412" s="15">
        <v>-0.30099999999999999</v>
      </c>
      <c r="F412" s="15">
        <v>-0.18099999999999999</v>
      </c>
      <c r="G412" s="15">
        <v>-0.128</v>
      </c>
      <c r="H412" s="15">
        <v>-0.14599999999999999</v>
      </c>
      <c r="I412" s="15">
        <v>0.17599999999999999</v>
      </c>
      <c r="J412" t="s">
        <v>412</v>
      </c>
      <c r="K412" t="s">
        <v>579</v>
      </c>
    </row>
    <row r="413" spans="1:11">
      <c r="A413" t="s">
        <v>573</v>
      </c>
      <c r="B413" t="s">
        <v>574</v>
      </c>
      <c r="C413" t="s">
        <v>593</v>
      </c>
      <c r="D413" s="15">
        <v>2.8000000000000001E-2</v>
      </c>
      <c r="E413" s="15">
        <v>-0.124</v>
      </c>
      <c r="F413" s="15">
        <v>-0.376</v>
      </c>
      <c r="G413" s="15">
        <v>-4.8000000000000001E-2</v>
      </c>
      <c r="H413" s="15">
        <v>-0.157</v>
      </c>
      <c r="I413" s="15">
        <v>0.17599999999999999</v>
      </c>
      <c r="J413" t="s">
        <v>412</v>
      </c>
      <c r="K413" t="s">
        <v>579</v>
      </c>
    </row>
    <row r="414" spans="1:11">
      <c r="A414" t="s">
        <v>547</v>
      </c>
      <c r="B414" t="s">
        <v>578</v>
      </c>
      <c r="C414" t="s">
        <v>492</v>
      </c>
      <c r="D414" s="15">
        <v>-6.6000000000000003E-2</v>
      </c>
      <c r="E414" s="15">
        <v>-4.2999999999999997E-2</v>
      </c>
      <c r="F414" s="15">
        <v>-0.41899999999999998</v>
      </c>
      <c r="G414" s="15">
        <v>-5.3999999999999999E-2</v>
      </c>
      <c r="H414" s="15">
        <v>-0.17599999999999999</v>
      </c>
      <c r="I414" s="15">
        <v>0.17599999999999999</v>
      </c>
      <c r="J414" t="s">
        <v>412</v>
      </c>
      <c r="K414" t="s">
        <v>589</v>
      </c>
    </row>
    <row r="415" spans="1:11">
      <c r="A415" t="s">
        <v>547</v>
      </c>
      <c r="B415" t="s">
        <v>498</v>
      </c>
      <c r="C415" t="s">
        <v>582</v>
      </c>
      <c r="D415" s="15">
        <v>0.14299999999999999</v>
      </c>
      <c r="E415" s="15">
        <v>0.16500000000000001</v>
      </c>
      <c r="F415" s="15">
        <v>0.217</v>
      </c>
      <c r="G415" s="15">
        <v>0.154</v>
      </c>
      <c r="H415" s="15">
        <v>0.17499999999999999</v>
      </c>
      <c r="I415" s="15">
        <v>0.17499999999999999</v>
      </c>
      <c r="J415" t="s">
        <v>412</v>
      </c>
      <c r="K415" t="s">
        <v>551</v>
      </c>
    </row>
    <row r="416" spans="1:11">
      <c r="A416" t="s">
        <v>577</v>
      </c>
      <c r="B416" t="s">
        <v>581</v>
      </c>
      <c r="C416" t="s">
        <v>477</v>
      </c>
      <c r="D416" s="15">
        <v>0.246</v>
      </c>
      <c r="E416" s="15">
        <v>-4.5999999999999999E-2</v>
      </c>
      <c r="F416" s="15">
        <v>-0.23400000000000001</v>
      </c>
      <c r="G416" s="15">
        <v>0.1</v>
      </c>
      <c r="H416" s="15">
        <v>-1.0999999999999999E-2</v>
      </c>
      <c r="I416" s="15">
        <v>0.17499999999999999</v>
      </c>
      <c r="J416" t="s">
        <v>412</v>
      </c>
      <c r="K416" t="s">
        <v>579</v>
      </c>
    </row>
    <row r="417" spans="1:11">
      <c r="A417" t="s">
        <v>506</v>
      </c>
      <c r="B417" t="s">
        <v>499</v>
      </c>
      <c r="C417" t="s">
        <v>585</v>
      </c>
      <c r="D417" s="15">
        <v>-5.6000000000000001E-2</v>
      </c>
      <c r="E417" s="15">
        <v>0.184</v>
      </c>
      <c r="F417" s="15">
        <v>-0.28599999999999998</v>
      </c>
      <c r="G417" s="15">
        <v>6.4000000000000001E-2</v>
      </c>
      <c r="H417" s="15">
        <v>-5.2999999999999999E-2</v>
      </c>
      <c r="I417" s="15">
        <v>0.17499999999999999</v>
      </c>
      <c r="J417" t="s">
        <v>412</v>
      </c>
      <c r="K417" t="s">
        <v>500</v>
      </c>
    </row>
    <row r="418" spans="1:11">
      <c r="A418" t="s">
        <v>479</v>
      </c>
      <c r="B418" t="s">
        <v>499</v>
      </c>
      <c r="C418" t="s">
        <v>584</v>
      </c>
      <c r="D418" s="15">
        <v>0.106</v>
      </c>
      <c r="E418" s="15">
        <v>6.6000000000000003E-2</v>
      </c>
      <c r="F418" s="15">
        <v>-0.35199999999999998</v>
      </c>
      <c r="G418" s="15">
        <v>8.5999999999999993E-2</v>
      </c>
      <c r="H418" s="15">
        <v>-0.06</v>
      </c>
      <c r="I418" s="15">
        <v>0.17499999999999999</v>
      </c>
      <c r="J418" t="s">
        <v>412</v>
      </c>
      <c r="K418" t="s">
        <v>493</v>
      </c>
    </row>
    <row r="419" spans="1:11">
      <c r="A419" t="s">
        <v>577</v>
      </c>
      <c r="B419" t="s">
        <v>509</v>
      </c>
      <c r="C419" t="s">
        <v>492</v>
      </c>
      <c r="D419" s="15">
        <v>-0.28699999999999998</v>
      </c>
      <c r="E419" s="15">
        <v>0.104</v>
      </c>
      <c r="F419" s="15">
        <v>-0.13500000000000001</v>
      </c>
      <c r="G419" s="15">
        <v>-9.0999999999999998E-2</v>
      </c>
      <c r="H419" s="15">
        <v>-0.106</v>
      </c>
      <c r="I419" s="15">
        <v>0.17499999999999999</v>
      </c>
      <c r="J419" t="s">
        <v>412</v>
      </c>
      <c r="K419" t="s">
        <v>500</v>
      </c>
    </row>
    <row r="420" spans="1:11">
      <c r="A420" t="s">
        <v>576</v>
      </c>
      <c r="B420" t="s">
        <v>498</v>
      </c>
      <c r="C420" t="s">
        <v>570</v>
      </c>
      <c r="D420" s="15">
        <v>-0.222</v>
      </c>
      <c r="E420" s="15">
        <v>5.0999999999999997E-2</v>
      </c>
      <c r="F420" s="15">
        <v>-0.252</v>
      </c>
      <c r="G420" s="15">
        <v>-8.5999999999999993E-2</v>
      </c>
      <c r="H420" s="15">
        <v>-0.14099999999999999</v>
      </c>
      <c r="I420" s="15">
        <v>0.17499999999999999</v>
      </c>
      <c r="J420" t="s">
        <v>412</v>
      </c>
      <c r="K420" t="s">
        <v>500</v>
      </c>
    </row>
    <row r="421" spans="1:11">
      <c r="A421" t="s">
        <v>479</v>
      </c>
      <c r="B421" t="s">
        <v>587</v>
      </c>
      <c r="C421" t="s">
        <v>575</v>
      </c>
      <c r="D421" s="15">
        <v>-0.22500000000000001</v>
      </c>
      <c r="E421" s="15">
        <v>-7.0000000000000001E-3</v>
      </c>
      <c r="F421" s="15">
        <v>-0.29299999999999998</v>
      </c>
      <c r="G421" s="15">
        <v>-0.11600000000000001</v>
      </c>
      <c r="H421" s="15">
        <v>-0.17499999999999999</v>
      </c>
      <c r="I421" s="15">
        <v>0.17499999999999999</v>
      </c>
      <c r="J421" t="s">
        <v>412</v>
      </c>
      <c r="K421" t="s">
        <v>589</v>
      </c>
    </row>
    <row r="422" spans="1:11">
      <c r="A422" t="s">
        <v>573</v>
      </c>
      <c r="B422" t="s">
        <v>587</v>
      </c>
      <c r="C422" t="s">
        <v>582</v>
      </c>
      <c r="D422" s="15">
        <v>0.28599999999999998</v>
      </c>
      <c r="E422" s="15">
        <v>0.16200000000000001</v>
      </c>
      <c r="F422" s="15">
        <v>7.2999999999999995E-2</v>
      </c>
      <c r="G422" s="15">
        <v>0.224</v>
      </c>
      <c r="H422" s="15">
        <v>0.17399999999999999</v>
      </c>
      <c r="I422" s="15">
        <v>0.17399999999999999</v>
      </c>
      <c r="J422" t="s">
        <v>412</v>
      </c>
      <c r="K422" t="s">
        <v>551</v>
      </c>
    </row>
    <row r="423" spans="1:11">
      <c r="A423" t="s">
        <v>571</v>
      </c>
      <c r="B423" t="s">
        <v>587</v>
      </c>
      <c r="C423" t="s">
        <v>594</v>
      </c>
      <c r="D423" s="15">
        <v>-8.0000000000000002E-3</v>
      </c>
      <c r="E423" s="15">
        <v>0.27400000000000002</v>
      </c>
      <c r="F423" s="15">
        <v>0.24</v>
      </c>
      <c r="G423" s="15">
        <v>0.13300000000000001</v>
      </c>
      <c r="H423" s="15">
        <v>0.16900000000000001</v>
      </c>
      <c r="I423" s="15">
        <v>0.17399999999999999</v>
      </c>
      <c r="J423" t="s">
        <v>412</v>
      </c>
      <c r="K423" t="s">
        <v>487</v>
      </c>
    </row>
    <row r="424" spans="1:11">
      <c r="A424" t="s">
        <v>486</v>
      </c>
      <c r="B424" t="s">
        <v>592</v>
      </c>
      <c r="C424" t="s">
        <v>572</v>
      </c>
      <c r="D424" s="15">
        <v>0.43</v>
      </c>
      <c r="E424" s="15">
        <v>-9.1999999999999998E-2</v>
      </c>
      <c r="F424" s="15">
        <v>-1E-3</v>
      </c>
      <c r="G424" s="15">
        <v>0.16900000000000001</v>
      </c>
      <c r="H424" s="15">
        <v>0.112</v>
      </c>
      <c r="I424" s="15">
        <v>0.17399999999999999</v>
      </c>
      <c r="J424" t="s">
        <v>412</v>
      </c>
      <c r="K424" t="s">
        <v>579</v>
      </c>
    </row>
    <row r="425" spans="1:11">
      <c r="A425" t="s">
        <v>571</v>
      </c>
      <c r="B425" t="s">
        <v>498</v>
      </c>
      <c r="C425" t="s">
        <v>575</v>
      </c>
      <c r="D425" s="15">
        <v>-0.16800000000000001</v>
      </c>
      <c r="E425" s="15">
        <v>0.11</v>
      </c>
      <c r="F425" s="15">
        <v>-0.24399999999999999</v>
      </c>
      <c r="G425" s="15">
        <v>-2.9000000000000001E-2</v>
      </c>
      <c r="H425" s="15">
        <v>-0.10100000000000001</v>
      </c>
      <c r="I425" s="15">
        <v>0.17399999999999999</v>
      </c>
      <c r="J425" t="s">
        <v>412</v>
      </c>
      <c r="K425" t="s">
        <v>500</v>
      </c>
    </row>
    <row r="426" spans="1:11">
      <c r="A426" t="s">
        <v>486</v>
      </c>
      <c r="B426" t="s">
        <v>550</v>
      </c>
      <c r="C426" t="s">
        <v>585</v>
      </c>
      <c r="D426" s="15">
        <v>-0.27</v>
      </c>
      <c r="E426" s="15">
        <v>-0.222</v>
      </c>
      <c r="F426" s="15">
        <v>2.9000000000000001E-2</v>
      </c>
      <c r="G426" s="15">
        <v>-0.246</v>
      </c>
      <c r="H426" s="15">
        <v>-0.154</v>
      </c>
      <c r="I426" s="15">
        <v>0.17399999999999999</v>
      </c>
      <c r="J426" t="s">
        <v>412</v>
      </c>
      <c r="K426" t="s">
        <v>510</v>
      </c>
    </row>
    <row r="427" spans="1:11">
      <c r="A427" t="s">
        <v>571</v>
      </c>
      <c r="B427" t="s">
        <v>574</v>
      </c>
      <c r="C427" t="s">
        <v>593</v>
      </c>
      <c r="D427" s="15">
        <v>-0.10100000000000001</v>
      </c>
      <c r="E427" s="15">
        <v>-4.4999999999999998E-2</v>
      </c>
      <c r="F427" s="15">
        <v>-0.376</v>
      </c>
      <c r="G427" s="15">
        <v>-7.2999999999999995E-2</v>
      </c>
      <c r="H427" s="15">
        <v>-0.17399999999999999</v>
      </c>
      <c r="I427" s="15">
        <v>0.17399999999999999</v>
      </c>
      <c r="J427" t="s">
        <v>412</v>
      </c>
      <c r="K427" t="s">
        <v>589</v>
      </c>
    </row>
    <row r="428" spans="1:11">
      <c r="A428" t="s">
        <v>576</v>
      </c>
      <c r="B428" t="s">
        <v>499</v>
      </c>
      <c r="C428" t="s">
        <v>584</v>
      </c>
      <c r="D428" s="15">
        <v>-0.1</v>
      </c>
      <c r="E428" s="15">
        <v>-7.0999999999999994E-2</v>
      </c>
      <c r="F428" s="15">
        <v>-0.35199999999999998</v>
      </c>
      <c r="G428" s="15">
        <v>-8.5000000000000006E-2</v>
      </c>
      <c r="H428" s="15">
        <v>-0.17399999999999999</v>
      </c>
      <c r="I428" s="15">
        <v>0.17399999999999999</v>
      </c>
      <c r="J428" t="s">
        <v>412</v>
      </c>
      <c r="K428" t="s">
        <v>589</v>
      </c>
    </row>
    <row r="429" spans="1:11">
      <c r="A429" t="s">
        <v>573</v>
      </c>
      <c r="B429" t="s">
        <v>523</v>
      </c>
      <c r="C429" t="s">
        <v>591</v>
      </c>
      <c r="D429" s="15">
        <v>0.123</v>
      </c>
      <c r="E429" s="15">
        <v>0.21199999999999999</v>
      </c>
      <c r="F429" s="15">
        <v>0.184</v>
      </c>
      <c r="G429" s="15">
        <v>0.16800000000000001</v>
      </c>
      <c r="H429" s="15">
        <v>0.17299999999999999</v>
      </c>
      <c r="I429" s="15">
        <v>0.17299999999999999</v>
      </c>
      <c r="J429" t="s">
        <v>412</v>
      </c>
      <c r="K429" t="s">
        <v>551</v>
      </c>
    </row>
    <row r="430" spans="1:11">
      <c r="A430" t="s">
        <v>506</v>
      </c>
      <c r="B430" t="s">
        <v>509</v>
      </c>
      <c r="C430" t="s">
        <v>575</v>
      </c>
      <c r="D430" s="15">
        <v>-0.14399999999999999</v>
      </c>
      <c r="E430" s="15">
        <v>0.35799999999999998</v>
      </c>
      <c r="F430" s="15">
        <v>-1.6E-2</v>
      </c>
      <c r="G430" s="15">
        <v>0.107</v>
      </c>
      <c r="H430" s="15">
        <v>6.6000000000000003E-2</v>
      </c>
      <c r="I430" s="15">
        <v>0.17299999999999999</v>
      </c>
      <c r="J430" t="s">
        <v>412</v>
      </c>
      <c r="K430" t="s">
        <v>500</v>
      </c>
    </row>
    <row r="431" spans="1:11">
      <c r="A431" t="s">
        <v>486</v>
      </c>
      <c r="B431" t="s">
        <v>586</v>
      </c>
      <c r="C431" t="s">
        <v>582</v>
      </c>
      <c r="D431" s="15">
        <v>-0.129</v>
      </c>
      <c r="E431" s="15">
        <v>-0.189</v>
      </c>
      <c r="F431" s="15">
        <v>0.20100000000000001</v>
      </c>
      <c r="G431" s="15">
        <v>-0.159</v>
      </c>
      <c r="H431" s="15">
        <v>-3.9E-2</v>
      </c>
      <c r="I431" s="15">
        <v>0.17299999999999999</v>
      </c>
      <c r="J431" t="s">
        <v>412</v>
      </c>
      <c r="K431" t="s">
        <v>510</v>
      </c>
    </row>
    <row r="432" spans="1:11">
      <c r="A432" t="s">
        <v>547</v>
      </c>
      <c r="B432" t="s">
        <v>586</v>
      </c>
      <c r="C432" t="s">
        <v>570</v>
      </c>
      <c r="D432" s="15">
        <v>-0.14799999999999999</v>
      </c>
      <c r="E432" s="15">
        <v>-0.17299999999999999</v>
      </c>
      <c r="F432" s="15">
        <v>0.19600000000000001</v>
      </c>
      <c r="G432" s="15">
        <v>-0.161</v>
      </c>
      <c r="H432" s="15">
        <v>-4.2000000000000003E-2</v>
      </c>
      <c r="I432" s="15">
        <v>0.17299999999999999</v>
      </c>
      <c r="J432" t="s">
        <v>412</v>
      </c>
      <c r="K432" t="s">
        <v>510</v>
      </c>
    </row>
    <row r="433" spans="1:11">
      <c r="A433" t="s">
        <v>547</v>
      </c>
      <c r="B433" t="s">
        <v>590</v>
      </c>
      <c r="C433" t="s">
        <v>570</v>
      </c>
      <c r="D433" s="15">
        <v>-0.14799999999999999</v>
      </c>
      <c r="E433" s="15">
        <v>0.16600000000000001</v>
      </c>
      <c r="F433" s="15">
        <v>-0.20599999999999999</v>
      </c>
      <c r="G433" s="15">
        <v>8.9999999999999993E-3</v>
      </c>
      <c r="H433" s="15">
        <v>-6.3E-2</v>
      </c>
      <c r="I433" s="15">
        <v>0.17299999999999999</v>
      </c>
      <c r="J433" t="s">
        <v>412</v>
      </c>
      <c r="K433" t="s">
        <v>500</v>
      </c>
    </row>
    <row r="434" spans="1:11">
      <c r="A434" t="s">
        <v>577</v>
      </c>
      <c r="B434" t="s">
        <v>550</v>
      </c>
      <c r="C434" t="s">
        <v>492</v>
      </c>
      <c r="D434" s="15">
        <v>-0.28699999999999998</v>
      </c>
      <c r="E434" s="15">
        <v>-0.11600000000000001</v>
      </c>
      <c r="F434" s="15">
        <v>0.11700000000000001</v>
      </c>
      <c r="G434" s="15">
        <v>-0.20100000000000001</v>
      </c>
      <c r="H434" s="15">
        <v>-9.5000000000000001E-2</v>
      </c>
      <c r="I434" s="15">
        <v>0.17299999999999999</v>
      </c>
      <c r="J434" t="s">
        <v>412</v>
      </c>
      <c r="K434" t="s">
        <v>510</v>
      </c>
    </row>
    <row r="435" spans="1:11">
      <c r="A435" t="s">
        <v>573</v>
      </c>
      <c r="B435" t="s">
        <v>499</v>
      </c>
      <c r="C435" t="s">
        <v>583</v>
      </c>
      <c r="D435" s="15">
        <v>7.3999999999999996E-2</v>
      </c>
      <c r="E435" s="15">
        <v>-8.8999999999999996E-2</v>
      </c>
      <c r="F435" s="15">
        <v>-0.35499999999999998</v>
      </c>
      <c r="G435" s="15">
        <v>-7.0000000000000001E-3</v>
      </c>
      <c r="H435" s="15">
        <v>-0.123</v>
      </c>
      <c r="I435" s="15">
        <v>0.17299999999999999</v>
      </c>
      <c r="J435" t="s">
        <v>412</v>
      </c>
      <c r="K435" t="s">
        <v>579</v>
      </c>
    </row>
    <row r="436" spans="1:11">
      <c r="A436" t="s">
        <v>573</v>
      </c>
      <c r="B436" t="s">
        <v>586</v>
      </c>
      <c r="C436" t="s">
        <v>572</v>
      </c>
      <c r="D436" s="15">
        <v>-0.20799999999999999</v>
      </c>
      <c r="E436" s="15">
        <v>-0.10299999999999999</v>
      </c>
      <c r="F436" s="15">
        <v>-0.20799999999999999</v>
      </c>
      <c r="G436" s="15">
        <v>-0.156</v>
      </c>
      <c r="H436" s="15">
        <v>-0.17299999999999999</v>
      </c>
      <c r="I436" s="15">
        <v>0.17299999999999999</v>
      </c>
      <c r="J436" t="s">
        <v>412</v>
      </c>
      <c r="K436" t="s">
        <v>589</v>
      </c>
    </row>
    <row r="437" spans="1:11">
      <c r="A437" t="s">
        <v>479</v>
      </c>
      <c r="B437" t="s">
        <v>523</v>
      </c>
      <c r="C437" t="s">
        <v>477</v>
      </c>
      <c r="D437" s="15">
        <v>4.5999999999999999E-2</v>
      </c>
      <c r="E437" s="15">
        <v>0.06</v>
      </c>
      <c r="F437" s="15">
        <v>0.41</v>
      </c>
      <c r="G437" s="15">
        <v>5.2999999999999999E-2</v>
      </c>
      <c r="H437" s="15">
        <v>0.17199999999999999</v>
      </c>
      <c r="I437" s="15">
        <v>0.17199999999999999</v>
      </c>
      <c r="J437" t="s">
        <v>412</v>
      </c>
      <c r="K437" t="s">
        <v>551</v>
      </c>
    </row>
    <row r="438" spans="1:11">
      <c r="A438" t="s">
        <v>573</v>
      </c>
      <c r="B438" t="s">
        <v>588</v>
      </c>
      <c r="C438" t="s">
        <v>477</v>
      </c>
      <c r="D438" s="15">
        <v>0.14599999999999999</v>
      </c>
      <c r="E438" s="15">
        <v>4.9000000000000002E-2</v>
      </c>
      <c r="F438" s="15">
        <v>0.31900000000000001</v>
      </c>
      <c r="G438" s="15">
        <v>9.8000000000000004E-2</v>
      </c>
      <c r="H438" s="15">
        <v>0.17199999999999999</v>
      </c>
      <c r="I438" s="15">
        <v>0.17199999999999999</v>
      </c>
      <c r="J438" t="s">
        <v>412</v>
      </c>
      <c r="K438" t="s">
        <v>551</v>
      </c>
    </row>
    <row r="439" spans="1:11">
      <c r="A439" t="s">
        <v>577</v>
      </c>
      <c r="B439" t="s">
        <v>517</v>
      </c>
      <c r="C439" t="s">
        <v>582</v>
      </c>
      <c r="D439" s="15">
        <v>0.31900000000000001</v>
      </c>
      <c r="E439" s="15">
        <v>0.13900000000000001</v>
      </c>
      <c r="F439" s="15">
        <v>5.8000000000000003E-2</v>
      </c>
      <c r="G439" s="15">
        <v>0.22900000000000001</v>
      </c>
      <c r="H439" s="15">
        <v>0.17199999999999999</v>
      </c>
      <c r="I439" s="15">
        <v>0.17199999999999999</v>
      </c>
      <c r="J439" t="s">
        <v>412</v>
      </c>
      <c r="K439" t="s">
        <v>551</v>
      </c>
    </row>
    <row r="440" spans="1:11">
      <c r="A440" t="s">
        <v>577</v>
      </c>
      <c r="B440" t="s">
        <v>586</v>
      </c>
      <c r="C440" t="s">
        <v>584</v>
      </c>
      <c r="D440" s="15">
        <v>0.182</v>
      </c>
      <c r="E440" s="15">
        <v>0.217</v>
      </c>
      <c r="F440" s="15">
        <v>0.11700000000000001</v>
      </c>
      <c r="G440" s="15">
        <v>0.19900000000000001</v>
      </c>
      <c r="H440" s="15">
        <v>0.17199999999999999</v>
      </c>
      <c r="I440" s="15">
        <v>0.17199999999999999</v>
      </c>
      <c r="J440" t="s">
        <v>412</v>
      </c>
      <c r="K440" t="s">
        <v>551</v>
      </c>
    </row>
    <row r="441" spans="1:11">
      <c r="A441" t="s">
        <v>547</v>
      </c>
      <c r="B441" t="s">
        <v>586</v>
      </c>
      <c r="C441" t="s">
        <v>582</v>
      </c>
      <c r="D441" s="15">
        <v>0.14299999999999999</v>
      </c>
      <c r="E441" s="15">
        <v>-0.17299999999999999</v>
      </c>
      <c r="F441" s="15">
        <v>0.20100000000000001</v>
      </c>
      <c r="G441" s="15">
        <v>-1.4999999999999999E-2</v>
      </c>
      <c r="H441" s="15">
        <v>5.7000000000000002E-2</v>
      </c>
      <c r="I441" s="15">
        <v>0.17199999999999999</v>
      </c>
      <c r="J441" t="s">
        <v>412</v>
      </c>
      <c r="K441" t="s">
        <v>480</v>
      </c>
    </row>
    <row r="442" spans="1:11">
      <c r="A442" t="s">
        <v>547</v>
      </c>
      <c r="B442" t="s">
        <v>478</v>
      </c>
      <c r="C442" t="s">
        <v>570</v>
      </c>
      <c r="D442" s="15">
        <v>-0.14799999999999999</v>
      </c>
      <c r="E442" s="15">
        <v>-9.4E-2</v>
      </c>
      <c r="F442" s="15">
        <v>0.27400000000000002</v>
      </c>
      <c r="G442" s="15">
        <v>-0.121</v>
      </c>
      <c r="H442" s="15">
        <v>1.0999999999999999E-2</v>
      </c>
      <c r="I442" s="15">
        <v>0.17199999999999999</v>
      </c>
      <c r="J442" t="s">
        <v>412</v>
      </c>
      <c r="K442" t="s">
        <v>510</v>
      </c>
    </row>
    <row r="443" spans="1:11">
      <c r="A443" t="s">
        <v>486</v>
      </c>
      <c r="B443" t="s">
        <v>550</v>
      </c>
      <c r="C443" t="s">
        <v>593</v>
      </c>
      <c r="D443" s="15">
        <v>-8.6999999999999994E-2</v>
      </c>
      <c r="E443" s="15">
        <v>-0.222</v>
      </c>
      <c r="F443" s="15">
        <v>0.20799999999999999</v>
      </c>
      <c r="G443" s="15">
        <v>-0.154</v>
      </c>
      <c r="H443" s="15">
        <v>-3.4000000000000002E-2</v>
      </c>
      <c r="I443" s="15">
        <v>0.17199999999999999</v>
      </c>
      <c r="J443" t="s">
        <v>412</v>
      </c>
      <c r="K443" t="s">
        <v>510</v>
      </c>
    </row>
    <row r="444" spans="1:11">
      <c r="A444" t="s">
        <v>573</v>
      </c>
      <c r="B444" t="s">
        <v>499</v>
      </c>
      <c r="C444" t="s">
        <v>477</v>
      </c>
      <c r="D444" s="15">
        <v>0.14599999999999999</v>
      </c>
      <c r="E444" s="15">
        <v>-8.8999999999999996E-2</v>
      </c>
      <c r="F444" s="15">
        <v>-0.28000000000000003</v>
      </c>
      <c r="G444" s="15">
        <v>2.9000000000000001E-2</v>
      </c>
      <c r="H444" s="15">
        <v>-7.3999999999999996E-2</v>
      </c>
      <c r="I444" s="15">
        <v>0.17199999999999999</v>
      </c>
      <c r="J444" t="s">
        <v>412</v>
      </c>
      <c r="K444" t="s">
        <v>579</v>
      </c>
    </row>
    <row r="445" spans="1:11">
      <c r="A445" t="s">
        <v>479</v>
      </c>
      <c r="B445" t="s">
        <v>592</v>
      </c>
      <c r="C445" t="s">
        <v>570</v>
      </c>
      <c r="D445" s="15">
        <v>-0.26900000000000002</v>
      </c>
      <c r="E445" s="15">
        <v>-0.109</v>
      </c>
      <c r="F445" s="15">
        <v>0.13900000000000001</v>
      </c>
      <c r="G445" s="15">
        <v>-0.189</v>
      </c>
      <c r="H445" s="15">
        <v>-0.08</v>
      </c>
      <c r="I445" s="15">
        <v>0.17199999999999999</v>
      </c>
      <c r="J445" t="s">
        <v>412</v>
      </c>
      <c r="K445" t="s">
        <v>510</v>
      </c>
    </row>
    <row r="446" spans="1:11">
      <c r="A446" t="s">
        <v>547</v>
      </c>
      <c r="B446" t="s">
        <v>523</v>
      </c>
      <c r="C446" t="s">
        <v>477</v>
      </c>
      <c r="D446" s="15">
        <v>6.4000000000000001E-2</v>
      </c>
      <c r="E446" s="15">
        <v>-3.6999999999999998E-2</v>
      </c>
      <c r="F446" s="15">
        <v>0.41</v>
      </c>
      <c r="G446" s="15">
        <v>1.2999999999999999E-2</v>
      </c>
      <c r="H446" s="15">
        <v>0.14599999999999999</v>
      </c>
      <c r="I446" s="15">
        <v>0.17100000000000001</v>
      </c>
      <c r="J446" t="s">
        <v>412</v>
      </c>
      <c r="K446" t="s">
        <v>480</v>
      </c>
    </row>
    <row r="447" spans="1:11">
      <c r="A447" t="s">
        <v>547</v>
      </c>
      <c r="B447" t="s">
        <v>588</v>
      </c>
      <c r="C447" t="s">
        <v>575</v>
      </c>
      <c r="D447" s="15">
        <v>-6.8000000000000005E-2</v>
      </c>
      <c r="E447" s="15">
        <v>0.20200000000000001</v>
      </c>
      <c r="F447" s="15">
        <v>0.24299999999999999</v>
      </c>
      <c r="G447" s="15">
        <v>6.7000000000000004E-2</v>
      </c>
      <c r="H447" s="15">
        <v>0.126</v>
      </c>
      <c r="I447" s="15">
        <v>0.17100000000000001</v>
      </c>
      <c r="J447" t="s">
        <v>412</v>
      </c>
      <c r="K447" t="s">
        <v>487</v>
      </c>
    </row>
    <row r="448" spans="1:11">
      <c r="A448" t="s">
        <v>506</v>
      </c>
      <c r="B448" t="s">
        <v>592</v>
      </c>
      <c r="C448" t="s">
        <v>477</v>
      </c>
      <c r="D448" s="15">
        <v>0.14399999999999999</v>
      </c>
      <c r="E448" s="15">
        <v>-0.30199999999999999</v>
      </c>
      <c r="F448" s="15">
        <v>-6.6000000000000003E-2</v>
      </c>
      <c r="G448" s="15">
        <v>-7.9000000000000001E-2</v>
      </c>
      <c r="H448" s="15">
        <v>-7.3999999999999996E-2</v>
      </c>
      <c r="I448" s="15">
        <v>0.17100000000000001</v>
      </c>
      <c r="J448" t="s">
        <v>412</v>
      </c>
      <c r="K448" t="s">
        <v>579</v>
      </c>
    </row>
    <row r="449" spans="1:11">
      <c r="A449" t="s">
        <v>547</v>
      </c>
      <c r="B449" t="s">
        <v>587</v>
      </c>
      <c r="C449" t="s">
        <v>585</v>
      </c>
      <c r="D449" s="15">
        <v>-7.1999999999999995E-2</v>
      </c>
      <c r="E449" s="15">
        <v>0.13</v>
      </c>
      <c r="F449" s="15">
        <v>-0.31</v>
      </c>
      <c r="G449" s="15">
        <v>2.9000000000000001E-2</v>
      </c>
      <c r="H449" s="15">
        <v>-8.4000000000000005E-2</v>
      </c>
      <c r="I449" s="15">
        <v>0.17100000000000001</v>
      </c>
      <c r="J449" t="s">
        <v>412</v>
      </c>
      <c r="K449" t="s">
        <v>500</v>
      </c>
    </row>
    <row r="450" spans="1:11">
      <c r="A450" t="s">
        <v>571</v>
      </c>
      <c r="B450" t="s">
        <v>478</v>
      </c>
      <c r="C450" t="s">
        <v>582</v>
      </c>
      <c r="D450" s="15">
        <v>9.1999999999999998E-2</v>
      </c>
      <c r="E450" s="15">
        <v>-0.216</v>
      </c>
      <c r="F450" s="15">
        <v>-0.20300000000000001</v>
      </c>
      <c r="G450" s="15">
        <v>-6.2E-2</v>
      </c>
      <c r="H450" s="15">
        <v>-0.109</v>
      </c>
      <c r="I450" s="15">
        <v>0.17100000000000001</v>
      </c>
      <c r="J450" t="s">
        <v>412</v>
      </c>
      <c r="K450" t="s">
        <v>579</v>
      </c>
    </row>
    <row r="451" spans="1:11">
      <c r="A451" t="s">
        <v>486</v>
      </c>
      <c r="B451" t="s">
        <v>587</v>
      </c>
      <c r="C451" t="s">
        <v>583</v>
      </c>
      <c r="D451" s="15">
        <v>-0.16700000000000001</v>
      </c>
      <c r="E451" s="15">
        <v>9.0999999999999998E-2</v>
      </c>
      <c r="F451" s="15">
        <v>-0.254</v>
      </c>
      <c r="G451" s="15">
        <v>-3.7999999999999999E-2</v>
      </c>
      <c r="H451" s="15">
        <v>-0.11</v>
      </c>
      <c r="I451" s="15">
        <v>0.17100000000000001</v>
      </c>
      <c r="J451" t="s">
        <v>412</v>
      </c>
      <c r="K451" t="s">
        <v>500</v>
      </c>
    </row>
    <row r="452" spans="1:11">
      <c r="A452" t="s">
        <v>506</v>
      </c>
      <c r="B452" t="s">
        <v>478</v>
      </c>
      <c r="C452" t="s">
        <v>492</v>
      </c>
      <c r="D452" s="15">
        <v>-0.17399999999999999</v>
      </c>
      <c r="E452" s="15">
        <v>-0.224</v>
      </c>
      <c r="F452" s="15">
        <v>-0.115</v>
      </c>
      <c r="G452" s="15">
        <v>-0.19900000000000001</v>
      </c>
      <c r="H452" s="15">
        <v>-0.17100000000000001</v>
      </c>
      <c r="I452" s="15">
        <v>0.17100000000000001</v>
      </c>
      <c r="J452" t="s">
        <v>412</v>
      </c>
      <c r="K452" t="s">
        <v>589</v>
      </c>
    </row>
    <row r="453" spans="1:11">
      <c r="A453" t="s">
        <v>573</v>
      </c>
      <c r="B453" t="s">
        <v>578</v>
      </c>
      <c r="C453" t="s">
        <v>591</v>
      </c>
      <c r="D453" s="15">
        <v>0.123</v>
      </c>
      <c r="E453" s="15">
        <v>4.8000000000000001E-2</v>
      </c>
      <c r="F453" s="15">
        <v>0.33800000000000002</v>
      </c>
      <c r="G453" s="15">
        <v>8.5999999999999993E-2</v>
      </c>
      <c r="H453" s="15">
        <v>0.17</v>
      </c>
      <c r="I453" s="15">
        <v>0.17</v>
      </c>
      <c r="J453" t="s">
        <v>412</v>
      </c>
      <c r="K453" t="s">
        <v>551</v>
      </c>
    </row>
    <row r="454" spans="1:11">
      <c r="A454" t="s">
        <v>577</v>
      </c>
      <c r="B454" t="s">
        <v>590</v>
      </c>
      <c r="C454" t="s">
        <v>477</v>
      </c>
      <c r="D454" s="15">
        <v>0.246</v>
      </c>
      <c r="E454" s="15">
        <v>4.4999999999999998E-2</v>
      </c>
      <c r="F454" s="15">
        <v>0.221</v>
      </c>
      <c r="G454" s="15">
        <v>0.14499999999999999</v>
      </c>
      <c r="H454" s="15">
        <v>0.17</v>
      </c>
      <c r="I454" s="15">
        <v>0.17</v>
      </c>
      <c r="J454" t="s">
        <v>412</v>
      </c>
      <c r="K454" t="s">
        <v>551</v>
      </c>
    </row>
    <row r="455" spans="1:11">
      <c r="A455" t="s">
        <v>506</v>
      </c>
      <c r="B455" t="s">
        <v>598</v>
      </c>
      <c r="C455" t="s">
        <v>582</v>
      </c>
      <c r="D455" s="15">
        <v>0.34100000000000003</v>
      </c>
      <c r="E455" s="15">
        <v>0.13</v>
      </c>
      <c r="F455" s="15">
        <v>-4.1000000000000002E-2</v>
      </c>
      <c r="G455" s="15">
        <v>0.23499999999999999</v>
      </c>
      <c r="H455" s="15">
        <v>0.14299999999999999</v>
      </c>
      <c r="I455" s="15">
        <v>0.17</v>
      </c>
      <c r="J455" t="s">
        <v>412</v>
      </c>
      <c r="K455" t="s">
        <v>493</v>
      </c>
    </row>
    <row r="456" spans="1:11">
      <c r="A456" t="s">
        <v>571</v>
      </c>
      <c r="B456" t="s">
        <v>580</v>
      </c>
      <c r="C456" t="s">
        <v>575</v>
      </c>
      <c r="D456" s="15">
        <v>-0.16800000000000001</v>
      </c>
      <c r="E456" s="15">
        <v>0.26200000000000001</v>
      </c>
      <c r="F456" s="15">
        <v>0.08</v>
      </c>
      <c r="G456" s="15">
        <v>4.7E-2</v>
      </c>
      <c r="H456" s="15">
        <v>5.8000000000000003E-2</v>
      </c>
      <c r="I456" s="15">
        <v>0.17</v>
      </c>
      <c r="J456" t="s">
        <v>412</v>
      </c>
      <c r="K456" t="s">
        <v>487</v>
      </c>
    </row>
    <row r="457" spans="1:11">
      <c r="A457" t="s">
        <v>573</v>
      </c>
      <c r="B457" t="s">
        <v>587</v>
      </c>
      <c r="C457" t="s">
        <v>477</v>
      </c>
      <c r="D457" s="15">
        <v>0.14599999999999999</v>
      </c>
      <c r="E457" s="15">
        <v>0.16200000000000001</v>
      </c>
      <c r="F457" s="15">
        <v>-0.20200000000000001</v>
      </c>
      <c r="G457" s="15">
        <v>0.154</v>
      </c>
      <c r="H457" s="15">
        <v>3.5000000000000003E-2</v>
      </c>
      <c r="I457" s="15">
        <v>0.17</v>
      </c>
      <c r="J457" t="s">
        <v>412</v>
      </c>
      <c r="K457" t="s">
        <v>493</v>
      </c>
    </row>
    <row r="458" spans="1:11">
      <c r="A458" t="s">
        <v>486</v>
      </c>
      <c r="B458" t="s">
        <v>578</v>
      </c>
      <c r="C458" t="s">
        <v>584</v>
      </c>
      <c r="D458" s="15">
        <v>-7.9000000000000001E-2</v>
      </c>
      <c r="E458" s="15">
        <v>-0.2</v>
      </c>
      <c r="F458" s="15">
        <v>0.23100000000000001</v>
      </c>
      <c r="G458" s="15">
        <v>-0.13900000000000001</v>
      </c>
      <c r="H458" s="15">
        <v>-1.6E-2</v>
      </c>
      <c r="I458" s="15">
        <v>0.17</v>
      </c>
      <c r="J458" t="s">
        <v>412</v>
      </c>
      <c r="K458" t="s">
        <v>510</v>
      </c>
    </row>
    <row r="459" spans="1:11">
      <c r="A459" t="s">
        <v>571</v>
      </c>
      <c r="B459" t="s">
        <v>569</v>
      </c>
      <c r="C459" t="s">
        <v>477</v>
      </c>
      <c r="D459" s="15">
        <v>0.13300000000000001</v>
      </c>
      <c r="E459" s="15">
        <v>-0.19600000000000001</v>
      </c>
      <c r="F459" s="15">
        <v>-0.18099999999999999</v>
      </c>
      <c r="G459" s="15">
        <v>-3.1E-2</v>
      </c>
      <c r="H459" s="15">
        <v>-8.1000000000000003E-2</v>
      </c>
      <c r="I459" s="15">
        <v>0.17</v>
      </c>
      <c r="J459" t="s">
        <v>412</v>
      </c>
      <c r="K459" t="s">
        <v>579</v>
      </c>
    </row>
    <row r="460" spans="1:11">
      <c r="A460" t="s">
        <v>576</v>
      </c>
      <c r="B460" t="s">
        <v>574</v>
      </c>
      <c r="C460" t="s">
        <v>572</v>
      </c>
      <c r="D460" s="15">
        <v>-5.8999999999999997E-2</v>
      </c>
      <c r="E460" s="15">
        <v>0.109</v>
      </c>
      <c r="F460" s="15">
        <v>0.34</v>
      </c>
      <c r="G460" s="15">
        <v>2.5000000000000001E-2</v>
      </c>
      <c r="H460" s="15">
        <v>0.13</v>
      </c>
      <c r="I460" s="15">
        <v>0.16900000000000001</v>
      </c>
      <c r="J460" t="s">
        <v>412</v>
      </c>
      <c r="K460" t="s">
        <v>487</v>
      </c>
    </row>
    <row r="461" spans="1:11">
      <c r="A461" t="s">
        <v>573</v>
      </c>
      <c r="B461" t="s">
        <v>581</v>
      </c>
      <c r="C461" t="s">
        <v>572</v>
      </c>
      <c r="D461" s="15">
        <v>-0.20799999999999999</v>
      </c>
      <c r="E461" s="15">
        <v>7.3999999999999996E-2</v>
      </c>
      <c r="F461" s="15">
        <v>0.22500000000000001</v>
      </c>
      <c r="G461" s="15">
        <v>-6.7000000000000004E-2</v>
      </c>
      <c r="H461" s="15">
        <v>0.03</v>
      </c>
      <c r="I461" s="15">
        <v>0.16900000000000001</v>
      </c>
      <c r="J461" t="s">
        <v>412</v>
      </c>
      <c r="K461" t="s">
        <v>487</v>
      </c>
    </row>
    <row r="462" spans="1:11">
      <c r="A462" t="s">
        <v>479</v>
      </c>
      <c r="B462" t="s">
        <v>578</v>
      </c>
      <c r="C462" t="s">
        <v>575</v>
      </c>
      <c r="D462" s="15">
        <v>-0.22500000000000001</v>
      </c>
      <c r="E462" s="15">
        <v>2.8000000000000001E-2</v>
      </c>
      <c r="F462" s="15">
        <v>0.254</v>
      </c>
      <c r="G462" s="15">
        <v>-9.8000000000000004E-2</v>
      </c>
      <c r="H462" s="15">
        <v>1.9E-2</v>
      </c>
      <c r="I462" s="15">
        <v>0.16900000000000001</v>
      </c>
      <c r="J462" t="s">
        <v>412</v>
      </c>
      <c r="K462" t="s">
        <v>487</v>
      </c>
    </row>
    <row r="463" spans="1:11">
      <c r="A463" t="s">
        <v>479</v>
      </c>
      <c r="B463" t="s">
        <v>578</v>
      </c>
      <c r="C463" t="s">
        <v>492</v>
      </c>
      <c r="D463" s="15">
        <v>5.8999999999999997E-2</v>
      </c>
      <c r="E463" s="15">
        <v>2.8000000000000001E-2</v>
      </c>
      <c r="F463" s="15">
        <v>-0.41899999999999998</v>
      </c>
      <c r="G463" s="15">
        <v>4.3999999999999997E-2</v>
      </c>
      <c r="H463" s="15">
        <v>-0.111</v>
      </c>
      <c r="I463" s="15">
        <v>0.16900000000000001</v>
      </c>
      <c r="J463" t="s">
        <v>412</v>
      </c>
      <c r="K463" t="s">
        <v>493</v>
      </c>
    </row>
    <row r="464" spans="1:11">
      <c r="A464" t="s">
        <v>573</v>
      </c>
      <c r="B464" t="s">
        <v>517</v>
      </c>
      <c r="C464" t="s">
        <v>492</v>
      </c>
      <c r="D464" s="15">
        <v>-0.16400000000000001</v>
      </c>
      <c r="E464" s="15">
        <v>7.4999999999999997E-2</v>
      </c>
      <c r="F464" s="15">
        <v>-0.26700000000000002</v>
      </c>
      <c r="G464" s="15">
        <v>-4.4999999999999998E-2</v>
      </c>
      <c r="H464" s="15">
        <v>-0.11899999999999999</v>
      </c>
      <c r="I464" s="15">
        <v>0.16900000000000001</v>
      </c>
      <c r="J464" t="s">
        <v>412</v>
      </c>
      <c r="K464" t="s">
        <v>500</v>
      </c>
    </row>
    <row r="465" spans="1:11">
      <c r="A465" t="s">
        <v>486</v>
      </c>
      <c r="B465" t="s">
        <v>586</v>
      </c>
      <c r="C465" t="s">
        <v>585</v>
      </c>
      <c r="D465" s="15">
        <v>-0.27</v>
      </c>
      <c r="E465" s="15">
        <v>-0.189</v>
      </c>
      <c r="F465" s="15">
        <v>4.9000000000000002E-2</v>
      </c>
      <c r="G465" s="15">
        <v>-0.23</v>
      </c>
      <c r="H465" s="15">
        <v>-0.13700000000000001</v>
      </c>
      <c r="I465" s="15">
        <v>0.16900000000000001</v>
      </c>
      <c r="J465" t="s">
        <v>412</v>
      </c>
      <c r="K465" t="s">
        <v>510</v>
      </c>
    </row>
    <row r="466" spans="1:11">
      <c r="A466" t="s">
        <v>486</v>
      </c>
      <c r="B466" t="s">
        <v>569</v>
      </c>
      <c r="C466" t="s">
        <v>584</v>
      </c>
      <c r="D466" s="15">
        <v>-7.9000000000000001E-2</v>
      </c>
      <c r="E466" s="15">
        <v>-0.30499999999999999</v>
      </c>
      <c r="F466" s="15">
        <v>-0.124</v>
      </c>
      <c r="G466" s="15">
        <v>-0.192</v>
      </c>
      <c r="H466" s="15">
        <v>-0.16900000000000001</v>
      </c>
      <c r="I466" s="15">
        <v>0.16900000000000001</v>
      </c>
      <c r="J466" t="s">
        <v>412</v>
      </c>
      <c r="K466" t="s">
        <v>589</v>
      </c>
    </row>
    <row r="467" spans="1:11">
      <c r="A467" t="s">
        <v>479</v>
      </c>
      <c r="B467" t="s">
        <v>597</v>
      </c>
      <c r="C467" t="s">
        <v>593</v>
      </c>
      <c r="D467" s="15">
        <v>-8.0000000000000002E-3</v>
      </c>
      <c r="E467" s="15">
        <v>-0.251</v>
      </c>
      <c r="F467" s="15">
        <v>-0.249</v>
      </c>
      <c r="G467" s="15">
        <v>-0.129</v>
      </c>
      <c r="H467" s="15">
        <v>-0.16900000000000001</v>
      </c>
      <c r="I467" s="15">
        <v>0.16900000000000001</v>
      </c>
      <c r="J467" t="s">
        <v>412</v>
      </c>
      <c r="K467" t="s">
        <v>589</v>
      </c>
    </row>
    <row r="468" spans="1:11">
      <c r="A468" t="s">
        <v>573</v>
      </c>
      <c r="B468" t="s">
        <v>499</v>
      </c>
      <c r="C468" t="s">
        <v>570</v>
      </c>
      <c r="D468" s="15">
        <v>-0.17100000000000001</v>
      </c>
      <c r="E468" s="15">
        <v>-8.8999999999999996E-2</v>
      </c>
      <c r="F468" s="15">
        <v>-0.246</v>
      </c>
      <c r="G468" s="15">
        <v>-0.13</v>
      </c>
      <c r="H468" s="15">
        <v>-0.16900000000000001</v>
      </c>
      <c r="I468" s="15">
        <v>0.16900000000000001</v>
      </c>
      <c r="J468" t="s">
        <v>412</v>
      </c>
      <c r="K468" t="s">
        <v>589</v>
      </c>
    </row>
    <row r="469" spans="1:11">
      <c r="A469" t="s">
        <v>571</v>
      </c>
      <c r="B469" t="s">
        <v>499</v>
      </c>
      <c r="C469" t="s">
        <v>583</v>
      </c>
      <c r="D469" s="15">
        <v>-0.152</v>
      </c>
      <c r="E469" s="15">
        <v>-1E-3</v>
      </c>
      <c r="F469" s="15">
        <v>-0.35499999999999998</v>
      </c>
      <c r="G469" s="15">
        <v>-7.5999999999999998E-2</v>
      </c>
      <c r="H469" s="15">
        <v>-0.16900000000000001</v>
      </c>
      <c r="I469" s="15">
        <v>0.16900000000000001</v>
      </c>
      <c r="J469" t="s">
        <v>412</v>
      </c>
      <c r="K469" t="s">
        <v>589</v>
      </c>
    </row>
    <row r="470" spans="1:11">
      <c r="A470" t="s">
        <v>547</v>
      </c>
      <c r="B470" t="s">
        <v>590</v>
      </c>
      <c r="C470" t="s">
        <v>582</v>
      </c>
      <c r="D470" s="15">
        <v>0.14299999999999999</v>
      </c>
      <c r="E470" s="15">
        <v>0.16600000000000001</v>
      </c>
      <c r="F470" s="15">
        <v>0.19500000000000001</v>
      </c>
      <c r="G470" s="15">
        <v>0.155</v>
      </c>
      <c r="H470" s="15">
        <v>0.16800000000000001</v>
      </c>
      <c r="I470" s="15">
        <v>0.16800000000000001</v>
      </c>
      <c r="J470" t="s">
        <v>412</v>
      </c>
      <c r="K470" t="s">
        <v>551</v>
      </c>
    </row>
    <row r="471" spans="1:11">
      <c r="A471" t="s">
        <v>506</v>
      </c>
      <c r="B471" t="s">
        <v>574</v>
      </c>
      <c r="C471" t="s">
        <v>492</v>
      </c>
      <c r="D471" s="15">
        <v>-0.17399999999999999</v>
      </c>
      <c r="E471" s="15">
        <v>3.5999999999999997E-2</v>
      </c>
      <c r="F471" s="15">
        <v>0.29499999999999998</v>
      </c>
      <c r="G471" s="15">
        <v>-6.9000000000000006E-2</v>
      </c>
      <c r="H471" s="15">
        <v>5.1999999999999998E-2</v>
      </c>
      <c r="I471" s="15">
        <v>0.16800000000000001</v>
      </c>
      <c r="J471" t="s">
        <v>412</v>
      </c>
      <c r="K471" t="s">
        <v>487</v>
      </c>
    </row>
    <row r="472" spans="1:11">
      <c r="A472" t="s">
        <v>486</v>
      </c>
      <c r="B472" t="s">
        <v>590</v>
      </c>
      <c r="C472" t="s">
        <v>594</v>
      </c>
      <c r="D472" s="15">
        <v>-9.7000000000000003E-2</v>
      </c>
      <c r="E472" s="15">
        <v>-0.106</v>
      </c>
      <c r="F472" s="15">
        <v>0.29899999999999999</v>
      </c>
      <c r="G472" s="15">
        <v>-0.10199999999999999</v>
      </c>
      <c r="H472" s="15">
        <v>3.2000000000000001E-2</v>
      </c>
      <c r="I472" s="15">
        <v>0.16800000000000001</v>
      </c>
      <c r="J472" t="s">
        <v>412</v>
      </c>
      <c r="K472" t="s">
        <v>510</v>
      </c>
    </row>
    <row r="473" spans="1:11">
      <c r="A473" t="s">
        <v>506</v>
      </c>
      <c r="B473" t="s">
        <v>478</v>
      </c>
      <c r="C473" t="s">
        <v>585</v>
      </c>
      <c r="D473" s="15">
        <v>-5.6000000000000001E-2</v>
      </c>
      <c r="E473" s="15">
        <v>-0.224</v>
      </c>
      <c r="F473" s="15">
        <v>0.22600000000000001</v>
      </c>
      <c r="G473" s="15">
        <v>-0.14000000000000001</v>
      </c>
      <c r="H473" s="15">
        <v>-1.7999999999999999E-2</v>
      </c>
      <c r="I473" s="15">
        <v>0.16800000000000001</v>
      </c>
      <c r="J473" t="s">
        <v>412</v>
      </c>
      <c r="K473" t="s">
        <v>510</v>
      </c>
    </row>
    <row r="474" spans="1:11">
      <c r="A474" t="s">
        <v>573</v>
      </c>
      <c r="B474" t="s">
        <v>587</v>
      </c>
      <c r="C474" t="s">
        <v>575</v>
      </c>
      <c r="D474" s="15">
        <v>-4.9000000000000002E-2</v>
      </c>
      <c r="E474" s="15">
        <v>0.16200000000000001</v>
      </c>
      <c r="F474" s="15">
        <v>-0.29299999999999998</v>
      </c>
      <c r="G474" s="15">
        <v>5.7000000000000002E-2</v>
      </c>
      <c r="H474" s="15">
        <v>-0.06</v>
      </c>
      <c r="I474" s="15">
        <v>0.16800000000000001</v>
      </c>
      <c r="J474" t="s">
        <v>412</v>
      </c>
      <c r="K474" t="s">
        <v>500</v>
      </c>
    </row>
    <row r="475" spans="1:11">
      <c r="A475" t="s">
        <v>506</v>
      </c>
      <c r="B475" t="s">
        <v>592</v>
      </c>
      <c r="C475" t="s">
        <v>593</v>
      </c>
      <c r="D475" s="15">
        <v>-7.1999999999999995E-2</v>
      </c>
      <c r="E475" s="15">
        <v>-0.30199999999999999</v>
      </c>
      <c r="F475" s="15">
        <v>0.13100000000000001</v>
      </c>
      <c r="G475" s="15">
        <v>-0.187</v>
      </c>
      <c r="H475" s="15">
        <v>-8.1000000000000003E-2</v>
      </c>
      <c r="I475" s="15">
        <v>0.16800000000000001</v>
      </c>
      <c r="J475" t="s">
        <v>412</v>
      </c>
      <c r="K475" t="s">
        <v>510</v>
      </c>
    </row>
    <row r="476" spans="1:11">
      <c r="A476" t="s">
        <v>571</v>
      </c>
      <c r="B476" t="s">
        <v>498</v>
      </c>
      <c r="C476" t="s">
        <v>583</v>
      </c>
      <c r="D476" s="15">
        <v>-0.152</v>
      </c>
      <c r="E476" s="15">
        <v>0.11</v>
      </c>
      <c r="F476" s="15">
        <v>-0.24199999999999999</v>
      </c>
      <c r="G476" s="15">
        <v>-2.1000000000000001E-2</v>
      </c>
      <c r="H476" s="15">
        <v>-9.5000000000000001E-2</v>
      </c>
      <c r="I476" s="15">
        <v>0.16800000000000001</v>
      </c>
      <c r="J476" t="s">
        <v>412</v>
      </c>
      <c r="K476" t="s">
        <v>500</v>
      </c>
    </row>
    <row r="477" spans="1:11">
      <c r="A477" t="s">
        <v>479</v>
      </c>
      <c r="B477" t="s">
        <v>578</v>
      </c>
      <c r="C477" t="s">
        <v>572</v>
      </c>
      <c r="D477" s="15">
        <v>-6.8000000000000005E-2</v>
      </c>
      <c r="E477" s="15">
        <v>2.8000000000000001E-2</v>
      </c>
      <c r="F477" s="15">
        <v>-0.40899999999999997</v>
      </c>
      <c r="G477" s="15">
        <v>-0.02</v>
      </c>
      <c r="H477" s="15">
        <v>-0.14899999999999999</v>
      </c>
      <c r="I477" s="15">
        <v>0.16800000000000001</v>
      </c>
      <c r="J477" t="s">
        <v>412</v>
      </c>
      <c r="K477" t="s">
        <v>500</v>
      </c>
    </row>
    <row r="478" spans="1:11">
      <c r="A478" t="s">
        <v>506</v>
      </c>
      <c r="B478" t="s">
        <v>517</v>
      </c>
      <c r="C478" t="s">
        <v>492</v>
      </c>
      <c r="D478" s="15">
        <v>-0.17399999999999999</v>
      </c>
      <c r="E478" s="15">
        <v>-6.5000000000000002E-2</v>
      </c>
      <c r="F478" s="15">
        <v>-0.26700000000000002</v>
      </c>
      <c r="G478" s="15">
        <v>-0.11899999999999999</v>
      </c>
      <c r="H478" s="15">
        <v>-0.16800000000000001</v>
      </c>
      <c r="I478" s="15">
        <v>0.16800000000000001</v>
      </c>
      <c r="J478" t="s">
        <v>412</v>
      </c>
      <c r="K478" t="s">
        <v>589</v>
      </c>
    </row>
    <row r="479" spans="1:11">
      <c r="A479" t="s">
        <v>577</v>
      </c>
      <c r="B479" t="s">
        <v>587</v>
      </c>
      <c r="C479" t="s">
        <v>570</v>
      </c>
      <c r="D479" s="15">
        <v>-8.8999999999999996E-2</v>
      </c>
      <c r="E479" s="15">
        <v>-0.15</v>
      </c>
      <c r="F479" s="15">
        <v>-0.26500000000000001</v>
      </c>
      <c r="G479" s="15">
        <v>-0.12</v>
      </c>
      <c r="H479" s="15">
        <v>-0.16800000000000001</v>
      </c>
      <c r="I479" s="15">
        <v>0.16800000000000001</v>
      </c>
      <c r="J479" t="s">
        <v>412</v>
      </c>
      <c r="K479" t="s">
        <v>589</v>
      </c>
    </row>
    <row r="480" spans="1:11">
      <c r="A480" t="s">
        <v>571</v>
      </c>
      <c r="B480" t="s">
        <v>595</v>
      </c>
      <c r="C480" t="s">
        <v>477</v>
      </c>
      <c r="D480" s="15">
        <v>0.13300000000000001</v>
      </c>
      <c r="E480" s="15">
        <v>0.32600000000000001</v>
      </c>
      <c r="F480" s="15">
        <v>4.2999999999999997E-2</v>
      </c>
      <c r="G480" s="15">
        <v>0.23</v>
      </c>
      <c r="H480" s="15">
        <v>0.16700000000000001</v>
      </c>
      <c r="I480" s="15">
        <v>0.16700000000000001</v>
      </c>
      <c r="J480" t="s">
        <v>412</v>
      </c>
      <c r="K480" t="s">
        <v>551</v>
      </c>
    </row>
    <row r="481" spans="1:11">
      <c r="A481" t="s">
        <v>577</v>
      </c>
      <c r="B481" t="s">
        <v>586</v>
      </c>
      <c r="C481" t="s">
        <v>570</v>
      </c>
      <c r="D481" s="15">
        <v>-8.8999999999999996E-2</v>
      </c>
      <c r="E481" s="15">
        <v>0.217</v>
      </c>
      <c r="F481" s="15">
        <v>0.19600000000000001</v>
      </c>
      <c r="G481" s="15">
        <v>6.4000000000000001E-2</v>
      </c>
      <c r="H481" s="15">
        <v>0.108</v>
      </c>
      <c r="I481" s="15">
        <v>0.16700000000000001</v>
      </c>
      <c r="J481" t="s">
        <v>412</v>
      </c>
      <c r="K481" t="s">
        <v>487</v>
      </c>
    </row>
    <row r="482" spans="1:11">
      <c r="A482" t="s">
        <v>479</v>
      </c>
      <c r="B482" t="s">
        <v>590</v>
      </c>
      <c r="C482" t="s">
        <v>582</v>
      </c>
      <c r="D482" s="15">
        <v>-0.127</v>
      </c>
      <c r="E482" s="15">
        <v>0.17899999999999999</v>
      </c>
      <c r="F482" s="15">
        <v>0.19500000000000001</v>
      </c>
      <c r="G482" s="15">
        <v>2.5999999999999999E-2</v>
      </c>
      <c r="H482" s="15">
        <v>8.2000000000000003E-2</v>
      </c>
      <c r="I482" s="15">
        <v>0.16700000000000001</v>
      </c>
      <c r="J482" t="s">
        <v>412</v>
      </c>
      <c r="K482" t="s">
        <v>487</v>
      </c>
    </row>
    <row r="483" spans="1:11">
      <c r="A483" t="s">
        <v>506</v>
      </c>
      <c r="B483" t="s">
        <v>586</v>
      </c>
      <c r="C483" t="s">
        <v>570</v>
      </c>
      <c r="D483" s="15">
        <v>-0.14199999999999999</v>
      </c>
      <c r="E483" s="15">
        <v>0.16400000000000001</v>
      </c>
      <c r="F483" s="15">
        <v>0.19600000000000001</v>
      </c>
      <c r="G483" s="15">
        <v>1.0999999999999999E-2</v>
      </c>
      <c r="H483" s="15">
        <v>7.2999999999999995E-2</v>
      </c>
      <c r="I483" s="15">
        <v>0.16700000000000001</v>
      </c>
      <c r="J483" t="s">
        <v>412</v>
      </c>
      <c r="K483" t="s">
        <v>487</v>
      </c>
    </row>
    <row r="484" spans="1:11">
      <c r="A484" t="s">
        <v>571</v>
      </c>
      <c r="B484" t="s">
        <v>595</v>
      </c>
      <c r="C484" t="s">
        <v>575</v>
      </c>
      <c r="D484" s="15">
        <v>-0.16800000000000001</v>
      </c>
      <c r="E484" s="15">
        <v>0.32600000000000001</v>
      </c>
      <c r="F484" s="15">
        <v>6.0000000000000001E-3</v>
      </c>
      <c r="G484" s="15">
        <v>7.9000000000000001E-2</v>
      </c>
      <c r="H484" s="15">
        <v>5.5E-2</v>
      </c>
      <c r="I484" s="15">
        <v>0.16700000000000001</v>
      </c>
      <c r="J484" t="s">
        <v>412</v>
      </c>
      <c r="K484" t="s">
        <v>487</v>
      </c>
    </row>
    <row r="485" spans="1:11">
      <c r="A485" t="s">
        <v>571</v>
      </c>
      <c r="B485" t="s">
        <v>578</v>
      </c>
      <c r="C485" t="s">
        <v>583</v>
      </c>
      <c r="D485" s="15">
        <v>-0.152</v>
      </c>
      <c r="E485" s="15">
        <v>-5.3999999999999999E-2</v>
      </c>
      <c r="F485" s="15">
        <v>0.29499999999999998</v>
      </c>
      <c r="G485" s="15">
        <v>-0.10299999999999999</v>
      </c>
      <c r="H485" s="15">
        <v>0.03</v>
      </c>
      <c r="I485" s="15">
        <v>0.16700000000000001</v>
      </c>
      <c r="J485" t="s">
        <v>412</v>
      </c>
      <c r="K485" t="s">
        <v>510</v>
      </c>
    </row>
    <row r="486" spans="1:11">
      <c r="A486" t="s">
        <v>486</v>
      </c>
      <c r="B486" t="s">
        <v>574</v>
      </c>
      <c r="C486" t="s">
        <v>591</v>
      </c>
      <c r="D486" s="15">
        <v>-0.02</v>
      </c>
      <c r="E486" s="15">
        <v>0.26200000000000001</v>
      </c>
      <c r="F486" s="15">
        <v>-0.218</v>
      </c>
      <c r="G486" s="15">
        <v>0.121</v>
      </c>
      <c r="H486" s="15">
        <v>8.0000000000000002E-3</v>
      </c>
      <c r="I486" s="15">
        <v>0.16700000000000001</v>
      </c>
      <c r="J486" t="s">
        <v>412</v>
      </c>
      <c r="K486" t="s">
        <v>500</v>
      </c>
    </row>
    <row r="487" spans="1:11">
      <c r="A487" t="s">
        <v>547</v>
      </c>
      <c r="B487" t="s">
        <v>581</v>
      </c>
      <c r="C487" t="s">
        <v>585</v>
      </c>
      <c r="D487" s="15">
        <v>-7.1999999999999995E-2</v>
      </c>
      <c r="E487" s="15">
        <v>0.23699999999999999</v>
      </c>
      <c r="F487" s="15">
        <v>-0.193</v>
      </c>
      <c r="G487" s="15">
        <v>8.2000000000000003E-2</v>
      </c>
      <c r="H487" s="15">
        <v>-0.01</v>
      </c>
      <c r="I487" s="15">
        <v>0.16700000000000001</v>
      </c>
      <c r="J487" t="s">
        <v>412</v>
      </c>
      <c r="K487" t="s">
        <v>500</v>
      </c>
    </row>
    <row r="488" spans="1:11">
      <c r="A488" t="s">
        <v>573</v>
      </c>
      <c r="B488" t="s">
        <v>574</v>
      </c>
      <c r="C488" t="s">
        <v>477</v>
      </c>
      <c r="D488" s="15">
        <v>0.14599999999999999</v>
      </c>
      <c r="E488" s="15">
        <v>-0.124</v>
      </c>
      <c r="F488" s="15">
        <v>-0.23100000000000001</v>
      </c>
      <c r="G488" s="15">
        <v>1.0999999999999999E-2</v>
      </c>
      <c r="H488" s="15">
        <v>-7.0000000000000007E-2</v>
      </c>
      <c r="I488" s="15">
        <v>0.16700000000000001</v>
      </c>
      <c r="J488" t="s">
        <v>412</v>
      </c>
      <c r="K488" t="s">
        <v>579</v>
      </c>
    </row>
    <row r="489" spans="1:11">
      <c r="A489" t="s">
        <v>576</v>
      </c>
      <c r="B489" t="s">
        <v>574</v>
      </c>
      <c r="C489" t="s">
        <v>593</v>
      </c>
      <c r="D489" s="15">
        <v>-1.7000000000000001E-2</v>
      </c>
      <c r="E489" s="15">
        <v>0.109</v>
      </c>
      <c r="F489" s="15">
        <v>-0.376</v>
      </c>
      <c r="G489" s="15">
        <v>4.5999999999999999E-2</v>
      </c>
      <c r="H489" s="15">
        <v>-9.5000000000000001E-2</v>
      </c>
      <c r="I489" s="15">
        <v>0.16700000000000001</v>
      </c>
      <c r="J489" t="s">
        <v>412</v>
      </c>
      <c r="K489" t="s">
        <v>500</v>
      </c>
    </row>
    <row r="490" spans="1:11">
      <c r="A490" t="s">
        <v>479</v>
      </c>
      <c r="B490" t="s">
        <v>569</v>
      </c>
      <c r="C490" t="s">
        <v>591</v>
      </c>
      <c r="D490" s="15">
        <v>9.4E-2</v>
      </c>
      <c r="E490" s="15">
        <v>-0.30099999999999999</v>
      </c>
      <c r="F490" s="15">
        <v>-0.106</v>
      </c>
      <c r="G490" s="15">
        <v>-0.104</v>
      </c>
      <c r="H490" s="15">
        <v>-0.105</v>
      </c>
      <c r="I490" s="15">
        <v>0.16700000000000001</v>
      </c>
      <c r="J490" t="s">
        <v>412</v>
      </c>
      <c r="K490" t="s">
        <v>579</v>
      </c>
    </row>
    <row r="491" spans="1:11">
      <c r="A491" t="s">
        <v>577</v>
      </c>
      <c r="B491" t="s">
        <v>569</v>
      </c>
      <c r="C491" t="s">
        <v>492</v>
      </c>
      <c r="D491" s="15">
        <v>-0.28699999999999998</v>
      </c>
      <c r="E491" s="15">
        <v>-0.157</v>
      </c>
      <c r="F491" s="15">
        <v>5.7000000000000002E-2</v>
      </c>
      <c r="G491" s="15">
        <v>-0.222</v>
      </c>
      <c r="H491" s="15">
        <v>-0.129</v>
      </c>
      <c r="I491" s="15">
        <v>0.16700000000000001</v>
      </c>
      <c r="J491" t="s">
        <v>412</v>
      </c>
      <c r="K491" t="s">
        <v>510</v>
      </c>
    </row>
    <row r="492" spans="1:11">
      <c r="A492" t="s">
        <v>573</v>
      </c>
      <c r="B492" t="s">
        <v>580</v>
      </c>
      <c r="C492" t="s">
        <v>572</v>
      </c>
      <c r="D492" s="15">
        <v>-0.20799999999999999</v>
      </c>
      <c r="E492" s="15">
        <v>4.7E-2</v>
      </c>
      <c r="F492" s="15">
        <v>-0.245</v>
      </c>
      <c r="G492" s="15">
        <v>-0.08</v>
      </c>
      <c r="H492" s="15">
        <v>-0.13500000000000001</v>
      </c>
      <c r="I492" s="15">
        <v>0.16700000000000001</v>
      </c>
      <c r="J492" t="s">
        <v>412</v>
      </c>
      <c r="K492" t="s">
        <v>500</v>
      </c>
    </row>
    <row r="493" spans="1:11">
      <c r="A493" t="s">
        <v>479</v>
      </c>
      <c r="B493" t="s">
        <v>581</v>
      </c>
      <c r="C493" t="s">
        <v>570</v>
      </c>
      <c r="D493" s="15">
        <v>-0.26900000000000002</v>
      </c>
      <c r="E493" s="15">
        <v>-7.8E-2</v>
      </c>
      <c r="F493" s="15">
        <v>-0.155</v>
      </c>
      <c r="G493" s="15">
        <v>-0.17299999999999999</v>
      </c>
      <c r="H493" s="15">
        <v>-0.16700000000000001</v>
      </c>
      <c r="I493" s="15">
        <v>0.16700000000000001</v>
      </c>
      <c r="J493" t="s">
        <v>412</v>
      </c>
      <c r="K493" t="s">
        <v>589</v>
      </c>
    </row>
    <row r="494" spans="1:11">
      <c r="A494" t="s">
        <v>547</v>
      </c>
      <c r="B494" t="s">
        <v>574</v>
      </c>
      <c r="C494" t="s">
        <v>575</v>
      </c>
      <c r="D494" s="15">
        <v>-6.8000000000000005E-2</v>
      </c>
      <c r="E494" s="15">
        <v>-2.4E-2</v>
      </c>
      <c r="F494" s="15">
        <v>-0.40799999999999997</v>
      </c>
      <c r="G494" s="15">
        <v>-4.5999999999999999E-2</v>
      </c>
      <c r="H494" s="15">
        <v>-0.16700000000000001</v>
      </c>
      <c r="I494" s="15">
        <v>0.16700000000000001</v>
      </c>
      <c r="J494" t="s">
        <v>412</v>
      </c>
      <c r="K494" t="s">
        <v>589</v>
      </c>
    </row>
    <row r="495" spans="1:11">
      <c r="A495" t="s">
        <v>576</v>
      </c>
      <c r="B495" t="s">
        <v>597</v>
      </c>
      <c r="C495" t="s">
        <v>584</v>
      </c>
      <c r="D495" s="15">
        <v>-0.1</v>
      </c>
      <c r="E495" s="15">
        <v>-0.11700000000000001</v>
      </c>
      <c r="F495" s="15">
        <v>-0.28299999999999997</v>
      </c>
      <c r="G495" s="15">
        <v>-0.108</v>
      </c>
      <c r="H495" s="15">
        <v>-0.16700000000000001</v>
      </c>
      <c r="I495" s="15">
        <v>0.16700000000000001</v>
      </c>
      <c r="J495" t="s">
        <v>412</v>
      </c>
      <c r="K495" t="s">
        <v>589</v>
      </c>
    </row>
    <row r="496" spans="1:11">
      <c r="A496" t="s">
        <v>577</v>
      </c>
      <c r="B496" t="s">
        <v>588</v>
      </c>
      <c r="C496" t="s">
        <v>575</v>
      </c>
      <c r="D496" s="15">
        <v>0.14199999999999999</v>
      </c>
      <c r="E496" s="15">
        <v>0.114</v>
      </c>
      <c r="F496" s="15">
        <v>0.24299999999999999</v>
      </c>
      <c r="G496" s="15">
        <v>0.128</v>
      </c>
      <c r="H496" s="15">
        <v>0.16600000000000001</v>
      </c>
      <c r="I496" s="15">
        <v>0.16600000000000001</v>
      </c>
      <c r="J496" t="s">
        <v>412</v>
      </c>
      <c r="K496" t="s">
        <v>551</v>
      </c>
    </row>
    <row r="497" spans="1:11">
      <c r="A497" t="s">
        <v>547</v>
      </c>
      <c r="B497" t="s">
        <v>578</v>
      </c>
      <c r="C497" t="s">
        <v>477</v>
      </c>
      <c r="D497" s="15">
        <v>6.4000000000000001E-2</v>
      </c>
      <c r="E497" s="15">
        <v>-4.2999999999999997E-2</v>
      </c>
      <c r="F497" s="15">
        <v>0.39200000000000002</v>
      </c>
      <c r="G497" s="15">
        <v>1.0999999999999999E-2</v>
      </c>
      <c r="H497" s="15">
        <v>0.13800000000000001</v>
      </c>
      <c r="I497" s="15">
        <v>0.16600000000000001</v>
      </c>
      <c r="J497" t="s">
        <v>412</v>
      </c>
      <c r="K497" t="s">
        <v>480</v>
      </c>
    </row>
    <row r="498" spans="1:11">
      <c r="A498" t="s">
        <v>506</v>
      </c>
      <c r="B498" t="s">
        <v>578</v>
      </c>
      <c r="C498" t="s">
        <v>582</v>
      </c>
      <c r="D498" s="15">
        <v>0.34100000000000003</v>
      </c>
      <c r="E498" s="15">
        <v>-5.6000000000000001E-2</v>
      </c>
      <c r="F498" s="15">
        <v>0.1</v>
      </c>
      <c r="G498" s="15">
        <v>0.14199999999999999</v>
      </c>
      <c r="H498" s="15">
        <v>0.128</v>
      </c>
      <c r="I498" s="15">
        <v>0.16600000000000001</v>
      </c>
      <c r="J498" t="s">
        <v>412</v>
      </c>
      <c r="K498" t="s">
        <v>480</v>
      </c>
    </row>
    <row r="499" spans="1:11">
      <c r="A499" t="s">
        <v>577</v>
      </c>
      <c r="B499" t="s">
        <v>596</v>
      </c>
      <c r="C499" t="s">
        <v>584</v>
      </c>
      <c r="D499" s="15">
        <v>0.182</v>
      </c>
      <c r="E499" s="15">
        <v>-7.0000000000000007E-2</v>
      </c>
      <c r="F499" s="15">
        <v>0.245</v>
      </c>
      <c r="G499" s="15">
        <v>5.6000000000000001E-2</v>
      </c>
      <c r="H499" s="15">
        <v>0.11899999999999999</v>
      </c>
      <c r="I499" s="15">
        <v>0.16600000000000001</v>
      </c>
      <c r="J499" t="s">
        <v>412</v>
      </c>
      <c r="K499" t="s">
        <v>480</v>
      </c>
    </row>
    <row r="500" spans="1:11">
      <c r="A500" t="s">
        <v>506</v>
      </c>
      <c r="B500" t="s">
        <v>498</v>
      </c>
      <c r="C500" t="s">
        <v>583</v>
      </c>
      <c r="D500" s="15">
        <v>4.1000000000000002E-2</v>
      </c>
      <c r="E500" s="15">
        <v>0.215</v>
      </c>
      <c r="F500" s="15">
        <v>-0.24199999999999999</v>
      </c>
      <c r="G500" s="15">
        <v>0.128</v>
      </c>
      <c r="H500" s="15">
        <v>5.0000000000000001E-3</v>
      </c>
      <c r="I500" s="15">
        <v>0.16600000000000001</v>
      </c>
      <c r="J500" t="s">
        <v>412</v>
      </c>
      <c r="K500" t="s">
        <v>493</v>
      </c>
    </row>
    <row r="501" spans="1:11">
      <c r="A501" t="s">
        <v>571</v>
      </c>
      <c r="B501" t="s">
        <v>523</v>
      </c>
      <c r="C501" t="s">
        <v>575</v>
      </c>
      <c r="D501" s="15">
        <v>-0.16800000000000001</v>
      </c>
      <c r="E501" s="15">
        <v>-0.13200000000000001</v>
      </c>
      <c r="F501" s="15">
        <v>0.19600000000000001</v>
      </c>
      <c r="G501" s="15">
        <v>-0.15</v>
      </c>
      <c r="H501" s="15">
        <v>-3.5000000000000003E-2</v>
      </c>
      <c r="I501" s="15">
        <v>0.16600000000000001</v>
      </c>
      <c r="J501" t="s">
        <v>412</v>
      </c>
      <c r="K501" t="s">
        <v>510</v>
      </c>
    </row>
    <row r="502" spans="1:11">
      <c r="A502" t="s">
        <v>573</v>
      </c>
      <c r="B502" t="s">
        <v>587</v>
      </c>
      <c r="C502" t="s">
        <v>585</v>
      </c>
      <c r="D502" s="15">
        <v>2.5999999999999999E-2</v>
      </c>
      <c r="E502" s="15">
        <v>0.16200000000000001</v>
      </c>
      <c r="F502" s="15">
        <v>-0.31</v>
      </c>
      <c r="G502" s="15">
        <v>9.4E-2</v>
      </c>
      <c r="H502" s="15">
        <v>-0.04</v>
      </c>
      <c r="I502" s="15">
        <v>0.16600000000000001</v>
      </c>
      <c r="J502" t="s">
        <v>412</v>
      </c>
      <c r="K502" t="s">
        <v>493</v>
      </c>
    </row>
    <row r="503" spans="1:11">
      <c r="A503" t="s">
        <v>576</v>
      </c>
      <c r="B503" t="s">
        <v>598</v>
      </c>
      <c r="C503" t="s">
        <v>570</v>
      </c>
      <c r="D503" s="15">
        <v>-0.222</v>
      </c>
      <c r="E503" s="15">
        <v>-0.20200000000000001</v>
      </c>
      <c r="F503" s="15">
        <v>-7.4999999999999997E-2</v>
      </c>
      <c r="G503" s="15">
        <v>-0.21199999999999999</v>
      </c>
      <c r="H503" s="15">
        <v>-0.16600000000000001</v>
      </c>
      <c r="I503" s="15">
        <v>0.16600000000000001</v>
      </c>
      <c r="J503" t="s">
        <v>412</v>
      </c>
      <c r="K503" t="s">
        <v>589</v>
      </c>
    </row>
    <row r="504" spans="1:11">
      <c r="A504" t="s">
        <v>486</v>
      </c>
      <c r="B504" t="s">
        <v>592</v>
      </c>
      <c r="C504" t="s">
        <v>492</v>
      </c>
      <c r="D504" s="15">
        <v>0.34899999999999998</v>
      </c>
      <c r="E504" s="15">
        <v>-9.1999999999999998E-2</v>
      </c>
      <c r="F504" s="15">
        <v>5.5E-2</v>
      </c>
      <c r="G504" s="15">
        <v>0.128</v>
      </c>
      <c r="H504" s="15">
        <v>0.104</v>
      </c>
      <c r="I504" s="15">
        <v>0.16500000000000001</v>
      </c>
      <c r="J504" t="s">
        <v>412</v>
      </c>
      <c r="K504" t="s">
        <v>480</v>
      </c>
    </row>
    <row r="505" spans="1:11">
      <c r="A505" t="s">
        <v>506</v>
      </c>
      <c r="B505" t="s">
        <v>574</v>
      </c>
      <c r="C505" t="s">
        <v>572</v>
      </c>
      <c r="D505" s="15">
        <v>-0.11899999999999999</v>
      </c>
      <c r="E505" s="15">
        <v>3.5999999999999997E-2</v>
      </c>
      <c r="F505" s="15">
        <v>0.34</v>
      </c>
      <c r="G505" s="15">
        <v>-4.1000000000000002E-2</v>
      </c>
      <c r="H505" s="15">
        <v>8.5999999999999993E-2</v>
      </c>
      <c r="I505" s="15">
        <v>0.16500000000000001</v>
      </c>
      <c r="J505" t="s">
        <v>412</v>
      </c>
      <c r="K505" t="s">
        <v>487</v>
      </c>
    </row>
    <row r="506" spans="1:11">
      <c r="A506" t="s">
        <v>506</v>
      </c>
      <c r="B506" t="s">
        <v>498</v>
      </c>
      <c r="C506" t="s">
        <v>477</v>
      </c>
      <c r="D506" s="15">
        <v>0.14399999999999999</v>
      </c>
      <c r="E506" s="15">
        <v>0.215</v>
      </c>
      <c r="F506" s="15">
        <v>-0.13400000000000001</v>
      </c>
      <c r="G506" s="15">
        <v>0.18</v>
      </c>
      <c r="H506" s="15">
        <v>7.4999999999999997E-2</v>
      </c>
      <c r="I506" s="15">
        <v>0.16500000000000001</v>
      </c>
      <c r="J506" t="s">
        <v>412</v>
      </c>
      <c r="K506" t="s">
        <v>493</v>
      </c>
    </row>
    <row r="507" spans="1:11">
      <c r="A507" t="s">
        <v>576</v>
      </c>
      <c r="B507" t="s">
        <v>523</v>
      </c>
      <c r="C507" t="s">
        <v>575</v>
      </c>
      <c r="D507" s="15">
        <v>-0.17100000000000001</v>
      </c>
      <c r="E507" s="15">
        <v>0.129</v>
      </c>
      <c r="F507" s="15">
        <v>0.19600000000000001</v>
      </c>
      <c r="G507" s="15">
        <v>-2.1000000000000001E-2</v>
      </c>
      <c r="H507" s="15">
        <v>5.0999999999999997E-2</v>
      </c>
      <c r="I507" s="15">
        <v>0.16500000000000001</v>
      </c>
      <c r="J507" t="s">
        <v>412</v>
      </c>
      <c r="K507" t="s">
        <v>487</v>
      </c>
    </row>
    <row r="508" spans="1:11">
      <c r="A508" t="s">
        <v>573</v>
      </c>
      <c r="B508" t="s">
        <v>587</v>
      </c>
      <c r="C508" t="s">
        <v>591</v>
      </c>
      <c r="D508" s="15">
        <v>0.123</v>
      </c>
      <c r="E508" s="15">
        <v>0.16200000000000001</v>
      </c>
      <c r="F508" s="15">
        <v>-0.20899999999999999</v>
      </c>
      <c r="G508" s="15">
        <v>0.14299999999999999</v>
      </c>
      <c r="H508" s="15">
        <v>2.5999999999999999E-2</v>
      </c>
      <c r="I508" s="15">
        <v>0.16500000000000001</v>
      </c>
      <c r="J508" t="s">
        <v>412</v>
      </c>
      <c r="K508" t="s">
        <v>493</v>
      </c>
    </row>
    <row r="509" spans="1:11">
      <c r="A509" t="s">
        <v>576</v>
      </c>
      <c r="B509" t="s">
        <v>499</v>
      </c>
      <c r="C509" t="s">
        <v>575</v>
      </c>
      <c r="D509" s="15">
        <v>-0.17100000000000001</v>
      </c>
      <c r="E509" s="15">
        <v>-7.0999999999999994E-2</v>
      </c>
      <c r="F509" s="15">
        <v>-0.254</v>
      </c>
      <c r="G509" s="15">
        <v>-0.121</v>
      </c>
      <c r="H509" s="15">
        <v>-0.16500000000000001</v>
      </c>
      <c r="I509" s="15">
        <v>0.16500000000000001</v>
      </c>
      <c r="J509" t="s">
        <v>412</v>
      </c>
      <c r="K509" t="s">
        <v>589</v>
      </c>
    </row>
    <row r="510" spans="1:11">
      <c r="A510" t="s">
        <v>577</v>
      </c>
      <c r="B510" t="s">
        <v>587</v>
      </c>
      <c r="C510" t="s">
        <v>583</v>
      </c>
      <c r="D510" s="15">
        <v>-0.09</v>
      </c>
      <c r="E510" s="15">
        <v>-0.15</v>
      </c>
      <c r="F510" s="15">
        <v>-0.254</v>
      </c>
      <c r="G510" s="15">
        <v>-0.12</v>
      </c>
      <c r="H510" s="15">
        <v>-0.16500000000000001</v>
      </c>
      <c r="I510" s="15">
        <v>0.16500000000000001</v>
      </c>
      <c r="J510" t="s">
        <v>412</v>
      </c>
      <c r="K510" t="s">
        <v>589</v>
      </c>
    </row>
    <row r="511" spans="1:11">
      <c r="A511" t="s">
        <v>547</v>
      </c>
      <c r="B511" t="s">
        <v>499</v>
      </c>
      <c r="C511" t="s">
        <v>572</v>
      </c>
      <c r="D511" s="15">
        <v>5.0000000000000001E-3</v>
      </c>
      <c r="E511" s="15">
        <v>-7.0999999999999994E-2</v>
      </c>
      <c r="F511" s="15">
        <v>0.41599999999999998</v>
      </c>
      <c r="G511" s="15">
        <v>-3.3000000000000002E-2</v>
      </c>
      <c r="H511" s="15">
        <v>0.11700000000000001</v>
      </c>
      <c r="I511" s="15">
        <v>0.16400000000000001</v>
      </c>
      <c r="J511" t="s">
        <v>412</v>
      </c>
      <c r="K511" t="s">
        <v>480</v>
      </c>
    </row>
    <row r="512" spans="1:11">
      <c r="A512" t="s">
        <v>576</v>
      </c>
      <c r="B512" t="s">
        <v>588</v>
      </c>
      <c r="C512" t="s">
        <v>584</v>
      </c>
      <c r="D512" s="15">
        <v>-0.1</v>
      </c>
      <c r="E512" s="15">
        <v>0.124</v>
      </c>
      <c r="F512" s="15">
        <v>0.26900000000000002</v>
      </c>
      <c r="G512" s="15">
        <v>1.2E-2</v>
      </c>
      <c r="H512" s="15">
        <v>9.8000000000000004E-2</v>
      </c>
      <c r="I512" s="15">
        <v>0.16400000000000001</v>
      </c>
      <c r="J512" t="s">
        <v>412</v>
      </c>
      <c r="K512" t="s">
        <v>487</v>
      </c>
    </row>
    <row r="513" spans="1:11">
      <c r="A513" t="s">
        <v>571</v>
      </c>
      <c r="B513" t="s">
        <v>595</v>
      </c>
      <c r="C513" t="s">
        <v>584</v>
      </c>
      <c r="D513" s="15">
        <v>-0.108</v>
      </c>
      <c r="E513" s="15">
        <v>0.32600000000000001</v>
      </c>
      <c r="F513" s="15">
        <v>-5.8999999999999997E-2</v>
      </c>
      <c r="G513" s="15">
        <v>0.109</v>
      </c>
      <c r="H513" s="15">
        <v>5.2999999999999999E-2</v>
      </c>
      <c r="I513" s="15">
        <v>0.16400000000000001</v>
      </c>
      <c r="J513" t="s">
        <v>412</v>
      </c>
      <c r="K513" t="s">
        <v>500</v>
      </c>
    </row>
    <row r="514" spans="1:11">
      <c r="A514" t="s">
        <v>573</v>
      </c>
      <c r="B514" t="s">
        <v>587</v>
      </c>
      <c r="C514" t="s">
        <v>583</v>
      </c>
      <c r="D514" s="15">
        <v>7.3999999999999996E-2</v>
      </c>
      <c r="E514" s="15">
        <v>0.16200000000000001</v>
      </c>
      <c r="F514" s="15">
        <v>-0.254</v>
      </c>
      <c r="G514" s="15">
        <v>0.11799999999999999</v>
      </c>
      <c r="H514" s="15">
        <v>-6.0000000000000001E-3</v>
      </c>
      <c r="I514" s="15">
        <v>0.16400000000000001</v>
      </c>
      <c r="J514" t="s">
        <v>412</v>
      </c>
      <c r="K514" t="s">
        <v>493</v>
      </c>
    </row>
    <row r="515" spans="1:11">
      <c r="A515" t="s">
        <v>506</v>
      </c>
      <c r="B515" t="s">
        <v>498</v>
      </c>
      <c r="C515" t="s">
        <v>585</v>
      </c>
      <c r="D515" s="15">
        <v>-5.6000000000000001E-2</v>
      </c>
      <c r="E515" s="15">
        <v>0.215</v>
      </c>
      <c r="F515" s="15">
        <v>-0.221</v>
      </c>
      <c r="G515" s="15">
        <v>0.08</v>
      </c>
      <c r="H515" s="15">
        <v>-0.02</v>
      </c>
      <c r="I515" s="15">
        <v>0.16400000000000001</v>
      </c>
      <c r="J515" t="s">
        <v>412</v>
      </c>
      <c r="K515" t="s">
        <v>500</v>
      </c>
    </row>
    <row r="516" spans="1:11">
      <c r="A516" t="s">
        <v>547</v>
      </c>
      <c r="B516" t="s">
        <v>587</v>
      </c>
      <c r="C516" t="s">
        <v>575</v>
      </c>
      <c r="D516" s="15">
        <v>-6.8000000000000005E-2</v>
      </c>
      <c r="E516" s="15">
        <v>0.13</v>
      </c>
      <c r="F516" s="15">
        <v>-0.29299999999999998</v>
      </c>
      <c r="G516" s="15">
        <v>3.1E-2</v>
      </c>
      <c r="H516" s="15">
        <v>-7.6999999999999999E-2</v>
      </c>
      <c r="I516" s="15">
        <v>0.16400000000000001</v>
      </c>
      <c r="J516" t="s">
        <v>412</v>
      </c>
      <c r="K516" t="s">
        <v>500</v>
      </c>
    </row>
    <row r="517" spans="1:11">
      <c r="A517" t="s">
        <v>506</v>
      </c>
      <c r="B517" t="s">
        <v>592</v>
      </c>
      <c r="C517" t="s">
        <v>584</v>
      </c>
      <c r="D517" s="15">
        <v>0.11899999999999999</v>
      </c>
      <c r="E517" s="15">
        <v>-0.30199999999999999</v>
      </c>
      <c r="F517" s="15">
        <v>-7.0000000000000007E-2</v>
      </c>
      <c r="G517" s="15">
        <v>-9.0999999999999998E-2</v>
      </c>
      <c r="H517" s="15">
        <v>-8.4000000000000005E-2</v>
      </c>
      <c r="I517" s="15">
        <v>0.16400000000000001</v>
      </c>
      <c r="J517" t="s">
        <v>412</v>
      </c>
      <c r="K517" t="s">
        <v>579</v>
      </c>
    </row>
    <row r="518" spans="1:11">
      <c r="A518" t="s">
        <v>573</v>
      </c>
      <c r="B518" t="s">
        <v>498</v>
      </c>
      <c r="C518" t="s">
        <v>584</v>
      </c>
      <c r="D518" s="15">
        <v>0.26500000000000001</v>
      </c>
      <c r="E518" s="15">
        <v>0.13100000000000001</v>
      </c>
      <c r="F518" s="15">
        <v>-9.1999999999999998E-2</v>
      </c>
      <c r="G518" s="15">
        <v>0.19800000000000001</v>
      </c>
      <c r="H518" s="15">
        <v>0.10199999999999999</v>
      </c>
      <c r="I518" s="15">
        <v>0.16300000000000001</v>
      </c>
      <c r="J518" t="s">
        <v>412</v>
      </c>
      <c r="K518" t="s">
        <v>493</v>
      </c>
    </row>
    <row r="519" spans="1:11">
      <c r="A519" t="s">
        <v>486</v>
      </c>
      <c r="B519" t="s">
        <v>509</v>
      </c>
      <c r="C519" t="s">
        <v>492</v>
      </c>
      <c r="D519" s="15">
        <v>0.34899999999999998</v>
      </c>
      <c r="E519" s="15">
        <v>-5.0000000000000001E-3</v>
      </c>
      <c r="F519" s="15">
        <v>-0.13500000000000001</v>
      </c>
      <c r="G519" s="15">
        <v>0.17199999999999999</v>
      </c>
      <c r="H519" s="15">
        <v>6.9000000000000006E-2</v>
      </c>
      <c r="I519" s="15">
        <v>0.16300000000000001</v>
      </c>
      <c r="J519" t="s">
        <v>412</v>
      </c>
      <c r="K519" t="s">
        <v>579</v>
      </c>
    </row>
    <row r="520" spans="1:11">
      <c r="A520" t="s">
        <v>577</v>
      </c>
      <c r="B520" t="s">
        <v>574</v>
      </c>
      <c r="C520" t="s">
        <v>572</v>
      </c>
      <c r="D520" s="15">
        <v>-0.14399999999999999</v>
      </c>
      <c r="E520" s="15">
        <v>-4.0000000000000001E-3</v>
      </c>
      <c r="F520" s="15">
        <v>0.34</v>
      </c>
      <c r="G520" s="15">
        <v>-7.3999999999999996E-2</v>
      </c>
      <c r="H520" s="15">
        <v>6.4000000000000001E-2</v>
      </c>
      <c r="I520" s="15">
        <v>0.16300000000000001</v>
      </c>
      <c r="J520" t="s">
        <v>412</v>
      </c>
      <c r="K520" t="s">
        <v>510</v>
      </c>
    </row>
    <row r="521" spans="1:11">
      <c r="A521" t="s">
        <v>506</v>
      </c>
      <c r="B521" t="s">
        <v>586</v>
      </c>
      <c r="C521" t="s">
        <v>572</v>
      </c>
      <c r="D521" s="15">
        <v>-0.11899999999999999</v>
      </c>
      <c r="E521" s="15">
        <v>0.16400000000000001</v>
      </c>
      <c r="F521" s="15">
        <v>-0.20799999999999999</v>
      </c>
      <c r="G521" s="15">
        <v>2.3E-2</v>
      </c>
      <c r="H521" s="15">
        <v>-5.3999999999999999E-2</v>
      </c>
      <c r="I521" s="15">
        <v>0.16300000000000001</v>
      </c>
      <c r="J521" t="s">
        <v>412</v>
      </c>
      <c r="K521" t="s">
        <v>500</v>
      </c>
    </row>
    <row r="522" spans="1:11">
      <c r="A522" t="s">
        <v>573</v>
      </c>
      <c r="B522" t="s">
        <v>569</v>
      </c>
      <c r="C522" t="s">
        <v>477</v>
      </c>
      <c r="D522" s="15">
        <v>0.14599999999999999</v>
      </c>
      <c r="E522" s="15">
        <v>-0.16</v>
      </c>
      <c r="F522" s="15">
        <v>-0.18099999999999999</v>
      </c>
      <c r="G522" s="15">
        <v>-7.0000000000000001E-3</v>
      </c>
      <c r="H522" s="15">
        <v>-6.5000000000000002E-2</v>
      </c>
      <c r="I522" s="15">
        <v>0.16300000000000001</v>
      </c>
      <c r="J522" t="s">
        <v>412</v>
      </c>
      <c r="K522" t="s">
        <v>579</v>
      </c>
    </row>
    <row r="523" spans="1:11">
      <c r="A523" t="s">
        <v>577</v>
      </c>
      <c r="B523" t="s">
        <v>586</v>
      </c>
      <c r="C523" t="s">
        <v>575</v>
      </c>
      <c r="D523" s="15">
        <v>0.14199999999999999</v>
      </c>
      <c r="E523" s="15">
        <v>0.217</v>
      </c>
      <c r="F523" s="15">
        <v>0.128</v>
      </c>
      <c r="G523" s="15">
        <v>0.17899999999999999</v>
      </c>
      <c r="H523" s="15">
        <v>0.16200000000000001</v>
      </c>
      <c r="I523" s="15">
        <v>0.16200000000000001</v>
      </c>
      <c r="J523" t="s">
        <v>412</v>
      </c>
      <c r="K523" t="s">
        <v>551</v>
      </c>
    </row>
    <row r="524" spans="1:11">
      <c r="A524" t="s">
        <v>486</v>
      </c>
      <c r="B524" t="s">
        <v>596</v>
      </c>
      <c r="C524" t="s">
        <v>572</v>
      </c>
      <c r="D524" s="15">
        <v>0.43</v>
      </c>
      <c r="E524" s="15">
        <v>-1E-3</v>
      </c>
      <c r="F524" s="15">
        <v>-5.6000000000000001E-2</v>
      </c>
      <c r="G524" s="15">
        <v>0.214</v>
      </c>
      <c r="H524" s="15">
        <v>0.124</v>
      </c>
      <c r="I524" s="15">
        <v>0.16200000000000001</v>
      </c>
      <c r="J524" t="s">
        <v>412</v>
      </c>
      <c r="K524" t="s">
        <v>579</v>
      </c>
    </row>
    <row r="525" spans="1:11">
      <c r="A525" t="s">
        <v>573</v>
      </c>
      <c r="B525" t="s">
        <v>509</v>
      </c>
      <c r="C525" t="s">
        <v>584</v>
      </c>
      <c r="D525" s="15">
        <v>0.26500000000000001</v>
      </c>
      <c r="E525" s="15">
        <v>-6.3E-2</v>
      </c>
      <c r="F525" s="15">
        <v>0.157</v>
      </c>
      <c r="G525" s="15">
        <v>0.10100000000000001</v>
      </c>
      <c r="H525" s="15">
        <v>0.12</v>
      </c>
      <c r="I525" s="15">
        <v>0.16200000000000001</v>
      </c>
      <c r="J525" t="s">
        <v>412</v>
      </c>
      <c r="K525" t="s">
        <v>480</v>
      </c>
    </row>
    <row r="526" spans="1:11">
      <c r="A526" t="s">
        <v>573</v>
      </c>
      <c r="B526" t="s">
        <v>586</v>
      </c>
      <c r="C526" t="s">
        <v>584</v>
      </c>
      <c r="D526" s="15">
        <v>0.26500000000000001</v>
      </c>
      <c r="E526" s="15">
        <v>-0.10299999999999999</v>
      </c>
      <c r="F526" s="15">
        <v>0.11700000000000001</v>
      </c>
      <c r="G526" s="15">
        <v>8.1000000000000003E-2</v>
      </c>
      <c r="H526" s="15">
        <v>9.2999999999999999E-2</v>
      </c>
      <c r="I526" s="15">
        <v>0.16200000000000001</v>
      </c>
      <c r="J526" t="s">
        <v>412</v>
      </c>
      <c r="K526" t="s">
        <v>480</v>
      </c>
    </row>
    <row r="527" spans="1:11">
      <c r="A527" t="s">
        <v>576</v>
      </c>
      <c r="B527" t="s">
        <v>588</v>
      </c>
      <c r="C527" t="s">
        <v>492</v>
      </c>
      <c r="D527" s="15">
        <v>1.7999999999999999E-2</v>
      </c>
      <c r="E527" s="15">
        <v>0.124</v>
      </c>
      <c r="F527" s="15">
        <v>-0.34300000000000003</v>
      </c>
      <c r="G527" s="15">
        <v>7.0999999999999994E-2</v>
      </c>
      <c r="H527" s="15">
        <v>-6.7000000000000004E-2</v>
      </c>
      <c r="I527" s="15">
        <v>0.16200000000000001</v>
      </c>
      <c r="J527" t="s">
        <v>412</v>
      </c>
      <c r="K527" t="s">
        <v>493</v>
      </c>
    </row>
    <row r="528" spans="1:11">
      <c r="A528" t="s">
        <v>576</v>
      </c>
      <c r="B528" t="s">
        <v>574</v>
      </c>
      <c r="C528" t="s">
        <v>583</v>
      </c>
      <c r="D528" s="15">
        <v>-0.109</v>
      </c>
      <c r="E528" s="15">
        <v>0.109</v>
      </c>
      <c r="F528" s="15">
        <v>-0.26900000000000002</v>
      </c>
      <c r="G528" s="15">
        <v>0</v>
      </c>
      <c r="H528" s="15">
        <v>-0.09</v>
      </c>
      <c r="I528" s="15">
        <v>0.16200000000000001</v>
      </c>
      <c r="J528" t="s">
        <v>412</v>
      </c>
      <c r="K528" t="s">
        <v>500</v>
      </c>
    </row>
    <row r="529" spans="1:11">
      <c r="A529" t="s">
        <v>573</v>
      </c>
      <c r="B529" t="s">
        <v>581</v>
      </c>
      <c r="C529" t="s">
        <v>575</v>
      </c>
      <c r="D529" s="15">
        <v>-4.9000000000000002E-2</v>
      </c>
      <c r="E529" s="15">
        <v>7.3999999999999996E-2</v>
      </c>
      <c r="F529" s="15">
        <v>-0.36299999999999999</v>
      </c>
      <c r="G529" s="15">
        <v>1.2999999999999999E-2</v>
      </c>
      <c r="H529" s="15">
        <v>-0.113</v>
      </c>
      <c r="I529" s="15">
        <v>0.16200000000000001</v>
      </c>
      <c r="J529" t="s">
        <v>412</v>
      </c>
      <c r="K529" t="s">
        <v>500</v>
      </c>
    </row>
    <row r="530" spans="1:11">
      <c r="A530" t="s">
        <v>486</v>
      </c>
      <c r="B530" t="s">
        <v>580</v>
      </c>
      <c r="C530" t="s">
        <v>583</v>
      </c>
      <c r="D530" s="15">
        <v>-0.16700000000000001</v>
      </c>
      <c r="E530" s="15">
        <v>-0.25700000000000001</v>
      </c>
      <c r="F530" s="15">
        <v>6.3E-2</v>
      </c>
      <c r="G530" s="15">
        <v>-0.21199999999999999</v>
      </c>
      <c r="H530" s="15">
        <v>-0.12</v>
      </c>
      <c r="I530" s="15">
        <v>0.16200000000000001</v>
      </c>
      <c r="J530" t="s">
        <v>412</v>
      </c>
      <c r="K530" t="s">
        <v>510</v>
      </c>
    </row>
    <row r="531" spans="1:11">
      <c r="A531" t="s">
        <v>506</v>
      </c>
      <c r="B531" t="s">
        <v>550</v>
      </c>
      <c r="C531" t="s">
        <v>572</v>
      </c>
      <c r="D531" s="15">
        <v>-0.11899999999999999</v>
      </c>
      <c r="E531" s="15">
        <v>-0.17299999999999999</v>
      </c>
      <c r="F531" s="15">
        <v>-0.19400000000000001</v>
      </c>
      <c r="G531" s="15">
        <v>-0.14599999999999999</v>
      </c>
      <c r="H531" s="15">
        <v>-0.16200000000000001</v>
      </c>
      <c r="I531" s="15">
        <v>0.16200000000000001</v>
      </c>
      <c r="J531" t="s">
        <v>412</v>
      </c>
      <c r="K531" t="s">
        <v>589</v>
      </c>
    </row>
    <row r="532" spans="1:11">
      <c r="A532" t="s">
        <v>547</v>
      </c>
      <c r="B532" t="s">
        <v>581</v>
      </c>
      <c r="C532" t="s">
        <v>582</v>
      </c>
      <c r="D532" s="15">
        <v>0.14299999999999999</v>
      </c>
      <c r="E532" s="15">
        <v>0.23699999999999999</v>
      </c>
      <c r="F532" s="15">
        <v>0.10299999999999999</v>
      </c>
      <c r="G532" s="15">
        <v>0.19</v>
      </c>
      <c r="H532" s="15">
        <v>0.161</v>
      </c>
      <c r="I532" s="15">
        <v>0.161</v>
      </c>
      <c r="J532" t="s">
        <v>412</v>
      </c>
      <c r="K532" t="s">
        <v>551</v>
      </c>
    </row>
    <row r="533" spans="1:11">
      <c r="A533" t="s">
        <v>486</v>
      </c>
      <c r="B533" t="s">
        <v>598</v>
      </c>
      <c r="C533" t="s">
        <v>572</v>
      </c>
      <c r="D533" s="15">
        <v>0.43</v>
      </c>
      <c r="E533" s="15">
        <v>-7.0000000000000001E-3</v>
      </c>
      <c r="F533" s="15">
        <v>4.5999999999999999E-2</v>
      </c>
      <c r="G533" s="15">
        <v>0.21199999999999999</v>
      </c>
      <c r="H533" s="15">
        <v>0.156</v>
      </c>
      <c r="I533" s="15">
        <v>0.161</v>
      </c>
      <c r="J533" t="s">
        <v>412</v>
      </c>
      <c r="K533" t="s">
        <v>480</v>
      </c>
    </row>
    <row r="534" spans="1:11">
      <c r="A534" t="s">
        <v>486</v>
      </c>
      <c r="B534" t="s">
        <v>595</v>
      </c>
      <c r="C534" t="s">
        <v>572</v>
      </c>
      <c r="D534" s="15">
        <v>0.43</v>
      </c>
      <c r="E534" s="15">
        <v>-1.6E-2</v>
      </c>
      <c r="F534" s="15">
        <v>3.7999999999999999E-2</v>
      </c>
      <c r="G534" s="15">
        <v>0.20699999999999999</v>
      </c>
      <c r="H534" s="15">
        <v>0.15</v>
      </c>
      <c r="I534" s="15">
        <v>0.161</v>
      </c>
      <c r="J534" t="s">
        <v>412</v>
      </c>
      <c r="K534" t="s">
        <v>480</v>
      </c>
    </row>
    <row r="535" spans="1:11">
      <c r="A535" t="s">
        <v>547</v>
      </c>
      <c r="B535" t="s">
        <v>588</v>
      </c>
      <c r="C535" t="s">
        <v>585</v>
      </c>
      <c r="D535" s="15">
        <v>-7.1999999999999995E-2</v>
      </c>
      <c r="E535" s="15">
        <v>0.20200000000000001</v>
      </c>
      <c r="F535" s="15">
        <v>0.21</v>
      </c>
      <c r="G535" s="15">
        <v>6.5000000000000002E-2</v>
      </c>
      <c r="H535" s="15">
        <v>0.113</v>
      </c>
      <c r="I535" s="15">
        <v>0.161</v>
      </c>
      <c r="J535" t="s">
        <v>412</v>
      </c>
      <c r="K535" t="s">
        <v>487</v>
      </c>
    </row>
    <row r="536" spans="1:11">
      <c r="A536" t="s">
        <v>479</v>
      </c>
      <c r="B536" t="s">
        <v>588</v>
      </c>
      <c r="C536" t="s">
        <v>575</v>
      </c>
      <c r="D536" s="15">
        <v>-0.22500000000000001</v>
      </c>
      <c r="E536" s="15">
        <v>-1.7000000000000001E-2</v>
      </c>
      <c r="F536" s="15">
        <v>0.24299999999999999</v>
      </c>
      <c r="G536" s="15">
        <v>-0.121</v>
      </c>
      <c r="H536" s="15">
        <v>1E-3</v>
      </c>
      <c r="I536" s="15">
        <v>0.161</v>
      </c>
      <c r="J536" t="s">
        <v>412</v>
      </c>
      <c r="K536" t="s">
        <v>510</v>
      </c>
    </row>
    <row r="537" spans="1:11">
      <c r="A537" t="s">
        <v>573</v>
      </c>
      <c r="B537" t="s">
        <v>597</v>
      </c>
      <c r="C537" t="s">
        <v>572</v>
      </c>
      <c r="D537" s="15">
        <v>-0.20799999999999999</v>
      </c>
      <c r="E537" s="15">
        <v>-6.4000000000000001E-2</v>
      </c>
      <c r="F537" s="15">
        <v>0.21</v>
      </c>
      <c r="G537" s="15">
        <v>-0.13600000000000001</v>
      </c>
      <c r="H537" s="15">
        <v>-2.1000000000000001E-2</v>
      </c>
      <c r="I537" s="15">
        <v>0.161</v>
      </c>
      <c r="J537" t="s">
        <v>412</v>
      </c>
      <c r="K537" t="s">
        <v>510</v>
      </c>
    </row>
    <row r="538" spans="1:11">
      <c r="A538" t="s">
        <v>506</v>
      </c>
      <c r="B538" t="s">
        <v>574</v>
      </c>
      <c r="C538" t="s">
        <v>593</v>
      </c>
      <c r="D538" s="15">
        <v>-7.1999999999999995E-2</v>
      </c>
      <c r="E538" s="15">
        <v>3.5999999999999997E-2</v>
      </c>
      <c r="F538" s="15">
        <v>-0.376</v>
      </c>
      <c r="G538" s="15">
        <v>-1.7999999999999999E-2</v>
      </c>
      <c r="H538" s="15">
        <v>-0.13700000000000001</v>
      </c>
      <c r="I538" s="15">
        <v>0.161</v>
      </c>
      <c r="J538" t="s">
        <v>412</v>
      </c>
      <c r="K538" t="s">
        <v>500</v>
      </c>
    </row>
    <row r="539" spans="1:11">
      <c r="A539" t="s">
        <v>479</v>
      </c>
      <c r="B539" t="s">
        <v>478</v>
      </c>
      <c r="C539" t="s">
        <v>572</v>
      </c>
      <c r="D539" s="15">
        <v>-6.8000000000000005E-2</v>
      </c>
      <c r="E539" s="15">
        <v>-0.41199999999999998</v>
      </c>
      <c r="F539" s="15">
        <v>4.0000000000000001E-3</v>
      </c>
      <c r="G539" s="15">
        <v>-0.24</v>
      </c>
      <c r="H539" s="15">
        <v>-0.159</v>
      </c>
      <c r="I539" s="15">
        <v>0.161</v>
      </c>
      <c r="J539" t="s">
        <v>412</v>
      </c>
      <c r="K539" t="s">
        <v>510</v>
      </c>
    </row>
    <row r="540" spans="1:11">
      <c r="A540" t="s">
        <v>573</v>
      </c>
      <c r="B540" t="s">
        <v>478</v>
      </c>
      <c r="C540" t="s">
        <v>492</v>
      </c>
      <c r="D540" s="15">
        <v>-0.16400000000000001</v>
      </c>
      <c r="E540" s="15">
        <v>-0.20399999999999999</v>
      </c>
      <c r="F540" s="15">
        <v>-0.115</v>
      </c>
      <c r="G540" s="15">
        <v>-0.184</v>
      </c>
      <c r="H540" s="15">
        <v>-0.161</v>
      </c>
      <c r="I540" s="15">
        <v>0.161</v>
      </c>
      <c r="J540" t="s">
        <v>412</v>
      </c>
      <c r="K540" t="s">
        <v>589</v>
      </c>
    </row>
    <row r="541" spans="1:11">
      <c r="A541" t="s">
        <v>506</v>
      </c>
      <c r="B541" t="s">
        <v>509</v>
      </c>
      <c r="C541" t="s">
        <v>594</v>
      </c>
      <c r="D541" s="15">
        <v>8.2000000000000003E-2</v>
      </c>
      <c r="E541" s="15">
        <v>0.35799999999999998</v>
      </c>
      <c r="F541" s="15">
        <v>4.2000000000000003E-2</v>
      </c>
      <c r="G541" s="15">
        <v>0.22</v>
      </c>
      <c r="H541" s="15">
        <v>0.16</v>
      </c>
      <c r="I541" s="15">
        <v>0.16</v>
      </c>
      <c r="J541" t="s">
        <v>412</v>
      </c>
      <c r="K541" t="s">
        <v>551</v>
      </c>
    </row>
    <row r="542" spans="1:11">
      <c r="A542" t="s">
        <v>506</v>
      </c>
      <c r="B542" t="s">
        <v>580</v>
      </c>
      <c r="C542" t="s">
        <v>477</v>
      </c>
      <c r="D542" s="15">
        <v>0.14399999999999999</v>
      </c>
      <c r="E542" s="15">
        <v>5.0999999999999997E-2</v>
      </c>
      <c r="F542" s="15">
        <v>0.28399999999999997</v>
      </c>
      <c r="G542" s="15">
        <v>9.8000000000000004E-2</v>
      </c>
      <c r="H542" s="15">
        <v>0.16</v>
      </c>
      <c r="I542" s="15">
        <v>0.16</v>
      </c>
      <c r="J542" t="s">
        <v>412</v>
      </c>
      <c r="K542" t="s">
        <v>551</v>
      </c>
    </row>
    <row r="543" spans="1:11">
      <c r="A543" t="s">
        <v>573</v>
      </c>
      <c r="B543" t="s">
        <v>517</v>
      </c>
      <c r="C543" t="s">
        <v>477</v>
      </c>
      <c r="D543" s="15">
        <v>0.14599999999999999</v>
      </c>
      <c r="E543" s="15">
        <v>7.4999999999999997E-2</v>
      </c>
      <c r="F543" s="15">
        <v>0.25800000000000001</v>
      </c>
      <c r="G543" s="15">
        <v>0.111</v>
      </c>
      <c r="H543" s="15">
        <v>0.16</v>
      </c>
      <c r="I543" s="15">
        <v>0.16</v>
      </c>
      <c r="J543" t="s">
        <v>412</v>
      </c>
      <c r="K543" t="s">
        <v>551</v>
      </c>
    </row>
    <row r="544" spans="1:11">
      <c r="A544" t="s">
        <v>577</v>
      </c>
      <c r="B544" t="s">
        <v>523</v>
      </c>
      <c r="C544" t="s">
        <v>584</v>
      </c>
      <c r="D544" s="15">
        <v>0.182</v>
      </c>
      <c r="E544" s="15">
        <v>0.191</v>
      </c>
      <c r="F544" s="15">
        <v>0.106</v>
      </c>
      <c r="G544" s="15">
        <v>0.186</v>
      </c>
      <c r="H544" s="15">
        <v>0.16</v>
      </c>
      <c r="I544" s="15">
        <v>0.16</v>
      </c>
      <c r="J544" t="s">
        <v>412</v>
      </c>
      <c r="K544" t="s">
        <v>551</v>
      </c>
    </row>
    <row r="545" spans="1:11">
      <c r="A545" t="s">
        <v>573</v>
      </c>
      <c r="B545" t="s">
        <v>596</v>
      </c>
      <c r="C545" t="s">
        <v>492</v>
      </c>
      <c r="D545" s="15">
        <v>-0.16400000000000001</v>
      </c>
      <c r="E545" s="15">
        <v>0.02</v>
      </c>
      <c r="F545" s="15">
        <v>0.29499999999999998</v>
      </c>
      <c r="G545" s="15">
        <v>-7.1999999999999995E-2</v>
      </c>
      <c r="H545" s="15">
        <v>0.05</v>
      </c>
      <c r="I545" s="15">
        <v>0.16</v>
      </c>
      <c r="J545" t="s">
        <v>412</v>
      </c>
      <c r="K545" t="s">
        <v>487</v>
      </c>
    </row>
    <row r="546" spans="1:11">
      <c r="A546" t="s">
        <v>573</v>
      </c>
      <c r="B546" t="s">
        <v>550</v>
      </c>
      <c r="C546" t="s">
        <v>492</v>
      </c>
      <c r="D546" s="15">
        <v>-0.16400000000000001</v>
      </c>
      <c r="E546" s="15">
        <v>0.19800000000000001</v>
      </c>
      <c r="F546" s="15">
        <v>0.11700000000000001</v>
      </c>
      <c r="G546" s="15">
        <v>1.7000000000000001E-2</v>
      </c>
      <c r="H546" s="15">
        <v>0.05</v>
      </c>
      <c r="I546" s="15">
        <v>0.16</v>
      </c>
      <c r="J546" t="s">
        <v>412</v>
      </c>
      <c r="K546" t="s">
        <v>487</v>
      </c>
    </row>
    <row r="547" spans="1:11">
      <c r="A547" t="s">
        <v>506</v>
      </c>
      <c r="B547" t="s">
        <v>550</v>
      </c>
      <c r="C547" t="s">
        <v>591</v>
      </c>
      <c r="D547" s="15">
        <v>0.20899999999999999</v>
      </c>
      <c r="E547" s="15">
        <v>-0.17299999999999999</v>
      </c>
      <c r="F547" s="15">
        <v>9.9000000000000005E-2</v>
      </c>
      <c r="G547" s="15">
        <v>1.7999999999999999E-2</v>
      </c>
      <c r="H547" s="15">
        <v>4.4999999999999998E-2</v>
      </c>
      <c r="I547" s="15">
        <v>0.16</v>
      </c>
      <c r="J547" t="s">
        <v>412</v>
      </c>
      <c r="K547" t="s">
        <v>480</v>
      </c>
    </row>
    <row r="548" spans="1:11">
      <c r="A548" t="s">
        <v>571</v>
      </c>
      <c r="B548" t="s">
        <v>581</v>
      </c>
      <c r="C548" t="s">
        <v>585</v>
      </c>
      <c r="D548" s="15">
        <v>-1.2999999999999999E-2</v>
      </c>
      <c r="E548" s="15">
        <v>0.27500000000000002</v>
      </c>
      <c r="F548" s="15">
        <v>-0.193</v>
      </c>
      <c r="G548" s="15">
        <v>0.13100000000000001</v>
      </c>
      <c r="H548" s="15">
        <v>2.3E-2</v>
      </c>
      <c r="I548" s="15">
        <v>0.16</v>
      </c>
      <c r="J548" t="s">
        <v>412</v>
      </c>
      <c r="K548" t="s">
        <v>500</v>
      </c>
    </row>
    <row r="549" spans="1:11">
      <c r="A549" t="s">
        <v>479</v>
      </c>
      <c r="B549" t="s">
        <v>523</v>
      </c>
      <c r="C549" t="s">
        <v>575</v>
      </c>
      <c r="D549" s="15">
        <v>-0.22500000000000001</v>
      </c>
      <c r="E549" s="15">
        <v>0.06</v>
      </c>
      <c r="F549" s="15">
        <v>0.19600000000000001</v>
      </c>
      <c r="G549" s="15">
        <v>-8.3000000000000004E-2</v>
      </c>
      <c r="H549" s="15">
        <v>0.01</v>
      </c>
      <c r="I549" s="15">
        <v>0.16</v>
      </c>
      <c r="J549" t="s">
        <v>412</v>
      </c>
      <c r="K549" t="s">
        <v>487</v>
      </c>
    </row>
    <row r="550" spans="1:11">
      <c r="A550" t="s">
        <v>577</v>
      </c>
      <c r="B550" t="s">
        <v>574</v>
      </c>
      <c r="C550" t="s">
        <v>477</v>
      </c>
      <c r="D550" s="15">
        <v>0.246</v>
      </c>
      <c r="E550" s="15">
        <v>-4.0000000000000001E-3</v>
      </c>
      <c r="F550" s="15">
        <v>-0.23100000000000001</v>
      </c>
      <c r="G550" s="15">
        <v>0.121</v>
      </c>
      <c r="H550" s="15">
        <v>3.0000000000000001E-3</v>
      </c>
      <c r="I550" s="15">
        <v>0.16</v>
      </c>
      <c r="J550" t="s">
        <v>412</v>
      </c>
      <c r="K550" t="s">
        <v>579</v>
      </c>
    </row>
    <row r="551" spans="1:11">
      <c r="A551" t="s">
        <v>571</v>
      </c>
      <c r="B551" t="s">
        <v>478</v>
      </c>
      <c r="C551" t="s">
        <v>593</v>
      </c>
      <c r="D551" s="15">
        <v>-0.10100000000000001</v>
      </c>
      <c r="E551" s="15">
        <v>-0.216</v>
      </c>
      <c r="F551" s="15">
        <v>0.16300000000000001</v>
      </c>
      <c r="G551" s="15">
        <v>-0.159</v>
      </c>
      <c r="H551" s="15">
        <v>-5.1999999999999998E-2</v>
      </c>
      <c r="I551" s="15">
        <v>0.16</v>
      </c>
      <c r="J551" t="s">
        <v>412</v>
      </c>
      <c r="K551" t="s">
        <v>510</v>
      </c>
    </row>
    <row r="552" spans="1:11">
      <c r="A552" t="s">
        <v>576</v>
      </c>
      <c r="B552" t="s">
        <v>587</v>
      </c>
      <c r="C552" t="s">
        <v>583</v>
      </c>
      <c r="D552" s="15">
        <v>-0.109</v>
      </c>
      <c r="E552" s="15">
        <v>0.11700000000000001</v>
      </c>
      <c r="F552" s="15">
        <v>-0.254</v>
      </c>
      <c r="G552" s="15">
        <v>4.0000000000000001E-3</v>
      </c>
      <c r="H552" s="15">
        <v>-8.2000000000000003E-2</v>
      </c>
      <c r="I552" s="15">
        <v>0.16</v>
      </c>
      <c r="J552" t="s">
        <v>412</v>
      </c>
      <c r="K552" t="s">
        <v>500</v>
      </c>
    </row>
    <row r="553" spans="1:11">
      <c r="A553" t="s">
        <v>479</v>
      </c>
      <c r="B553" t="s">
        <v>597</v>
      </c>
      <c r="C553" t="s">
        <v>575</v>
      </c>
      <c r="D553" s="15">
        <v>-0.22500000000000001</v>
      </c>
      <c r="E553" s="15">
        <v>-0.251</v>
      </c>
      <c r="F553" s="15">
        <v>-6.0000000000000001E-3</v>
      </c>
      <c r="G553" s="15">
        <v>-0.23799999999999999</v>
      </c>
      <c r="H553" s="15">
        <v>-0.16</v>
      </c>
      <c r="I553" s="15">
        <v>0.16</v>
      </c>
      <c r="J553" t="s">
        <v>412</v>
      </c>
      <c r="K553" t="s">
        <v>589</v>
      </c>
    </row>
    <row r="554" spans="1:11">
      <c r="A554" t="s">
        <v>573</v>
      </c>
      <c r="B554" t="s">
        <v>580</v>
      </c>
      <c r="C554" t="s">
        <v>477</v>
      </c>
      <c r="D554" s="15">
        <v>0.14599999999999999</v>
      </c>
      <c r="E554" s="15">
        <v>4.7E-2</v>
      </c>
      <c r="F554" s="15">
        <v>0.28399999999999997</v>
      </c>
      <c r="G554" s="15">
        <v>9.7000000000000003E-2</v>
      </c>
      <c r="H554" s="15">
        <v>0.159</v>
      </c>
      <c r="I554" s="15">
        <v>0.159</v>
      </c>
      <c r="J554" t="s">
        <v>412</v>
      </c>
      <c r="K554" t="s">
        <v>551</v>
      </c>
    </row>
    <row r="555" spans="1:11">
      <c r="A555" t="s">
        <v>506</v>
      </c>
      <c r="B555" t="s">
        <v>588</v>
      </c>
      <c r="C555" t="s">
        <v>584</v>
      </c>
      <c r="D555" s="15">
        <v>0.11899999999999999</v>
      </c>
      <c r="E555" s="15">
        <v>-8.7999999999999995E-2</v>
      </c>
      <c r="F555" s="15">
        <v>0.26900000000000002</v>
      </c>
      <c r="G555" s="15">
        <v>1.4999999999999999E-2</v>
      </c>
      <c r="H555" s="15">
        <v>0.1</v>
      </c>
      <c r="I555" s="15">
        <v>0.159</v>
      </c>
      <c r="J555" t="s">
        <v>412</v>
      </c>
      <c r="K555" t="s">
        <v>480</v>
      </c>
    </row>
    <row r="556" spans="1:11">
      <c r="A556" t="s">
        <v>571</v>
      </c>
      <c r="B556" t="s">
        <v>580</v>
      </c>
      <c r="C556" t="s">
        <v>583</v>
      </c>
      <c r="D556" s="15">
        <v>-0.152</v>
      </c>
      <c r="E556" s="15">
        <v>0.26200000000000001</v>
      </c>
      <c r="F556" s="15">
        <v>6.3E-2</v>
      </c>
      <c r="G556" s="15">
        <v>5.5E-2</v>
      </c>
      <c r="H556" s="15">
        <v>5.8000000000000003E-2</v>
      </c>
      <c r="I556" s="15">
        <v>0.159</v>
      </c>
      <c r="J556" t="s">
        <v>412</v>
      </c>
      <c r="K556" t="s">
        <v>487</v>
      </c>
    </row>
    <row r="557" spans="1:11">
      <c r="A557" t="s">
        <v>571</v>
      </c>
      <c r="B557" t="s">
        <v>578</v>
      </c>
      <c r="C557" t="s">
        <v>575</v>
      </c>
      <c r="D557" s="15">
        <v>-0.16800000000000001</v>
      </c>
      <c r="E557" s="15">
        <v>-5.3999999999999999E-2</v>
      </c>
      <c r="F557" s="15">
        <v>0.254</v>
      </c>
      <c r="G557" s="15">
        <v>-0.111</v>
      </c>
      <c r="H557" s="15">
        <v>1.0999999999999999E-2</v>
      </c>
      <c r="I557" s="15">
        <v>0.159</v>
      </c>
      <c r="J557" t="s">
        <v>412</v>
      </c>
      <c r="K557" t="s">
        <v>510</v>
      </c>
    </row>
    <row r="558" spans="1:11">
      <c r="A558" t="s">
        <v>577</v>
      </c>
      <c r="B558" t="s">
        <v>598</v>
      </c>
      <c r="C558" t="s">
        <v>477</v>
      </c>
      <c r="D558" s="15">
        <v>0.246</v>
      </c>
      <c r="E558" s="15">
        <v>-0.188</v>
      </c>
      <c r="F558" s="15">
        <v>-4.2000000000000003E-2</v>
      </c>
      <c r="G558" s="15">
        <v>2.9000000000000001E-2</v>
      </c>
      <c r="H558" s="15">
        <v>5.0000000000000001E-3</v>
      </c>
      <c r="I558" s="15">
        <v>0.159</v>
      </c>
      <c r="J558" t="s">
        <v>412</v>
      </c>
      <c r="K558" t="s">
        <v>579</v>
      </c>
    </row>
    <row r="559" spans="1:11">
      <c r="A559" t="s">
        <v>506</v>
      </c>
      <c r="B559" t="s">
        <v>588</v>
      </c>
      <c r="C559" t="s">
        <v>575</v>
      </c>
      <c r="D559" s="15">
        <v>-0.14399999999999999</v>
      </c>
      <c r="E559" s="15">
        <v>-8.7999999999999995E-2</v>
      </c>
      <c r="F559" s="15">
        <v>0.24299999999999999</v>
      </c>
      <c r="G559" s="15">
        <v>-0.11600000000000001</v>
      </c>
      <c r="H559" s="15">
        <v>3.0000000000000001E-3</v>
      </c>
      <c r="I559" s="15">
        <v>0.159</v>
      </c>
      <c r="J559" t="s">
        <v>412</v>
      </c>
      <c r="K559" t="s">
        <v>510</v>
      </c>
    </row>
    <row r="560" spans="1:11">
      <c r="A560" t="s">
        <v>577</v>
      </c>
      <c r="B560" t="s">
        <v>587</v>
      </c>
      <c r="C560" t="s">
        <v>572</v>
      </c>
      <c r="D560" s="15">
        <v>-0.14399999999999999</v>
      </c>
      <c r="E560" s="15">
        <v>-0.15</v>
      </c>
      <c r="F560" s="15">
        <v>0.182</v>
      </c>
      <c r="G560" s="15">
        <v>-0.14699999999999999</v>
      </c>
      <c r="H560" s="15">
        <v>-3.7999999999999999E-2</v>
      </c>
      <c r="I560" s="15">
        <v>0.159</v>
      </c>
      <c r="J560" t="s">
        <v>412</v>
      </c>
      <c r="K560" t="s">
        <v>510</v>
      </c>
    </row>
    <row r="561" spans="1:11">
      <c r="A561" t="s">
        <v>479</v>
      </c>
      <c r="B561" t="s">
        <v>590</v>
      </c>
      <c r="C561" t="s">
        <v>572</v>
      </c>
      <c r="D561" s="15">
        <v>-6.8000000000000005E-2</v>
      </c>
      <c r="E561" s="15">
        <v>0.17899999999999999</v>
      </c>
      <c r="F561" s="15">
        <v>-0.23</v>
      </c>
      <c r="G561" s="15">
        <v>5.6000000000000001E-2</v>
      </c>
      <c r="H561" s="15">
        <v>-3.9E-2</v>
      </c>
      <c r="I561" s="15">
        <v>0.159</v>
      </c>
      <c r="J561" t="s">
        <v>412</v>
      </c>
      <c r="K561" t="s">
        <v>500</v>
      </c>
    </row>
    <row r="562" spans="1:11">
      <c r="A562" t="s">
        <v>547</v>
      </c>
      <c r="B562" t="s">
        <v>498</v>
      </c>
      <c r="C562" t="s">
        <v>575</v>
      </c>
      <c r="D562" s="15">
        <v>-6.8000000000000005E-2</v>
      </c>
      <c r="E562" s="15">
        <v>0.16500000000000001</v>
      </c>
      <c r="F562" s="15">
        <v>-0.24399999999999999</v>
      </c>
      <c r="G562" s="15">
        <v>4.9000000000000002E-2</v>
      </c>
      <c r="H562" s="15">
        <v>-4.9000000000000002E-2</v>
      </c>
      <c r="I562" s="15">
        <v>0.159</v>
      </c>
      <c r="J562" t="s">
        <v>412</v>
      </c>
      <c r="K562" t="s">
        <v>500</v>
      </c>
    </row>
    <row r="563" spans="1:11">
      <c r="A563" t="s">
        <v>506</v>
      </c>
      <c r="B563" t="s">
        <v>580</v>
      </c>
      <c r="C563" t="s">
        <v>492</v>
      </c>
      <c r="D563" s="15">
        <v>-0.17399999999999999</v>
      </c>
      <c r="E563" s="15">
        <v>5.0999999999999997E-2</v>
      </c>
      <c r="F563" s="15">
        <v>-0.254</v>
      </c>
      <c r="G563" s="15">
        <v>-6.0999999999999999E-2</v>
      </c>
      <c r="H563" s="15">
        <v>-0.125</v>
      </c>
      <c r="I563" s="15">
        <v>0.159</v>
      </c>
      <c r="J563" t="s">
        <v>412</v>
      </c>
      <c r="K563" t="s">
        <v>500</v>
      </c>
    </row>
    <row r="564" spans="1:11">
      <c r="A564" t="s">
        <v>486</v>
      </c>
      <c r="B564" t="s">
        <v>595</v>
      </c>
      <c r="C564" t="s">
        <v>570</v>
      </c>
      <c r="D564" s="15">
        <v>-0.32400000000000001</v>
      </c>
      <c r="E564" s="15">
        <v>-1.6E-2</v>
      </c>
      <c r="F564" s="15">
        <v>-0.13500000000000001</v>
      </c>
      <c r="G564" s="15">
        <v>-0.17</v>
      </c>
      <c r="H564" s="15">
        <v>-0.159</v>
      </c>
      <c r="I564" s="15">
        <v>0.159</v>
      </c>
      <c r="J564" t="s">
        <v>412</v>
      </c>
      <c r="K564" t="s">
        <v>589</v>
      </c>
    </row>
    <row r="565" spans="1:11">
      <c r="A565" t="s">
        <v>486</v>
      </c>
      <c r="B565" t="s">
        <v>569</v>
      </c>
      <c r="C565" t="s">
        <v>594</v>
      </c>
      <c r="D565" s="15">
        <v>-9.7000000000000003E-2</v>
      </c>
      <c r="E565" s="15">
        <v>-0.30499999999999999</v>
      </c>
      <c r="F565" s="15">
        <v>-7.3999999999999996E-2</v>
      </c>
      <c r="G565" s="15">
        <v>-0.20100000000000001</v>
      </c>
      <c r="H565" s="15">
        <v>-0.159</v>
      </c>
      <c r="I565" s="15">
        <v>0.159</v>
      </c>
      <c r="J565" t="s">
        <v>412</v>
      </c>
      <c r="K565" t="s">
        <v>589</v>
      </c>
    </row>
    <row r="566" spans="1:11">
      <c r="A566" t="s">
        <v>576</v>
      </c>
      <c r="B566" t="s">
        <v>588</v>
      </c>
      <c r="C566" t="s">
        <v>477</v>
      </c>
      <c r="D566" s="15">
        <v>2.9000000000000001E-2</v>
      </c>
      <c r="E566" s="15">
        <v>0.124</v>
      </c>
      <c r="F566" s="15">
        <v>0.31900000000000001</v>
      </c>
      <c r="G566" s="15">
        <v>7.6999999999999999E-2</v>
      </c>
      <c r="H566" s="15">
        <v>0.158</v>
      </c>
      <c r="I566" s="15">
        <v>0.158</v>
      </c>
      <c r="J566" t="s">
        <v>412</v>
      </c>
      <c r="K566" t="s">
        <v>551</v>
      </c>
    </row>
    <row r="567" spans="1:11">
      <c r="A567" t="s">
        <v>506</v>
      </c>
      <c r="B567" t="s">
        <v>581</v>
      </c>
      <c r="C567" t="s">
        <v>582</v>
      </c>
      <c r="D567" s="15">
        <v>0.34100000000000003</v>
      </c>
      <c r="E567" s="15">
        <v>-0.03</v>
      </c>
      <c r="F567" s="15">
        <v>0.10299999999999999</v>
      </c>
      <c r="G567" s="15">
        <v>0.156</v>
      </c>
      <c r="H567" s="15">
        <v>0.13800000000000001</v>
      </c>
      <c r="I567" s="15">
        <v>0.158</v>
      </c>
      <c r="J567" t="s">
        <v>412</v>
      </c>
      <c r="K567" t="s">
        <v>480</v>
      </c>
    </row>
    <row r="568" spans="1:11">
      <c r="A568" t="s">
        <v>479</v>
      </c>
      <c r="B568" t="s">
        <v>574</v>
      </c>
      <c r="C568" t="s">
        <v>572</v>
      </c>
      <c r="D568" s="15">
        <v>-6.8000000000000005E-2</v>
      </c>
      <c r="E568" s="15">
        <v>-6.6000000000000003E-2</v>
      </c>
      <c r="F568" s="15">
        <v>0.34</v>
      </c>
      <c r="G568" s="15">
        <v>-6.7000000000000004E-2</v>
      </c>
      <c r="H568" s="15">
        <v>6.9000000000000006E-2</v>
      </c>
      <c r="I568" s="15">
        <v>0.158</v>
      </c>
      <c r="J568" t="s">
        <v>412</v>
      </c>
      <c r="K568" t="s">
        <v>510</v>
      </c>
    </row>
    <row r="569" spans="1:11">
      <c r="A569" t="s">
        <v>571</v>
      </c>
      <c r="B569" t="s">
        <v>523</v>
      </c>
      <c r="C569" t="s">
        <v>582</v>
      </c>
      <c r="D569" s="15">
        <v>9.1999999999999998E-2</v>
      </c>
      <c r="E569" s="15">
        <v>-0.13200000000000001</v>
      </c>
      <c r="F569" s="15">
        <v>0.249</v>
      </c>
      <c r="G569" s="15">
        <v>-0.02</v>
      </c>
      <c r="H569" s="15">
        <v>6.9000000000000006E-2</v>
      </c>
      <c r="I569" s="15">
        <v>0.158</v>
      </c>
      <c r="J569" t="s">
        <v>412</v>
      </c>
      <c r="K569" t="s">
        <v>480</v>
      </c>
    </row>
    <row r="570" spans="1:11">
      <c r="A570" t="s">
        <v>577</v>
      </c>
      <c r="B570" t="s">
        <v>592</v>
      </c>
      <c r="C570" t="s">
        <v>582</v>
      </c>
      <c r="D570" s="15">
        <v>0.31900000000000001</v>
      </c>
      <c r="E570" s="15">
        <v>-6.9000000000000006E-2</v>
      </c>
      <c r="F570" s="15">
        <v>-8.5999999999999993E-2</v>
      </c>
      <c r="G570" s="15">
        <v>0.125</v>
      </c>
      <c r="H570" s="15">
        <v>5.5E-2</v>
      </c>
      <c r="I570" s="15">
        <v>0.158</v>
      </c>
      <c r="J570" t="s">
        <v>412</v>
      </c>
      <c r="K570" t="s">
        <v>579</v>
      </c>
    </row>
    <row r="571" spans="1:11">
      <c r="A571" t="s">
        <v>506</v>
      </c>
      <c r="B571" t="s">
        <v>596</v>
      </c>
      <c r="C571" t="s">
        <v>492</v>
      </c>
      <c r="D571" s="15">
        <v>-0.17399999999999999</v>
      </c>
      <c r="E571" s="15">
        <v>-6.0000000000000001E-3</v>
      </c>
      <c r="F571" s="15">
        <v>0.29499999999999998</v>
      </c>
      <c r="G571" s="15">
        <v>-0.09</v>
      </c>
      <c r="H571" s="15">
        <v>3.7999999999999999E-2</v>
      </c>
      <c r="I571" s="15">
        <v>0.158</v>
      </c>
      <c r="J571" t="s">
        <v>412</v>
      </c>
      <c r="K571" t="s">
        <v>510</v>
      </c>
    </row>
    <row r="572" spans="1:11">
      <c r="A572" t="s">
        <v>479</v>
      </c>
      <c r="B572" t="s">
        <v>596</v>
      </c>
      <c r="C572" t="s">
        <v>582</v>
      </c>
      <c r="D572" s="15">
        <v>-0.127</v>
      </c>
      <c r="E572" s="15">
        <v>0.28599999999999998</v>
      </c>
      <c r="F572" s="15">
        <v>-6.2E-2</v>
      </c>
      <c r="G572" s="15">
        <v>7.9000000000000001E-2</v>
      </c>
      <c r="H572" s="15">
        <v>3.2000000000000001E-2</v>
      </c>
      <c r="I572" s="15">
        <v>0.158</v>
      </c>
      <c r="J572" t="s">
        <v>412</v>
      </c>
      <c r="K572" t="s">
        <v>500</v>
      </c>
    </row>
    <row r="573" spans="1:11">
      <c r="A573" t="s">
        <v>571</v>
      </c>
      <c r="B573" t="s">
        <v>580</v>
      </c>
      <c r="C573" t="s">
        <v>570</v>
      </c>
      <c r="D573" s="15">
        <v>-0.19700000000000001</v>
      </c>
      <c r="E573" s="15">
        <v>0.26200000000000001</v>
      </c>
      <c r="F573" s="15">
        <v>1.6E-2</v>
      </c>
      <c r="G573" s="15">
        <v>3.3000000000000002E-2</v>
      </c>
      <c r="H573" s="15">
        <v>2.7E-2</v>
      </c>
      <c r="I573" s="15">
        <v>0.158</v>
      </c>
      <c r="J573" t="s">
        <v>412</v>
      </c>
      <c r="K573" t="s">
        <v>487</v>
      </c>
    </row>
    <row r="574" spans="1:11">
      <c r="A574" t="s">
        <v>573</v>
      </c>
      <c r="B574" t="s">
        <v>498</v>
      </c>
      <c r="C574" t="s">
        <v>572</v>
      </c>
      <c r="D574" s="15">
        <v>-0.20799999999999999</v>
      </c>
      <c r="E574" s="15">
        <v>0.13100000000000001</v>
      </c>
      <c r="F574" s="15">
        <v>0.13500000000000001</v>
      </c>
      <c r="G574" s="15">
        <v>-3.7999999999999999E-2</v>
      </c>
      <c r="H574" s="15">
        <v>1.9E-2</v>
      </c>
      <c r="I574" s="15">
        <v>0.158</v>
      </c>
      <c r="J574" t="s">
        <v>412</v>
      </c>
      <c r="K574" t="s">
        <v>487</v>
      </c>
    </row>
    <row r="575" spans="1:11">
      <c r="A575" t="s">
        <v>576</v>
      </c>
      <c r="B575" t="s">
        <v>578</v>
      </c>
      <c r="C575" t="s">
        <v>584</v>
      </c>
      <c r="D575" s="15">
        <v>-0.1</v>
      </c>
      <c r="E575" s="15">
        <v>-0.14499999999999999</v>
      </c>
      <c r="F575" s="15">
        <v>0.23100000000000001</v>
      </c>
      <c r="G575" s="15">
        <v>-0.122</v>
      </c>
      <c r="H575" s="15">
        <v>-5.0000000000000001E-3</v>
      </c>
      <c r="I575" s="15">
        <v>0.158</v>
      </c>
      <c r="J575" t="s">
        <v>412</v>
      </c>
      <c r="K575" t="s">
        <v>510</v>
      </c>
    </row>
    <row r="576" spans="1:11">
      <c r="A576" t="s">
        <v>577</v>
      </c>
      <c r="B576" t="s">
        <v>517</v>
      </c>
      <c r="C576" t="s">
        <v>572</v>
      </c>
      <c r="D576" s="15">
        <v>-0.14399999999999999</v>
      </c>
      <c r="E576" s="15">
        <v>0.13900000000000001</v>
      </c>
      <c r="F576" s="15">
        <v>-0.191</v>
      </c>
      <c r="G576" s="15">
        <v>-3.0000000000000001E-3</v>
      </c>
      <c r="H576" s="15">
        <v>-6.6000000000000003E-2</v>
      </c>
      <c r="I576" s="15">
        <v>0.158</v>
      </c>
      <c r="J576" t="s">
        <v>412</v>
      </c>
      <c r="K576" t="s">
        <v>500</v>
      </c>
    </row>
    <row r="577" spans="1:11">
      <c r="A577" t="s">
        <v>573</v>
      </c>
      <c r="B577" t="s">
        <v>517</v>
      </c>
      <c r="C577" t="s">
        <v>572</v>
      </c>
      <c r="D577" s="15">
        <v>-0.20799999999999999</v>
      </c>
      <c r="E577" s="15">
        <v>7.4999999999999997E-2</v>
      </c>
      <c r="F577" s="15">
        <v>-0.191</v>
      </c>
      <c r="G577" s="15">
        <v>-6.7000000000000004E-2</v>
      </c>
      <c r="H577" s="15">
        <v>-0.108</v>
      </c>
      <c r="I577" s="15">
        <v>0.158</v>
      </c>
      <c r="J577" t="s">
        <v>412</v>
      </c>
      <c r="K577" t="s">
        <v>500</v>
      </c>
    </row>
    <row r="578" spans="1:11">
      <c r="A578" t="s">
        <v>479</v>
      </c>
      <c r="B578" t="s">
        <v>499</v>
      </c>
      <c r="C578" t="s">
        <v>585</v>
      </c>
      <c r="D578" s="15">
        <v>-0.123</v>
      </c>
      <c r="E578" s="15">
        <v>6.6000000000000003E-2</v>
      </c>
      <c r="F578" s="15">
        <v>-0.28599999999999998</v>
      </c>
      <c r="G578" s="15">
        <v>-2.9000000000000001E-2</v>
      </c>
      <c r="H578" s="15">
        <v>-0.114</v>
      </c>
      <c r="I578" s="15">
        <v>0.158</v>
      </c>
      <c r="J578" t="s">
        <v>412</v>
      </c>
      <c r="K578" t="s">
        <v>500</v>
      </c>
    </row>
    <row r="579" spans="1:11">
      <c r="A579" t="s">
        <v>571</v>
      </c>
      <c r="B579" t="s">
        <v>581</v>
      </c>
      <c r="C579" t="s">
        <v>582</v>
      </c>
      <c r="D579" s="15">
        <v>9.1999999999999998E-2</v>
      </c>
      <c r="E579" s="15">
        <v>0.27500000000000002</v>
      </c>
      <c r="F579" s="15">
        <v>0.10299999999999999</v>
      </c>
      <c r="G579" s="15">
        <v>0.184</v>
      </c>
      <c r="H579" s="15">
        <v>0.157</v>
      </c>
      <c r="I579" s="15">
        <v>0.157</v>
      </c>
      <c r="J579" t="s">
        <v>412</v>
      </c>
      <c r="K579" t="s">
        <v>551</v>
      </c>
    </row>
    <row r="580" spans="1:11">
      <c r="A580" t="s">
        <v>547</v>
      </c>
      <c r="B580" t="s">
        <v>590</v>
      </c>
      <c r="C580" t="s">
        <v>594</v>
      </c>
      <c r="D580" s="15">
        <v>-6.0000000000000001E-3</v>
      </c>
      <c r="E580" s="15">
        <v>0.16600000000000001</v>
      </c>
      <c r="F580" s="15">
        <v>0.29899999999999999</v>
      </c>
      <c r="G580" s="15">
        <v>0.08</v>
      </c>
      <c r="H580" s="15">
        <v>0.153</v>
      </c>
      <c r="I580" s="15">
        <v>0.157</v>
      </c>
      <c r="J580" t="s">
        <v>412</v>
      </c>
      <c r="K580" t="s">
        <v>487</v>
      </c>
    </row>
    <row r="581" spans="1:11">
      <c r="A581" t="s">
        <v>571</v>
      </c>
      <c r="B581" t="s">
        <v>588</v>
      </c>
      <c r="C581" t="s">
        <v>477</v>
      </c>
      <c r="D581" s="15">
        <v>0.13300000000000001</v>
      </c>
      <c r="E581" s="15">
        <v>-1.9E-2</v>
      </c>
      <c r="F581" s="15">
        <v>0.31900000000000001</v>
      </c>
      <c r="G581" s="15">
        <v>5.7000000000000002E-2</v>
      </c>
      <c r="H581" s="15">
        <v>0.14499999999999999</v>
      </c>
      <c r="I581" s="15">
        <v>0.157</v>
      </c>
      <c r="J581" t="s">
        <v>412</v>
      </c>
      <c r="K581" t="s">
        <v>480</v>
      </c>
    </row>
    <row r="582" spans="1:11">
      <c r="A582" t="s">
        <v>506</v>
      </c>
      <c r="B582" t="s">
        <v>517</v>
      </c>
      <c r="C582" t="s">
        <v>591</v>
      </c>
      <c r="D582" s="15">
        <v>0.20899999999999999</v>
      </c>
      <c r="E582" s="15">
        <v>-6.5000000000000002E-2</v>
      </c>
      <c r="F582" s="15">
        <v>0.19900000000000001</v>
      </c>
      <c r="G582" s="15">
        <v>7.1999999999999995E-2</v>
      </c>
      <c r="H582" s="15">
        <v>0.114</v>
      </c>
      <c r="I582" s="15">
        <v>0.157</v>
      </c>
      <c r="J582" t="s">
        <v>412</v>
      </c>
      <c r="K582" t="s">
        <v>480</v>
      </c>
    </row>
    <row r="583" spans="1:11">
      <c r="A583" t="s">
        <v>573</v>
      </c>
      <c r="B583" t="s">
        <v>581</v>
      </c>
      <c r="C583" t="s">
        <v>492</v>
      </c>
      <c r="D583" s="15">
        <v>-0.16400000000000001</v>
      </c>
      <c r="E583" s="15">
        <v>7.3999999999999996E-2</v>
      </c>
      <c r="F583" s="15">
        <v>0.23200000000000001</v>
      </c>
      <c r="G583" s="15">
        <v>-4.4999999999999998E-2</v>
      </c>
      <c r="H583" s="15">
        <v>4.8000000000000001E-2</v>
      </c>
      <c r="I583" s="15">
        <v>0.157</v>
      </c>
      <c r="J583" t="s">
        <v>412</v>
      </c>
      <c r="K583" t="s">
        <v>487</v>
      </c>
    </row>
    <row r="584" spans="1:11">
      <c r="A584" t="s">
        <v>573</v>
      </c>
      <c r="B584" t="s">
        <v>586</v>
      </c>
      <c r="C584" t="s">
        <v>570</v>
      </c>
      <c r="D584" s="15">
        <v>-0.17100000000000001</v>
      </c>
      <c r="E584" s="15">
        <v>-0.10299999999999999</v>
      </c>
      <c r="F584" s="15">
        <v>0.19600000000000001</v>
      </c>
      <c r="G584" s="15">
        <v>-0.13700000000000001</v>
      </c>
      <c r="H584" s="15">
        <v>-2.5999999999999999E-2</v>
      </c>
      <c r="I584" s="15">
        <v>0.157</v>
      </c>
      <c r="J584" t="s">
        <v>412</v>
      </c>
      <c r="K584" t="s">
        <v>510</v>
      </c>
    </row>
    <row r="585" spans="1:11">
      <c r="A585" t="s">
        <v>576</v>
      </c>
      <c r="B585" t="s">
        <v>581</v>
      </c>
      <c r="C585" t="s">
        <v>584</v>
      </c>
      <c r="D585" s="15">
        <v>-0.1</v>
      </c>
      <c r="E585" s="15">
        <v>0.18</v>
      </c>
      <c r="F585" s="15">
        <v>-0.193</v>
      </c>
      <c r="G585" s="15">
        <v>0.04</v>
      </c>
      <c r="H585" s="15">
        <v>-3.7999999999999999E-2</v>
      </c>
      <c r="I585" s="15">
        <v>0.157</v>
      </c>
      <c r="J585" t="s">
        <v>412</v>
      </c>
      <c r="K585" t="s">
        <v>500</v>
      </c>
    </row>
    <row r="586" spans="1:11">
      <c r="A586" t="s">
        <v>506</v>
      </c>
      <c r="B586" t="s">
        <v>569</v>
      </c>
      <c r="C586" t="s">
        <v>584</v>
      </c>
      <c r="D586" s="15">
        <v>0.11899999999999999</v>
      </c>
      <c r="E586" s="15">
        <v>-0.22700000000000001</v>
      </c>
      <c r="F586" s="15">
        <v>-0.124</v>
      </c>
      <c r="G586" s="15">
        <v>-5.3999999999999999E-2</v>
      </c>
      <c r="H586" s="15">
        <v>-7.6999999999999999E-2</v>
      </c>
      <c r="I586" s="15">
        <v>0.157</v>
      </c>
      <c r="J586" t="s">
        <v>412</v>
      </c>
      <c r="K586" t="s">
        <v>579</v>
      </c>
    </row>
    <row r="587" spans="1:11">
      <c r="A587" t="s">
        <v>479</v>
      </c>
      <c r="B587" t="s">
        <v>578</v>
      </c>
      <c r="C587" t="s">
        <v>477</v>
      </c>
      <c r="D587" s="15">
        <v>4.5999999999999999E-2</v>
      </c>
      <c r="E587" s="15">
        <v>2.8000000000000001E-2</v>
      </c>
      <c r="F587" s="15">
        <v>0.39200000000000002</v>
      </c>
      <c r="G587" s="15">
        <v>3.6999999999999998E-2</v>
      </c>
      <c r="H587" s="15">
        <v>0.156</v>
      </c>
      <c r="I587" s="15">
        <v>0.156</v>
      </c>
      <c r="J587" t="s">
        <v>412</v>
      </c>
      <c r="K587" t="s">
        <v>551</v>
      </c>
    </row>
    <row r="588" spans="1:11">
      <c r="A588" t="s">
        <v>547</v>
      </c>
      <c r="B588" t="s">
        <v>581</v>
      </c>
      <c r="C588" t="s">
        <v>572</v>
      </c>
      <c r="D588" s="15">
        <v>5.0000000000000001E-3</v>
      </c>
      <c r="E588" s="15">
        <v>0.23699999999999999</v>
      </c>
      <c r="F588" s="15">
        <v>0.22500000000000001</v>
      </c>
      <c r="G588" s="15">
        <v>0.121</v>
      </c>
      <c r="H588" s="15">
        <v>0.156</v>
      </c>
      <c r="I588" s="15">
        <v>0.156</v>
      </c>
      <c r="J588" t="s">
        <v>412</v>
      </c>
      <c r="K588" t="s">
        <v>551</v>
      </c>
    </row>
    <row r="589" spans="1:11">
      <c r="A589" t="s">
        <v>577</v>
      </c>
      <c r="B589" t="s">
        <v>581</v>
      </c>
      <c r="C589" t="s">
        <v>582</v>
      </c>
      <c r="D589" s="15">
        <v>0.31900000000000001</v>
      </c>
      <c r="E589" s="15">
        <v>-4.5999999999999999E-2</v>
      </c>
      <c r="F589" s="15">
        <v>0.10299999999999999</v>
      </c>
      <c r="G589" s="15">
        <v>0.13600000000000001</v>
      </c>
      <c r="H589" s="15">
        <v>0.125</v>
      </c>
      <c r="I589" s="15">
        <v>0.156</v>
      </c>
      <c r="J589" t="s">
        <v>412</v>
      </c>
      <c r="K589" t="s">
        <v>480</v>
      </c>
    </row>
    <row r="590" spans="1:11">
      <c r="A590" t="s">
        <v>506</v>
      </c>
      <c r="B590" t="s">
        <v>517</v>
      </c>
      <c r="C590" t="s">
        <v>477</v>
      </c>
      <c r="D590" s="15">
        <v>0.14399999999999999</v>
      </c>
      <c r="E590" s="15">
        <v>-6.5000000000000002E-2</v>
      </c>
      <c r="F590" s="15">
        <v>0.25800000000000001</v>
      </c>
      <c r="G590" s="15">
        <v>0.04</v>
      </c>
      <c r="H590" s="15">
        <v>0.113</v>
      </c>
      <c r="I590" s="15">
        <v>0.156</v>
      </c>
      <c r="J590" t="s">
        <v>412</v>
      </c>
      <c r="K590" t="s">
        <v>480</v>
      </c>
    </row>
    <row r="591" spans="1:11">
      <c r="A591" t="s">
        <v>506</v>
      </c>
      <c r="B591" t="s">
        <v>498</v>
      </c>
      <c r="C591" t="s">
        <v>572</v>
      </c>
      <c r="D591" s="15">
        <v>-0.11899999999999999</v>
      </c>
      <c r="E591" s="15">
        <v>0.215</v>
      </c>
      <c r="F591" s="15">
        <v>0.13500000000000001</v>
      </c>
      <c r="G591" s="15">
        <v>4.8000000000000001E-2</v>
      </c>
      <c r="H591" s="15">
        <v>7.6999999999999999E-2</v>
      </c>
      <c r="I591" s="15">
        <v>0.156</v>
      </c>
      <c r="J591" t="s">
        <v>412</v>
      </c>
      <c r="K591" t="s">
        <v>487</v>
      </c>
    </row>
    <row r="592" spans="1:11">
      <c r="A592" t="s">
        <v>571</v>
      </c>
      <c r="B592" t="s">
        <v>581</v>
      </c>
      <c r="C592" t="s">
        <v>593</v>
      </c>
      <c r="D592" s="15">
        <v>-0.10100000000000001</v>
      </c>
      <c r="E592" s="15">
        <v>0.27500000000000002</v>
      </c>
      <c r="F592" s="15">
        <v>-9.4E-2</v>
      </c>
      <c r="G592" s="15">
        <v>8.6999999999999994E-2</v>
      </c>
      <c r="H592" s="15">
        <v>2.7E-2</v>
      </c>
      <c r="I592" s="15">
        <v>0.156</v>
      </c>
      <c r="J592" t="s">
        <v>412</v>
      </c>
      <c r="K592" t="s">
        <v>500</v>
      </c>
    </row>
    <row r="593" spans="1:11">
      <c r="A593" t="s">
        <v>506</v>
      </c>
      <c r="B593" t="s">
        <v>478</v>
      </c>
      <c r="C593" t="s">
        <v>591</v>
      </c>
      <c r="D593" s="15">
        <v>0.20899999999999999</v>
      </c>
      <c r="E593" s="15">
        <v>-0.224</v>
      </c>
      <c r="F593" s="15">
        <v>3.4000000000000002E-2</v>
      </c>
      <c r="G593" s="15">
        <v>-7.0000000000000001E-3</v>
      </c>
      <c r="H593" s="15">
        <v>6.0000000000000001E-3</v>
      </c>
      <c r="I593" s="15">
        <v>0.156</v>
      </c>
      <c r="J593" t="s">
        <v>412</v>
      </c>
      <c r="K593" t="s">
        <v>480</v>
      </c>
    </row>
    <row r="594" spans="1:11">
      <c r="A594" t="s">
        <v>573</v>
      </c>
      <c r="B594" t="s">
        <v>499</v>
      </c>
      <c r="C594" t="s">
        <v>591</v>
      </c>
      <c r="D594" s="15">
        <v>0.123</v>
      </c>
      <c r="E594" s="15">
        <v>-8.8999999999999996E-2</v>
      </c>
      <c r="F594" s="15">
        <v>-0.25700000000000001</v>
      </c>
      <c r="G594" s="15">
        <v>1.7000000000000001E-2</v>
      </c>
      <c r="H594" s="15">
        <v>-7.3999999999999996E-2</v>
      </c>
      <c r="I594" s="15">
        <v>0.156</v>
      </c>
      <c r="J594" t="s">
        <v>412</v>
      </c>
      <c r="K594" t="s">
        <v>579</v>
      </c>
    </row>
    <row r="595" spans="1:11">
      <c r="A595" t="s">
        <v>573</v>
      </c>
      <c r="B595" t="s">
        <v>574</v>
      </c>
      <c r="C595" t="s">
        <v>583</v>
      </c>
      <c r="D595" s="15">
        <v>7.3999999999999996E-2</v>
      </c>
      <c r="E595" s="15">
        <v>-0.124</v>
      </c>
      <c r="F595" s="15">
        <v>-0.26900000000000002</v>
      </c>
      <c r="G595" s="15">
        <v>-2.5000000000000001E-2</v>
      </c>
      <c r="H595" s="15">
        <v>-0.106</v>
      </c>
      <c r="I595" s="15">
        <v>0.156</v>
      </c>
      <c r="J595" t="s">
        <v>412</v>
      </c>
      <c r="K595" t="s">
        <v>579</v>
      </c>
    </row>
    <row r="596" spans="1:11">
      <c r="A596" t="s">
        <v>573</v>
      </c>
      <c r="B596" t="s">
        <v>586</v>
      </c>
      <c r="C596" t="s">
        <v>492</v>
      </c>
      <c r="D596" s="15">
        <v>-0.16400000000000001</v>
      </c>
      <c r="E596" s="15">
        <v>-0.10299999999999999</v>
      </c>
      <c r="F596" s="15">
        <v>-0.20100000000000001</v>
      </c>
      <c r="G596" s="15">
        <v>-0.13400000000000001</v>
      </c>
      <c r="H596" s="15">
        <v>-0.156</v>
      </c>
      <c r="I596" s="15">
        <v>0.156</v>
      </c>
      <c r="J596" t="s">
        <v>412</v>
      </c>
      <c r="K596" t="s">
        <v>589</v>
      </c>
    </row>
    <row r="597" spans="1:11">
      <c r="A597" t="s">
        <v>576</v>
      </c>
      <c r="B597" t="s">
        <v>581</v>
      </c>
      <c r="C597" t="s">
        <v>572</v>
      </c>
      <c r="D597" s="15">
        <v>-5.8999999999999997E-2</v>
      </c>
      <c r="E597" s="15">
        <v>0.18</v>
      </c>
      <c r="F597" s="15">
        <v>0.22500000000000001</v>
      </c>
      <c r="G597" s="15">
        <v>0.06</v>
      </c>
      <c r="H597" s="15">
        <v>0.115</v>
      </c>
      <c r="I597" s="15">
        <v>0.155</v>
      </c>
      <c r="J597" t="s">
        <v>412</v>
      </c>
      <c r="K597" t="s">
        <v>487</v>
      </c>
    </row>
    <row r="598" spans="1:11">
      <c r="A598" t="s">
        <v>506</v>
      </c>
      <c r="B598" t="s">
        <v>517</v>
      </c>
      <c r="C598" t="s">
        <v>582</v>
      </c>
      <c r="D598" s="15">
        <v>0.34100000000000003</v>
      </c>
      <c r="E598" s="15">
        <v>-6.5000000000000002E-2</v>
      </c>
      <c r="F598" s="15">
        <v>5.8000000000000003E-2</v>
      </c>
      <c r="G598" s="15">
        <v>0.13800000000000001</v>
      </c>
      <c r="H598" s="15">
        <v>0.111</v>
      </c>
      <c r="I598" s="15">
        <v>0.155</v>
      </c>
      <c r="J598" t="s">
        <v>412</v>
      </c>
      <c r="K598" t="s">
        <v>480</v>
      </c>
    </row>
    <row r="599" spans="1:11">
      <c r="A599" t="s">
        <v>571</v>
      </c>
      <c r="B599" t="s">
        <v>595</v>
      </c>
      <c r="C599" t="s">
        <v>591</v>
      </c>
      <c r="D599" s="15">
        <v>6.6000000000000003E-2</v>
      </c>
      <c r="E599" s="15">
        <v>0.32600000000000001</v>
      </c>
      <c r="F599" s="15">
        <v>-7.1999999999999995E-2</v>
      </c>
      <c r="G599" s="15">
        <v>0.19600000000000001</v>
      </c>
      <c r="H599" s="15">
        <v>0.107</v>
      </c>
      <c r="I599" s="15">
        <v>0.155</v>
      </c>
      <c r="J599" t="s">
        <v>412</v>
      </c>
      <c r="K599" t="s">
        <v>493</v>
      </c>
    </row>
    <row r="600" spans="1:11">
      <c r="A600" t="s">
        <v>486</v>
      </c>
      <c r="B600" t="s">
        <v>499</v>
      </c>
      <c r="C600" t="s">
        <v>582</v>
      </c>
      <c r="D600" s="15">
        <v>-0.129</v>
      </c>
      <c r="E600" s="15">
        <v>0.28000000000000003</v>
      </c>
      <c r="F600" s="15">
        <v>5.6000000000000001E-2</v>
      </c>
      <c r="G600" s="15">
        <v>7.5999999999999998E-2</v>
      </c>
      <c r="H600" s="15">
        <v>6.9000000000000006E-2</v>
      </c>
      <c r="I600" s="15">
        <v>0.155</v>
      </c>
      <c r="J600" t="s">
        <v>412</v>
      </c>
      <c r="K600" t="s">
        <v>487</v>
      </c>
    </row>
    <row r="601" spans="1:11">
      <c r="A601" t="s">
        <v>486</v>
      </c>
      <c r="B601" t="s">
        <v>478</v>
      </c>
      <c r="C601" t="s">
        <v>477</v>
      </c>
      <c r="D601" s="15">
        <v>-0.28399999999999997</v>
      </c>
      <c r="E601" s="15">
        <v>0.104</v>
      </c>
      <c r="F601" s="15">
        <v>7.6999999999999999E-2</v>
      </c>
      <c r="G601" s="15">
        <v>-0.09</v>
      </c>
      <c r="H601" s="15">
        <v>-3.4000000000000002E-2</v>
      </c>
      <c r="I601" s="15">
        <v>0.155</v>
      </c>
      <c r="J601" t="s">
        <v>412</v>
      </c>
      <c r="K601" t="s">
        <v>487</v>
      </c>
    </row>
    <row r="602" spans="1:11">
      <c r="A602" t="s">
        <v>573</v>
      </c>
      <c r="B602" t="s">
        <v>574</v>
      </c>
      <c r="C602" t="s">
        <v>591</v>
      </c>
      <c r="D602" s="15">
        <v>0.123</v>
      </c>
      <c r="E602" s="15">
        <v>-0.124</v>
      </c>
      <c r="F602" s="15">
        <v>-0.218</v>
      </c>
      <c r="G602" s="15">
        <v>0</v>
      </c>
      <c r="H602" s="15">
        <v>-7.2999999999999995E-2</v>
      </c>
      <c r="I602" s="15">
        <v>0.155</v>
      </c>
      <c r="J602" t="s">
        <v>412</v>
      </c>
      <c r="K602" t="s">
        <v>579</v>
      </c>
    </row>
    <row r="603" spans="1:11">
      <c r="A603" t="s">
        <v>506</v>
      </c>
      <c r="B603" t="s">
        <v>550</v>
      </c>
      <c r="C603" t="s">
        <v>492</v>
      </c>
      <c r="D603" s="15">
        <v>-0.17399999999999999</v>
      </c>
      <c r="E603" s="15">
        <v>-0.17299999999999999</v>
      </c>
      <c r="F603" s="15">
        <v>0.11700000000000001</v>
      </c>
      <c r="G603" s="15">
        <v>-0.17399999999999999</v>
      </c>
      <c r="H603" s="15">
        <v>-7.6999999999999999E-2</v>
      </c>
      <c r="I603" s="15">
        <v>0.155</v>
      </c>
      <c r="J603" t="s">
        <v>412</v>
      </c>
      <c r="K603" t="s">
        <v>510</v>
      </c>
    </row>
    <row r="604" spans="1:11">
      <c r="A604" t="s">
        <v>571</v>
      </c>
      <c r="B604" t="s">
        <v>590</v>
      </c>
      <c r="C604" t="s">
        <v>570</v>
      </c>
      <c r="D604" s="15">
        <v>-0.19700000000000001</v>
      </c>
      <c r="E604" s="15">
        <v>6.2E-2</v>
      </c>
      <c r="F604" s="15">
        <v>-0.20599999999999999</v>
      </c>
      <c r="G604" s="15">
        <v>-6.8000000000000005E-2</v>
      </c>
      <c r="H604" s="15">
        <v>-0.114</v>
      </c>
      <c r="I604" s="15">
        <v>0.155</v>
      </c>
      <c r="J604" t="s">
        <v>412</v>
      </c>
      <c r="K604" t="s">
        <v>500</v>
      </c>
    </row>
    <row r="605" spans="1:11">
      <c r="A605" t="s">
        <v>576</v>
      </c>
      <c r="B605" t="s">
        <v>498</v>
      </c>
      <c r="C605" t="s">
        <v>575</v>
      </c>
      <c r="D605" s="15">
        <v>-0.17100000000000001</v>
      </c>
      <c r="E605" s="15">
        <v>5.0999999999999997E-2</v>
      </c>
      <c r="F605" s="15">
        <v>-0.24399999999999999</v>
      </c>
      <c r="G605" s="15">
        <v>-0.06</v>
      </c>
      <c r="H605" s="15">
        <v>-0.122</v>
      </c>
      <c r="I605" s="15">
        <v>0.155</v>
      </c>
      <c r="J605" t="s">
        <v>412</v>
      </c>
      <c r="K605" t="s">
        <v>500</v>
      </c>
    </row>
    <row r="606" spans="1:11">
      <c r="A606" t="s">
        <v>573</v>
      </c>
      <c r="B606" t="s">
        <v>580</v>
      </c>
      <c r="C606" t="s">
        <v>492</v>
      </c>
      <c r="D606" s="15">
        <v>-0.16400000000000001</v>
      </c>
      <c r="E606" s="15">
        <v>4.7E-2</v>
      </c>
      <c r="F606" s="15">
        <v>-0.254</v>
      </c>
      <c r="G606" s="15">
        <v>-5.8000000000000003E-2</v>
      </c>
      <c r="H606" s="15">
        <v>-0.123</v>
      </c>
      <c r="I606" s="15">
        <v>0.155</v>
      </c>
      <c r="J606" t="s">
        <v>412</v>
      </c>
      <c r="K606" t="s">
        <v>500</v>
      </c>
    </row>
    <row r="607" spans="1:11">
      <c r="A607" t="s">
        <v>506</v>
      </c>
      <c r="B607" t="s">
        <v>574</v>
      </c>
      <c r="C607" t="s">
        <v>570</v>
      </c>
      <c r="D607" s="15">
        <v>-0.14199999999999999</v>
      </c>
      <c r="E607" s="15">
        <v>3.5999999999999997E-2</v>
      </c>
      <c r="F607" s="15">
        <v>-0.28799999999999998</v>
      </c>
      <c r="G607" s="15">
        <v>-5.2999999999999999E-2</v>
      </c>
      <c r="H607" s="15">
        <v>-0.13100000000000001</v>
      </c>
      <c r="I607" s="15">
        <v>0.155</v>
      </c>
      <c r="J607" t="s">
        <v>412</v>
      </c>
      <c r="K607" t="s">
        <v>500</v>
      </c>
    </row>
    <row r="608" spans="1:11">
      <c r="A608" t="s">
        <v>479</v>
      </c>
      <c r="B608" t="s">
        <v>478</v>
      </c>
      <c r="C608" t="s">
        <v>583</v>
      </c>
      <c r="D608" s="15">
        <v>-0.02</v>
      </c>
      <c r="E608" s="15">
        <v>-0.41199999999999998</v>
      </c>
      <c r="F608" s="15">
        <v>3.1E-2</v>
      </c>
      <c r="G608" s="15">
        <v>-0.216</v>
      </c>
      <c r="H608" s="15">
        <v>-0.13400000000000001</v>
      </c>
      <c r="I608" s="15">
        <v>0.155</v>
      </c>
      <c r="J608" t="s">
        <v>412</v>
      </c>
      <c r="K608" t="s">
        <v>510</v>
      </c>
    </row>
    <row r="609" spans="1:11">
      <c r="A609" t="s">
        <v>547</v>
      </c>
      <c r="B609" t="s">
        <v>499</v>
      </c>
      <c r="C609" t="s">
        <v>570</v>
      </c>
      <c r="D609" s="15">
        <v>-0.14799999999999999</v>
      </c>
      <c r="E609" s="15">
        <v>-7.0999999999999994E-2</v>
      </c>
      <c r="F609" s="15">
        <v>-0.246</v>
      </c>
      <c r="G609" s="15">
        <v>-0.11</v>
      </c>
      <c r="H609" s="15">
        <v>-0.155</v>
      </c>
      <c r="I609" s="15">
        <v>0.155</v>
      </c>
      <c r="J609" t="s">
        <v>412</v>
      </c>
      <c r="K609" t="s">
        <v>589</v>
      </c>
    </row>
    <row r="610" spans="1:11">
      <c r="A610" t="s">
        <v>571</v>
      </c>
      <c r="B610" t="s">
        <v>574</v>
      </c>
      <c r="C610" t="s">
        <v>583</v>
      </c>
      <c r="D610" s="15">
        <v>-0.152</v>
      </c>
      <c r="E610" s="15">
        <v>-4.4999999999999998E-2</v>
      </c>
      <c r="F610" s="15">
        <v>-0.26900000000000002</v>
      </c>
      <c r="G610" s="15">
        <v>-9.9000000000000005E-2</v>
      </c>
      <c r="H610" s="15">
        <v>-0.155</v>
      </c>
      <c r="I610" s="15">
        <v>0.155</v>
      </c>
      <c r="J610" t="s">
        <v>412</v>
      </c>
      <c r="K610" t="s">
        <v>589</v>
      </c>
    </row>
    <row r="611" spans="1:11">
      <c r="A611" t="s">
        <v>577</v>
      </c>
      <c r="B611" t="s">
        <v>587</v>
      </c>
      <c r="C611" t="s">
        <v>585</v>
      </c>
      <c r="D611" s="15">
        <v>-6.0000000000000001E-3</v>
      </c>
      <c r="E611" s="15">
        <v>-0.15</v>
      </c>
      <c r="F611" s="15">
        <v>-0.31</v>
      </c>
      <c r="G611" s="15">
        <v>-7.8E-2</v>
      </c>
      <c r="H611" s="15">
        <v>-0.155</v>
      </c>
      <c r="I611" s="15">
        <v>0.155</v>
      </c>
      <c r="J611" t="s">
        <v>412</v>
      </c>
      <c r="K611" t="s">
        <v>589</v>
      </c>
    </row>
    <row r="612" spans="1:11">
      <c r="A612" t="s">
        <v>573</v>
      </c>
      <c r="B612" t="s">
        <v>581</v>
      </c>
      <c r="C612" t="s">
        <v>582</v>
      </c>
      <c r="D612" s="15">
        <v>0.28599999999999998</v>
      </c>
      <c r="E612" s="15">
        <v>7.3999999999999996E-2</v>
      </c>
      <c r="F612" s="15">
        <v>0.10299999999999999</v>
      </c>
      <c r="G612" s="15">
        <v>0.18</v>
      </c>
      <c r="H612" s="15">
        <v>0.154</v>
      </c>
      <c r="I612" s="15">
        <v>0.154</v>
      </c>
      <c r="J612" t="s">
        <v>412</v>
      </c>
      <c r="K612" t="s">
        <v>551</v>
      </c>
    </row>
    <row r="613" spans="1:11">
      <c r="A613" t="s">
        <v>577</v>
      </c>
      <c r="B613" t="s">
        <v>505</v>
      </c>
      <c r="C613" t="s">
        <v>582</v>
      </c>
      <c r="D613" s="15">
        <v>0.31900000000000001</v>
      </c>
      <c r="E613" s="15">
        <v>1.2E-2</v>
      </c>
      <c r="F613" s="15">
        <v>-0.13200000000000001</v>
      </c>
      <c r="G613" s="15">
        <v>0.16500000000000001</v>
      </c>
      <c r="H613" s="15">
        <v>6.6000000000000003E-2</v>
      </c>
      <c r="I613" s="15">
        <v>0.154</v>
      </c>
      <c r="J613" t="s">
        <v>412</v>
      </c>
      <c r="K613" t="s">
        <v>493</v>
      </c>
    </row>
    <row r="614" spans="1:11">
      <c r="A614" t="s">
        <v>576</v>
      </c>
      <c r="B614" t="s">
        <v>578</v>
      </c>
      <c r="C614" t="s">
        <v>585</v>
      </c>
      <c r="D614" s="15">
        <v>0.03</v>
      </c>
      <c r="E614" s="15">
        <v>-0.14499999999999999</v>
      </c>
      <c r="F614" s="15">
        <v>0.28799999999999998</v>
      </c>
      <c r="G614" s="15">
        <v>-5.7000000000000002E-2</v>
      </c>
      <c r="H614" s="15">
        <v>5.8000000000000003E-2</v>
      </c>
      <c r="I614" s="15">
        <v>0.154</v>
      </c>
      <c r="J614" t="s">
        <v>412</v>
      </c>
      <c r="K614" t="s">
        <v>480</v>
      </c>
    </row>
    <row r="615" spans="1:11">
      <c r="A615" t="s">
        <v>506</v>
      </c>
      <c r="B615" t="s">
        <v>574</v>
      </c>
      <c r="C615" t="s">
        <v>591</v>
      </c>
      <c r="D615" s="15">
        <v>0.20899999999999999</v>
      </c>
      <c r="E615" s="15">
        <v>3.5999999999999997E-2</v>
      </c>
      <c r="F615" s="15">
        <v>-0.218</v>
      </c>
      <c r="G615" s="15">
        <v>0.122</v>
      </c>
      <c r="H615" s="15">
        <v>8.9999999999999993E-3</v>
      </c>
      <c r="I615" s="15">
        <v>0.154</v>
      </c>
      <c r="J615" t="s">
        <v>412</v>
      </c>
      <c r="K615" t="s">
        <v>493</v>
      </c>
    </row>
    <row r="616" spans="1:11">
      <c r="A616" t="s">
        <v>547</v>
      </c>
      <c r="B616" t="s">
        <v>587</v>
      </c>
      <c r="C616" t="s">
        <v>584</v>
      </c>
      <c r="D616" s="15">
        <v>0.112</v>
      </c>
      <c r="E616" s="15">
        <v>0.13</v>
      </c>
      <c r="F616" s="15">
        <v>-0.221</v>
      </c>
      <c r="G616" s="15">
        <v>0.121</v>
      </c>
      <c r="H616" s="15">
        <v>7.0000000000000001E-3</v>
      </c>
      <c r="I616" s="15">
        <v>0.154</v>
      </c>
      <c r="J616" t="s">
        <v>412</v>
      </c>
      <c r="K616" t="s">
        <v>493</v>
      </c>
    </row>
    <row r="617" spans="1:11">
      <c r="A617" t="s">
        <v>577</v>
      </c>
      <c r="B617" t="s">
        <v>569</v>
      </c>
      <c r="C617" t="s">
        <v>584</v>
      </c>
      <c r="D617" s="15">
        <v>0.182</v>
      </c>
      <c r="E617" s="15">
        <v>-0.157</v>
      </c>
      <c r="F617" s="15">
        <v>-0.124</v>
      </c>
      <c r="G617" s="15">
        <v>1.2E-2</v>
      </c>
      <c r="H617" s="15">
        <v>-3.3000000000000002E-2</v>
      </c>
      <c r="I617" s="15">
        <v>0.154</v>
      </c>
      <c r="J617" t="s">
        <v>412</v>
      </c>
      <c r="K617" t="s">
        <v>579</v>
      </c>
    </row>
    <row r="618" spans="1:11">
      <c r="A618" t="s">
        <v>486</v>
      </c>
      <c r="B618" t="s">
        <v>578</v>
      </c>
      <c r="C618" t="s">
        <v>593</v>
      </c>
      <c r="D618" s="15">
        <v>-8.6999999999999994E-2</v>
      </c>
      <c r="E618" s="15">
        <v>-0.2</v>
      </c>
      <c r="F618" s="15">
        <v>0.17599999999999999</v>
      </c>
      <c r="G618" s="15">
        <v>-0.14299999999999999</v>
      </c>
      <c r="H618" s="15">
        <v>-3.6999999999999998E-2</v>
      </c>
      <c r="I618" s="15">
        <v>0.154</v>
      </c>
      <c r="J618" t="s">
        <v>412</v>
      </c>
      <c r="K618" t="s">
        <v>510</v>
      </c>
    </row>
    <row r="619" spans="1:11">
      <c r="A619" t="s">
        <v>576</v>
      </c>
      <c r="B619" t="s">
        <v>578</v>
      </c>
      <c r="C619" t="s">
        <v>570</v>
      </c>
      <c r="D619" s="15">
        <v>-0.222</v>
      </c>
      <c r="E619" s="15">
        <v>-0.14499999999999999</v>
      </c>
      <c r="F619" s="15">
        <v>9.5000000000000001E-2</v>
      </c>
      <c r="G619" s="15">
        <v>-0.183</v>
      </c>
      <c r="H619" s="15">
        <v>-9.0999999999999998E-2</v>
      </c>
      <c r="I619" s="15">
        <v>0.154</v>
      </c>
      <c r="J619" t="s">
        <v>412</v>
      </c>
      <c r="K619" t="s">
        <v>510</v>
      </c>
    </row>
    <row r="620" spans="1:11">
      <c r="A620" t="s">
        <v>479</v>
      </c>
      <c r="B620" t="s">
        <v>578</v>
      </c>
      <c r="C620" t="s">
        <v>591</v>
      </c>
      <c r="D620" s="15">
        <v>9.4E-2</v>
      </c>
      <c r="E620" s="15">
        <v>2.8000000000000001E-2</v>
      </c>
      <c r="F620" s="15">
        <v>0.33800000000000002</v>
      </c>
      <c r="G620" s="15">
        <v>6.0999999999999999E-2</v>
      </c>
      <c r="H620" s="15">
        <v>0.153</v>
      </c>
      <c r="I620" s="15">
        <v>0.153</v>
      </c>
      <c r="J620" t="s">
        <v>412</v>
      </c>
      <c r="K620" t="s">
        <v>551</v>
      </c>
    </row>
    <row r="621" spans="1:11">
      <c r="A621" t="s">
        <v>577</v>
      </c>
      <c r="B621" t="s">
        <v>588</v>
      </c>
      <c r="C621" t="s">
        <v>582</v>
      </c>
      <c r="D621" s="15">
        <v>0.31900000000000001</v>
      </c>
      <c r="E621" s="15">
        <v>0.114</v>
      </c>
      <c r="F621" s="15">
        <v>2.5999999999999999E-2</v>
      </c>
      <c r="G621" s="15">
        <v>0.216</v>
      </c>
      <c r="H621" s="15">
        <v>0.153</v>
      </c>
      <c r="I621" s="15">
        <v>0.153</v>
      </c>
      <c r="J621" t="s">
        <v>412</v>
      </c>
      <c r="K621" t="s">
        <v>551</v>
      </c>
    </row>
    <row r="622" spans="1:11">
      <c r="A622" t="s">
        <v>571</v>
      </c>
      <c r="B622" t="s">
        <v>578</v>
      </c>
      <c r="C622" t="s">
        <v>591</v>
      </c>
      <c r="D622" s="15">
        <v>6.6000000000000003E-2</v>
      </c>
      <c r="E622" s="15">
        <v>-5.3999999999999999E-2</v>
      </c>
      <c r="F622" s="15">
        <v>0.33800000000000002</v>
      </c>
      <c r="G622" s="15">
        <v>6.0000000000000001E-3</v>
      </c>
      <c r="H622" s="15">
        <v>0.11700000000000001</v>
      </c>
      <c r="I622" s="15">
        <v>0.153</v>
      </c>
      <c r="J622" t="s">
        <v>412</v>
      </c>
      <c r="K622" t="s">
        <v>480</v>
      </c>
    </row>
    <row r="623" spans="1:11">
      <c r="A623" t="s">
        <v>547</v>
      </c>
      <c r="B623" t="s">
        <v>498</v>
      </c>
      <c r="C623" t="s">
        <v>585</v>
      </c>
      <c r="D623" s="15">
        <v>-7.1999999999999995E-2</v>
      </c>
      <c r="E623" s="15">
        <v>0.16500000000000001</v>
      </c>
      <c r="F623" s="15">
        <v>-0.221</v>
      </c>
      <c r="G623" s="15">
        <v>4.5999999999999999E-2</v>
      </c>
      <c r="H623" s="15">
        <v>-4.2999999999999997E-2</v>
      </c>
      <c r="I623" s="15">
        <v>0.153</v>
      </c>
      <c r="J623" t="s">
        <v>412</v>
      </c>
      <c r="K623" t="s">
        <v>500</v>
      </c>
    </row>
    <row r="624" spans="1:11">
      <c r="A624" t="s">
        <v>506</v>
      </c>
      <c r="B624" t="s">
        <v>478</v>
      </c>
      <c r="C624" t="s">
        <v>593</v>
      </c>
      <c r="D624" s="15">
        <v>-7.1999999999999995E-2</v>
      </c>
      <c r="E624" s="15">
        <v>-0.224</v>
      </c>
      <c r="F624" s="15">
        <v>0.16300000000000001</v>
      </c>
      <c r="G624" s="15">
        <v>-0.14799999999999999</v>
      </c>
      <c r="H624" s="15">
        <v>-4.3999999999999997E-2</v>
      </c>
      <c r="I624" s="15">
        <v>0.153</v>
      </c>
      <c r="J624" t="s">
        <v>412</v>
      </c>
      <c r="K624" t="s">
        <v>510</v>
      </c>
    </row>
    <row r="625" spans="1:11">
      <c r="A625" t="s">
        <v>576</v>
      </c>
      <c r="B625" t="s">
        <v>523</v>
      </c>
      <c r="C625" t="s">
        <v>572</v>
      </c>
      <c r="D625" s="15">
        <v>-5.8999999999999997E-2</v>
      </c>
      <c r="E625" s="15">
        <v>0.129</v>
      </c>
      <c r="F625" s="15">
        <v>-0.26900000000000002</v>
      </c>
      <c r="G625" s="15">
        <v>3.5000000000000003E-2</v>
      </c>
      <c r="H625" s="15">
        <v>-6.7000000000000004E-2</v>
      </c>
      <c r="I625" s="15">
        <v>0.153</v>
      </c>
      <c r="J625" t="s">
        <v>412</v>
      </c>
      <c r="K625" t="s">
        <v>500</v>
      </c>
    </row>
    <row r="626" spans="1:11">
      <c r="A626" t="s">
        <v>479</v>
      </c>
      <c r="B626" t="s">
        <v>569</v>
      </c>
      <c r="C626" t="s">
        <v>594</v>
      </c>
      <c r="D626" s="15">
        <v>8.5000000000000006E-2</v>
      </c>
      <c r="E626" s="15">
        <v>-0.30099999999999999</v>
      </c>
      <c r="F626" s="15">
        <v>-7.3999999999999996E-2</v>
      </c>
      <c r="G626" s="15">
        <v>-0.108</v>
      </c>
      <c r="H626" s="15">
        <v>-9.7000000000000003E-2</v>
      </c>
      <c r="I626" s="15">
        <v>0.153</v>
      </c>
      <c r="J626" t="s">
        <v>412</v>
      </c>
      <c r="K626" t="s">
        <v>579</v>
      </c>
    </row>
    <row r="627" spans="1:11">
      <c r="A627" t="s">
        <v>506</v>
      </c>
      <c r="B627" t="s">
        <v>569</v>
      </c>
      <c r="C627" t="s">
        <v>492</v>
      </c>
      <c r="D627" s="15">
        <v>-0.17399999999999999</v>
      </c>
      <c r="E627" s="15">
        <v>-0.22700000000000001</v>
      </c>
      <c r="F627" s="15">
        <v>5.7000000000000002E-2</v>
      </c>
      <c r="G627" s="15">
        <v>-0.2</v>
      </c>
      <c r="H627" s="15">
        <v>-0.114</v>
      </c>
      <c r="I627" s="15">
        <v>0.153</v>
      </c>
      <c r="J627" t="s">
        <v>412</v>
      </c>
      <c r="K627" t="s">
        <v>510</v>
      </c>
    </row>
    <row r="628" spans="1:11">
      <c r="A628" t="s">
        <v>506</v>
      </c>
      <c r="B628" t="s">
        <v>587</v>
      </c>
      <c r="C628" t="s">
        <v>575</v>
      </c>
      <c r="D628" s="15">
        <v>-0.14399999999999999</v>
      </c>
      <c r="E628" s="15">
        <v>2.1000000000000001E-2</v>
      </c>
      <c r="F628" s="15">
        <v>-0.29299999999999998</v>
      </c>
      <c r="G628" s="15">
        <v>-6.2E-2</v>
      </c>
      <c r="H628" s="15">
        <v>-0.13900000000000001</v>
      </c>
      <c r="I628" s="15">
        <v>0.153</v>
      </c>
      <c r="J628" t="s">
        <v>412</v>
      </c>
      <c r="K628" t="s">
        <v>500</v>
      </c>
    </row>
    <row r="629" spans="1:11">
      <c r="A629" t="s">
        <v>547</v>
      </c>
      <c r="B629" t="s">
        <v>574</v>
      </c>
      <c r="C629" t="s">
        <v>570</v>
      </c>
      <c r="D629" s="15">
        <v>-0.14799999999999999</v>
      </c>
      <c r="E629" s="15">
        <v>-2.4E-2</v>
      </c>
      <c r="F629" s="15">
        <v>-0.28799999999999998</v>
      </c>
      <c r="G629" s="15">
        <v>-8.5999999999999993E-2</v>
      </c>
      <c r="H629" s="15">
        <v>-0.153</v>
      </c>
      <c r="I629" s="15">
        <v>0.153</v>
      </c>
      <c r="J629" t="s">
        <v>412</v>
      </c>
      <c r="K629" t="s">
        <v>589</v>
      </c>
    </row>
    <row r="630" spans="1:11">
      <c r="A630" t="s">
        <v>571</v>
      </c>
      <c r="B630" t="s">
        <v>499</v>
      </c>
      <c r="C630" t="s">
        <v>584</v>
      </c>
      <c r="D630" s="15">
        <v>-0.108</v>
      </c>
      <c r="E630" s="15">
        <v>-1E-3</v>
      </c>
      <c r="F630" s="15">
        <v>-0.35199999999999998</v>
      </c>
      <c r="G630" s="15">
        <v>-5.3999999999999999E-2</v>
      </c>
      <c r="H630" s="15">
        <v>-0.153</v>
      </c>
      <c r="I630" s="15">
        <v>0.153</v>
      </c>
      <c r="J630" t="s">
        <v>412</v>
      </c>
      <c r="K630" t="s">
        <v>589</v>
      </c>
    </row>
    <row r="631" spans="1:11">
      <c r="A631" t="s">
        <v>577</v>
      </c>
      <c r="B631" t="s">
        <v>499</v>
      </c>
      <c r="C631" t="s">
        <v>583</v>
      </c>
      <c r="D631" s="15">
        <v>-0.09</v>
      </c>
      <c r="E631" s="15">
        <v>-1.2E-2</v>
      </c>
      <c r="F631" s="15">
        <v>-0.35499999999999998</v>
      </c>
      <c r="G631" s="15">
        <v>-5.0999999999999997E-2</v>
      </c>
      <c r="H631" s="15">
        <v>-0.153</v>
      </c>
      <c r="I631" s="15">
        <v>0.153</v>
      </c>
      <c r="J631" t="s">
        <v>412</v>
      </c>
      <c r="K631" t="s">
        <v>589</v>
      </c>
    </row>
    <row r="632" spans="1:11">
      <c r="A632" t="s">
        <v>576</v>
      </c>
      <c r="B632" t="s">
        <v>523</v>
      </c>
      <c r="C632" t="s">
        <v>582</v>
      </c>
      <c r="D632" s="15">
        <v>7.6999999999999999E-2</v>
      </c>
      <c r="E632" s="15">
        <v>0.129</v>
      </c>
      <c r="F632" s="15">
        <v>0.249</v>
      </c>
      <c r="G632" s="15">
        <v>0.10299999999999999</v>
      </c>
      <c r="H632" s="15">
        <v>0.152</v>
      </c>
      <c r="I632" s="15">
        <v>0.152</v>
      </c>
      <c r="J632" t="s">
        <v>412</v>
      </c>
      <c r="K632" t="s">
        <v>551</v>
      </c>
    </row>
    <row r="633" spans="1:11">
      <c r="A633" t="s">
        <v>577</v>
      </c>
      <c r="B633" t="s">
        <v>595</v>
      </c>
      <c r="C633" t="s">
        <v>582</v>
      </c>
      <c r="D633" s="15">
        <v>0.31900000000000001</v>
      </c>
      <c r="E633" s="15">
        <v>0.122</v>
      </c>
      <c r="F633" s="15">
        <v>1.4999999999999999E-2</v>
      </c>
      <c r="G633" s="15">
        <v>0.221</v>
      </c>
      <c r="H633" s="15">
        <v>0.152</v>
      </c>
      <c r="I633" s="15">
        <v>0.152</v>
      </c>
      <c r="J633" t="s">
        <v>412</v>
      </c>
      <c r="K633" t="s">
        <v>551</v>
      </c>
    </row>
    <row r="634" spans="1:11">
      <c r="A634" t="s">
        <v>573</v>
      </c>
      <c r="B634" t="s">
        <v>523</v>
      </c>
      <c r="C634" t="s">
        <v>575</v>
      </c>
      <c r="D634" s="15">
        <v>-4.9000000000000002E-2</v>
      </c>
      <c r="E634" s="15">
        <v>0.21199999999999999</v>
      </c>
      <c r="F634" s="15">
        <v>0.19600000000000001</v>
      </c>
      <c r="G634" s="15">
        <v>8.2000000000000003E-2</v>
      </c>
      <c r="H634" s="15">
        <v>0.12</v>
      </c>
      <c r="I634" s="15">
        <v>0.152</v>
      </c>
      <c r="J634" t="s">
        <v>412</v>
      </c>
      <c r="K634" t="s">
        <v>487</v>
      </c>
    </row>
    <row r="635" spans="1:11">
      <c r="A635" t="s">
        <v>506</v>
      </c>
      <c r="B635" t="s">
        <v>588</v>
      </c>
      <c r="C635" t="s">
        <v>582</v>
      </c>
      <c r="D635" s="15">
        <v>0.34100000000000003</v>
      </c>
      <c r="E635" s="15">
        <v>-8.7999999999999995E-2</v>
      </c>
      <c r="F635" s="15">
        <v>2.5999999999999999E-2</v>
      </c>
      <c r="G635" s="15">
        <v>0.126</v>
      </c>
      <c r="H635" s="15">
        <v>9.2999999999999999E-2</v>
      </c>
      <c r="I635" s="15">
        <v>0.152</v>
      </c>
      <c r="J635" t="s">
        <v>412</v>
      </c>
      <c r="K635" t="s">
        <v>480</v>
      </c>
    </row>
    <row r="636" spans="1:11">
      <c r="A636" t="s">
        <v>577</v>
      </c>
      <c r="B636" t="s">
        <v>587</v>
      </c>
      <c r="C636" t="s">
        <v>594</v>
      </c>
      <c r="D636" s="15">
        <v>6.6000000000000003E-2</v>
      </c>
      <c r="E636" s="15">
        <v>-0.15</v>
      </c>
      <c r="F636" s="15">
        <v>0.24</v>
      </c>
      <c r="G636" s="15">
        <v>-4.2000000000000003E-2</v>
      </c>
      <c r="H636" s="15">
        <v>5.1999999999999998E-2</v>
      </c>
      <c r="I636" s="15">
        <v>0.152</v>
      </c>
      <c r="J636" t="s">
        <v>412</v>
      </c>
      <c r="K636" t="s">
        <v>480</v>
      </c>
    </row>
    <row r="637" spans="1:11">
      <c r="A637" t="s">
        <v>573</v>
      </c>
      <c r="B637" t="s">
        <v>478</v>
      </c>
      <c r="C637" t="s">
        <v>585</v>
      </c>
      <c r="D637" s="15">
        <v>2.5999999999999999E-2</v>
      </c>
      <c r="E637" s="15">
        <v>-0.20399999999999999</v>
      </c>
      <c r="F637" s="15">
        <v>0.22600000000000001</v>
      </c>
      <c r="G637" s="15">
        <v>-8.8999999999999996E-2</v>
      </c>
      <c r="H637" s="15">
        <v>1.6E-2</v>
      </c>
      <c r="I637" s="15">
        <v>0.152</v>
      </c>
      <c r="J637" t="s">
        <v>412</v>
      </c>
      <c r="K637" t="s">
        <v>480</v>
      </c>
    </row>
    <row r="638" spans="1:11">
      <c r="A638" t="s">
        <v>571</v>
      </c>
      <c r="B638" t="s">
        <v>478</v>
      </c>
      <c r="C638" t="s">
        <v>585</v>
      </c>
      <c r="D638" s="15">
        <v>-1.2999999999999999E-2</v>
      </c>
      <c r="E638" s="15">
        <v>-0.216</v>
      </c>
      <c r="F638" s="15">
        <v>0.22600000000000001</v>
      </c>
      <c r="G638" s="15">
        <v>-0.114</v>
      </c>
      <c r="H638" s="15">
        <v>-1E-3</v>
      </c>
      <c r="I638" s="15">
        <v>0.152</v>
      </c>
      <c r="J638" t="s">
        <v>412</v>
      </c>
      <c r="K638" t="s">
        <v>510</v>
      </c>
    </row>
    <row r="639" spans="1:11">
      <c r="A639" t="s">
        <v>573</v>
      </c>
      <c r="B639" t="s">
        <v>581</v>
      </c>
      <c r="C639" t="s">
        <v>477</v>
      </c>
      <c r="D639" s="15">
        <v>0.14599999999999999</v>
      </c>
      <c r="E639" s="15">
        <v>7.3999999999999996E-2</v>
      </c>
      <c r="F639" s="15">
        <v>-0.23400000000000001</v>
      </c>
      <c r="G639" s="15">
        <v>0.11</v>
      </c>
      <c r="H639" s="15">
        <v>-5.0000000000000001E-3</v>
      </c>
      <c r="I639" s="15">
        <v>0.152</v>
      </c>
      <c r="J639" t="s">
        <v>412</v>
      </c>
      <c r="K639" t="s">
        <v>493</v>
      </c>
    </row>
    <row r="640" spans="1:11">
      <c r="A640" t="s">
        <v>479</v>
      </c>
      <c r="B640" t="s">
        <v>509</v>
      </c>
      <c r="C640" t="s">
        <v>570</v>
      </c>
      <c r="D640" s="15">
        <v>-0.26900000000000002</v>
      </c>
      <c r="E640" s="15">
        <v>0.111</v>
      </c>
      <c r="F640" s="15">
        <v>7.6999999999999999E-2</v>
      </c>
      <c r="G640" s="15">
        <v>-7.9000000000000001E-2</v>
      </c>
      <c r="H640" s="15">
        <v>-2.7E-2</v>
      </c>
      <c r="I640" s="15">
        <v>0.152</v>
      </c>
      <c r="J640" t="s">
        <v>412</v>
      </c>
      <c r="K640" t="s">
        <v>487</v>
      </c>
    </row>
    <row r="641" spans="1:11">
      <c r="A641" t="s">
        <v>576</v>
      </c>
      <c r="B641" t="s">
        <v>587</v>
      </c>
      <c r="C641" t="s">
        <v>585</v>
      </c>
      <c r="D641" s="15">
        <v>0.03</v>
      </c>
      <c r="E641" s="15">
        <v>0.11700000000000001</v>
      </c>
      <c r="F641" s="15">
        <v>-0.31</v>
      </c>
      <c r="G641" s="15">
        <v>7.2999999999999995E-2</v>
      </c>
      <c r="H641" s="15">
        <v>-5.3999999999999999E-2</v>
      </c>
      <c r="I641" s="15">
        <v>0.152</v>
      </c>
      <c r="J641" t="s">
        <v>412</v>
      </c>
      <c r="K641" t="s">
        <v>493</v>
      </c>
    </row>
    <row r="642" spans="1:11">
      <c r="A642" t="s">
        <v>479</v>
      </c>
      <c r="B642" t="s">
        <v>586</v>
      </c>
      <c r="C642" t="s">
        <v>575</v>
      </c>
      <c r="D642" s="15">
        <v>-0.22500000000000001</v>
      </c>
      <c r="E642" s="15">
        <v>-0.10100000000000001</v>
      </c>
      <c r="F642" s="15">
        <v>0.128</v>
      </c>
      <c r="G642" s="15">
        <v>-0.16300000000000001</v>
      </c>
      <c r="H642" s="15">
        <v>-6.6000000000000003E-2</v>
      </c>
      <c r="I642" s="15">
        <v>0.152</v>
      </c>
      <c r="J642" t="s">
        <v>412</v>
      </c>
      <c r="K642" t="s">
        <v>510</v>
      </c>
    </row>
    <row r="643" spans="1:11">
      <c r="A643" t="s">
        <v>486</v>
      </c>
      <c r="B643" t="s">
        <v>586</v>
      </c>
      <c r="C643" t="s">
        <v>583</v>
      </c>
      <c r="D643" s="15">
        <v>-0.16700000000000001</v>
      </c>
      <c r="E643" s="15">
        <v>-0.189</v>
      </c>
      <c r="F643" s="15">
        <v>0.1</v>
      </c>
      <c r="G643" s="15">
        <v>-0.17799999999999999</v>
      </c>
      <c r="H643" s="15">
        <v>-8.5000000000000006E-2</v>
      </c>
      <c r="I643" s="15">
        <v>0.152</v>
      </c>
      <c r="J643" t="s">
        <v>412</v>
      </c>
      <c r="K643" t="s">
        <v>510</v>
      </c>
    </row>
    <row r="644" spans="1:11">
      <c r="A644" t="s">
        <v>571</v>
      </c>
      <c r="B644" t="s">
        <v>590</v>
      </c>
      <c r="C644" t="s">
        <v>572</v>
      </c>
      <c r="D644" s="15">
        <v>-0.16300000000000001</v>
      </c>
      <c r="E644" s="15">
        <v>6.2E-2</v>
      </c>
      <c r="F644" s="15">
        <v>-0.23</v>
      </c>
      <c r="G644" s="15">
        <v>-5.0999999999999997E-2</v>
      </c>
      <c r="H644" s="15">
        <v>-0.111</v>
      </c>
      <c r="I644" s="15">
        <v>0.152</v>
      </c>
      <c r="J644" t="s">
        <v>412</v>
      </c>
      <c r="K644" t="s">
        <v>500</v>
      </c>
    </row>
    <row r="645" spans="1:11">
      <c r="A645" t="s">
        <v>576</v>
      </c>
      <c r="B645" t="s">
        <v>590</v>
      </c>
      <c r="C645" t="s">
        <v>570</v>
      </c>
      <c r="D645" s="15">
        <v>-0.222</v>
      </c>
      <c r="E645" s="15">
        <v>2.8000000000000001E-2</v>
      </c>
      <c r="F645" s="15">
        <v>-0.20599999999999999</v>
      </c>
      <c r="G645" s="15">
        <v>-9.7000000000000003E-2</v>
      </c>
      <c r="H645" s="15">
        <v>-0.13300000000000001</v>
      </c>
      <c r="I645" s="15">
        <v>0.152</v>
      </c>
      <c r="J645" t="s">
        <v>412</v>
      </c>
      <c r="K645" t="s">
        <v>500</v>
      </c>
    </row>
    <row r="646" spans="1:11">
      <c r="A646" t="s">
        <v>547</v>
      </c>
      <c r="B646" t="s">
        <v>578</v>
      </c>
      <c r="C646" t="s">
        <v>572</v>
      </c>
      <c r="D646" s="15">
        <v>5.0000000000000001E-3</v>
      </c>
      <c r="E646" s="15">
        <v>-4.2999999999999997E-2</v>
      </c>
      <c r="F646" s="15">
        <v>-0.40899999999999997</v>
      </c>
      <c r="G646" s="15">
        <v>-1.9E-2</v>
      </c>
      <c r="H646" s="15">
        <v>-0.14899999999999999</v>
      </c>
      <c r="I646" s="15">
        <v>0.152</v>
      </c>
      <c r="J646" t="s">
        <v>412</v>
      </c>
      <c r="K646" t="s">
        <v>579</v>
      </c>
    </row>
    <row r="647" spans="1:11">
      <c r="A647" t="s">
        <v>547</v>
      </c>
      <c r="B647" t="s">
        <v>499</v>
      </c>
      <c r="C647" t="s">
        <v>583</v>
      </c>
      <c r="D647" s="15">
        <v>-0.03</v>
      </c>
      <c r="E647" s="15">
        <v>-7.0999999999999994E-2</v>
      </c>
      <c r="F647" s="15">
        <v>-0.35499999999999998</v>
      </c>
      <c r="G647" s="15">
        <v>-5.0999999999999997E-2</v>
      </c>
      <c r="H647" s="15">
        <v>-0.152</v>
      </c>
      <c r="I647" s="15">
        <v>0.152</v>
      </c>
      <c r="J647" t="s">
        <v>412</v>
      </c>
      <c r="K647" t="s">
        <v>589</v>
      </c>
    </row>
    <row r="648" spans="1:11">
      <c r="A648" t="s">
        <v>577</v>
      </c>
      <c r="B648" t="s">
        <v>478</v>
      </c>
      <c r="C648" t="s">
        <v>492</v>
      </c>
      <c r="D648" s="15">
        <v>-0.28699999999999998</v>
      </c>
      <c r="E648" s="15">
        <v>-5.3999999999999999E-2</v>
      </c>
      <c r="F648" s="15">
        <v>-0.115</v>
      </c>
      <c r="G648" s="15">
        <v>-0.17</v>
      </c>
      <c r="H648" s="15">
        <v>-0.152</v>
      </c>
      <c r="I648" s="15">
        <v>0.152</v>
      </c>
      <c r="J648" t="s">
        <v>412</v>
      </c>
      <c r="K648" t="s">
        <v>589</v>
      </c>
    </row>
    <row r="649" spans="1:11">
      <c r="A649" t="s">
        <v>506</v>
      </c>
      <c r="B649" t="s">
        <v>578</v>
      </c>
      <c r="C649" t="s">
        <v>575</v>
      </c>
      <c r="D649" s="15">
        <v>-0.14399999999999999</v>
      </c>
      <c r="E649" s="15">
        <v>-5.6000000000000001E-2</v>
      </c>
      <c r="F649" s="15">
        <v>0.254</v>
      </c>
      <c r="G649" s="15">
        <v>-0.1</v>
      </c>
      <c r="H649" s="15">
        <v>1.7999999999999999E-2</v>
      </c>
      <c r="I649" s="15">
        <v>0.151</v>
      </c>
      <c r="J649" t="s">
        <v>412</v>
      </c>
      <c r="K649" t="s">
        <v>510</v>
      </c>
    </row>
    <row r="650" spans="1:11">
      <c r="A650" t="s">
        <v>506</v>
      </c>
      <c r="B650" t="s">
        <v>550</v>
      </c>
      <c r="C650" t="s">
        <v>593</v>
      </c>
      <c r="D650" s="15">
        <v>-7.1999999999999995E-2</v>
      </c>
      <c r="E650" s="15">
        <v>-0.17299999999999999</v>
      </c>
      <c r="F650" s="15">
        <v>0.20799999999999999</v>
      </c>
      <c r="G650" s="15">
        <v>-0.123</v>
      </c>
      <c r="H650" s="15">
        <v>-1.2999999999999999E-2</v>
      </c>
      <c r="I650" s="15">
        <v>0.151</v>
      </c>
      <c r="J650" t="s">
        <v>412</v>
      </c>
      <c r="K650" t="s">
        <v>510</v>
      </c>
    </row>
    <row r="651" spans="1:11">
      <c r="A651" t="s">
        <v>506</v>
      </c>
      <c r="B651" t="s">
        <v>597</v>
      </c>
      <c r="C651" t="s">
        <v>584</v>
      </c>
      <c r="D651" s="15">
        <v>0.11899999999999999</v>
      </c>
      <c r="E651" s="15">
        <v>5.0999999999999997E-2</v>
      </c>
      <c r="F651" s="15">
        <v>-0.28299999999999997</v>
      </c>
      <c r="G651" s="15">
        <v>8.5000000000000006E-2</v>
      </c>
      <c r="H651" s="15">
        <v>-3.6999999999999998E-2</v>
      </c>
      <c r="I651" s="15">
        <v>0.151</v>
      </c>
      <c r="J651" t="s">
        <v>412</v>
      </c>
      <c r="K651" t="s">
        <v>493</v>
      </c>
    </row>
    <row r="652" spans="1:11">
      <c r="A652" t="s">
        <v>577</v>
      </c>
      <c r="B652" t="s">
        <v>550</v>
      </c>
      <c r="C652" t="s">
        <v>572</v>
      </c>
      <c r="D652" s="15">
        <v>-0.14399999999999999</v>
      </c>
      <c r="E652" s="15">
        <v>-0.11600000000000001</v>
      </c>
      <c r="F652" s="15">
        <v>-0.19400000000000001</v>
      </c>
      <c r="G652" s="15">
        <v>-0.13</v>
      </c>
      <c r="H652" s="15">
        <v>-0.151</v>
      </c>
      <c r="I652" s="15">
        <v>0.151</v>
      </c>
      <c r="J652" t="s">
        <v>412</v>
      </c>
      <c r="K652" t="s">
        <v>589</v>
      </c>
    </row>
    <row r="653" spans="1:11">
      <c r="A653" t="s">
        <v>547</v>
      </c>
      <c r="B653" t="s">
        <v>590</v>
      </c>
      <c r="C653" t="s">
        <v>477</v>
      </c>
      <c r="D653" s="15">
        <v>6.4000000000000001E-2</v>
      </c>
      <c r="E653" s="15">
        <v>0.16600000000000001</v>
      </c>
      <c r="F653" s="15">
        <v>0.221</v>
      </c>
      <c r="G653" s="15">
        <v>0.115</v>
      </c>
      <c r="H653" s="15">
        <v>0.15</v>
      </c>
      <c r="I653" s="15">
        <v>0.15</v>
      </c>
      <c r="J653" t="s">
        <v>412</v>
      </c>
      <c r="K653" t="s">
        <v>551</v>
      </c>
    </row>
    <row r="654" spans="1:11">
      <c r="A654" t="s">
        <v>577</v>
      </c>
      <c r="B654" t="s">
        <v>578</v>
      </c>
      <c r="C654" t="s">
        <v>593</v>
      </c>
      <c r="D654" s="15">
        <v>3.7999999999999999E-2</v>
      </c>
      <c r="E654" s="15">
        <v>0.23799999999999999</v>
      </c>
      <c r="F654" s="15">
        <v>0.17599999999999999</v>
      </c>
      <c r="G654" s="15">
        <v>0.13800000000000001</v>
      </c>
      <c r="H654" s="15">
        <v>0.15</v>
      </c>
      <c r="I654" s="15">
        <v>0.15</v>
      </c>
      <c r="J654" t="s">
        <v>412</v>
      </c>
      <c r="K654" t="s">
        <v>551</v>
      </c>
    </row>
    <row r="655" spans="1:11">
      <c r="A655" t="s">
        <v>577</v>
      </c>
      <c r="B655" t="s">
        <v>596</v>
      </c>
      <c r="C655" t="s">
        <v>582</v>
      </c>
      <c r="D655" s="15">
        <v>0.31900000000000001</v>
      </c>
      <c r="E655" s="15">
        <v>-7.0000000000000007E-2</v>
      </c>
      <c r="F655" s="15">
        <v>-6.2E-2</v>
      </c>
      <c r="G655" s="15">
        <v>0.124</v>
      </c>
      <c r="H655" s="15">
        <v>6.2E-2</v>
      </c>
      <c r="I655" s="15">
        <v>0.15</v>
      </c>
      <c r="J655" t="s">
        <v>412</v>
      </c>
      <c r="K655" t="s">
        <v>579</v>
      </c>
    </row>
    <row r="656" spans="1:11">
      <c r="A656" t="s">
        <v>571</v>
      </c>
      <c r="B656" t="s">
        <v>586</v>
      </c>
      <c r="C656" t="s">
        <v>570</v>
      </c>
      <c r="D656" s="15">
        <v>-0.19700000000000001</v>
      </c>
      <c r="E656" s="15">
        <v>5.6000000000000001E-2</v>
      </c>
      <c r="F656" s="15">
        <v>0.19600000000000001</v>
      </c>
      <c r="G656" s="15">
        <v>-7.0000000000000007E-2</v>
      </c>
      <c r="H656" s="15">
        <v>1.9E-2</v>
      </c>
      <c r="I656" s="15">
        <v>0.15</v>
      </c>
      <c r="J656" t="s">
        <v>412</v>
      </c>
      <c r="K656" t="s">
        <v>487</v>
      </c>
    </row>
    <row r="657" spans="1:11">
      <c r="A657" t="s">
        <v>576</v>
      </c>
      <c r="B657" t="s">
        <v>586</v>
      </c>
      <c r="C657" t="s">
        <v>570</v>
      </c>
      <c r="D657" s="15">
        <v>-0.222</v>
      </c>
      <c r="E657" s="15">
        <v>-3.2000000000000001E-2</v>
      </c>
      <c r="F657" s="15">
        <v>0.19600000000000001</v>
      </c>
      <c r="G657" s="15">
        <v>-0.127</v>
      </c>
      <c r="H657" s="15">
        <v>-1.9E-2</v>
      </c>
      <c r="I657" s="15">
        <v>0.15</v>
      </c>
      <c r="J657" t="s">
        <v>412</v>
      </c>
      <c r="K657" t="s">
        <v>510</v>
      </c>
    </row>
    <row r="658" spans="1:11">
      <c r="A658" t="s">
        <v>479</v>
      </c>
      <c r="B658" t="s">
        <v>574</v>
      </c>
      <c r="C658" t="s">
        <v>593</v>
      </c>
      <c r="D658" s="15">
        <v>-8.0000000000000002E-3</v>
      </c>
      <c r="E658" s="15">
        <v>-6.6000000000000003E-2</v>
      </c>
      <c r="F658" s="15">
        <v>-0.376</v>
      </c>
      <c r="G658" s="15">
        <v>-3.6999999999999998E-2</v>
      </c>
      <c r="H658" s="15">
        <v>-0.15</v>
      </c>
      <c r="I658" s="15">
        <v>0.15</v>
      </c>
      <c r="J658" t="s">
        <v>412</v>
      </c>
      <c r="K658" t="s">
        <v>589</v>
      </c>
    </row>
    <row r="659" spans="1:11">
      <c r="A659" t="s">
        <v>479</v>
      </c>
      <c r="B659" t="s">
        <v>595</v>
      </c>
      <c r="C659" t="s">
        <v>570</v>
      </c>
      <c r="D659" s="15">
        <v>-0.26900000000000002</v>
      </c>
      <c r="E659" s="15">
        <v>-4.7E-2</v>
      </c>
      <c r="F659" s="15">
        <v>-0.13500000000000001</v>
      </c>
      <c r="G659" s="15">
        <v>-0.158</v>
      </c>
      <c r="H659" s="15">
        <v>-0.15</v>
      </c>
      <c r="I659" s="15">
        <v>0.15</v>
      </c>
      <c r="J659" t="s">
        <v>412</v>
      </c>
      <c r="K659" t="s">
        <v>589</v>
      </c>
    </row>
    <row r="660" spans="1:11">
      <c r="A660" t="s">
        <v>479</v>
      </c>
      <c r="B660" t="s">
        <v>590</v>
      </c>
      <c r="C660" t="s">
        <v>477</v>
      </c>
      <c r="D660" s="15">
        <v>4.5999999999999999E-2</v>
      </c>
      <c r="E660" s="15">
        <v>0.17899999999999999</v>
      </c>
      <c r="F660" s="15">
        <v>0.221</v>
      </c>
      <c r="G660" s="15">
        <v>0.113</v>
      </c>
      <c r="H660" s="15">
        <v>0.14899999999999999</v>
      </c>
      <c r="I660" s="15">
        <v>0.14899999999999999</v>
      </c>
      <c r="J660" t="s">
        <v>412</v>
      </c>
      <c r="K660" t="s">
        <v>551</v>
      </c>
    </row>
    <row r="661" spans="1:11">
      <c r="A661" t="s">
        <v>506</v>
      </c>
      <c r="B661" t="s">
        <v>523</v>
      </c>
      <c r="C661" t="s">
        <v>591</v>
      </c>
      <c r="D661" s="15">
        <v>0.20899999999999999</v>
      </c>
      <c r="E661" s="15">
        <v>5.2999999999999999E-2</v>
      </c>
      <c r="F661" s="15">
        <v>0.184</v>
      </c>
      <c r="G661" s="15">
        <v>0.13100000000000001</v>
      </c>
      <c r="H661" s="15">
        <v>0.14899999999999999</v>
      </c>
      <c r="I661" s="15">
        <v>0.14899999999999999</v>
      </c>
      <c r="J661" t="s">
        <v>412</v>
      </c>
      <c r="K661" t="s">
        <v>551</v>
      </c>
    </row>
    <row r="662" spans="1:11">
      <c r="A662" t="s">
        <v>486</v>
      </c>
      <c r="B662" t="s">
        <v>505</v>
      </c>
      <c r="C662" t="s">
        <v>572</v>
      </c>
      <c r="D662" s="15">
        <v>0.43</v>
      </c>
      <c r="E662" s="15">
        <v>8.9999999999999993E-3</v>
      </c>
      <c r="F662" s="15">
        <v>-7.0000000000000001E-3</v>
      </c>
      <c r="G662" s="15">
        <v>0.219</v>
      </c>
      <c r="H662" s="15">
        <v>0.14399999999999999</v>
      </c>
      <c r="I662" s="15">
        <v>0.14899999999999999</v>
      </c>
      <c r="J662" t="s">
        <v>412</v>
      </c>
      <c r="K662" t="s">
        <v>493</v>
      </c>
    </row>
    <row r="663" spans="1:11">
      <c r="A663" t="s">
        <v>547</v>
      </c>
      <c r="B663" t="s">
        <v>587</v>
      </c>
      <c r="C663" t="s">
        <v>492</v>
      </c>
      <c r="D663" s="15">
        <v>-6.6000000000000003E-2</v>
      </c>
      <c r="E663" s="15">
        <v>0.13</v>
      </c>
      <c r="F663" s="15">
        <v>0.25</v>
      </c>
      <c r="G663" s="15">
        <v>3.2000000000000001E-2</v>
      </c>
      <c r="H663" s="15">
        <v>0.105</v>
      </c>
      <c r="I663" s="15">
        <v>0.14899999999999999</v>
      </c>
      <c r="J663" t="s">
        <v>412</v>
      </c>
      <c r="K663" t="s">
        <v>487</v>
      </c>
    </row>
    <row r="664" spans="1:11">
      <c r="A664" t="s">
        <v>506</v>
      </c>
      <c r="B664" t="s">
        <v>509</v>
      </c>
      <c r="C664" t="s">
        <v>593</v>
      </c>
      <c r="D664" s="15">
        <v>-7.1999999999999995E-2</v>
      </c>
      <c r="E664" s="15">
        <v>0.35799999999999998</v>
      </c>
      <c r="F664" s="15">
        <v>-1.7999999999999999E-2</v>
      </c>
      <c r="G664" s="15">
        <v>0.14299999999999999</v>
      </c>
      <c r="H664" s="15">
        <v>8.8999999999999996E-2</v>
      </c>
      <c r="I664" s="15">
        <v>0.14899999999999999</v>
      </c>
      <c r="J664" t="s">
        <v>412</v>
      </c>
      <c r="K664" t="s">
        <v>500</v>
      </c>
    </row>
    <row r="665" spans="1:11">
      <c r="A665" t="s">
        <v>577</v>
      </c>
      <c r="B665" t="s">
        <v>569</v>
      </c>
      <c r="C665" t="s">
        <v>593</v>
      </c>
      <c r="D665" s="15">
        <v>3.7999999999999999E-2</v>
      </c>
      <c r="E665" s="15">
        <v>-0.157</v>
      </c>
      <c r="F665" s="15">
        <v>0.253</v>
      </c>
      <c r="G665" s="15">
        <v>-0.06</v>
      </c>
      <c r="H665" s="15">
        <v>4.4999999999999998E-2</v>
      </c>
      <c r="I665" s="15">
        <v>0.14899999999999999</v>
      </c>
      <c r="J665" t="s">
        <v>412</v>
      </c>
      <c r="K665" t="s">
        <v>480</v>
      </c>
    </row>
    <row r="666" spans="1:11">
      <c r="A666" t="s">
        <v>573</v>
      </c>
      <c r="B666" t="s">
        <v>498</v>
      </c>
      <c r="C666" t="s">
        <v>583</v>
      </c>
      <c r="D666" s="15">
        <v>7.3999999999999996E-2</v>
      </c>
      <c r="E666" s="15">
        <v>0.13100000000000001</v>
      </c>
      <c r="F666" s="15">
        <v>-0.24199999999999999</v>
      </c>
      <c r="G666" s="15">
        <v>0.10299999999999999</v>
      </c>
      <c r="H666" s="15">
        <v>-1.2E-2</v>
      </c>
      <c r="I666" s="15">
        <v>0.14899999999999999</v>
      </c>
      <c r="J666" t="s">
        <v>412</v>
      </c>
      <c r="K666" t="s">
        <v>493</v>
      </c>
    </row>
    <row r="667" spans="1:11">
      <c r="A667" t="s">
        <v>479</v>
      </c>
      <c r="B667" t="s">
        <v>592</v>
      </c>
      <c r="C667" t="s">
        <v>575</v>
      </c>
      <c r="D667" s="15">
        <v>-0.22500000000000001</v>
      </c>
      <c r="E667" s="15">
        <v>-0.109</v>
      </c>
      <c r="F667" s="15">
        <v>0.112</v>
      </c>
      <c r="G667" s="15">
        <v>-0.16700000000000001</v>
      </c>
      <c r="H667" s="15">
        <v>-7.3999999999999996E-2</v>
      </c>
      <c r="I667" s="15">
        <v>0.14899999999999999</v>
      </c>
      <c r="J667" t="s">
        <v>412</v>
      </c>
      <c r="K667" t="s">
        <v>510</v>
      </c>
    </row>
    <row r="668" spans="1:11">
      <c r="A668" t="s">
        <v>506</v>
      </c>
      <c r="B668" t="s">
        <v>586</v>
      </c>
      <c r="C668" t="s">
        <v>477</v>
      </c>
      <c r="D668" s="15">
        <v>0.14399999999999999</v>
      </c>
      <c r="E668" s="15">
        <v>0.16400000000000001</v>
      </c>
      <c r="F668" s="15">
        <v>0.13600000000000001</v>
      </c>
      <c r="G668" s="15">
        <v>0.154</v>
      </c>
      <c r="H668" s="15">
        <v>0.14799999999999999</v>
      </c>
      <c r="I668" s="15">
        <v>0.14799999999999999</v>
      </c>
      <c r="J668" t="s">
        <v>412</v>
      </c>
      <c r="K668" t="s">
        <v>551</v>
      </c>
    </row>
    <row r="669" spans="1:11">
      <c r="A669" t="s">
        <v>577</v>
      </c>
      <c r="B669" t="s">
        <v>509</v>
      </c>
      <c r="C669" t="s">
        <v>584</v>
      </c>
      <c r="D669" s="15">
        <v>0.182</v>
      </c>
      <c r="E669" s="15">
        <v>0.104</v>
      </c>
      <c r="F669" s="15">
        <v>0.157</v>
      </c>
      <c r="G669" s="15">
        <v>0.14299999999999999</v>
      </c>
      <c r="H669" s="15">
        <v>0.14799999999999999</v>
      </c>
      <c r="I669" s="15">
        <v>0.14799999999999999</v>
      </c>
      <c r="J669" t="s">
        <v>412</v>
      </c>
      <c r="K669" t="s">
        <v>551</v>
      </c>
    </row>
    <row r="670" spans="1:11">
      <c r="A670" t="s">
        <v>506</v>
      </c>
      <c r="B670" t="s">
        <v>587</v>
      </c>
      <c r="C670" t="s">
        <v>492</v>
      </c>
      <c r="D670" s="15">
        <v>-0.17399999999999999</v>
      </c>
      <c r="E670" s="15">
        <v>2.1000000000000001E-2</v>
      </c>
      <c r="F670" s="15">
        <v>0.25</v>
      </c>
      <c r="G670" s="15">
        <v>-7.6999999999999999E-2</v>
      </c>
      <c r="H670" s="15">
        <v>3.2000000000000001E-2</v>
      </c>
      <c r="I670" s="15">
        <v>0.14799999999999999</v>
      </c>
      <c r="J670" t="s">
        <v>412</v>
      </c>
      <c r="K670" t="s">
        <v>487</v>
      </c>
    </row>
    <row r="671" spans="1:11">
      <c r="A671" t="s">
        <v>506</v>
      </c>
      <c r="B671" t="s">
        <v>478</v>
      </c>
      <c r="C671" t="s">
        <v>477</v>
      </c>
      <c r="D671" s="15">
        <v>0.14399999999999999</v>
      </c>
      <c r="E671" s="15">
        <v>-0.224</v>
      </c>
      <c r="F671" s="15">
        <v>7.6999999999999999E-2</v>
      </c>
      <c r="G671" s="15">
        <v>-0.04</v>
      </c>
      <c r="H671" s="15">
        <v>-1E-3</v>
      </c>
      <c r="I671" s="15">
        <v>0.14799999999999999</v>
      </c>
      <c r="J671" t="s">
        <v>412</v>
      </c>
      <c r="K671" t="s">
        <v>480</v>
      </c>
    </row>
    <row r="672" spans="1:11">
      <c r="A672" t="s">
        <v>576</v>
      </c>
      <c r="B672" t="s">
        <v>581</v>
      </c>
      <c r="C672" t="s">
        <v>477</v>
      </c>
      <c r="D672" s="15">
        <v>2.9000000000000001E-2</v>
      </c>
      <c r="E672" s="15">
        <v>0.18</v>
      </c>
      <c r="F672" s="15">
        <v>-0.23400000000000001</v>
      </c>
      <c r="G672" s="15">
        <v>0.104</v>
      </c>
      <c r="H672" s="15">
        <v>-8.9999999999999993E-3</v>
      </c>
      <c r="I672" s="15">
        <v>0.14799999999999999</v>
      </c>
      <c r="J672" t="s">
        <v>412</v>
      </c>
      <c r="K672" t="s">
        <v>493</v>
      </c>
    </row>
    <row r="673" spans="1:11">
      <c r="A673" t="s">
        <v>571</v>
      </c>
      <c r="B673" t="s">
        <v>596</v>
      </c>
      <c r="C673" t="s">
        <v>477</v>
      </c>
      <c r="D673" s="15">
        <v>0.13300000000000001</v>
      </c>
      <c r="E673" s="15">
        <v>4.5999999999999999E-2</v>
      </c>
      <c r="F673" s="15">
        <v>-0.26400000000000001</v>
      </c>
      <c r="G673" s="15">
        <v>0.09</v>
      </c>
      <c r="H673" s="15">
        <v>-2.8000000000000001E-2</v>
      </c>
      <c r="I673" s="15">
        <v>0.14799999999999999</v>
      </c>
      <c r="J673" t="s">
        <v>412</v>
      </c>
      <c r="K673" t="s">
        <v>493</v>
      </c>
    </row>
    <row r="674" spans="1:11">
      <c r="A674" t="s">
        <v>571</v>
      </c>
      <c r="B674" t="s">
        <v>598</v>
      </c>
      <c r="C674" t="s">
        <v>570</v>
      </c>
      <c r="D674" s="15">
        <v>-0.19700000000000001</v>
      </c>
      <c r="E674" s="15">
        <v>0.17299999999999999</v>
      </c>
      <c r="F674" s="15">
        <v>-7.4999999999999997E-2</v>
      </c>
      <c r="G674" s="15">
        <v>-1.2E-2</v>
      </c>
      <c r="H674" s="15">
        <v>-3.3000000000000002E-2</v>
      </c>
      <c r="I674" s="15">
        <v>0.14799999999999999</v>
      </c>
      <c r="J674" t="s">
        <v>412</v>
      </c>
      <c r="K674" t="s">
        <v>500</v>
      </c>
    </row>
    <row r="675" spans="1:11">
      <c r="A675" t="s">
        <v>573</v>
      </c>
      <c r="B675" t="s">
        <v>478</v>
      </c>
      <c r="C675" t="s">
        <v>594</v>
      </c>
      <c r="D675" s="15">
        <v>0.13700000000000001</v>
      </c>
      <c r="E675" s="15">
        <v>-0.20399999999999999</v>
      </c>
      <c r="F675" s="15">
        <v>-0.10299999999999999</v>
      </c>
      <c r="G675" s="15">
        <v>-3.3000000000000002E-2</v>
      </c>
      <c r="H675" s="15">
        <v>-5.7000000000000002E-2</v>
      </c>
      <c r="I675" s="15">
        <v>0.14799999999999999</v>
      </c>
      <c r="J675" t="s">
        <v>412</v>
      </c>
      <c r="K675" t="s">
        <v>579</v>
      </c>
    </row>
    <row r="676" spans="1:11">
      <c r="A676" t="s">
        <v>486</v>
      </c>
      <c r="B676" t="s">
        <v>517</v>
      </c>
      <c r="C676" t="s">
        <v>570</v>
      </c>
      <c r="D676" s="15">
        <v>-0.32400000000000001</v>
      </c>
      <c r="E676" s="15">
        <v>9.2999999999999999E-2</v>
      </c>
      <c r="F676" s="15">
        <v>2.8000000000000001E-2</v>
      </c>
      <c r="G676" s="15">
        <v>-0.11600000000000001</v>
      </c>
      <c r="H676" s="15">
        <v>-6.8000000000000005E-2</v>
      </c>
      <c r="I676" s="15">
        <v>0.14799999999999999</v>
      </c>
      <c r="J676" t="s">
        <v>412</v>
      </c>
      <c r="K676" t="s">
        <v>487</v>
      </c>
    </row>
    <row r="677" spans="1:11">
      <c r="A677" t="s">
        <v>486</v>
      </c>
      <c r="B677" t="s">
        <v>588</v>
      </c>
      <c r="C677" t="s">
        <v>570</v>
      </c>
      <c r="D677" s="15">
        <v>-0.32400000000000001</v>
      </c>
      <c r="E677" s="15">
        <v>-8.4000000000000005E-2</v>
      </c>
      <c r="F677" s="15">
        <v>3.4000000000000002E-2</v>
      </c>
      <c r="G677" s="15">
        <v>-0.20399999999999999</v>
      </c>
      <c r="H677" s="15">
        <v>-0.125</v>
      </c>
      <c r="I677" s="15">
        <v>0.14799999999999999</v>
      </c>
      <c r="J677" t="s">
        <v>412</v>
      </c>
      <c r="K677" t="s">
        <v>510</v>
      </c>
    </row>
    <row r="678" spans="1:11">
      <c r="A678" t="s">
        <v>479</v>
      </c>
      <c r="B678" t="s">
        <v>505</v>
      </c>
      <c r="C678" t="s">
        <v>570</v>
      </c>
      <c r="D678" s="15">
        <v>-0.26900000000000002</v>
      </c>
      <c r="E678" s="15">
        <v>-0.14699999999999999</v>
      </c>
      <c r="F678" s="15">
        <v>2.9000000000000001E-2</v>
      </c>
      <c r="G678" s="15">
        <v>-0.20799999999999999</v>
      </c>
      <c r="H678" s="15">
        <v>-0.129</v>
      </c>
      <c r="I678" s="15">
        <v>0.14799999999999999</v>
      </c>
      <c r="J678" t="s">
        <v>412</v>
      </c>
      <c r="K678" t="s">
        <v>510</v>
      </c>
    </row>
    <row r="679" spans="1:11">
      <c r="A679" t="s">
        <v>571</v>
      </c>
      <c r="B679" t="s">
        <v>499</v>
      </c>
      <c r="C679" t="s">
        <v>570</v>
      </c>
      <c r="D679" s="15">
        <v>-0.19700000000000001</v>
      </c>
      <c r="E679" s="15">
        <v>-1E-3</v>
      </c>
      <c r="F679" s="15">
        <v>-0.246</v>
      </c>
      <c r="G679" s="15">
        <v>-9.9000000000000005E-2</v>
      </c>
      <c r="H679" s="15">
        <v>-0.14799999999999999</v>
      </c>
      <c r="I679" s="15">
        <v>0.14799999999999999</v>
      </c>
      <c r="J679" t="s">
        <v>412</v>
      </c>
      <c r="K679" t="s">
        <v>589</v>
      </c>
    </row>
    <row r="680" spans="1:11">
      <c r="A680" t="s">
        <v>479</v>
      </c>
      <c r="B680" t="s">
        <v>590</v>
      </c>
      <c r="C680" t="s">
        <v>584</v>
      </c>
      <c r="D680" s="15">
        <v>0.106</v>
      </c>
      <c r="E680" s="15">
        <v>0.17899999999999999</v>
      </c>
      <c r="F680" s="15">
        <v>0.155</v>
      </c>
      <c r="G680" s="15">
        <v>0.14299999999999999</v>
      </c>
      <c r="H680" s="15">
        <v>0.14699999999999999</v>
      </c>
      <c r="I680" s="15">
        <v>0.14699999999999999</v>
      </c>
      <c r="J680" t="s">
        <v>412</v>
      </c>
      <c r="K680" t="s">
        <v>551</v>
      </c>
    </row>
    <row r="681" spans="1:11">
      <c r="A681" t="s">
        <v>547</v>
      </c>
      <c r="B681" t="s">
        <v>499</v>
      </c>
      <c r="C681" t="s">
        <v>492</v>
      </c>
      <c r="D681" s="15">
        <v>-6.6000000000000003E-2</v>
      </c>
      <c r="E681" s="15">
        <v>-7.0999999999999994E-2</v>
      </c>
      <c r="F681" s="15">
        <v>0.30399999999999999</v>
      </c>
      <c r="G681" s="15">
        <v>-6.9000000000000006E-2</v>
      </c>
      <c r="H681" s="15">
        <v>5.6000000000000001E-2</v>
      </c>
      <c r="I681" s="15">
        <v>0.14699999999999999</v>
      </c>
      <c r="J681" t="s">
        <v>412</v>
      </c>
      <c r="K681" t="s">
        <v>510</v>
      </c>
    </row>
    <row r="682" spans="1:11">
      <c r="A682" t="s">
        <v>573</v>
      </c>
      <c r="B682" t="s">
        <v>569</v>
      </c>
      <c r="C682" t="s">
        <v>593</v>
      </c>
      <c r="D682" s="15">
        <v>2.8000000000000001E-2</v>
      </c>
      <c r="E682" s="15">
        <v>-0.16</v>
      </c>
      <c r="F682" s="15">
        <v>0.253</v>
      </c>
      <c r="G682" s="15">
        <v>-6.6000000000000003E-2</v>
      </c>
      <c r="H682" s="15">
        <v>0.04</v>
      </c>
      <c r="I682" s="15">
        <v>0.14699999999999999</v>
      </c>
      <c r="J682" t="s">
        <v>412</v>
      </c>
      <c r="K682" t="s">
        <v>480</v>
      </c>
    </row>
    <row r="683" spans="1:11">
      <c r="A683" t="s">
        <v>576</v>
      </c>
      <c r="B683" t="s">
        <v>592</v>
      </c>
      <c r="C683" t="s">
        <v>570</v>
      </c>
      <c r="D683" s="15">
        <v>-0.222</v>
      </c>
      <c r="E683" s="15">
        <v>7.9000000000000001E-2</v>
      </c>
      <c r="F683" s="15">
        <v>0.13900000000000001</v>
      </c>
      <c r="G683" s="15">
        <v>-7.0999999999999994E-2</v>
      </c>
      <c r="H683" s="15">
        <v>-1E-3</v>
      </c>
      <c r="I683" s="15">
        <v>0.14699999999999999</v>
      </c>
      <c r="J683" t="s">
        <v>412</v>
      </c>
      <c r="K683" t="s">
        <v>487</v>
      </c>
    </row>
    <row r="684" spans="1:11">
      <c r="A684" t="s">
        <v>547</v>
      </c>
      <c r="B684" t="s">
        <v>478</v>
      </c>
      <c r="C684" t="s">
        <v>582</v>
      </c>
      <c r="D684" s="15">
        <v>0.14299999999999999</v>
      </c>
      <c r="E684" s="15">
        <v>-9.4E-2</v>
      </c>
      <c r="F684" s="15">
        <v>-0.20300000000000001</v>
      </c>
      <c r="G684" s="15">
        <v>2.5000000000000001E-2</v>
      </c>
      <c r="H684" s="15">
        <v>-5.0999999999999997E-2</v>
      </c>
      <c r="I684" s="15">
        <v>0.14699999999999999</v>
      </c>
      <c r="J684" t="s">
        <v>412</v>
      </c>
      <c r="K684" t="s">
        <v>579</v>
      </c>
    </row>
    <row r="685" spans="1:11">
      <c r="A685" t="s">
        <v>577</v>
      </c>
      <c r="B685" t="s">
        <v>498</v>
      </c>
      <c r="C685" t="s">
        <v>492</v>
      </c>
      <c r="D685" s="15">
        <v>-0.28699999999999998</v>
      </c>
      <c r="E685" s="15">
        <v>-1.2E-2</v>
      </c>
      <c r="F685" s="15">
        <v>0.14099999999999999</v>
      </c>
      <c r="G685" s="15">
        <v>-0.15</v>
      </c>
      <c r="H685" s="15">
        <v>-5.2999999999999999E-2</v>
      </c>
      <c r="I685" s="15">
        <v>0.14699999999999999</v>
      </c>
      <c r="J685" t="s">
        <v>412</v>
      </c>
      <c r="K685" t="s">
        <v>510</v>
      </c>
    </row>
    <row r="686" spans="1:11">
      <c r="A686" t="s">
        <v>479</v>
      </c>
      <c r="B686" t="s">
        <v>499</v>
      </c>
      <c r="C686" t="s">
        <v>583</v>
      </c>
      <c r="D686" s="15">
        <v>-0.02</v>
      </c>
      <c r="E686" s="15">
        <v>6.6000000000000003E-2</v>
      </c>
      <c r="F686" s="15">
        <v>-0.35499999999999998</v>
      </c>
      <c r="G686" s="15">
        <v>2.3E-2</v>
      </c>
      <c r="H686" s="15">
        <v>-0.10299999999999999</v>
      </c>
      <c r="I686" s="15">
        <v>0.14699999999999999</v>
      </c>
      <c r="J686" t="s">
        <v>412</v>
      </c>
      <c r="K686" t="s">
        <v>500</v>
      </c>
    </row>
    <row r="687" spans="1:11">
      <c r="A687" t="s">
        <v>506</v>
      </c>
      <c r="B687" t="s">
        <v>523</v>
      </c>
      <c r="C687" t="s">
        <v>572</v>
      </c>
      <c r="D687" s="15">
        <v>-0.11899999999999999</v>
      </c>
      <c r="E687" s="15">
        <v>5.2999999999999999E-2</v>
      </c>
      <c r="F687" s="15">
        <v>-0.26900000000000002</v>
      </c>
      <c r="G687" s="15">
        <v>-3.3000000000000002E-2</v>
      </c>
      <c r="H687" s="15">
        <v>-0.112</v>
      </c>
      <c r="I687" s="15">
        <v>0.14699999999999999</v>
      </c>
      <c r="J687" t="s">
        <v>412</v>
      </c>
      <c r="K687" t="s">
        <v>500</v>
      </c>
    </row>
    <row r="688" spans="1:11">
      <c r="A688" t="s">
        <v>486</v>
      </c>
      <c r="B688" t="s">
        <v>592</v>
      </c>
      <c r="C688" t="s">
        <v>477</v>
      </c>
      <c r="D688" s="15">
        <v>-0.28399999999999997</v>
      </c>
      <c r="E688" s="15">
        <v>-9.1999999999999998E-2</v>
      </c>
      <c r="F688" s="15">
        <v>-6.6000000000000003E-2</v>
      </c>
      <c r="G688" s="15">
        <v>-0.188</v>
      </c>
      <c r="H688" s="15">
        <v>-0.14699999999999999</v>
      </c>
      <c r="I688" s="15">
        <v>0.14699999999999999</v>
      </c>
      <c r="J688" t="s">
        <v>412</v>
      </c>
      <c r="K688" t="s">
        <v>589</v>
      </c>
    </row>
    <row r="689" spans="1:11">
      <c r="A689" t="s">
        <v>479</v>
      </c>
      <c r="B689" t="s">
        <v>587</v>
      </c>
      <c r="C689" t="s">
        <v>585</v>
      </c>
      <c r="D689" s="15">
        <v>-0.123</v>
      </c>
      <c r="E689" s="15">
        <v>-7.0000000000000001E-3</v>
      </c>
      <c r="F689" s="15">
        <v>-0.31</v>
      </c>
      <c r="G689" s="15">
        <v>-6.5000000000000002E-2</v>
      </c>
      <c r="H689" s="15">
        <v>-0.14699999999999999</v>
      </c>
      <c r="I689" s="15">
        <v>0.14699999999999999</v>
      </c>
      <c r="J689" t="s">
        <v>412</v>
      </c>
      <c r="K689" t="s">
        <v>589</v>
      </c>
    </row>
    <row r="690" spans="1:11">
      <c r="A690" t="s">
        <v>547</v>
      </c>
      <c r="B690" t="s">
        <v>586</v>
      </c>
      <c r="C690" t="s">
        <v>492</v>
      </c>
      <c r="D690" s="15">
        <v>-6.6000000000000003E-2</v>
      </c>
      <c r="E690" s="15">
        <v>-0.17299999999999999</v>
      </c>
      <c r="F690" s="15">
        <v>-0.20100000000000001</v>
      </c>
      <c r="G690" s="15">
        <v>-0.12</v>
      </c>
      <c r="H690" s="15">
        <v>-0.14699999999999999</v>
      </c>
      <c r="I690" s="15">
        <v>0.14699999999999999</v>
      </c>
      <c r="J690" t="s">
        <v>412</v>
      </c>
      <c r="K690" t="s">
        <v>589</v>
      </c>
    </row>
    <row r="691" spans="1:11">
      <c r="A691" t="s">
        <v>506</v>
      </c>
      <c r="B691" t="s">
        <v>597</v>
      </c>
      <c r="C691" t="s">
        <v>582</v>
      </c>
      <c r="D691" s="15">
        <v>0.34100000000000003</v>
      </c>
      <c r="E691" s="15">
        <v>5.0999999999999997E-2</v>
      </c>
      <c r="F691" s="15">
        <v>4.7E-2</v>
      </c>
      <c r="G691" s="15">
        <v>0.19600000000000001</v>
      </c>
      <c r="H691" s="15">
        <v>0.14599999999999999</v>
      </c>
      <c r="I691" s="15">
        <v>0.14599999999999999</v>
      </c>
      <c r="J691" t="s">
        <v>412</v>
      </c>
      <c r="K691" t="s">
        <v>551</v>
      </c>
    </row>
    <row r="692" spans="1:11">
      <c r="A692" t="s">
        <v>571</v>
      </c>
      <c r="B692" t="s">
        <v>587</v>
      </c>
      <c r="C692" t="s">
        <v>582</v>
      </c>
      <c r="D692" s="15">
        <v>9.1999999999999998E-2</v>
      </c>
      <c r="E692" s="15">
        <v>0.27400000000000002</v>
      </c>
      <c r="F692" s="15">
        <v>7.2999999999999995E-2</v>
      </c>
      <c r="G692" s="15">
        <v>0.183</v>
      </c>
      <c r="H692" s="15">
        <v>0.14599999999999999</v>
      </c>
      <c r="I692" s="15">
        <v>0.14599999999999999</v>
      </c>
      <c r="J692" t="s">
        <v>412</v>
      </c>
      <c r="K692" t="s">
        <v>551</v>
      </c>
    </row>
    <row r="693" spans="1:11">
      <c r="A693" t="s">
        <v>479</v>
      </c>
      <c r="B693" t="s">
        <v>578</v>
      </c>
      <c r="C693" t="s">
        <v>585</v>
      </c>
      <c r="D693" s="15">
        <v>-0.123</v>
      </c>
      <c r="E693" s="15">
        <v>2.8000000000000001E-2</v>
      </c>
      <c r="F693" s="15">
        <v>0.28799999999999998</v>
      </c>
      <c r="G693" s="15">
        <v>-4.8000000000000001E-2</v>
      </c>
      <c r="H693" s="15">
        <v>6.4000000000000001E-2</v>
      </c>
      <c r="I693" s="15">
        <v>0.14599999999999999</v>
      </c>
      <c r="J693" t="s">
        <v>412</v>
      </c>
      <c r="K693" t="s">
        <v>487</v>
      </c>
    </row>
    <row r="694" spans="1:11">
      <c r="A694" t="s">
        <v>571</v>
      </c>
      <c r="B694" t="s">
        <v>581</v>
      </c>
      <c r="C694" t="s">
        <v>583</v>
      </c>
      <c r="D694" s="15">
        <v>-0.152</v>
      </c>
      <c r="E694" s="15">
        <v>0.27500000000000002</v>
      </c>
      <c r="F694" s="15">
        <v>1.0999999999999999E-2</v>
      </c>
      <c r="G694" s="15">
        <v>6.2E-2</v>
      </c>
      <c r="H694" s="15">
        <v>4.4999999999999998E-2</v>
      </c>
      <c r="I694" s="15">
        <v>0.14599999999999999</v>
      </c>
      <c r="J694" t="s">
        <v>412</v>
      </c>
      <c r="K694" t="s">
        <v>487</v>
      </c>
    </row>
    <row r="695" spans="1:11">
      <c r="A695" t="s">
        <v>479</v>
      </c>
      <c r="B695" t="s">
        <v>590</v>
      </c>
      <c r="C695" t="s">
        <v>492</v>
      </c>
      <c r="D695" s="15">
        <v>5.8999999999999997E-2</v>
      </c>
      <c r="E695" s="15">
        <v>0.17899999999999999</v>
      </c>
      <c r="F695" s="15">
        <v>-0.19900000000000001</v>
      </c>
      <c r="G695" s="15">
        <v>0.11899999999999999</v>
      </c>
      <c r="H695" s="15">
        <v>1.2999999999999999E-2</v>
      </c>
      <c r="I695" s="15">
        <v>0.14599999999999999</v>
      </c>
      <c r="J695" t="s">
        <v>412</v>
      </c>
      <c r="K695" t="s">
        <v>493</v>
      </c>
    </row>
    <row r="696" spans="1:11">
      <c r="A696" t="s">
        <v>506</v>
      </c>
      <c r="B696" t="s">
        <v>587</v>
      </c>
      <c r="C696" t="s">
        <v>591</v>
      </c>
      <c r="D696" s="15">
        <v>0.20899999999999999</v>
      </c>
      <c r="E696" s="15">
        <v>2.1000000000000001E-2</v>
      </c>
      <c r="F696" s="15">
        <v>-0.20899999999999999</v>
      </c>
      <c r="G696" s="15">
        <v>0.115</v>
      </c>
      <c r="H696" s="15">
        <v>7.0000000000000001E-3</v>
      </c>
      <c r="I696" s="15">
        <v>0.14599999999999999</v>
      </c>
      <c r="J696" t="s">
        <v>412</v>
      </c>
      <c r="K696" t="s">
        <v>493</v>
      </c>
    </row>
    <row r="697" spans="1:11">
      <c r="A697" t="s">
        <v>547</v>
      </c>
      <c r="B697" t="s">
        <v>498</v>
      </c>
      <c r="C697" t="s">
        <v>583</v>
      </c>
      <c r="D697" s="15">
        <v>-0.03</v>
      </c>
      <c r="E697" s="15">
        <v>0.16500000000000001</v>
      </c>
      <c r="F697" s="15">
        <v>-0.24199999999999999</v>
      </c>
      <c r="G697" s="15">
        <v>6.7000000000000004E-2</v>
      </c>
      <c r="H697" s="15">
        <v>-3.5999999999999997E-2</v>
      </c>
      <c r="I697" s="15">
        <v>0.14599999999999999</v>
      </c>
      <c r="J697" t="s">
        <v>412</v>
      </c>
      <c r="K697" t="s">
        <v>500</v>
      </c>
    </row>
    <row r="698" spans="1:11">
      <c r="A698" t="s">
        <v>573</v>
      </c>
      <c r="B698" t="s">
        <v>505</v>
      </c>
      <c r="C698" t="s">
        <v>594</v>
      </c>
      <c r="D698" s="15">
        <v>0.13700000000000001</v>
      </c>
      <c r="E698" s="15">
        <v>-0.20300000000000001</v>
      </c>
      <c r="F698" s="15">
        <v>-9.8000000000000004E-2</v>
      </c>
      <c r="G698" s="15">
        <v>-3.3000000000000002E-2</v>
      </c>
      <c r="H698" s="15">
        <v>-5.3999999999999999E-2</v>
      </c>
      <c r="I698" s="15">
        <v>0.14599999999999999</v>
      </c>
      <c r="J698" t="s">
        <v>412</v>
      </c>
      <c r="K698" t="s">
        <v>579</v>
      </c>
    </row>
    <row r="699" spans="1:11">
      <c r="A699" t="s">
        <v>576</v>
      </c>
      <c r="B699" t="s">
        <v>587</v>
      </c>
      <c r="C699" t="s">
        <v>584</v>
      </c>
      <c r="D699" s="15">
        <v>-0.1</v>
      </c>
      <c r="E699" s="15">
        <v>0.11700000000000001</v>
      </c>
      <c r="F699" s="15">
        <v>-0.221</v>
      </c>
      <c r="G699" s="15">
        <v>8.9999999999999993E-3</v>
      </c>
      <c r="H699" s="15">
        <v>-6.8000000000000005E-2</v>
      </c>
      <c r="I699" s="15">
        <v>0.14599999999999999</v>
      </c>
      <c r="J699" t="s">
        <v>412</v>
      </c>
      <c r="K699" t="s">
        <v>500</v>
      </c>
    </row>
    <row r="700" spans="1:11">
      <c r="A700" t="s">
        <v>571</v>
      </c>
      <c r="B700" t="s">
        <v>597</v>
      </c>
      <c r="C700" t="s">
        <v>584</v>
      </c>
      <c r="D700" s="15">
        <v>-0.108</v>
      </c>
      <c r="E700" s="15">
        <v>4.7E-2</v>
      </c>
      <c r="F700" s="15">
        <v>-0.28299999999999997</v>
      </c>
      <c r="G700" s="15">
        <v>-0.03</v>
      </c>
      <c r="H700" s="15">
        <v>-0.114</v>
      </c>
      <c r="I700" s="15">
        <v>0.14599999999999999</v>
      </c>
      <c r="J700" t="s">
        <v>412</v>
      </c>
      <c r="K700" t="s">
        <v>500</v>
      </c>
    </row>
    <row r="701" spans="1:11">
      <c r="A701" t="s">
        <v>479</v>
      </c>
      <c r="B701" t="s">
        <v>569</v>
      </c>
      <c r="C701" t="s">
        <v>585</v>
      </c>
      <c r="D701" s="15">
        <v>-0.123</v>
      </c>
      <c r="E701" s="15">
        <v>-0.30099999999999999</v>
      </c>
      <c r="F701" s="15">
        <v>1.4E-2</v>
      </c>
      <c r="G701" s="15">
        <v>-0.21199999999999999</v>
      </c>
      <c r="H701" s="15">
        <v>-0.13700000000000001</v>
      </c>
      <c r="I701" s="15">
        <v>0.14599999999999999</v>
      </c>
      <c r="J701" t="s">
        <v>412</v>
      </c>
      <c r="K701" t="s">
        <v>510</v>
      </c>
    </row>
    <row r="702" spans="1:11">
      <c r="A702" t="s">
        <v>506</v>
      </c>
      <c r="B702" t="s">
        <v>587</v>
      </c>
      <c r="C702" t="s">
        <v>582</v>
      </c>
      <c r="D702" s="15">
        <v>0.34100000000000003</v>
      </c>
      <c r="E702" s="15">
        <v>2.1000000000000001E-2</v>
      </c>
      <c r="F702" s="15">
        <v>7.2999999999999995E-2</v>
      </c>
      <c r="G702" s="15">
        <v>0.18099999999999999</v>
      </c>
      <c r="H702" s="15">
        <v>0.14499999999999999</v>
      </c>
      <c r="I702" s="15">
        <v>0.14499999999999999</v>
      </c>
      <c r="J702" t="s">
        <v>412</v>
      </c>
      <c r="K702" t="s">
        <v>551</v>
      </c>
    </row>
    <row r="703" spans="1:11">
      <c r="A703" t="s">
        <v>573</v>
      </c>
      <c r="B703" t="s">
        <v>550</v>
      </c>
      <c r="C703" t="s">
        <v>593</v>
      </c>
      <c r="D703" s="15">
        <v>2.8000000000000001E-2</v>
      </c>
      <c r="E703" s="15">
        <v>0.19800000000000001</v>
      </c>
      <c r="F703" s="15">
        <v>0.20799999999999999</v>
      </c>
      <c r="G703" s="15">
        <v>0.113</v>
      </c>
      <c r="H703" s="15">
        <v>0.14499999999999999</v>
      </c>
      <c r="I703" s="15">
        <v>0.14499999999999999</v>
      </c>
      <c r="J703" t="s">
        <v>412</v>
      </c>
      <c r="K703" t="s">
        <v>551</v>
      </c>
    </row>
    <row r="704" spans="1:11">
      <c r="A704" t="s">
        <v>573</v>
      </c>
      <c r="B704" t="s">
        <v>578</v>
      </c>
      <c r="C704" t="s">
        <v>582</v>
      </c>
      <c r="D704" s="15">
        <v>0.28599999999999998</v>
      </c>
      <c r="E704" s="15">
        <v>4.8000000000000001E-2</v>
      </c>
      <c r="F704" s="15">
        <v>0.1</v>
      </c>
      <c r="G704" s="15">
        <v>0.16700000000000001</v>
      </c>
      <c r="H704" s="15">
        <v>0.14499999999999999</v>
      </c>
      <c r="I704" s="15">
        <v>0.14499999999999999</v>
      </c>
      <c r="J704" t="s">
        <v>412</v>
      </c>
      <c r="K704" t="s">
        <v>551</v>
      </c>
    </row>
    <row r="705" spans="1:11">
      <c r="A705" t="s">
        <v>506</v>
      </c>
      <c r="B705" t="s">
        <v>498</v>
      </c>
      <c r="C705" t="s">
        <v>591</v>
      </c>
      <c r="D705" s="15">
        <v>0.20899999999999999</v>
      </c>
      <c r="E705" s="15">
        <v>0.215</v>
      </c>
      <c r="F705" s="15">
        <v>-0.01</v>
      </c>
      <c r="G705" s="15">
        <v>0.21199999999999999</v>
      </c>
      <c r="H705" s="15">
        <v>0.13800000000000001</v>
      </c>
      <c r="I705" s="15">
        <v>0.14499999999999999</v>
      </c>
      <c r="J705" t="s">
        <v>412</v>
      </c>
      <c r="K705" t="s">
        <v>493</v>
      </c>
    </row>
    <row r="706" spans="1:11">
      <c r="A706" t="s">
        <v>479</v>
      </c>
      <c r="B706" t="s">
        <v>509</v>
      </c>
      <c r="C706" t="s">
        <v>582</v>
      </c>
      <c r="D706" s="15">
        <v>-0.127</v>
      </c>
      <c r="E706" s="15">
        <v>0.111</v>
      </c>
      <c r="F706" s="15">
        <v>0.19600000000000001</v>
      </c>
      <c r="G706" s="15">
        <v>-8.0000000000000002E-3</v>
      </c>
      <c r="H706" s="15">
        <v>0.06</v>
      </c>
      <c r="I706" s="15">
        <v>0.14499999999999999</v>
      </c>
      <c r="J706" t="s">
        <v>412</v>
      </c>
      <c r="K706" t="s">
        <v>487</v>
      </c>
    </row>
    <row r="707" spans="1:11">
      <c r="A707" t="s">
        <v>479</v>
      </c>
      <c r="B707" t="s">
        <v>523</v>
      </c>
      <c r="C707" t="s">
        <v>582</v>
      </c>
      <c r="D707" s="15">
        <v>-0.127</v>
      </c>
      <c r="E707" s="15">
        <v>0.06</v>
      </c>
      <c r="F707" s="15">
        <v>0.249</v>
      </c>
      <c r="G707" s="15">
        <v>-3.4000000000000002E-2</v>
      </c>
      <c r="H707" s="15">
        <v>0.06</v>
      </c>
      <c r="I707" s="15">
        <v>0.14499999999999999</v>
      </c>
      <c r="J707" t="s">
        <v>412</v>
      </c>
      <c r="K707" t="s">
        <v>487</v>
      </c>
    </row>
    <row r="708" spans="1:11">
      <c r="A708" t="s">
        <v>506</v>
      </c>
      <c r="B708" t="s">
        <v>586</v>
      </c>
      <c r="C708" t="s">
        <v>575</v>
      </c>
      <c r="D708" s="15">
        <v>-0.14399999999999999</v>
      </c>
      <c r="E708" s="15">
        <v>0.16400000000000001</v>
      </c>
      <c r="F708" s="15">
        <v>0.128</v>
      </c>
      <c r="G708" s="15">
        <v>0.01</v>
      </c>
      <c r="H708" s="15">
        <v>4.9000000000000002E-2</v>
      </c>
      <c r="I708" s="15">
        <v>0.14499999999999999</v>
      </c>
      <c r="J708" t="s">
        <v>412</v>
      </c>
      <c r="K708" t="s">
        <v>487</v>
      </c>
    </row>
    <row r="709" spans="1:11">
      <c r="A709" t="s">
        <v>547</v>
      </c>
      <c r="B709" t="s">
        <v>569</v>
      </c>
      <c r="C709" t="s">
        <v>593</v>
      </c>
      <c r="D709" s="15">
        <v>3.5000000000000003E-2</v>
      </c>
      <c r="E709" s="15">
        <v>-0.14699999999999999</v>
      </c>
      <c r="F709" s="15">
        <v>0.253</v>
      </c>
      <c r="G709" s="15">
        <v>-5.6000000000000001E-2</v>
      </c>
      <c r="H709" s="15">
        <v>4.7E-2</v>
      </c>
      <c r="I709" s="15">
        <v>0.14499999999999999</v>
      </c>
      <c r="J709" t="s">
        <v>412</v>
      </c>
      <c r="K709" t="s">
        <v>480</v>
      </c>
    </row>
    <row r="710" spans="1:11">
      <c r="A710" t="s">
        <v>573</v>
      </c>
      <c r="B710" t="s">
        <v>498</v>
      </c>
      <c r="C710" t="s">
        <v>492</v>
      </c>
      <c r="D710" s="15">
        <v>-0.16400000000000001</v>
      </c>
      <c r="E710" s="15">
        <v>0.13100000000000001</v>
      </c>
      <c r="F710" s="15">
        <v>0.14099999999999999</v>
      </c>
      <c r="G710" s="15">
        <v>-1.6E-2</v>
      </c>
      <c r="H710" s="15">
        <v>3.5999999999999997E-2</v>
      </c>
      <c r="I710" s="15">
        <v>0.14499999999999999</v>
      </c>
      <c r="J710" t="s">
        <v>412</v>
      </c>
      <c r="K710" t="s">
        <v>487</v>
      </c>
    </row>
    <row r="711" spans="1:11">
      <c r="A711" t="s">
        <v>506</v>
      </c>
      <c r="B711" t="s">
        <v>581</v>
      </c>
      <c r="C711" t="s">
        <v>492</v>
      </c>
      <c r="D711" s="15">
        <v>-0.17399999999999999</v>
      </c>
      <c r="E711" s="15">
        <v>-0.03</v>
      </c>
      <c r="F711" s="15">
        <v>0.23200000000000001</v>
      </c>
      <c r="G711" s="15">
        <v>-0.10199999999999999</v>
      </c>
      <c r="H711" s="15">
        <v>0.01</v>
      </c>
      <c r="I711" s="15">
        <v>0.14499999999999999</v>
      </c>
      <c r="J711" t="s">
        <v>412</v>
      </c>
      <c r="K711" t="s">
        <v>510</v>
      </c>
    </row>
    <row r="712" spans="1:11">
      <c r="A712" t="s">
        <v>486</v>
      </c>
      <c r="B712" t="s">
        <v>517</v>
      </c>
      <c r="C712" t="s">
        <v>585</v>
      </c>
      <c r="D712" s="15">
        <v>-0.27</v>
      </c>
      <c r="E712" s="15">
        <v>9.2999999999999999E-2</v>
      </c>
      <c r="F712" s="15">
        <v>7.0999999999999994E-2</v>
      </c>
      <c r="G712" s="15">
        <v>-8.8999999999999996E-2</v>
      </c>
      <c r="H712" s="15">
        <v>-3.5000000000000003E-2</v>
      </c>
      <c r="I712" s="15">
        <v>0.14499999999999999</v>
      </c>
      <c r="J712" t="s">
        <v>412</v>
      </c>
      <c r="K712" t="s">
        <v>487</v>
      </c>
    </row>
    <row r="713" spans="1:11">
      <c r="A713" t="s">
        <v>573</v>
      </c>
      <c r="B713" t="s">
        <v>574</v>
      </c>
      <c r="C713" t="s">
        <v>594</v>
      </c>
      <c r="D713" s="15">
        <v>0.13700000000000001</v>
      </c>
      <c r="E713" s="15">
        <v>-0.124</v>
      </c>
      <c r="F713" s="15">
        <v>-0.17299999999999999</v>
      </c>
      <c r="G713" s="15">
        <v>7.0000000000000001E-3</v>
      </c>
      <c r="H713" s="15">
        <v>-5.2999999999999999E-2</v>
      </c>
      <c r="I713" s="15">
        <v>0.14499999999999999</v>
      </c>
      <c r="J713" t="s">
        <v>412</v>
      </c>
      <c r="K713" t="s">
        <v>579</v>
      </c>
    </row>
    <row r="714" spans="1:11">
      <c r="A714" t="s">
        <v>479</v>
      </c>
      <c r="B714" t="s">
        <v>505</v>
      </c>
      <c r="C714" t="s">
        <v>584</v>
      </c>
      <c r="D714" s="15">
        <v>0.106</v>
      </c>
      <c r="E714" s="15">
        <v>-0.14699999999999999</v>
      </c>
      <c r="F714" s="15">
        <v>-0.18099999999999999</v>
      </c>
      <c r="G714" s="15">
        <v>-0.02</v>
      </c>
      <c r="H714" s="15">
        <v>-7.3999999999999996E-2</v>
      </c>
      <c r="I714" s="15">
        <v>0.14499999999999999</v>
      </c>
      <c r="J714" t="s">
        <v>412</v>
      </c>
      <c r="K714" t="s">
        <v>579</v>
      </c>
    </row>
    <row r="715" spans="1:11">
      <c r="A715" t="s">
        <v>486</v>
      </c>
      <c r="B715" t="s">
        <v>478</v>
      </c>
      <c r="C715" t="s">
        <v>582</v>
      </c>
      <c r="D715" s="15">
        <v>-0.129</v>
      </c>
      <c r="E715" s="15">
        <v>0.104</v>
      </c>
      <c r="F715" s="15">
        <v>-0.20300000000000001</v>
      </c>
      <c r="G715" s="15">
        <v>-1.2999999999999999E-2</v>
      </c>
      <c r="H715" s="15">
        <v>-7.5999999999999998E-2</v>
      </c>
      <c r="I715" s="15">
        <v>0.14499999999999999</v>
      </c>
      <c r="J715" t="s">
        <v>412</v>
      </c>
      <c r="K715" t="s">
        <v>500</v>
      </c>
    </row>
    <row r="716" spans="1:11">
      <c r="A716" t="s">
        <v>479</v>
      </c>
      <c r="B716" t="s">
        <v>569</v>
      </c>
      <c r="C716" t="s">
        <v>572</v>
      </c>
      <c r="D716" s="15">
        <v>-6.8000000000000005E-2</v>
      </c>
      <c r="E716" s="15">
        <v>-0.30099999999999999</v>
      </c>
      <c r="F716" s="15">
        <v>6.7000000000000004E-2</v>
      </c>
      <c r="G716" s="15">
        <v>-0.185</v>
      </c>
      <c r="H716" s="15">
        <v>-0.10100000000000001</v>
      </c>
      <c r="I716" s="15">
        <v>0.14499999999999999</v>
      </c>
      <c r="J716" t="s">
        <v>412</v>
      </c>
      <c r="K716" t="s">
        <v>510</v>
      </c>
    </row>
    <row r="717" spans="1:11">
      <c r="A717" t="s">
        <v>573</v>
      </c>
      <c r="B717" t="s">
        <v>569</v>
      </c>
      <c r="C717" t="s">
        <v>572</v>
      </c>
      <c r="D717" s="15">
        <v>-0.20799999999999999</v>
      </c>
      <c r="E717" s="15">
        <v>-0.16</v>
      </c>
      <c r="F717" s="15">
        <v>6.7000000000000004E-2</v>
      </c>
      <c r="G717" s="15">
        <v>-0.184</v>
      </c>
      <c r="H717" s="15">
        <v>-0.10100000000000001</v>
      </c>
      <c r="I717" s="15">
        <v>0.14499999999999999</v>
      </c>
      <c r="J717" t="s">
        <v>412</v>
      </c>
      <c r="K717" t="s">
        <v>510</v>
      </c>
    </row>
    <row r="718" spans="1:11">
      <c r="A718" t="s">
        <v>547</v>
      </c>
      <c r="B718" t="s">
        <v>574</v>
      </c>
      <c r="C718" t="s">
        <v>593</v>
      </c>
      <c r="D718" s="15">
        <v>3.5000000000000003E-2</v>
      </c>
      <c r="E718" s="15">
        <v>-2.4E-2</v>
      </c>
      <c r="F718" s="15">
        <v>-0.376</v>
      </c>
      <c r="G718" s="15">
        <v>6.0000000000000001E-3</v>
      </c>
      <c r="H718" s="15">
        <v>-0.121</v>
      </c>
      <c r="I718" s="15">
        <v>0.14499999999999999</v>
      </c>
      <c r="J718" t="s">
        <v>412</v>
      </c>
      <c r="K718" t="s">
        <v>579</v>
      </c>
    </row>
    <row r="719" spans="1:11">
      <c r="A719" t="s">
        <v>486</v>
      </c>
      <c r="B719" t="s">
        <v>595</v>
      </c>
      <c r="C719" t="s">
        <v>575</v>
      </c>
      <c r="D719" s="15">
        <v>-0.41299999999999998</v>
      </c>
      <c r="E719" s="15">
        <v>-1.6E-2</v>
      </c>
      <c r="F719" s="15">
        <v>6.0000000000000001E-3</v>
      </c>
      <c r="G719" s="15">
        <v>-0.215</v>
      </c>
      <c r="H719" s="15">
        <v>-0.14099999999999999</v>
      </c>
      <c r="I719" s="15">
        <v>0.14499999999999999</v>
      </c>
      <c r="J719" t="s">
        <v>412</v>
      </c>
      <c r="K719" t="s">
        <v>510</v>
      </c>
    </row>
    <row r="720" spans="1:11">
      <c r="A720" t="s">
        <v>486</v>
      </c>
      <c r="B720" t="s">
        <v>509</v>
      </c>
      <c r="C720" t="s">
        <v>575</v>
      </c>
      <c r="D720" s="15">
        <v>-0.41299999999999998</v>
      </c>
      <c r="E720" s="15">
        <v>-5.0000000000000001E-3</v>
      </c>
      <c r="F720" s="15">
        <v>-1.6E-2</v>
      </c>
      <c r="G720" s="15">
        <v>-0.20899999999999999</v>
      </c>
      <c r="H720" s="15">
        <v>-0.14499999999999999</v>
      </c>
      <c r="I720" s="15">
        <v>0.14499999999999999</v>
      </c>
      <c r="J720" t="s">
        <v>412</v>
      </c>
      <c r="K720" t="s">
        <v>589</v>
      </c>
    </row>
    <row r="721" spans="1:11">
      <c r="A721" t="s">
        <v>547</v>
      </c>
      <c r="B721" t="s">
        <v>590</v>
      </c>
      <c r="C721" t="s">
        <v>584</v>
      </c>
      <c r="D721" s="15">
        <v>0.112</v>
      </c>
      <c r="E721" s="15">
        <v>0.16600000000000001</v>
      </c>
      <c r="F721" s="15">
        <v>0.155</v>
      </c>
      <c r="G721" s="15">
        <v>0.13900000000000001</v>
      </c>
      <c r="H721" s="15">
        <v>0.14399999999999999</v>
      </c>
      <c r="I721" s="15">
        <v>0.14399999999999999</v>
      </c>
      <c r="J721" t="s">
        <v>412</v>
      </c>
      <c r="K721" t="s">
        <v>551</v>
      </c>
    </row>
    <row r="722" spans="1:11">
      <c r="A722" t="s">
        <v>571</v>
      </c>
      <c r="B722" t="s">
        <v>595</v>
      </c>
      <c r="C722" t="s">
        <v>582</v>
      </c>
      <c r="D722" s="15">
        <v>9.1999999999999998E-2</v>
      </c>
      <c r="E722" s="15">
        <v>0.32600000000000001</v>
      </c>
      <c r="F722" s="15">
        <v>1.4999999999999999E-2</v>
      </c>
      <c r="G722" s="15">
        <v>0.20899999999999999</v>
      </c>
      <c r="H722" s="15">
        <v>0.14399999999999999</v>
      </c>
      <c r="I722" s="15">
        <v>0.14399999999999999</v>
      </c>
      <c r="J722" t="s">
        <v>412</v>
      </c>
      <c r="K722" t="s">
        <v>551</v>
      </c>
    </row>
    <row r="723" spans="1:11">
      <c r="A723" t="s">
        <v>577</v>
      </c>
      <c r="B723" t="s">
        <v>509</v>
      </c>
      <c r="C723" t="s">
        <v>477</v>
      </c>
      <c r="D723" s="15">
        <v>0.246</v>
      </c>
      <c r="E723" s="15">
        <v>0.104</v>
      </c>
      <c r="F723" s="15">
        <v>8.2000000000000003E-2</v>
      </c>
      <c r="G723" s="15">
        <v>0.17499999999999999</v>
      </c>
      <c r="H723" s="15">
        <v>0.14399999999999999</v>
      </c>
      <c r="I723" s="15">
        <v>0.14399999999999999</v>
      </c>
      <c r="J723" t="s">
        <v>412</v>
      </c>
      <c r="K723" t="s">
        <v>551</v>
      </c>
    </row>
    <row r="724" spans="1:11">
      <c r="A724" t="s">
        <v>577</v>
      </c>
      <c r="B724" t="s">
        <v>597</v>
      </c>
      <c r="C724" t="s">
        <v>582</v>
      </c>
      <c r="D724" s="15">
        <v>0.31900000000000001</v>
      </c>
      <c r="E724" s="15">
        <v>6.6000000000000003E-2</v>
      </c>
      <c r="F724" s="15">
        <v>4.7E-2</v>
      </c>
      <c r="G724" s="15">
        <v>0.192</v>
      </c>
      <c r="H724" s="15">
        <v>0.14399999999999999</v>
      </c>
      <c r="I724" s="15">
        <v>0.14399999999999999</v>
      </c>
      <c r="J724" t="s">
        <v>412</v>
      </c>
      <c r="K724" t="s">
        <v>551</v>
      </c>
    </row>
    <row r="725" spans="1:11">
      <c r="A725" t="s">
        <v>486</v>
      </c>
      <c r="B725" t="s">
        <v>499</v>
      </c>
      <c r="C725" t="s">
        <v>594</v>
      </c>
      <c r="D725" s="15">
        <v>-9.7000000000000003E-2</v>
      </c>
      <c r="E725" s="15">
        <v>0.28000000000000003</v>
      </c>
      <c r="F725" s="15">
        <v>-5.6000000000000001E-2</v>
      </c>
      <c r="G725" s="15">
        <v>9.1999999999999998E-2</v>
      </c>
      <c r="H725" s="15">
        <v>4.2000000000000003E-2</v>
      </c>
      <c r="I725" s="15">
        <v>0.14399999999999999</v>
      </c>
      <c r="J725" t="s">
        <v>412</v>
      </c>
      <c r="K725" t="s">
        <v>500</v>
      </c>
    </row>
    <row r="726" spans="1:11">
      <c r="A726" t="s">
        <v>486</v>
      </c>
      <c r="B726" t="s">
        <v>588</v>
      </c>
      <c r="C726" t="s">
        <v>584</v>
      </c>
      <c r="D726" s="15">
        <v>-7.9000000000000001E-2</v>
      </c>
      <c r="E726" s="15">
        <v>-8.4000000000000005E-2</v>
      </c>
      <c r="F726" s="15">
        <v>0.26900000000000002</v>
      </c>
      <c r="G726" s="15">
        <v>-8.1000000000000003E-2</v>
      </c>
      <c r="H726" s="15">
        <v>3.5999999999999997E-2</v>
      </c>
      <c r="I726" s="15">
        <v>0.14399999999999999</v>
      </c>
      <c r="J726" t="s">
        <v>412</v>
      </c>
      <c r="K726" t="s">
        <v>510</v>
      </c>
    </row>
    <row r="727" spans="1:11">
      <c r="A727" t="s">
        <v>486</v>
      </c>
      <c r="B727" t="s">
        <v>590</v>
      </c>
      <c r="C727" t="s">
        <v>582</v>
      </c>
      <c r="D727" s="15">
        <v>-0.129</v>
      </c>
      <c r="E727" s="15">
        <v>-0.106</v>
      </c>
      <c r="F727" s="15">
        <v>0.19500000000000001</v>
      </c>
      <c r="G727" s="15">
        <v>-0.11799999999999999</v>
      </c>
      <c r="H727" s="15">
        <v>-1.2999999999999999E-2</v>
      </c>
      <c r="I727" s="15">
        <v>0.14399999999999999</v>
      </c>
      <c r="J727" t="s">
        <v>412</v>
      </c>
      <c r="K727" t="s">
        <v>510</v>
      </c>
    </row>
    <row r="728" spans="1:11">
      <c r="A728" t="s">
        <v>547</v>
      </c>
      <c r="B728" t="s">
        <v>590</v>
      </c>
      <c r="C728" t="s">
        <v>492</v>
      </c>
      <c r="D728" s="15">
        <v>-6.6000000000000003E-2</v>
      </c>
      <c r="E728" s="15">
        <v>0.16600000000000001</v>
      </c>
      <c r="F728" s="15">
        <v>-0.19900000000000001</v>
      </c>
      <c r="G728" s="15">
        <v>0.05</v>
      </c>
      <c r="H728" s="15">
        <v>-3.3000000000000002E-2</v>
      </c>
      <c r="I728" s="15">
        <v>0.14399999999999999</v>
      </c>
      <c r="J728" t="s">
        <v>412</v>
      </c>
      <c r="K728" t="s">
        <v>500</v>
      </c>
    </row>
    <row r="729" spans="1:11">
      <c r="A729" t="s">
        <v>486</v>
      </c>
      <c r="B729" t="s">
        <v>569</v>
      </c>
      <c r="C729" t="s">
        <v>591</v>
      </c>
      <c r="D729" s="15">
        <v>-0.02</v>
      </c>
      <c r="E729" s="15">
        <v>-0.30499999999999999</v>
      </c>
      <c r="F729" s="15">
        <v>-0.106</v>
      </c>
      <c r="G729" s="15">
        <v>-0.16200000000000001</v>
      </c>
      <c r="H729" s="15">
        <v>-0.14399999999999999</v>
      </c>
      <c r="I729" s="15">
        <v>0.14399999999999999</v>
      </c>
      <c r="J729" t="s">
        <v>412</v>
      </c>
      <c r="K729" t="s">
        <v>589</v>
      </c>
    </row>
    <row r="730" spans="1:11">
      <c r="A730" t="s">
        <v>479</v>
      </c>
      <c r="B730" t="s">
        <v>499</v>
      </c>
      <c r="C730" t="s">
        <v>492</v>
      </c>
      <c r="D730" s="15">
        <v>5.8999999999999997E-2</v>
      </c>
      <c r="E730" s="15">
        <v>6.6000000000000003E-2</v>
      </c>
      <c r="F730" s="15">
        <v>0.30399999999999999</v>
      </c>
      <c r="G730" s="15">
        <v>6.3E-2</v>
      </c>
      <c r="H730" s="15">
        <v>0.14299999999999999</v>
      </c>
      <c r="I730" s="15">
        <v>0.14299999999999999</v>
      </c>
      <c r="J730" t="s">
        <v>412</v>
      </c>
      <c r="K730" t="s">
        <v>551</v>
      </c>
    </row>
    <row r="731" spans="1:11">
      <c r="A731" t="s">
        <v>547</v>
      </c>
      <c r="B731" t="s">
        <v>550</v>
      </c>
      <c r="C731" t="s">
        <v>584</v>
      </c>
      <c r="D731" s="15">
        <v>0.112</v>
      </c>
      <c r="E731" s="15">
        <v>2.7E-2</v>
      </c>
      <c r="F731" s="15">
        <v>0.28999999999999998</v>
      </c>
      <c r="G731" s="15">
        <v>6.9000000000000006E-2</v>
      </c>
      <c r="H731" s="15">
        <v>0.14299999999999999</v>
      </c>
      <c r="I731" s="15">
        <v>0.14299999999999999</v>
      </c>
      <c r="J731" t="s">
        <v>412</v>
      </c>
      <c r="K731" t="s">
        <v>551</v>
      </c>
    </row>
    <row r="732" spans="1:11">
      <c r="A732" t="s">
        <v>576</v>
      </c>
      <c r="B732" t="s">
        <v>581</v>
      </c>
      <c r="C732" t="s">
        <v>492</v>
      </c>
      <c r="D732" s="15">
        <v>1.7999999999999999E-2</v>
      </c>
      <c r="E732" s="15">
        <v>0.18</v>
      </c>
      <c r="F732" s="15">
        <v>0.23200000000000001</v>
      </c>
      <c r="G732" s="15">
        <v>9.9000000000000005E-2</v>
      </c>
      <c r="H732" s="15">
        <v>0.14299999999999999</v>
      </c>
      <c r="I732" s="15">
        <v>0.14299999999999999</v>
      </c>
      <c r="J732" t="s">
        <v>412</v>
      </c>
      <c r="K732" t="s">
        <v>551</v>
      </c>
    </row>
    <row r="733" spans="1:11">
      <c r="A733" t="s">
        <v>571</v>
      </c>
      <c r="B733" t="s">
        <v>595</v>
      </c>
      <c r="C733" t="s">
        <v>585</v>
      </c>
      <c r="D733" s="15">
        <v>-1.2999999999999999E-2</v>
      </c>
      <c r="E733" s="15">
        <v>0.32600000000000001</v>
      </c>
      <c r="F733" s="15">
        <v>8.8999999999999996E-2</v>
      </c>
      <c r="G733" s="15">
        <v>0.157</v>
      </c>
      <c r="H733" s="15">
        <v>0.13400000000000001</v>
      </c>
      <c r="I733" s="15">
        <v>0.14299999999999999</v>
      </c>
      <c r="J733" t="s">
        <v>412</v>
      </c>
      <c r="K733" t="s">
        <v>487</v>
      </c>
    </row>
    <row r="734" spans="1:11">
      <c r="A734" t="s">
        <v>547</v>
      </c>
      <c r="B734" t="s">
        <v>523</v>
      </c>
      <c r="C734" t="s">
        <v>582</v>
      </c>
      <c r="D734" s="15">
        <v>0.14299999999999999</v>
      </c>
      <c r="E734" s="15">
        <v>-3.6999999999999998E-2</v>
      </c>
      <c r="F734" s="15">
        <v>0.249</v>
      </c>
      <c r="G734" s="15">
        <v>5.2999999999999999E-2</v>
      </c>
      <c r="H734" s="15">
        <v>0.11799999999999999</v>
      </c>
      <c r="I734" s="15">
        <v>0.14299999999999999</v>
      </c>
      <c r="J734" t="s">
        <v>412</v>
      </c>
      <c r="K734" t="s">
        <v>480</v>
      </c>
    </row>
    <row r="735" spans="1:11">
      <c r="A735" t="s">
        <v>573</v>
      </c>
      <c r="B735" t="s">
        <v>499</v>
      </c>
      <c r="C735" t="s">
        <v>582</v>
      </c>
      <c r="D735" s="15">
        <v>0.28599999999999998</v>
      </c>
      <c r="E735" s="15">
        <v>-8.8999999999999996E-2</v>
      </c>
      <c r="F735" s="15">
        <v>5.6000000000000001E-2</v>
      </c>
      <c r="G735" s="15">
        <v>9.8000000000000004E-2</v>
      </c>
      <c r="H735" s="15">
        <v>8.4000000000000005E-2</v>
      </c>
      <c r="I735" s="15">
        <v>0.14299999999999999</v>
      </c>
      <c r="J735" t="s">
        <v>412</v>
      </c>
      <c r="K735" t="s">
        <v>480</v>
      </c>
    </row>
    <row r="736" spans="1:11">
      <c r="A736" t="s">
        <v>486</v>
      </c>
      <c r="B736" t="s">
        <v>587</v>
      </c>
      <c r="C736" t="s">
        <v>594</v>
      </c>
      <c r="D736" s="15">
        <v>-9.7000000000000003E-2</v>
      </c>
      <c r="E736" s="15">
        <v>9.0999999999999998E-2</v>
      </c>
      <c r="F736" s="15">
        <v>0.24</v>
      </c>
      <c r="G736" s="15">
        <v>-3.0000000000000001E-3</v>
      </c>
      <c r="H736" s="15">
        <v>7.8E-2</v>
      </c>
      <c r="I736" s="15">
        <v>0.14299999999999999</v>
      </c>
      <c r="J736" t="s">
        <v>412</v>
      </c>
      <c r="K736" t="s">
        <v>487</v>
      </c>
    </row>
    <row r="737" spans="1:11">
      <c r="A737" t="s">
        <v>479</v>
      </c>
      <c r="B737" t="s">
        <v>596</v>
      </c>
      <c r="C737" t="s">
        <v>585</v>
      </c>
      <c r="D737" s="15">
        <v>-0.123</v>
      </c>
      <c r="E737" s="15">
        <v>0.28599999999999998</v>
      </c>
      <c r="F737" s="15">
        <v>-2.1000000000000001E-2</v>
      </c>
      <c r="G737" s="15">
        <v>8.1000000000000003E-2</v>
      </c>
      <c r="H737" s="15">
        <v>4.7E-2</v>
      </c>
      <c r="I737" s="15">
        <v>0.14299999999999999</v>
      </c>
      <c r="J737" t="s">
        <v>412</v>
      </c>
      <c r="K737" t="s">
        <v>500</v>
      </c>
    </row>
    <row r="738" spans="1:11">
      <c r="A738" t="s">
        <v>571</v>
      </c>
      <c r="B738" t="s">
        <v>588</v>
      </c>
      <c r="C738" t="s">
        <v>575</v>
      </c>
      <c r="D738" s="15">
        <v>-0.16800000000000001</v>
      </c>
      <c r="E738" s="15">
        <v>-1.9E-2</v>
      </c>
      <c r="F738" s="15">
        <v>0.24299999999999999</v>
      </c>
      <c r="G738" s="15">
        <v>-9.4E-2</v>
      </c>
      <c r="H738" s="15">
        <v>1.9E-2</v>
      </c>
      <c r="I738" s="15">
        <v>0.14299999999999999</v>
      </c>
      <c r="J738" t="s">
        <v>412</v>
      </c>
      <c r="K738" t="s">
        <v>510</v>
      </c>
    </row>
    <row r="739" spans="1:11">
      <c r="A739" t="s">
        <v>479</v>
      </c>
      <c r="B739" t="s">
        <v>586</v>
      </c>
      <c r="C739" t="s">
        <v>582</v>
      </c>
      <c r="D739" s="15">
        <v>-0.127</v>
      </c>
      <c r="E739" s="15">
        <v>-0.10100000000000001</v>
      </c>
      <c r="F739" s="15">
        <v>0.20100000000000001</v>
      </c>
      <c r="G739" s="15">
        <v>-0.114</v>
      </c>
      <c r="H739" s="15">
        <v>-8.9999999999999993E-3</v>
      </c>
      <c r="I739" s="15">
        <v>0.14299999999999999</v>
      </c>
      <c r="J739" t="s">
        <v>412</v>
      </c>
      <c r="K739" t="s">
        <v>510</v>
      </c>
    </row>
    <row r="740" spans="1:11">
      <c r="A740" t="s">
        <v>573</v>
      </c>
      <c r="B740" t="s">
        <v>596</v>
      </c>
      <c r="C740" t="s">
        <v>477</v>
      </c>
      <c r="D740" s="15">
        <v>0.14599999999999999</v>
      </c>
      <c r="E740" s="15">
        <v>0.02</v>
      </c>
      <c r="F740" s="15">
        <v>-0.26400000000000001</v>
      </c>
      <c r="G740" s="15">
        <v>8.3000000000000004E-2</v>
      </c>
      <c r="H740" s="15">
        <v>-3.3000000000000002E-2</v>
      </c>
      <c r="I740" s="15">
        <v>0.14299999999999999</v>
      </c>
      <c r="J740" t="s">
        <v>412</v>
      </c>
      <c r="K740" t="s">
        <v>493</v>
      </c>
    </row>
    <row r="741" spans="1:11">
      <c r="A741" t="s">
        <v>577</v>
      </c>
      <c r="B741" t="s">
        <v>595</v>
      </c>
      <c r="C741" t="s">
        <v>492</v>
      </c>
      <c r="D741" s="15">
        <v>-0.28699999999999998</v>
      </c>
      <c r="E741" s="15">
        <v>0.122</v>
      </c>
      <c r="F741" s="15">
        <v>-1.9E-2</v>
      </c>
      <c r="G741" s="15">
        <v>-8.2000000000000003E-2</v>
      </c>
      <c r="H741" s="15">
        <v>-6.0999999999999999E-2</v>
      </c>
      <c r="I741" s="15">
        <v>0.14299999999999999</v>
      </c>
      <c r="J741" t="s">
        <v>412</v>
      </c>
      <c r="K741" t="s">
        <v>500</v>
      </c>
    </row>
    <row r="742" spans="1:11">
      <c r="A742" t="s">
        <v>547</v>
      </c>
      <c r="B742" t="s">
        <v>505</v>
      </c>
      <c r="C742" t="s">
        <v>584</v>
      </c>
      <c r="D742" s="15">
        <v>0.112</v>
      </c>
      <c r="E742" s="15">
        <v>-0.13600000000000001</v>
      </c>
      <c r="F742" s="15">
        <v>-0.18099999999999999</v>
      </c>
      <c r="G742" s="15">
        <v>-1.2E-2</v>
      </c>
      <c r="H742" s="15">
        <v>-6.8000000000000005E-2</v>
      </c>
      <c r="I742" s="15">
        <v>0.14299999999999999</v>
      </c>
      <c r="J742" t="s">
        <v>412</v>
      </c>
      <c r="K742" t="s">
        <v>579</v>
      </c>
    </row>
    <row r="743" spans="1:11">
      <c r="A743" t="s">
        <v>486</v>
      </c>
      <c r="B743" t="s">
        <v>578</v>
      </c>
      <c r="C743" t="s">
        <v>582</v>
      </c>
      <c r="D743" s="15">
        <v>-0.129</v>
      </c>
      <c r="E743" s="15">
        <v>-0.2</v>
      </c>
      <c r="F743" s="15">
        <v>0.1</v>
      </c>
      <c r="G743" s="15">
        <v>-0.16500000000000001</v>
      </c>
      <c r="H743" s="15">
        <v>-7.5999999999999998E-2</v>
      </c>
      <c r="I743" s="15">
        <v>0.14299999999999999</v>
      </c>
      <c r="J743" t="s">
        <v>412</v>
      </c>
      <c r="K743" t="s">
        <v>510</v>
      </c>
    </row>
    <row r="744" spans="1:11">
      <c r="A744" t="s">
        <v>506</v>
      </c>
      <c r="B744" t="s">
        <v>592</v>
      </c>
      <c r="C744" t="s">
        <v>594</v>
      </c>
      <c r="D744" s="15">
        <v>8.2000000000000003E-2</v>
      </c>
      <c r="E744" s="15">
        <v>-0.30199999999999999</v>
      </c>
      <c r="F744" s="15">
        <v>-4.5999999999999999E-2</v>
      </c>
      <c r="G744" s="15">
        <v>-0.11</v>
      </c>
      <c r="H744" s="15">
        <v>-8.8999999999999996E-2</v>
      </c>
      <c r="I744" s="15">
        <v>0.14299999999999999</v>
      </c>
      <c r="J744" t="s">
        <v>412</v>
      </c>
      <c r="K744" t="s">
        <v>579</v>
      </c>
    </row>
    <row r="745" spans="1:11">
      <c r="A745" t="s">
        <v>571</v>
      </c>
      <c r="B745" t="s">
        <v>586</v>
      </c>
      <c r="C745" t="s">
        <v>572</v>
      </c>
      <c r="D745" s="15">
        <v>-0.16300000000000001</v>
      </c>
      <c r="E745" s="15">
        <v>5.6000000000000001E-2</v>
      </c>
      <c r="F745" s="15">
        <v>-0.20799999999999999</v>
      </c>
      <c r="G745" s="15">
        <v>-5.3999999999999999E-2</v>
      </c>
      <c r="H745" s="15">
        <v>-0.105</v>
      </c>
      <c r="I745" s="15">
        <v>0.14299999999999999</v>
      </c>
      <c r="J745" t="s">
        <v>412</v>
      </c>
      <c r="K745" t="s">
        <v>500</v>
      </c>
    </row>
    <row r="746" spans="1:11">
      <c r="A746" t="s">
        <v>486</v>
      </c>
      <c r="B746" t="s">
        <v>505</v>
      </c>
      <c r="C746" t="s">
        <v>575</v>
      </c>
      <c r="D746" s="15">
        <v>-0.41299999999999998</v>
      </c>
      <c r="E746" s="15">
        <v>8.9999999999999993E-3</v>
      </c>
      <c r="F746" s="15">
        <v>8.0000000000000002E-3</v>
      </c>
      <c r="G746" s="15">
        <v>-0.20200000000000001</v>
      </c>
      <c r="H746" s="15">
        <v>-0.13200000000000001</v>
      </c>
      <c r="I746" s="15">
        <v>0.14299999999999999</v>
      </c>
      <c r="J746" t="s">
        <v>412</v>
      </c>
      <c r="K746" t="s">
        <v>487</v>
      </c>
    </row>
    <row r="747" spans="1:11">
      <c r="A747" t="s">
        <v>486</v>
      </c>
      <c r="B747" t="s">
        <v>597</v>
      </c>
      <c r="C747" t="s">
        <v>575</v>
      </c>
      <c r="D747" s="15">
        <v>-0.41299999999999998</v>
      </c>
      <c r="E747" s="15">
        <v>-8.9999999999999993E-3</v>
      </c>
      <c r="F747" s="15">
        <v>-6.0000000000000001E-3</v>
      </c>
      <c r="G747" s="15">
        <v>-0.21099999999999999</v>
      </c>
      <c r="H747" s="15">
        <v>-0.14299999999999999</v>
      </c>
      <c r="I747" s="15">
        <v>0.14299999999999999</v>
      </c>
      <c r="J747" t="s">
        <v>412</v>
      </c>
      <c r="K747" t="s">
        <v>589</v>
      </c>
    </row>
    <row r="748" spans="1:11">
      <c r="A748" t="s">
        <v>547</v>
      </c>
      <c r="B748" t="s">
        <v>499</v>
      </c>
      <c r="C748" t="s">
        <v>585</v>
      </c>
      <c r="D748" s="15">
        <v>-7.1999999999999995E-2</v>
      </c>
      <c r="E748" s="15">
        <v>-7.0999999999999994E-2</v>
      </c>
      <c r="F748" s="15">
        <v>-0.28599999999999998</v>
      </c>
      <c r="G748" s="15">
        <v>-7.1999999999999995E-2</v>
      </c>
      <c r="H748" s="15">
        <v>-0.14299999999999999</v>
      </c>
      <c r="I748" s="15">
        <v>0.14299999999999999</v>
      </c>
      <c r="J748" t="s">
        <v>412</v>
      </c>
      <c r="K748" t="s">
        <v>589</v>
      </c>
    </row>
    <row r="749" spans="1:11">
      <c r="A749" t="s">
        <v>571</v>
      </c>
      <c r="B749" t="s">
        <v>505</v>
      </c>
      <c r="C749" t="s">
        <v>584</v>
      </c>
      <c r="D749" s="15">
        <v>-0.108</v>
      </c>
      <c r="E749" s="15">
        <v>-0.14000000000000001</v>
      </c>
      <c r="F749" s="15">
        <v>-0.18099999999999999</v>
      </c>
      <c r="G749" s="15">
        <v>-0.124</v>
      </c>
      <c r="H749" s="15">
        <v>-0.14299999999999999</v>
      </c>
      <c r="I749" s="15">
        <v>0.14299999999999999</v>
      </c>
      <c r="J749" t="s">
        <v>412</v>
      </c>
      <c r="K749" t="s">
        <v>589</v>
      </c>
    </row>
    <row r="750" spans="1:11">
      <c r="A750" t="s">
        <v>506</v>
      </c>
      <c r="B750" t="s">
        <v>509</v>
      </c>
      <c r="C750" t="s">
        <v>585</v>
      </c>
      <c r="D750" s="15">
        <v>-5.6000000000000001E-2</v>
      </c>
      <c r="E750" s="15">
        <v>0.35799999999999998</v>
      </c>
      <c r="F750" s="15">
        <v>1.2999999999999999E-2</v>
      </c>
      <c r="G750" s="15">
        <v>0.151</v>
      </c>
      <c r="H750" s="15">
        <v>0.105</v>
      </c>
      <c r="I750" s="15">
        <v>0.14199999999999999</v>
      </c>
      <c r="J750" t="s">
        <v>412</v>
      </c>
      <c r="K750" t="s">
        <v>487</v>
      </c>
    </row>
    <row r="751" spans="1:11">
      <c r="A751" t="s">
        <v>506</v>
      </c>
      <c r="B751" t="s">
        <v>588</v>
      </c>
      <c r="C751" t="s">
        <v>591</v>
      </c>
      <c r="D751" s="15">
        <v>0.20899999999999999</v>
      </c>
      <c r="E751" s="15">
        <v>-8.7999999999999995E-2</v>
      </c>
      <c r="F751" s="15">
        <v>0.128</v>
      </c>
      <c r="G751" s="15">
        <v>0.06</v>
      </c>
      <c r="H751" s="15">
        <v>8.3000000000000004E-2</v>
      </c>
      <c r="I751" s="15">
        <v>0.14199999999999999</v>
      </c>
      <c r="J751" t="s">
        <v>412</v>
      </c>
      <c r="K751" t="s">
        <v>480</v>
      </c>
    </row>
    <row r="752" spans="1:11">
      <c r="A752" t="s">
        <v>577</v>
      </c>
      <c r="B752" t="s">
        <v>509</v>
      </c>
      <c r="C752" t="s">
        <v>583</v>
      </c>
      <c r="D752" s="15">
        <v>-0.09</v>
      </c>
      <c r="E752" s="15">
        <v>0.104</v>
      </c>
      <c r="F752" s="15">
        <v>0.23200000000000001</v>
      </c>
      <c r="G752" s="15">
        <v>7.0000000000000001E-3</v>
      </c>
      <c r="H752" s="15">
        <v>8.2000000000000003E-2</v>
      </c>
      <c r="I752" s="15">
        <v>0.14199999999999999</v>
      </c>
      <c r="J752" t="s">
        <v>412</v>
      </c>
      <c r="K752" t="s">
        <v>487</v>
      </c>
    </row>
    <row r="753" spans="1:11">
      <c r="A753" t="s">
        <v>506</v>
      </c>
      <c r="B753" t="s">
        <v>498</v>
      </c>
      <c r="C753" t="s">
        <v>584</v>
      </c>
      <c r="D753" s="15">
        <v>0.11899999999999999</v>
      </c>
      <c r="E753" s="15">
        <v>0.215</v>
      </c>
      <c r="F753" s="15">
        <v>-9.1999999999999998E-2</v>
      </c>
      <c r="G753" s="15">
        <v>0.16700000000000001</v>
      </c>
      <c r="H753" s="15">
        <v>8.1000000000000003E-2</v>
      </c>
      <c r="I753" s="15">
        <v>0.14199999999999999</v>
      </c>
      <c r="J753" t="s">
        <v>412</v>
      </c>
      <c r="K753" t="s">
        <v>493</v>
      </c>
    </row>
    <row r="754" spans="1:11">
      <c r="A754" t="s">
        <v>573</v>
      </c>
      <c r="B754" t="s">
        <v>574</v>
      </c>
      <c r="C754" t="s">
        <v>582</v>
      </c>
      <c r="D754" s="15">
        <v>0.28599999999999998</v>
      </c>
      <c r="E754" s="15">
        <v>-0.124</v>
      </c>
      <c r="F754" s="15">
        <v>1.4999999999999999E-2</v>
      </c>
      <c r="G754" s="15">
        <v>8.1000000000000003E-2</v>
      </c>
      <c r="H754" s="15">
        <v>5.8999999999999997E-2</v>
      </c>
      <c r="I754" s="15">
        <v>0.14199999999999999</v>
      </c>
      <c r="J754" t="s">
        <v>412</v>
      </c>
      <c r="K754" t="s">
        <v>480</v>
      </c>
    </row>
    <row r="755" spans="1:11">
      <c r="A755" t="s">
        <v>573</v>
      </c>
      <c r="B755" t="s">
        <v>478</v>
      </c>
      <c r="C755" t="s">
        <v>477</v>
      </c>
      <c r="D755" s="15">
        <v>0.14599999999999999</v>
      </c>
      <c r="E755" s="15">
        <v>-0.20399999999999999</v>
      </c>
      <c r="F755" s="15">
        <v>7.6999999999999999E-2</v>
      </c>
      <c r="G755" s="15">
        <v>-2.9000000000000001E-2</v>
      </c>
      <c r="H755" s="15">
        <v>7.0000000000000001E-3</v>
      </c>
      <c r="I755" s="15">
        <v>0.14199999999999999</v>
      </c>
      <c r="J755" t="s">
        <v>412</v>
      </c>
      <c r="K755" t="s">
        <v>480</v>
      </c>
    </row>
    <row r="756" spans="1:11">
      <c r="A756" t="s">
        <v>571</v>
      </c>
      <c r="B756" t="s">
        <v>478</v>
      </c>
      <c r="C756" t="s">
        <v>477</v>
      </c>
      <c r="D756" s="15">
        <v>0.13300000000000001</v>
      </c>
      <c r="E756" s="15">
        <v>-0.216</v>
      </c>
      <c r="F756" s="15">
        <v>7.6999999999999999E-2</v>
      </c>
      <c r="G756" s="15">
        <v>-4.2000000000000003E-2</v>
      </c>
      <c r="H756" s="15">
        <v>-2E-3</v>
      </c>
      <c r="I756" s="15">
        <v>0.14199999999999999</v>
      </c>
      <c r="J756" t="s">
        <v>412</v>
      </c>
      <c r="K756" t="s">
        <v>480</v>
      </c>
    </row>
    <row r="757" spans="1:11">
      <c r="A757" t="s">
        <v>571</v>
      </c>
      <c r="B757" t="s">
        <v>569</v>
      </c>
      <c r="C757" t="s">
        <v>572</v>
      </c>
      <c r="D757" s="15">
        <v>-0.16300000000000001</v>
      </c>
      <c r="E757" s="15">
        <v>-0.19600000000000001</v>
      </c>
      <c r="F757" s="15">
        <v>6.7000000000000004E-2</v>
      </c>
      <c r="G757" s="15">
        <v>-0.18</v>
      </c>
      <c r="H757" s="15">
        <v>-9.7000000000000003E-2</v>
      </c>
      <c r="I757" s="15">
        <v>0.14199999999999999</v>
      </c>
      <c r="J757" t="s">
        <v>412</v>
      </c>
      <c r="K757" t="s">
        <v>510</v>
      </c>
    </row>
    <row r="758" spans="1:11">
      <c r="A758" t="s">
        <v>479</v>
      </c>
      <c r="B758" t="s">
        <v>597</v>
      </c>
      <c r="C758" t="s">
        <v>582</v>
      </c>
      <c r="D758" s="15">
        <v>-0.127</v>
      </c>
      <c r="E758" s="15">
        <v>-0.251</v>
      </c>
      <c r="F758" s="15">
        <v>4.7E-2</v>
      </c>
      <c r="G758" s="15">
        <v>-0.189</v>
      </c>
      <c r="H758" s="15">
        <v>-0.111</v>
      </c>
      <c r="I758" s="15">
        <v>0.14199999999999999</v>
      </c>
      <c r="J758" t="s">
        <v>412</v>
      </c>
      <c r="K758" t="s">
        <v>510</v>
      </c>
    </row>
    <row r="759" spans="1:11">
      <c r="A759" t="s">
        <v>506</v>
      </c>
      <c r="B759" t="s">
        <v>587</v>
      </c>
      <c r="C759" t="s">
        <v>570</v>
      </c>
      <c r="D759" s="15">
        <v>-0.14199999999999999</v>
      </c>
      <c r="E759" s="15">
        <v>2.1000000000000001E-2</v>
      </c>
      <c r="F759" s="15">
        <v>-0.26500000000000001</v>
      </c>
      <c r="G759" s="15">
        <v>-6.0999999999999999E-2</v>
      </c>
      <c r="H759" s="15">
        <v>-0.129</v>
      </c>
      <c r="I759" s="15">
        <v>0.14199999999999999</v>
      </c>
      <c r="J759" t="s">
        <v>412</v>
      </c>
      <c r="K759" t="s">
        <v>500</v>
      </c>
    </row>
    <row r="760" spans="1:11">
      <c r="A760" t="s">
        <v>486</v>
      </c>
      <c r="B760" t="s">
        <v>598</v>
      </c>
      <c r="C760" t="s">
        <v>575</v>
      </c>
      <c r="D760" s="15">
        <v>-0.41299999999999998</v>
      </c>
      <c r="E760" s="15">
        <v>-7.0000000000000001E-3</v>
      </c>
      <c r="F760" s="15">
        <v>7.0000000000000001E-3</v>
      </c>
      <c r="G760" s="15">
        <v>-0.21</v>
      </c>
      <c r="H760" s="15">
        <v>-0.13800000000000001</v>
      </c>
      <c r="I760" s="15">
        <v>0.14199999999999999</v>
      </c>
      <c r="J760" t="s">
        <v>412</v>
      </c>
      <c r="K760" t="s">
        <v>510</v>
      </c>
    </row>
    <row r="761" spans="1:11">
      <c r="A761" t="s">
        <v>571</v>
      </c>
      <c r="B761" t="s">
        <v>588</v>
      </c>
      <c r="C761" t="s">
        <v>492</v>
      </c>
      <c r="D761" s="15">
        <v>-6.5000000000000002E-2</v>
      </c>
      <c r="E761" s="15">
        <v>-1.9E-2</v>
      </c>
      <c r="F761" s="15">
        <v>-0.34300000000000003</v>
      </c>
      <c r="G761" s="15">
        <v>-4.2000000000000003E-2</v>
      </c>
      <c r="H761" s="15">
        <v>-0.14199999999999999</v>
      </c>
      <c r="I761" s="15">
        <v>0.14199999999999999</v>
      </c>
      <c r="J761" t="s">
        <v>412</v>
      </c>
      <c r="K761" t="s">
        <v>589</v>
      </c>
    </row>
    <row r="762" spans="1:11">
      <c r="A762" t="s">
        <v>571</v>
      </c>
      <c r="B762" t="s">
        <v>569</v>
      </c>
      <c r="C762" t="s">
        <v>584</v>
      </c>
      <c r="D762" s="15">
        <v>-0.108</v>
      </c>
      <c r="E762" s="15">
        <v>-0.19600000000000001</v>
      </c>
      <c r="F762" s="15">
        <v>-0.124</v>
      </c>
      <c r="G762" s="15">
        <v>-0.152</v>
      </c>
      <c r="H762" s="15">
        <v>-0.14199999999999999</v>
      </c>
      <c r="I762" s="15">
        <v>0.14199999999999999</v>
      </c>
      <c r="J762" t="s">
        <v>412</v>
      </c>
      <c r="K762" t="s">
        <v>589</v>
      </c>
    </row>
    <row r="763" spans="1:11">
      <c r="A763" t="s">
        <v>576</v>
      </c>
      <c r="B763" t="s">
        <v>574</v>
      </c>
      <c r="C763" t="s">
        <v>492</v>
      </c>
      <c r="D763" s="15">
        <v>1.7999999999999999E-2</v>
      </c>
      <c r="E763" s="15">
        <v>0.109</v>
      </c>
      <c r="F763" s="15">
        <v>0.29499999999999998</v>
      </c>
      <c r="G763" s="15">
        <v>6.4000000000000001E-2</v>
      </c>
      <c r="H763" s="15">
        <v>0.14099999999999999</v>
      </c>
      <c r="I763" s="15">
        <v>0.14099999999999999</v>
      </c>
      <c r="J763" t="s">
        <v>412</v>
      </c>
      <c r="K763" t="s">
        <v>551</v>
      </c>
    </row>
    <row r="764" spans="1:11">
      <c r="A764" t="s">
        <v>577</v>
      </c>
      <c r="B764" t="s">
        <v>578</v>
      </c>
      <c r="C764" t="s">
        <v>570</v>
      </c>
      <c r="D764" s="15">
        <v>-8.8999999999999996E-2</v>
      </c>
      <c r="E764" s="15">
        <v>0.23799999999999999</v>
      </c>
      <c r="F764" s="15">
        <v>9.5000000000000001E-2</v>
      </c>
      <c r="G764" s="15">
        <v>7.3999999999999996E-2</v>
      </c>
      <c r="H764" s="15">
        <v>8.1000000000000003E-2</v>
      </c>
      <c r="I764" s="15">
        <v>0.14099999999999999</v>
      </c>
      <c r="J764" t="s">
        <v>412</v>
      </c>
      <c r="K764" t="s">
        <v>487</v>
      </c>
    </row>
    <row r="765" spans="1:11">
      <c r="A765" t="s">
        <v>571</v>
      </c>
      <c r="B765" t="s">
        <v>550</v>
      </c>
      <c r="C765" t="s">
        <v>584</v>
      </c>
      <c r="D765" s="15">
        <v>-0.108</v>
      </c>
      <c r="E765" s="15">
        <v>-2.5000000000000001E-2</v>
      </c>
      <c r="F765" s="15">
        <v>0.28999999999999998</v>
      </c>
      <c r="G765" s="15">
        <v>-6.6000000000000003E-2</v>
      </c>
      <c r="H765" s="15">
        <v>5.1999999999999998E-2</v>
      </c>
      <c r="I765" s="15">
        <v>0.14099999999999999</v>
      </c>
      <c r="J765" t="s">
        <v>412</v>
      </c>
      <c r="K765" t="s">
        <v>510</v>
      </c>
    </row>
    <row r="766" spans="1:11">
      <c r="A766" t="s">
        <v>577</v>
      </c>
      <c r="B766" t="s">
        <v>550</v>
      </c>
      <c r="C766" t="s">
        <v>477</v>
      </c>
      <c r="D766" s="15">
        <v>0.246</v>
      </c>
      <c r="E766" s="15">
        <v>-0.11600000000000001</v>
      </c>
      <c r="F766" s="15">
        <v>-0.06</v>
      </c>
      <c r="G766" s="15">
        <v>6.5000000000000002E-2</v>
      </c>
      <c r="H766" s="15">
        <v>2.3E-2</v>
      </c>
      <c r="I766" s="15">
        <v>0.14099999999999999</v>
      </c>
      <c r="J766" t="s">
        <v>412</v>
      </c>
      <c r="K766" t="s">
        <v>579</v>
      </c>
    </row>
    <row r="767" spans="1:11">
      <c r="A767" t="s">
        <v>506</v>
      </c>
      <c r="B767" t="s">
        <v>478</v>
      </c>
      <c r="C767" t="s">
        <v>584</v>
      </c>
      <c r="D767" s="15">
        <v>0.11899999999999999</v>
      </c>
      <c r="E767" s="15">
        <v>-0.224</v>
      </c>
      <c r="F767" s="15">
        <v>8.1000000000000003E-2</v>
      </c>
      <c r="G767" s="15">
        <v>-5.1999999999999998E-2</v>
      </c>
      <c r="H767" s="15">
        <v>-8.0000000000000002E-3</v>
      </c>
      <c r="I767" s="15">
        <v>0.14099999999999999</v>
      </c>
      <c r="J767" t="s">
        <v>412</v>
      </c>
      <c r="K767" t="s">
        <v>480</v>
      </c>
    </row>
    <row r="768" spans="1:11">
      <c r="A768" t="s">
        <v>573</v>
      </c>
      <c r="B768" t="s">
        <v>498</v>
      </c>
      <c r="C768" t="s">
        <v>575</v>
      </c>
      <c r="D768" s="15">
        <v>-4.9000000000000002E-2</v>
      </c>
      <c r="E768" s="15">
        <v>0.13100000000000001</v>
      </c>
      <c r="F768" s="15">
        <v>-0.24399999999999999</v>
      </c>
      <c r="G768" s="15">
        <v>4.1000000000000002E-2</v>
      </c>
      <c r="H768" s="15">
        <v>-5.3999999999999999E-2</v>
      </c>
      <c r="I768" s="15">
        <v>0.14099999999999999</v>
      </c>
      <c r="J768" t="s">
        <v>412</v>
      </c>
      <c r="K768" t="s">
        <v>500</v>
      </c>
    </row>
    <row r="769" spans="1:11">
      <c r="A769" t="s">
        <v>479</v>
      </c>
      <c r="B769" t="s">
        <v>517</v>
      </c>
      <c r="C769" t="s">
        <v>575</v>
      </c>
      <c r="D769" s="15">
        <v>-0.22500000000000001</v>
      </c>
      <c r="E769" s="15">
        <v>-7.3999999999999996E-2</v>
      </c>
      <c r="F769" s="15">
        <v>0.123</v>
      </c>
      <c r="G769" s="15">
        <v>-0.14899999999999999</v>
      </c>
      <c r="H769" s="15">
        <v>-5.8999999999999997E-2</v>
      </c>
      <c r="I769" s="15">
        <v>0.14099999999999999</v>
      </c>
      <c r="J769" t="s">
        <v>412</v>
      </c>
      <c r="K769" t="s">
        <v>510</v>
      </c>
    </row>
    <row r="770" spans="1:11">
      <c r="A770" t="s">
        <v>486</v>
      </c>
      <c r="B770" t="s">
        <v>523</v>
      </c>
      <c r="C770" t="s">
        <v>583</v>
      </c>
      <c r="D770" s="15">
        <v>-0.16700000000000001</v>
      </c>
      <c r="E770" s="15">
        <v>-0.21099999999999999</v>
      </c>
      <c r="F770" s="15">
        <v>4.5999999999999999E-2</v>
      </c>
      <c r="G770" s="15">
        <v>-0.189</v>
      </c>
      <c r="H770" s="15">
        <v>-0.111</v>
      </c>
      <c r="I770" s="15">
        <v>0.14099999999999999</v>
      </c>
      <c r="J770" t="s">
        <v>412</v>
      </c>
      <c r="K770" t="s">
        <v>510</v>
      </c>
    </row>
    <row r="771" spans="1:11">
      <c r="A771" t="s">
        <v>479</v>
      </c>
      <c r="B771" t="s">
        <v>598</v>
      </c>
      <c r="C771" t="s">
        <v>570</v>
      </c>
      <c r="D771" s="15">
        <v>-0.26900000000000002</v>
      </c>
      <c r="E771" s="15">
        <v>-7.9000000000000001E-2</v>
      </c>
      <c r="F771" s="15">
        <v>-7.4999999999999997E-2</v>
      </c>
      <c r="G771" s="15">
        <v>-0.17399999999999999</v>
      </c>
      <c r="H771" s="15">
        <v>-0.14099999999999999</v>
      </c>
      <c r="I771" s="15">
        <v>0.14099999999999999</v>
      </c>
      <c r="J771" t="s">
        <v>412</v>
      </c>
      <c r="K771" t="s">
        <v>589</v>
      </c>
    </row>
    <row r="772" spans="1:11">
      <c r="A772" t="s">
        <v>506</v>
      </c>
      <c r="B772" t="s">
        <v>592</v>
      </c>
      <c r="C772" t="s">
        <v>572</v>
      </c>
      <c r="D772" s="15">
        <v>-0.11899999999999999</v>
      </c>
      <c r="E772" s="15">
        <v>-0.30199999999999999</v>
      </c>
      <c r="F772" s="15">
        <v>-1E-3</v>
      </c>
      <c r="G772" s="15">
        <v>-0.21</v>
      </c>
      <c r="H772" s="15">
        <v>-0.14099999999999999</v>
      </c>
      <c r="I772" s="15">
        <v>0.14099999999999999</v>
      </c>
      <c r="J772" t="s">
        <v>412</v>
      </c>
      <c r="K772" t="s">
        <v>589</v>
      </c>
    </row>
    <row r="773" spans="1:11">
      <c r="A773" t="s">
        <v>571</v>
      </c>
      <c r="B773" t="s">
        <v>499</v>
      </c>
      <c r="C773" t="s">
        <v>575</v>
      </c>
      <c r="D773" s="15">
        <v>-0.16800000000000001</v>
      </c>
      <c r="E773" s="15">
        <v>-1E-3</v>
      </c>
      <c r="F773" s="15">
        <v>-0.254</v>
      </c>
      <c r="G773" s="15">
        <v>-8.5000000000000006E-2</v>
      </c>
      <c r="H773" s="15">
        <v>-0.14099999999999999</v>
      </c>
      <c r="I773" s="15">
        <v>0.14099999999999999</v>
      </c>
      <c r="J773" t="s">
        <v>412</v>
      </c>
      <c r="K773" t="s">
        <v>589</v>
      </c>
    </row>
    <row r="774" spans="1:11">
      <c r="A774" t="s">
        <v>479</v>
      </c>
      <c r="B774" t="s">
        <v>596</v>
      </c>
      <c r="C774" t="s">
        <v>594</v>
      </c>
      <c r="D774" s="15">
        <v>8.5000000000000006E-2</v>
      </c>
      <c r="E774" s="15">
        <v>0.28599999999999998</v>
      </c>
      <c r="F774" s="15">
        <v>0.05</v>
      </c>
      <c r="G774" s="15">
        <v>0.185</v>
      </c>
      <c r="H774" s="15">
        <v>0.14000000000000001</v>
      </c>
      <c r="I774" s="15">
        <v>0.14000000000000001</v>
      </c>
      <c r="J774" t="s">
        <v>412</v>
      </c>
      <c r="K774" t="s">
        <v>551</v>
      </c>
    </row>
    <row r="775" spans="1:11">
      <c r="A775" t="s">
        <v>573</v>
      </c>
      <c r="B775" t="s">
        <v>517</v>
      </c>
      <c r="C775" t="s">
        <v>582</v>
      </c>
      <c r="D775" s="15">
        <v>0.28599999999999998</v>
      </c>
      <c r="E775" s="15">
        <v>7.4999999999999997E-2</v>
      </c>
      <c r="F775" s="15">
        <v>5.8000000000000003E-2</v>
      </c>
      <c r="G775" s="15">
        <v>0.18</v>
      </c>
      <c r="H775" s="15">
        <v>0.14000000000000001</v>
      </c>
      <c r="I775" s="15">
        <v>0.14000000000000001</v>
      </c>
      <c r="J775" t="s">
        <v>412</v>
      </c>
      <c r="K775" t="s">
        <v>551</v>
      </c>
    </row>
    <row r="776" spans="1:11">
      <c r="A776" t="s">
        <v>573</v>
      </c>
      <c r="B776" t="s">
        <v>550</v>
      </c>
      <c r="C776" t="s">
        <v>591</v>
      </c>
      <c r="D776" s="15">
        <v>0.123</v>
      </c>
      <c r="E776" s="15">
        <v>0.19800000000000001</v>
      </c>
      <c r="F776" s="15">
        <v>9.9000000000000005E-2</v>
      </c>
      <c r="G776" s="15">
        <v>0.161</v>
      </c>
      <c r="H776" s="15">
        <v>0.14000000000000001</v>
      </c>
      <c r="I776" s="15">
        <v>0.14000000000000001</v>
      </c>
      <c r="J776" t="s">
        <v>412</v>
      </c>
      <c r="K776" t="s">
        <v>551</v>
      </c>
    </row>
    <row r="777" spans="1:11">
      <c r="A777" t="s">
        <v>479</v>
      </c>
      <c r="B777" t="s">
        <v>574</v>
      </c>
      <c r="C777" t="s">
        <v>492</v>
      </c>
      <c r="D777" s="15">
        <v>5.8999999999999997E-2</v>
      </c>
      <c r="E777" s="15">
        <v>-6.6000000000000003E-2</v>
      </c>
      <c r="F777" s="15">
        <v>0.29499999999999998</v>
      </c>
      <c r="G777" s="15">
        <v>-4.0000000000000001E-3</v>
      </c>
      <c r="H777" s="15">
        <v>9.6000000000000002E-2</v>
      </c>
      <c r="I777" s="15">
        <v>0.14000000000000001</v>
      </c>
      <c r="J777" t="s">
        <v>412</v>
      </c>
      <c r="K777" t="s">
        <v>480</v>
      </c>
    </row>
    <row r="778" spans="1:11">
      <c r="A778" t="s">
        <v>506</v>
      </c>
      <c r="B778" t="s">
        <v>598</v>
      </c>
      <c r="C778" t="s">
        <v>591</v>
      </c>
      <c r="D778" s="15">
        <v>0.20899999999999999</v>
      </c>
      <c r="E778" s="15">
        <v>0.13</v>
      </c>
      <c r="F778" s="15">
        <v>-8.2000000000000003E-2</v>
      </c>
      <c r="G778" s="15">
        <v>0.16900000000000001</v>
      </c>
      <c r="H778" s="15">
        <v>8.5999999999999993E-2</v>
      </c>
      <c r="I778" s="15">
        <v>0.14000000000000001</v>
      </c>
      <c r="J778" t="s">
        <v>412</v>
      </c>
      <c r="K778" t="s">
        <v>493</v>
      </c>
    </row>
    <row r="779" spans="1:11">
      <c r="A779" t="s">
        <v>571</v>
      </c>
      <c r="B779" t="s">
        <v>580</v>
      </c>
      <c r="C779" t="s">
        <v>584</v>
      </c>
      <c r="D779" s="15">
        <v>-0.108</v>
      </c>
      <c r="E779" s="15">
        <v>0.26200000000000001</v>
      </c>
      <c r="F779" s="15">
        <v>0.05</v>
      </c>
      <c r="G779" s="15">
        <v>7.6999999999999999E-2</v>
      </c>
      <c r="H779" s="15">
        <v>6.8000000000000005E-2</v>
      </c>
      <c r="I779" s="15">
        <v>0.14000000000000001</v>
      </c>
      <c r="J779" t="s">
        <v>412</v>
      </c>
      <c r="K779" t="s">
        <v>487</v>
      </c>
    </row>
    <row r="780" spans="1:11">
      <c r="A780" t="s">
        <v>479</v>
      </c>
      <c r="B780" t="s">
        <v>498</v>
      </c>
      <c r="C780" t="s">
        <v>582</v>
      </c>
      <c r="D780" s="15">
        <v>-0.127</v>
      </c>
      <c r="E780" s="15">
        <v>7.6999999999999999E-2</v>
      </c>
      <c r="F780" s="15">
        <v>0.217</v>
      </c>
      <c r="G780" s="15">
        <v>-2.5000000000000001E-2</v>
      </c>
      <c r="H780" s="15">
        <v>5.6000000000000001E-2</v>
      </c>
      <c r="I780" s="15">
        <v>0.14000000000000001</v>
      </c>
      <c r="J780" t="s">
        <v>412</v>
      </c>
      <c r="K780" t="s">
        <v>487</v>
      </c>
    </row>
    <row r="781" spans="1:11">
      <c r="A781" t="s">
        <v>576</v>
      </c>
      <c r="B781" t="s">
        <v>550</v>
      </c>
      <c r="C781" t="s">
        <v>584</v>
      </c>
      <c r="D781" s="15">
        <v>-0.1</v>
      </c>
      <c r="E781" s="15">
        <v>-0.03</v>
      </c>
      <c r="F781" s="15">
        <v>0.28999999999999998</v>
      </c>
      <c r="G781" s="15">
        <v>-6.5000000000000002E-2</v>
      </c>
      <c r="H781" s="15">
        <v>5.2999999999999999E-2</v>
      </c>
      <c r="I781" s="15">
        <v>0.14000000000000001</v>
      </c>
      <c r="J781" t="s">
        <v>412</v>
      </c>
      <c r="K781" t="s">
        <v>510</v>
      </c>
    </row>
    <row r="782" spans="1:11">
      <c r="A782" t="s">
        <v>577</v>
      </c>
      <c r="B782" t="s">
        <v>597</v>
      </c>
      <c r="C782" t="s">
        <v>572</v>
      </c>
      <c r="D782" s="15">
        <v>-0.14399999999999999</v>
      </c>
      <c r="E782" s="15">
        <v>6.6000000000000003E-2</v>
      </c>
      <c r="F782" s="15">
        <v>0.21</v>
      </c>
      <c r="G782" s="15">
        <v>-3.9E-2</v>
      </c>
      <c r="H782" s="15">
        <v>4.3999999999999997E-2</v>
      </c>
      <c r="I782" s="15">
        <v>0.14000000000000001</v>
      </c>
      <c r="J782" t="s">
        <v>412</v>
      </c>
      <c r="K782" t="s">
        <v>487</v>
      </c>
    </row>
    <row r="783" spans="1:11">
      <c r="A783" t="s">
        <v>571</v>
      </c>
      <c r="B783" t="s">
        <v>597</v>
      </c>
      <c r="C783" t="s">
        <v>572</v>
      </c>
      <c r="D783" s="15">
        <v>-0.16300000000000001</v>
      </c>
      <c r="E783" s="15">
        <v>4.7E-2</v>
      </c>
      <c r="F783" s="15">
        <v>0.21</v>
      </c>
      <c r="G783" s="15">
        <v>-5.8000000000000003E-2</v>
      </c>
      <c r="H783" s="15">
        <v>3.1E-2</v>
      </c>
      <c r="I783" s="15">
        <v>0.14000000000000001</v>
      </c>
      <c r="J783" t="s">
        <v>412</v>
      </c>
      <c r="K783" t="s">
        <v>487</v>
      </c>
    </row>
    <row r="784" spans="1:11">
      <c r="A784" t="s">
        <v>577</v>
      </c>
      <c r="B784" t="s">
        <v>581</v>
      </c>
      <c r="C784" t="s">
        <v>584</v>
      </c>
      <c r="D784" s="15">
        <v>0.182</v>
      </c>
      <c r="E784" s="15">
        <v>-4.5999999999999999E-2</v>
      </c>
      <c r="F784" s="15">
        <v>-0.193</v>
      </c>
      <c r="G784" s="15">
        <v>6.8000000000000005E-2</v>
      </c>
      <c r="H784" s="15">
        <v>-1.9E-2</v>
      </c>
      <c r="I784" s="15">
        <v>0.14000000000000001</v>
      </c>
      <c r="J784" t="s">
        <v>412</v>
      </c>
      <c r="K784" t="s">
        <v>579</v>
      </c>
    </row>
    <row r="785" spans="1:11">
      <c r="A785" t="s">
        <v>479</v>
      </c>
      <c r="B785" t="s">
        <v>498</v>
      </c>
      <c r="C785" t="s">
        <v>585</v>
      </c>
      <c r="D785" s="15">
        <v>-0.123</v>
      </c>
      <c r="E785" s="15">
        <v>7.6999999999999999E-2</v>
      </c>
      <c r="F785" s="15">
        <v>-0.221</v>
      </c>
      <c r="G785" s="15">
        <v>-2.3E-2</v>
      </c>
      <c r="H785" s="15">
        <v>-8.8999999999999996E-2</v>
      </c>
      <c r="I785" s="15">
        <v>0.14000000000000001</v>
      </c>
      <c r="J785" t="s">
        <v>412</v>
      </c>
      <c r="K785" t="s">
        <v>500</v>
      </c>
    </row>
    <row r="786" spans="1:11">
      <c r="A786" t="s">
        <v>576</v>
      </c>
      <c r="B786" t="s">
        <v>569</v>
      </c>
      <c r="C786" t="s">
        <v>582</v>
      </c>
      <c r="D786" s="15">
        <v>7.6999999999999999E-2</v>
      </c>
      <c r="E786" s="15">
        <v>-5.3999999999999999E-2</v>
      </c>
      <c r="F786" s="15">
        <v>-0.28999999999999998</v>
      </c>
      <c r="G786" s="15">
        <v>1.2E-2</v>
      </c>
      <c r="H786" s="15">
        <v>-8.8999999999999996E-2</v>
      </c>
      <c r="I786" s="15">
        <v>0.14000000000000001</v>
      </c>
      <c r="J786" t="s">
        <v>412</v>
      </c>
      <c r="K786" t="s">
        <v>579</v>
      </c>
    </row>
    <row r="787" spans="1:11">
      <c r="A787" t="s">
        <v>577</v>
      </c>
      <c r="B787" t="s">
        <v>590</v>
      </c>
      <c r="C787" t="s">
        <v>572</v>
      </c>
      <c r="D787" s="15">
        <v>-0.14399999999999999</v>
      </c>
      <c r="E787" s="15">
        <v>4.4999999999999998E-2</v>
      </c>
      <c r="F787" s="15">
        <v>-0.23</v>
      </c>
      <c r="G787" s="15">
        <v>-0.05</v>
      </c>
      <c r="H787" s="15">
        <v>-0.11</v>
      </c>
      <c r="I787" s="15">
        <v>0.14000000000000001</v>
      </c>
      <c r="J787" t="s">
        <v>412</v>
      </c>
      <c r="K787" t="s">
        <v>500</v>
      </c>
    </row>
    <row r="788" spans="1:11">
      <c r="A788" t="s">
        <v>573</v>
      </c>
      <c r="B788" t="s">
        <v>578</v>
      </c>
      <c r="C788" t="s">
        <v>583</v>
      </c>
      <c r="D788" s="15">
        <v>7.3999999999999996E-2</v>
      </c>
      <c r="E788" s="15">
        <v>4.8000000000000001E-2</v>
      </c>
      <c r="F788" s="15">
        <v>0.29499999999999998</v>
      </c>
      <c r="G788" s="15">
        <v>6.0999999999999999E-2</v>
      </c>
      <c r="H788" s="15">
        <v>0.13900000000000001</v>
      </c>
      <c r="I788" s="15">
        <v>0.13900000000000001</v>
      </c>
      <c r="J788" t="s">
        <v>412</v>
      </c>
      <c r="K788" t="s">
        <v>551</v>
      </c>
    </row>
    <row r="789" spans="1:11">
      <c r="A789" t="s">
        <v>571</v>
      </c>
      <c r="B789" t="s">
        <v>498</v>
      </c>
      <c r="C789" t="s">
        <v>582</v>
      </c>
      <c r="D789" s="15">
        <v>9.1999999999999998E-2</v>
      </c>
      <c r="E789" s="15">
        <v>0.11</v>
      </c>
      <c r="F789" s="15">
        <v>0.217</v>
      </c>
      <c r="G789" s="15">
        <v>0.10100000000000001</v>
      </c>
      <c r="H789" s="15">
        <v>0.13900000000000001</v>
      </c>
      <c r="I789" s="15">
        <v>0.13900000000000001</v>
      </c>
      <c r="J789" t="s">
        <v>412</v>
      </c>
      <c r="K789" t="s">
        <v>551</v>
      </c>
    </row>
    <row r="790" spans="1:11">
      <c r="A790" t="s">
        <v>571</v>
      </c>
      <c r="B790" t="s">
        <v>590</v>
      </c>
      <c r="C790" t="s">
        <v>477</v>
      </c>
      <c r="D790" s="15">
        <v>0.13300000000000001</v>
      </c>
      <c r="E790" s="15">
        <v>6.2E-2</v>
      </c>
      <c r="F790" s="15">
        <v>0.221</v>
      </c>
      <c r="G790" s="15">
        <v>9.7000000000000003E-2</v>
      </c>
      <c r="H790" s="15">
        <v>0.13900000000000001</v>
      </c>
      <c r="I790" s="15">
        <v>0.13900000000000001</v>
      </c>
      <c r="J790" t="s">
        <v>412</v>
      </c>
      <c r="K790" t="s">
        <v>551</v>
      </c>
    </row>
    <row r="791" spans="1:11">
      <c r="A791" t="s">
        <v>506</v>
      </c>
      <c r="B791" t="s">
        <v>595</v>
      </c>
      <c r="C791" t="s">
        <v>582</v>
      </c>
      <c r="D791" s="15">
        <v>0.34100000000000003</v>
      </c>
      <c r="E791" s="15">
        <v>-6.0999999999999999E-2</v>
      </c>
      <c r="F791" s="15">
        <v>1.4999999999999999E-2</v>
      </c>
      <c r="G791" s="15">
        <v>0.14000000000000001</v>
      </c>
      <c r="H791" s="15">
        <v>9.8000000000000004E-2</v>
      </c>
      <c r="I791" s="15">
        <v>0.13900000000000001</v>
      </c>
      <c r="J791" t="s">
        <v>412</v>
      </c>
      <c r="K791" t="s">
        <v>480</v>
      </c>
    </row>
    <row r="792" spans="1:11">
      <c r="A792" t="s">
        <v>577</v>
      </c>
      <c r="B792" t="s">
        <v>478</v>
      </c>
      <c r="C792" t="s">
        <v>570</v>
      </c>
      <c r="D792" s="15">
        <v>-8.8999999999999996E-2</v>
      </c>
      <c r="E792" s="15">
        <v>-5.3999999999999999E-2</v>
      </c>
      <c r="F792" s="15">
        <v>0.27400000000000002</v>
      </c>
      <c r="G792" s="15">
        <v>-7.1999999999999995E-2</v>
      </c>
      <c r="H792" s="15">
        <v>4.2999999999999997E-2</v>
      </c>
      <c r="I792" s="15">
        <v>0.13900000000000001</v>
      </c>
      <c r="J792" t="s">
        <v>412</v>
      </c>
      <c r="K792" t="s">
        <v>510</v>
      </c>
    </row>
    <row r="793" spans="1:11">
      <c r="A793" t="s">
        <v>479</v>
      </c>
      <c r="B793" t="s">
        <v>590</v>
      </c>
      <c r="C793" t="s">
        <v>575</v>
      </c>
      <c r="D793" s="15">
        <v>-0.22500000000000001</v>
      </c>
      <c r="E793" s="15">
        <v>0.17899999999999999</v>
      </c>
      <c r="F793" s="15">
        <v>1.2999999999999999E-2</v>
      </c>
      <c r="G793" s="15">
        <v>-2.3E-2</v>
      </c>
      <c r="H793" s="15">
        <v>-1.0999999999999999E-2</v>
      </c>
      <c r="I793" s="15">
        <v>0.13900000000000001</v>
      </c>
      <c r="J793" t="s">
        <v>412</v>
      </c>
      <c r="K793" t="s">
        <v>487</v>
      </c>
    </row>
    <row r="794" spans="1:11">
      <c r="A794" t="s">
        <v>573</v>
      </c>
      <c r="B794" t="s">
        <v>587</v>
      </c>
      <c r="C794" t="s">
        <v>593</v>
      </c>
      <c r="D794" s="15">
        <v>2.8000000000000001E-2</v>
      </c>
      <c r="E794" s="15">
        <v>0.16200000000000001</v>
      </c>
      <c r="F794" s="15">
        <v>-0.22800000000000001</v>
      </c>
      <c r="G794" s="15">
        <v>9.5000000000000001E-2</v>
      </c>
      <c r="H794" s="15">
        <v>-1.2999999999999999E-2</v>
      </c>
      <c r="I794" s="15">
        <v>0.13900000000000001</v>
      </c>
      <c r="J794" t="s">
        <v>412</v>
      </c>
      <c r="K794" t="s">
        <v>493</v>
      </c>
    </row>
    <row r="795" spans="1:11">
      <c r="A795" t="s">
        <v>479</v>
      </c>
      <c r="B795" t="s">
        <v>499</v>
      </c>
      <c r="C795" t="s">
        <v>591</v>
      </c>
      <c r="D795" s="15">
        <v>9.4E-2</v>
      </c>
      <c r="E795" s="15">
        <v>6.6000000000000003E-2</v>
      </c>
      <c r="F795" s="15">
        <v>-0.25700000000000001</v>
      </c>
      <c r="G795" s="15">
        <v>0.08</v>
      </c>
      <c r="H795" s="15">
        <v>-3.2000000000000001E-2</v>
      </c>
      <c r="I795" s="15">
        <v>0.13900000000000001</v>
      </c>
      <c r="J795" t="s">
        <v>412</v>
      </c>
      <c r="K795" t="s">
        <v>493</v>
      </c>
    </row>
    <row r="796" spans="1:11">
      <c r="A796" t="s">
        <v>479</v>
      </c>
      <c r="B796" t="s">
        <v>569</v>
      </c>
      <c r="C796" t="s">
        <v>492</v>
      </c>
      <c r="D796" s="15">
        <v>5.8999999999999997E-2</v>
      </c>
      <c r="E796" s="15">
        <v>-0.30099999999999999</v>
      </c>
      <c r="F796" s="15">
        <v>5.7000000000000002E-2</v>
      </c>
      <c r="G796" s="15">
        <v>-0.121</v>
      </c>
      <c r="H796" s="15">
        <v>-6.2E-2</v>
      </c>
      <c r="I796" s="15">
        <v>0.13900000000000001</v>
      </c>
      <c r="J796" t="s">
        <v>412</v>
      </c>
      <c r="K796" t="s">
        <v>480</v>
      </c>
    </row>
    <row r="797" spans="1:11">
      <c r="A797" t="s">
        <v>547</v>
      </c>
      <c r="B797" t="s">
        <v>499</v>
      </c>
      <c r="C797" t="s">
        <v>477</v>
      </c>
      <c r="D797" s="15">
        <v>6.4000000000000001E-2</v>
      </c>
      <c r="E797" s="15">
        <v>-7.0999999999999994E-2</v>
      </c>
      <c r="F797" s="15">
        <v>-0.28000000000000003</v>
      </c>
      <c r="G797" s="15">
        <v>-4.0000000000000001E-3</v>
      </c>
      <c r="H797" s="15">
        <v>-9.6000000000000002E-2</v>
      </c>
      <c r="I797" s="15">
        <v>0.13900000000000001</v>
      </c>
      <c r="J797" t="s">
        <v>412</v>
      </c>
      <c r="K797" t="s">
        <v>579</v>
      </c>
    </row>
    <row r="798" spans="1:11">
      <c r="A798" t="s">
        <v>479</v>
      </c>
      <c r="B798" t="s">
        <v>588</v>
      </c>
      <c r="C798" t="s">
        <v>492</v>
      </c>
      <c r="D798" s="15">
        <v>5.8999999999999997E-2</v>
      </c>
      <c r="E798" s="15">
        <v>-1.7000000000000001E-2</v>
      </c>
      <c r="F798" s="15">
        <v>-0.34300000000000003</v>
      </c>
      <c r="G798" s="15">
        <v>2.1000000000000001E-2</v>
      </c>
      <c r="H798" s="15">
        <v>-0.1</v>
      </c>
      <c r="I798" s="15">
        <v>0.13900000000000001</v>
      </c>
      <c r="J798" t="s">
        <v>412</v>
      </c>
      <c r="K798" t="s">
        <v>579</v>
      </c>
    </row>
    <row r="799" spans="1:11">
      <c r="A799" t="s">
        <v>577</v>
      </c>
      <c r="B799" t="s">
        <v>574</v>
      </c>
      <c r="C799" t="s">
        <v>593</v>
      </c>
      <c r="D799" s="15">
        <v>3.7999999999999999E-2</v>
      </c>
      <c r="E799" s="15">
        <v>-4.0000000000000001E-3</v>
      </c>
      <c r="F799" s="15">
        <v>-0.376</v>
      </c>
      <c r="G799" s="15">
        <v>1.7000000000000001E-2</v>
      </c>
      <c r="H799" s="15">
        <v>-0.114</v>
      </c>
      <c r="I799" s="15">
        <v>0.13900000000000001</v>
      </c>
      <c r="J799" t="s">
        <v>412</v>
      </c>
      <c r="K799" t="s">
        <v>579</v>
      </c>
    </row>
    <row r="800" spans="1:11">
      <c r="A800" t="s">
        <v>577</v>
      </c>
      <c r="B800" t="s">
        <v>587</v>
      </c>
      <c r="C800" t="s">
        <v>593</v>
      </c>
      <c r="D800" s="15">
        <v>3.7999999999999999E-2</v>
      </c>
      <c r="E800" s="15">
        <v>-0.15</v>
      </c>
      <c r="F800" s="15">
        <v>-0.22800000000000001</v>
      </c>
      <c r="G800" s="15">
        <v>-5.6000000000000001E-2</v>
      </c>
      <c r="H800" s="15">
        <v>-0.114</v>
      </c>
      <c r="I800" s="15">
        <v>0.13900000000000001</v>
      </c>
      <c r="J800" t="s">
        <v>412</v>
      </c>
      <c r="K800" t="s">
        <v>579</v>
      </c>
    </row>
    <row r="801" spans="1:11">
      <c r="A801" t="s">
        <v>573</v>
      </c>
      <c r="B801" t="s">
        <v>499</v>
      </c>
      <c r="C801" t="s">
        <v>593</v>
      </c>
      <c r="D801" s="15">
        <v>2.8000000000000001E-2</v>
      </c>
      <c r="E801" s="15">
        <v>-8.8999999999999996E-2</v>
      </c>
      <c r="F801" s="15">
        <v>-0.3</v>
      </c>
      <c r="G801" s="15">
        <v>-0.03</v>
      </c>
      <c r="H801" s="15">
        <v>-0.12</v>
      </c>
      <c r="I801" s="15">
        <v>0.13900000000000001</v>
      </c>
      <c r="J801" t="s">
        <v>412</v>
      </c>
      <c r="K801" t="s">
        <v>579</v>
      </c>
    </row>
    <row r="802" spans="1:11">
      <c r="A802" t="s">
        <v>573</v>
      </c>
      <c r="B802" t="s">
        <v>478</v>
      </c>
      <c r="C802" t="s">
        <v>572</v>
      </c>
      <c r="D802" s="15">
        <v>-0.20799999999999999</v>
      </c>
      <c r="E802" s="15">
        <v>-0.20399999999999999</v>
      </c>
      <c r="F802" s="15">
        <v>4.0000000000000001E-3</v>
      </c>
      <c r="G802" s="15">
        <v>-0.20599999999999999</v>
      </c>
      <c r="H802" s="15">
        <v>-0.13600000000000001</v>
      </c>
      <c r="I802" s="15">
        <v>0.13900000000000001</v>
      </c>
      <c r="J802" t="s">
        <v>412</v>
      </c>
      <c r="K802" t="s">
        <v>510</v>
      </c>
    </row>
    <row r="803" spans="1:11">
      <c r="A803" t="s">
        <v>573</v>
      </c>
      <c r="B803" t="s">
        <v>505</v>
      </c>
      <c r="C803" t="s">
        <v>572</v>
      </c>
      <c r="D803" s="15">
        <v>-0.20799999999999999</v>
      </c>
      <c r="E803" s="15">
        <v>-0.20300000000000001</v>
      </c>
      <c r="F803" s="15">
        <v>-7.0000000000000001E-3</v>
      </c>
      <c r="G803" s="15">
        <v>-0.20499999999999999</v>
      </c>
      <c r="H803" s="15">
        <v>-0.13900000000000001</v>
      </c>
      <c r="I803" s="15">
        <v>0.13900000000000001</v>
      </c>
      <c r="J803" t="s">
        <v>412</v>
      </c>
      <c r="K803" t="s">
        <v>589</v>
      </c>
    </row>
    <row r="804" spans="1:11">
      <c r="A804" t="s">
        <v>573</v>
      </c>
      <c r="B804" t="s">
        <v>550</v>
      </c>
      <c r="C804" t="s">
        <v>583</v>
      </c>
      <c r="D804" s="15">
        <v>7.3999999999999996E-2</v>
      </c>
      <c r="E804" s="15">
        <v>0.19800000000000001</v>
      </c>
      <c r="F804" s="15">
        <v>0.14299999999999999</v>
      </c>
      <c r="G804" s="15">
        <v>0.13600000000000001</v>
      </c>
      <c r="H804" s="15">
        <v>0.13800000000000001</v>
      </c>
      <c r="I804" s="15">
        <v>0.13800000000000001</v>
      </c>
      <c r="J804" t="s">
        <v>412</v>
      </c>
      <c r="K804" t="s">
        <v>551</v>
      </c>
    </row>
    <row r="805" spans="1:11">
      <c r="A805" t="s">
        <v>573</v>
      </c>
      <c r="B805" t="s">
        <v>595</v>
      </c>
      <c r="C805" t="s">
        <v>584</v>
      </c>
      <c r="D805" s="15">
        <v>0.26500000000000001</v>
      </c>
      <c r="E805" s="15">
        <v>-9.0999999999999998E-2</v>
      </c>
      <c r="F805" s="15">
        <v>-5.8999999999999997E-2</v>
      </c>
      <c r="G805" s="15">
        <v>8.6999999999999994E-2</v>
      </c>
      <c r="H805" s="15">
        <v>3.7999999999999999E-2</v>
      </c>
      <c r="I805" s="15">
        <v>0.13800000000000001</v>
      </c>
      <c r="J805" t="s">
        <v>412</v>
      </c>
      <c r="K805" t="s">
        <v>579</v>
      </c>
    </row>
    <row r="806" spans="1:11">
      <c r="A806" t="s">
        <v>577</v>
      </c>
      <c r="B806" t="s">
        <v>581</v>
      </c>
      <c r="C806" t="s">
        <v>572</v>
      </c>
      <c r="D806" s="15">
        <v>-0.14399999999999999</v>
      </c>
      <c r="E806" s="15">
        <v>-4.5999999999999999E-2</v>
      </c>
      <c r="F806" s="15">
        <v>0.22500000000000001</v>
      </c>
      <c r="G806" s="15">
        <v>-9.5000000000000001E-2</v>
      </c>
      <c r="H806" s="15">
        <v>1.2E-2</v>
      </c>
      <c r="I806" s="15">
        <v>0.13800000000000001</v>
      </c>
      <c r="J806" t="s">
        <v>412</v>
      </c>
      <c r="K806" t="s">
        <v>510</v>
      </c>
    </row>
    <row r="807" spans="1:11">
      <c r="A807" t="s">
        <v>486</v>
      </c>
      <c r="B807" t="s">
        <v>523</v>
      </c>
      <c r="C807" t="s">
        <v>591</v>
      </c>
      <c r="D807" s="15">
        <v>-0.02</v>
      </c>
      <c r="E807" s="15">
        <v>-0.21099999999999999</v>
      </c>
      <c r="F807" s="15">
        <v>0.184</v>
      </c>
      <c r="G807" s="15">
        <v>-0.11600000000000001</v>
      </c>
      <c r="H807" s="15">
        <v>-1.6E-2</v>
      </c>
      <c r="I807" s="15">
        <v>0.13800000000000001</v>
      </c>
      <c r="J807" t="s">
        <v>412</v>
      </c>
      <c r="K807" t="s">
        <v>510</v>
      </c>
    </row>
    <row r="808" spans="1:11">
      <c r="A808" t="s">
        <v>486</v>
      </c>
      <c r="B808" t="s">
        <v>505</v>
      </c>
      <c r="C808" t="s">
        <v>585</v>
      </c>
      <c r="D808" s="15">
        <v>-0.27</v>
      </c>
      <c r="E808" s="15">
        <v>8.9999999999999993E-3</v>
      </c>
      <c r="F808" s="15">
        <v>0.13500000000000001</v>
      </c>
      <c r="G808" s="15">
        <v>-0.13100000000000001</v>
      </c>
      <c r="H808" s="15">
        <v>-4.2000000000000003E-2</v>
      </c>
      <c r="I808" s="15">
        <v>0.13800000000000001</v>
      </c>
      <c r="J808" t="s">
        <v>412</v>
      </c>
      <c r="K808" t="s">
        <v>487</v>
      </c>
    </row>
    <row r="809" spans="1:11">
      <c r="A809" t="s">
        <v>506</v>
      </c>
      <c r="B809" t="s">
        <v>596</v>
      </c>
      <c r="C809" t="s">
        <v>477</v>
      </c>
      <c r="D809" s="15">
        <v>0.14399999999999999</v>
      </c>
      <c r="E809" s="15">
        <v>-6.0000000000000001E-3</v>
      </c>
      <c r="F809" s="15">
        <v>-0.26400000000000001</v>
      </c>
      <c r="G809" s="15">
        <v>6.9000000000000006E-2</v>
      </c>
      <c r="H809" s="15">
        <v>-4.2000000000000003E-2</v>
      </c>
      <c r="I809" s="15">
        <v>0.13800000000000001</v>
      </c>
      <c r="J809" t="s">
        <v>412</v>
      </c>
      <c r="K809" t="s">
        <v>579</v>
      </c>
    </row>
    <row r="810" spans="1:11">
      <c r="A810" t="s">
        <v>486</v>
      </c>
      <c r="B810" t="s">
        <v>581</v>
      </c>
      <c r="C810" t="s">
        <v>584</v>
      </c>
      <c r="D810" s="15">
        <v>-7.9000000000000001E-2</v>
      </c>
      <c r="E810" s="15">
        <v>0.14199999999999999</v>
      </c>
      <c r="F810" s="15">
        <v>-0.193</v>
      </c>
      <c r="G810" s="15">
        <v>3.2000000000000001E-2</v>
      </c>
      <c r="H810" s="15">
        <v>-4.2999999999999997E-2</v>
      </c>
      <c r="I810" s="15">
        <v>0.13800000000000001</v>
      </c>
      <c r="J810" t="s">
        <v>412</v>
      </c>
      <c r="K810" t="s">
        <v>500</v>
      </c>
    </row>
    <row r="811" spans="1:11">
      <c r="A811" t="s">
        <v>571</v>
      </c>
      <c r="B811" t="s">
        <v>499</v>
      </c>
      <c r="C811" t="s">
        <v>477</v>
      </c>
      <c r="D811" s="15">
        <v>0.13300000000000001</v>
      </c>
      <c r="E811" s="15">
        <v>-1E-3</v>
      </c>
      <c r="F811" s="15">
        <v>-0.28000000000000003</v>
      </c>
      <c r="G811" s="15">
        <v>6.6000000000000003E-2</v>
      </c>
      <c r="H811" s="15">
        <v>-4.9000000000000002E-2</v>
      </c>
      <c r="I811" s="15">
        <v>0.13800000000000001</v>
      </c>
      <c r="J811" t="s">
        <v>412</v>
      </c>
      <c r="K811" t="s">
        <v>579</v>
      </c>
    </row>
    <row r="812" spans="1:11">
      <c r="A812" t="s">
        <v>547</v>
      </c>
      <c r="B812" t="s">
        <v>587</v>
      </c>
      <c r="C812" t="s">
        <v>583</v>
      </c>
      <c r="D812" s="15">
        <v>-0.03</v>
      </c>
      <c r="E812" s="15">
        <v>0.13</v>
      </c>
      <c r="F812" s="15">
        <v>-0.254</v>
      </c>
      <c r="G812" s="15">
        <v>0.05</v>
      </c>
      <c r="H812" s="15">
        <v>-5.0999999999999997E-2</v>
      </c>
      <c r="I812" s="15">
        <v>0.13800000000000001</v>
      </c>
      <c r="J812" t="s">
        <v>412</v>
      </c>
      <c r="K812" t="s">
        <v>500</v>
      </c>
    </row>
    <row r="813" spans="1:11">
      <c r="A813" t="s">
        <v>506</v>
      </c>
      <c r="B813" t="s">
        <v>580</v>
      </c>
      <c r="C813" t="s">
        <v>572</v>
      </c>
      <c r="D813" s="15">
        <v>-0.11899999999999999</v>
      </c>
      <c r="E813" s="15">
        <v>5.0999999999999997E-2</v>
      </c>
      <c r="F813" s="15">
        <v>-0.245</v>
      </c>
      <c r="G813" s="15">
        <v>-3.4000000000000002E-2</v>
      </c>
      <c r="H813" s="15">
        <v>-0.104</v>
      </c>
      <c r="I813" s="15">
        <v>0.13800000000000001</v>
      </c>
      <c r="J813" t="s">
        <v>412</v>
      </c>
      <c r="K813" t="s">
        <v>500</v>
      </c>
    </row>
    <row r="814" spans="1:11">
      <c r="A814" t="s">
        <v>573</v>
      </c>
      <c r="B814" t="s">
        <v>509</v>
      </c>
      <c r="C814" t="s">
        <v>572</v>
      </c>
      <c r="D814" s="15">
        <v>-0.20799999999999999</v>
      </c>
      <c r="E814" s="15">
        <v>-6.3E-2</v>
      </c>
      <c r="F814" s="15">
        <v>-0.14199999999999999</v>
      </c>
      <c r="G814" s="15">
        <v>-0.13600000000000001</v>
      </c>
      <c r="H814" s="15">
        <v>-0.13800000000000001</v>
      </c>
      <c r="I814" s="15">
        <v>0.13800000000000001</v>
      </c>
      <c r="J814" t="s">
        <v>412</v>
      </c>
      <c r="K814" t="s">
        <v>589</v>
      </c>
    </row>
    <row r="815" spans="1:11">
      <c r="A815" t="s">
        <v>577</v>
      </c>
      <c r="B815" t="s">
        <v>590</v>
      </c>
      <c r="C815" t="s">
        <v>594</v>
      </c>
      <c r="D815" s="15">
        <v>6.6000000000000003E-2</v>
      </c>
      <c r="E815" s="15">
        <v>4.4999999999999998E-2</v>
      </c>
      <c r="F815" s="15">
        <v>0.29899999999999999</v>
      </c>
      <c r="G815" s="15">
        <v>5.5E-2</v>
      </c>
      <c r="H815" s="15">
        <v>0.13700000000000001</v>
      </c>
      <c r="I815" s="15">
        <v>0.13700000000000001</v>
      </c>
      <c r="J815" t="s">
        <v>412</v>
      </c>
      <c r="K815" t="s">
        <v>551</v>
      </c>
    </row>
    <row r="816" spans="1:11">
      <c r="A816" t="s">
        <v>577</v>
      </c>
      <c r="B816" t="s">
        <v>595</v>
      </c>
      <c r="C816" t="s">
        <v>477</v>
      </c>
      <c r="D816" s="15">
        <v>0.246</v>
      </c>
      <c r="E816" s="15">
        <v>0.122</v>
      </c>
      <c r="F816" s="15">
        <v>4.2999999999999997E-2</v>
      </c>
      <c r="G816" s="15">
        <v>0.184</v>
      </c>
      <c r="H816" s="15">
        <v>0.13700000000000001</v>
      </c>
      <c r="I816" s="15">
        <v>0.13700000000000001</v>
      </c>
      <c r="J816" t="s">
        <v>412</v>
      </c>
      <c r="K816" t="s">
        <v>551</v>
      </c>
    </row>
    <row r="817" spans="1:11">
      <c r="A817" t="s">
        <v>486</v>
      </c>
      <c r="B817" t="s">
        <v>598</v>
      </c>
      <c r="C817" t="s">
        <v>492</v>
      </c>
      <c r="D817" s="15">
        <v>0.34899999999999998</v>
      </c>
      <c r="E817" s="15">
        <v>-7.0000000000000001E-3</v>
      </c>
      <c r="F817" s="15">
        <v>5.3999999999999999E-2</v>
      </c>
      <c r="G817" s="15">
        <v>0.17100000000000001</v>
      </c>
      <c r="H817" s="15">
        <v>0.13200000000000001</v>
      </c>
      <c r="I817" s="15">
        <v>0.13700000000000001</v>
      </c>
      <c r="J817" t="s">
        <v>412</v>
      </c>
      <c r="K817" t="s">
        <v>480</v>
      </c>
    </row>
    <row r="818" spans="1:11">
      <c r="A818" t="s">
        <v>571</v>
      </c>
      <c r="B818" t="s">
        <v>595</v>
      </c>
      <c r="C818" t="s">
        <v>492</v>
      </c>
      <c r="D818" s="15">
        <v>-6.5000000000000002E-2</v>
      </c>
      <c r="E818" s="15">
        <v>0.32600000000000001</v>
      </c>
      <c r="F818" s="15">
        <v>-1.9E-2</v>
      </c>
      <c r="G818" s="15">
        <v>0.13</v>
      </c>
      <c r="H818" s="15">
        <v>8.1000000000000003E-2</v>
      </c>
      <c r="I818" s="15">
        <v>0.13700000000000001</v>
      </c>
      <c r="J818" t="s">
        <v>412</v>
      </c>
      <c r="K818" t="s">
        <v>500</v>
      </c>
    </row>
    <row r="819" spans="1:11">
      <c r="A819" t="s">
        <v>573</v>
      </c>
      <c r="B819" t="s">
        <v>498</v>
      </c>
      <c r="C819" t="s">
        <v>477</v>
      </c>
      <c r="D819" s="15">
        <v>0.14599999999999999</v>
      </c>
      <c r="E819" s="15">
        <v>0.13100000000000001</v>
      </c>
      <c r="F819" s="15">
        <v>-0.13400000000000001</v>
      </c>
      <c r="G819" s="15">
        <v>0.13900000000000001</v>
      </c>
      <c r="H819" s="15">
        <v>4.8000000000000001E-2</v>
      </c>
      <c r="I819" s="15">
        <v>0.13700000000000001</v>
      </c>
      <c r="J819" t="s">
        <v>412</v>
      </c>
      <c r="K819" t="s">
        <v>493</v>
      </c>
    </row>
    <row r="820" spans="1:11">
      <c r="A820" t="s">
        <v>571</v>
      </c>
      <c r="B820" t="s">
        <v>580</v>
      </c>
      <c r="C820" t="s">
        <v>593</v>
      </c>
      <c r="D820" s="15">
        <v>-0.10100000000000001</v>
      </c>
      <c r="E820" s="15">
        <v>0.26200000000000001</v>
      </c>
      <c r="F820" s="15">
        <v>-4.8000000000000001E-2</v>
      </c>
      <c r="G820" s="15">
        <v>8.1000000000000003E-2</v>
      </c>
      <c r="H820" s="15">
        <v>3.7999999999999999E-2</v>
      </c>
      <c r="I820" s="15">
        <v>0.13700000000000001</v>
      </c>
      <c r="J820" t="s">
        <v>412</v>
      </c>
      <c r="K820" t="s">
        <v>500</v>
      </c>
    </row>
    <row r="821" spans="1:11">
      <c r="A821" t="s">
        <v>506</v>
      </c>
      <c r="B821" t="s">
        <v>574</v>
      </c>
      <c r="C821" t="s">
        <v>477</v>
      </c>
      <c r="D821" s="15">
        <v>0.14399999999999999</v>
      </c>
      <c r="E821" s="15">
        <v>3.5999999999999997E-2</v>
      </c>
      <c r="F821" s="15">
        <v>-0.23100000000000001</v>
      </c>
      <c r="G821" s="15">
        <v>0.09</v>
      </c>
      <c r="H821" s="15">
        <v>-1.7000000000000001E-2</v>
      </c>
      <c r="I821" s="15">
        <v>0.13700000000000001</v>
      </c>
      <c r="J821" t="s">
        <v>412</v>
      </c>
      <c r="K821" t="s">
        <v>493</v>
      </c>
    </row>
    <row r="822" spans="1:11">
      <c r="A822" t="s">
        <v>547</v>
      </c>
      <c r="B822" t="s">
        <v>505</v>
      </c>
      <c r="C822" t="s">
        <v>582</v>
      </c>
      <c r="D822" s="15">
        <v>0.14299999999999999</v>
      </c>
      <c r="E822" s="15">
        <v>-0.13600000000000001</v>
      </c>
      <c r="F822" s="15">
        <v>-0.13200000000000001</v>
      </c>
      <c r="G822" s="15">
        <v>4.0000000000000001E-3</v>
      </c>
      <c r="H822" s="15">
        <v>-4.1000000000000002E-2</v>
      </c>
      <c r="I822" s="15">
        <v>0.13700000000000001</v>
      </c>
      <c r="J822" t="s">
        <v>412</v>
      </c>
      <c r="K822" t="s">
        <v>579</v>
      </c>
    </row>
    <row r="823" spans="1:11">
      <c r="A823" t="s">
        <v>506</v>
      </c>
      <c r="B823" t="s">
        <v>569</v>
      </c>
      <c r="C823" t="s">
        <v>572</v>
      </c>
      <c r="D823" s="15">
        <v>-0.11899999999999999</v>
      </c>
      <c r="E823" s="15">
        <v>-0.22700000000000001</v>
      </c>
      <c r="F823" s="15">
        <v>6.7000000000000004E-2</v>
      </c>
      <c r="G823" s="15">
        <v>-0.17299999999999999</v>
      </c>
      <c r="H823" s="15">
        <v>-9.2999999999999999E-2</v>
      </c>
      <c r="I823" s="15">
        <v>0.13700000000000001</v>
      </c>
      <c r="J823" t="s">
        <v>412</v>
      </c>
      <c r="K823" t="s">
        <v>510</v>
      </c>
    </row>
    <row r="824" spans="1:11">
      <c r="A824" t="s">
        <v>577</v>
      </c>
      <c r="B824" t="s">
        <v>592</v>
      </c>
      <c r="C824" t="s">
        <v>492</v>
      </c>
      <c r="D824" s="15">
        <v>-0.28699999999999998</v>
      </c>
      <c r="E824" s="15">
        <v>-6.9000000000000006E-2</v>
      </c>
      <c r="F824" s="15">
        <v>5.5E-2</v>
      </c>
      <c r="G824" s="15">
        <v>-0.17799999999999999</v>
      </c>
      <c r="H824" s="15">
        <v>-0.1</v>
      </c>
      <c r="I824" s="15">
        <v>0.13700000000000001</v>
      </c>
      <c r="J824" t="s">
        <v>412</v>
      </c>
      <c r="K824" t="s">
        <v>510</v>
      </c>
    </row>
    <row r="825" spans="1:11">
      <c r="A825" t="s">
        <v>571</v>
      </c>
      <c r="B825" t="s">
        <v>581</v>
      </c>
      <c r="C825" t="s">
        <v>591</v>
      </c>
      <c r="D825" s="15">
        <v>6.6000000000000003E-2</v>
      </c>
      <c r="E825" s="15">
        <v>0.27500000000000002</v>
      </c>
      <c r="F825" s="15">
        <v>6.5000000000000002E-2</v>
      </c>
      <c r="G825" s="15">
        <v>0.17100000000000001</v>
      </c>
      <c r="H825" s="15">
        <v>0.13600000000000001</v>
      </c>
      <c r="I825" s="15">
        <v>0.13600000000000001</v>
      </c>
      <c r="J825" t="s">
        <v>412</v>
      </c>
      <c r="K825" t="s">
        <v>551</v>
      </c>
    </row>
    <row r="826" spans="1:11">
      <c r="A826" t="s">
        <v>571</v>
      </c>
      <c r="B826" t="s">
        <v>517</v>
      </c>
      <c r="C826" t="s">
        <v>477</v>
      </c>
      <c r="D826" s="15">
        <v>0.13300000000000001</v>
      </c>
      <c r="E826" s="15">
        <v>1.7999999999999999E-2</v>
      </c>
      <c r="F826" s="15">
        <v>0.25800000000000001</v>
      </c>
      <c r="G826" s="15">
        <v>7.4999999999999997E-2</v>
      </c>
      <c r="H826" s="15">
        <v>0.13600000000000001</v>
      </c>
      <c r="I826" s="15">
        <v>0.13600000000000001</v>
      </c>
      <c r="J826" t="s">
        <v>412</v>
      </c>
      <c r="K826" t="s">
        <v>551</v>
      </c>
    </row>
    <row r="827" spans="1:11">
      <c r="A827" t="s">
        <v>571</v>
      </c>
      <c r="B827" t="s">
        <v>580</v>
      </c>
      <c r="C827" t="s">
        <v>591</v>
      </c>
      <c r="D827" s="15">
        <v>6.6000000000000003E-2</v>
      </c>
      <c r="E827" s="15">
        <v>0.26200000000000001</v>
      </c>
      <c r="F827" s="15">
        <v>7.9000000000000001E-2</v>
      </c>
      <c r="G827" s="15">
        <v>0.16400000000000001</v>
      </c>
      <c r="H827" s="15">
        <v>0.13600000000000001</v>
      </c>
      <c r="I827" s="15">
        <v>0.13600000000000001</v>
      </c>
      <c r="J827" t="s">
        <v>412</v>
      </c>
      <c r="K827" t="s">
        <v>551</v>
      </c>
    </row>
    <row r="828" spans="1:11">
      <c r="A828" t="s">
        <v>506</v>
      </c>
      <c r="B828" t="s">
        <v>517</v>
      </c>
      <c r="C828" t="s">
        <v>584</v>
      </c>
      <c r="D828" s="15">
        <v>0.11899999999999999</v>
      </c>
      <c r="E828" s="15">
        <v>-6.5000000000000002E-2</v>
      </c>
      <c r="F828" s="15">
        <v>0.224</v>
      </c>
      <c r="G828" s="15">
        <v>2.7E-2</v>
      </c>
      <c r="H828" s="15">
        <v>9.2999999999999999E-2</v>
      </c>
      <c r="I828" s="15">
        <v>0.13600000000000001</v>
      </c>
      <c r="J828" t="s">
        <v>412</v>
      </c>
      <c r="K828" t="s">
        <v>480</v>
      </c>
    </row>
    <row r="829" spans="1:11">
      <c r="A829" t="s">
        <v>571</v>
      </c>
      <c r="B829" t="s">
        <v>596</v>
      </c>
      <c r="C829" t="s">
        <v>492</v>
      </c>
      <c r="D829" s="15">
        <v>-6.5000000000000002E-2</v>
      </c>
      <c r="E829" s="15">
        <v>4.5999999999999999E-2</v>
      </c>
      <c r="F829" s="15">
        <v>0.29499999999999998</v>
      </c>
      <c r="G829" s="15">
        <v>-0.01</v>
      </c>
      <c r="H829" s="15">
        <v>9.1999999999999998E-2</v>
      </c>
      <c r="I829" s="15">
        <v>0.13600000000000001</v>
      </c>
      <c r="J829" t="s">
        <v>412</v>
      </c>
      <c r="K829" t="s">
        <v>487</v>
      </c>
    </row>
    <row r="830" spans="1:11">
      <c r="A830" t="s">
        <v>506</v>
      </c>
      <c r="B830" t="s">
        <v>596</v>
      </c>
      <c r="C830" t="s">
        <v>582</v>
      </c>
      <c r="D830" s="15">
        <v>0.34100000000000003</v>
      </c>
      <c r="E830" s="15">
        <v>-6.0000000000000001E-3</v>
      </c>
      <c r="F830" s="15">
        <v>-6.2E-2</v>
      </c>
      <c r="G830" s="15">
        <v>0.16700000000000001</v>
      </c>
      <c r="H830" s="15">
        <v>9.0999999999999998E-2</v>
      </c>
      <c r="I830" s="15">
        <v>0.13600000000000001</v>
      </c>
      <c r="J830" t="s">
        <v>412</v>
      </c>
      <c r="K830" t="s">
        <v>579</v>
      </c>
    </row>
    <row r="831" spans="1:11">
      <c r="A831" t="s">
        <v>577</v>
      </c>
      <c r="B831" t="s">
        <v>586</v>
      </c>
      <c r="C831" t="s">
        <v>583</v>
      </c>
      <c r="D831" s="15">
        <v>-0.09</v>
      </c>
      <c r="E831" s="15">
        <v>0.217</v>
      </c>
      <c r="F831" s="15">
        <v>0.1</v>
      </c>
      <c r="G831" s="15">
        <v>6.3E-2</v>
      </c>
      <c r="H831" s="15">
        <v>7.5999999999999998E-2</v>
      </c>
      <c r="I831" s="15">
        <v>0.13600000000000001</v>
      </c>
      <c r="J831" t="s">
        <v>412</v>
      </c>
      <c r="K831" t="s">
        <v>487</v>
      </c>
    </row>
    <row r="832" spans="1:11">
      <c r="A832" t="s">
        <v>547</v>
      </c>
      <c r="B832" t="s">
        <v>596</v>
      </c>
      <c r="C832" t="s">
        <v>492</v>
      </c>
      <c r="D832" s="15">
        <v>-6.6000000000000003E-2</v>
      </c>
      <c r="E832" s="15">
        <v>-4.7E-2</v>
      </c>
      <c r="F832" s="15">
        <v>0.29499999999999998</v>
      </c>
      <c r="G832" s="15">
        <v>-5.7000000000000002E-2</v>
      </c>
      <c r="H832" s="15">
        <v>6.0999999999999999E-2</v>
      </c>
      <c r="I832" s="15">
        <v>0.13600000000000001</v>
      </c>
      <c r="J832" t="s">
        <v>412</v>
      </c>
      <c r="K832" t="s">
        <v>510</v>
      </c>
    </row>
    <row r="833" spans="1:11">
      <c r="A833" t="s">
        <v>573</v>
      </c>
      <c r="B833" t="s">
        <v>592</v>
      </c>
      <c r="C833" t="s">
        <v>582</v>
      </c>
      <c r="D833" s="15">
        <v>0.28599999999999998</v>
      </c>
      <c r="E833" s="15">
        <v>-3.5000000000000003E-2</v>
      </c>
      <c r="F833" s="15">
        <v>-8.5999999999999993E-2</v>
      </c>
      <c r="G833" s="15">
        <v>0.125</v>
      </c>
      <c r="H833" s="15">
        <v>5.5E-2</v>
      </c>
      <c r="I833" s="15">
        <v>0.13600000000000001</v>
      </c>
      <c r="J833" t="s">
        <v>412</v>
      </c>
      <c r="K833" t="s">
        <v>579</v>
      </c>
    </row>
    <row r="834" spans="1:11">
      <c r="A834" t="s">
        <v>479</v>
      </c>
      <c r="B834" t="s">
        <v>596</v>
      </c>
      <c r="C834" t="s">
        <v>572</v>
      </c>
      <c r="D834" s="15">
        <v>-6.8000000000000005E-2</v>
      </c>
      <c r="E834" s="15">
        <v>0.28599999999999998</v>
      </c>
      <c r="F834" s="15">
        <v>-5.6000000000000001E-2</v>
      </c>
      <c r="G834" s="15">
        <v>0.109</v>
      </c>
      <c r="H834" s="15">
        <v>5.3999999999999999E-2</v>
      </c>
      <c r="I834" s="15">
        <v>0.13600000000000001</v>
      </c>
      <c r="J834" t="s">
        <v>412</v>
      </c>
      <c r="K834" t="s">
        <v>500</v>
      </c>
    </row>
    <row r="835" spans="1:11">
      <c r="A835" t="s">
        <v>486</v>
      </c>
      <c r="B835" t="s">
        <v>574</v>
      </c>
      <c r="C835" t="s">
        <v>582</v>
      </c>
      <c r="D835" s="15">
        <v>-0.129</v>
      </c>
      <c r="E835" s="15">
        <v>0.26200000000000001</v>
      </c>
      <c r="F835" s="15">
        <v>1.4999999999999999E-2</v>
      </c>
      <c r="G835" s="15">
        <v>6.7000000000000004E-2</v>
      </c>
      <c r="H835" s="15">
        <v>0.05</v>
      </c>
      <c r="I835" s="15">
        <v>0.13600000000000001</v>
      </c>
      <c r="J835" t="s">
        <v>412</v>
      </c>
      <c r="K835" t="s">
        <v>487</v>
      </c>
    </row>
    <row r="836" spans="1:11">
      <c r="A836" t="s">
        <v>571</v>
      </c>
      <c r="B836" t="s">
        <v>498</v>
      </c>
      <c r="C836" t="s">
        <v>572</v>
      </c>
      <c r="D836" s="15">
        <v>-0.16300000000000001</v>
      </c>
      <c r="E836" s="15">
        <v>0.11</v>
      </c>
      <c r="F836" s="15">
        <v>0.13500000000000001</v>
      </c>
      <c r="G836" s="15">
        <v>-2.7E-2</v>
      </c>
      <c r="H836" s="15">
        <v>2.7E-2</v>
      </c>
      <c r="I836" s="15">
        <v>0.13600000000000001</v>
      </c>
      <c r="J836" t="s">
        <v>412</v>
      </c>
      <c r="K836" t="s">
        <v>487</v>
      </c>
    </row>
    <row r="837" spans="1:11">
      <c r="A837" t="s">
        <v>573</v>
      </c>
      <c r="B837" t="s">
        <v>523</v>
      </c>
      <c r="C837" t="s">
        <v>570</v>
      </c>
      <c r="D837" s="15">
        <v>-0.17100000000000001</v>
      </c>
      <c r="E837" s="15">
        <v>0.21199999999999999</v>
      </c>
      <c r="F837" s="15">
        <v>-2.5000000000000001E-2</v>
      </c>
      <c r="G837" s="15">
        <v>0.02</v>
      </c>
      <c r="H837" s="15">
        <v>5.0000000000000001E-3</v>
      </c>
      <c r="I837" s="15">
        <v>0.13600000000000001</v>
      </c>
      <c r="J837" t="s">
        <v>412</v>
      </c>
      <c r="K837" t="s">
        <v>500</v>
      </c>
    </row>
    <row r="838" spans="1:11">
      <c r="A838" t="s">
        <v>573</v>
      </c>
      <c r="B838" t="s">
        <v>505</v>
      </c>
      <c r="C838" t="s">
        <v>477</v>
      </c>
      <c r="D838" s="15">
        <v>0.14599999999999999</v>
      </c>
      <c r="E838" s="15">
        <v>-0.20300000000000001</v>
      </c>
      <c r="F838" s="15">
        <v>5.8999999999999997E-2</v>
      </c>
      <c r="G838" s="15">
        <v>-2.8000000000000001E-2</v>
      </c>
      <c r="H838" s="15">
        <v>1E-3</v>
      </c>
      <c r="I838" s="15">
        <v>0.13600000000000001</v>
      </c>
      <c r="J838" t="s">
        <v>412</v>
      </c>
      <c r="K838" t="s">
        <v>480</v>
      </c>
    </row>
    <row r="839" spans="1:11">
      <c r="A839" t="s">
        <v>506</v>
      </c>
      <c r="B839" t="s">
        <v>581</v>
      </c>
      <c r="C839" t="s">
        <v>477</v>
      </c>
      <c r="D839" s="15">
        <v>0.14399999999999999</v>
      </c>
      <c r="E839" s="15">
        <v>-0.03</v>
      </c>
      <c r="F839" s="15">
        <v>-0.23400000000000001</v>
      </c>
      <c r="G839" s="15">
        <v>5.7000000000000002E-2</v>
      </c>
      <c r="H839" s="15">
        <v>-0.04</v>
      </c>
      <c r="I839" s="15">
        <v>0.13600000000000001</v>
      </c>
      <c r="J839" t="s">
        <v>412</v>
      </c>
      <c r="K839" t="s">
        <v>579</v>
      </c>
    </row>
    <row r="840" spans="1:11">
      <c r="A840" t="s">
        <v>577</v>
      </c>
      <c r="B840" t="s">
        <v>499</v>
      </c>
      <c r="C840" t="s">
        <v>575</v>
      </c>
      <c r="D840" s="15">
        <v>0.14199999999999999</v>
      </c>
      <c r="E840" s="15">
        <v>-1.2E-2</v>
      </c>
      <c r="F840" s="15">
        <v>-0.254</v>
      </c>
      <c r="G840" s="15">
        <v>6.5000000000000002E-2</v>
      </c>
      <c r="H840" s="15">
        <v>-4.2000000000000003E-2</v>
      </c>
      <c r="I840" s="15">
        <v>0.13600000000000001</v>
      </c>
      <c r="J840" t="s">
        <v>412</v>
      </c>
      <c r="K840" t="s">
        <v>579</v>
      </c>
    </row>
    <row r="841" spans="1:11">
      <c r="A841" t="s">
        <v>571</v>
      </c>
      <c r="B841" t="s">
        <v>574</v>
      </c>
      <c r="C841" t="s">
        <v>477</v>
      </c>
      <c r="D841" s="15">
        <v>0.13300000000000001</v>
      </c>
      <c r="E841" s="15">
        <v>-4.4999999999999998E-2</v>
      </c>
      <c r="F841" s="15">
        <v>-0.23100000000000001</v>
      </c>
      <c r="G841" s="15">
        <v>4.3999999999999997E-2</v>
      </c>
      <c r="H841" s="15">
        <v>-4.8000000000000001E-2</v>
      </c>
      <c r="I841" s="15">
        <v>0.13600000000000001</v>
      </c>
      <c r="J841" t="s">
        <v>412</v>
      </c>
      <c r="K841" t="s">
        <v>579</v>
      </c>
    </row>
    <row r="842" spans="1:11">
      <c r="A842" t="s">
        <v>479</v>
      </c>
      <c r="B842" t="s">
        <v>597</v>
      </c>
      <c r="C842" t="s">
        <v>591</v>
      </c>
      <c r="D842" s="15">
        <v>9.4E-2</v>
      </c>
      <c r="E842" s="15">
        <v>-0.251</v>
      </c>
      <c r="F842" s="15">
        <v>-6.2E-2</v>
      </c>
      <c r="G842" s="15">
        <v>-7.9000000000000001E-2</v>
      </c>
      <c r="H842" s="15">
        <v>-7.2999999999999995E-2</v>
      </c>
      <c r="I842" s="15">
        <v>0.13600000000000001</v>
      </c>
      <c r="J842" t="s">
        <v>412</v>
      </c>
      <c r="K842" t="s">
        <v>579</v>
      </c>
    </row>
    <row r="843" spans="1:11">
      <c r="A843" t="s">
        <v>506</v>
      </c>
      <c r="B843" t="s">
        <v>478</v>
      </c>
      <c r="C843" t="s">
        <v>594</v>
      </c>
      <c r="D843" s="15">
        <v>8.2000000000000003E-2</v>
      </c>
      <c r="E843" s="15">
        <v>-0.224</v>
      </c>
      <c r="F843" s="15">
        <v>-0.10299999999999999</v>
      </c>
      <c r="G843" s="15">
        <v>-7.0999999999999994E-2</v>
      </c>
      <c r="H843" s="15">
        <v>-8.2000000000000003E-2</v>
      </c>
      <c r="I843" s="15">
        <v>0.13600000000000001</v>
      </c>
      <c r="J843" t="s">
        <v>412</v>
      </c>
      <c r="K843" t="s">
        <v>579</v>
      </c>
    </row>
    <row r="844" spans="1:11">
      <c r="A844" t="s">
        <v>486</v>
      </c>
      <c r="B844" t="s">
        <v>509</v>
      </c>
      <c r="C844" t="s">
        <v>570</v>
      </c>
      <c r="D844" s="15">
        <v>-0.32400000000000001</v>
      </c>
      <c r="E844" s="15">
        <v>-5.0000000000000001E-3</v>
      </c>
      <c r="F844" s="15">
        <v>7.6999999999999999E-2</v>
      </c>
      <c r="G844" s="15">
        <v>-0.16500000000000001</v>
      </c>
      <c r="H844" s="15">
        <v>-8.4000000000000005E-2</v>
      </c>
      <c r="I844" s="15">
        <v>0.13600000000000001</v>
      </c>
      <c r="J844" t="s">
        <v>412</v>
      </c>
      <c r="K844" t="s">
        <v>510</v>
      </c>
    </row>
    <row r="845" spans="1:11">
      <c r="A845" t="s">
        <v>547</v>
      </c>
      <c r="B845" t="s">
        <v>499</v>
      </c>
      <c r="C845" t="s">
        <v>593</v>
      </c>
      <c r="D845" s="15">
        <v>3.5000000000000003E-2</v>
      </c>
      <c r="E845" s="15">
        <v>-7.0999999999999994E-2</v>
      </c>
      <c r="F845" s="15">
        <v>-0.3</v>
      </c>
      <c r="G845" s="15">
        <v>-1.7999999999999999E-2</v>
      </c>
      <c r="H845" s="15">
        <v>-0.112</v>
      </c>
      <c r="I845" s="15">
        <v>0.13600000000000001</v>
      </c>
      <c r="J845" t="s">
        <v>412</v>
      </c>
      <c r="K845" t="s">
        <v>579</v>
      </c>
    </row>
    <row r="846" spans="1:11">
      <c r="A846" t="s">
        <v>479</v>
      </c>
      <c r="B846" t="s">
        <v>597</v>
      </c>
      <c r="C846" t="s">
        <v>583</v>
      </c>
      <c r="D846" s="15">
        <v>-0.02</v>
      </c>
      <c r="E846" s="15">
        <v>-0.251</v>
      </c>
      <c r="F846" s="15">
        <v>-0.13600000000000001</v>
      </c>
      <c r="G846" s="15">
        <v>-0.13600000000000001</v>
      </c>
      <c r="H846" s="15">
        <v>-0.13600000000000001</v>
      </c>
      <c r="I846" s="15">
        <v>0.13600000000000001</v>
      </c>
      <c r="J846" t="s">
        <v>412</v>
      </c>
      <c r="K846" t="s">
        <v>589</v>
      </c>
    </row>
    <row r="847" spans="1:11">
      <c r="A847" t="s">
        <v>547</v>
      </c>
      <c r="B847" t="s">
        <v>588</v>
      </c>
      <c r="C847" t="s">
        <v>593</v>
      </c>
      <c r="D847" s="15">
        <v>3.5000000000000003E-2</v>
      </c>
      <c r="E847" s="15">
        <v>0.20200000000000001</v>
      </c>
      <c r="F847" s="15">
        <v>0.16800000000000001</v>
      </c>
      <c r="G847" s="15">
        <v>0.11899999999999999</v>
      </c>
      <c r="H847" s="15">
        <v>0.13500000000000001</v>
      </c>
      <c r="I847" s="15">
        <v>0.13500000000000001</v>
      </c>
      <c r="J847" t="s">
        <v>412</v>
      </c>
      <c r="K847" t="s">
        <v>551</v>
      </c>
    </row>
    <row r="848" spans="1:11">
      <c r="A848" t="s">
        <v>571</v>
      </c>
      <c r="B848" t="s">
        <v>580</v>
      </c>
      <c r="C848" t="s">
        <v>585</v>
      </c>
      <c r="D848" s="15">
        <v>-1.2999999999999999E-2</v>
      </c>
      <c r="E848" s="15">
        <v>0.26200000000000001</v>
      </c>
      <c r="F848" s="15">
        <v>0.13</v>
      </c>
      <c r="G848" s="15">
        <v>0.125</v>
      </c>
      <c r="H848" s="15">
        <v>0.127</v>
      </c>
      <c r="I848" s="15">
        <v>0.13500000000000001</v>
      </c>
      <c r="J848" t="s">
        <v>412</v>
      </c>
      <c r="K848" t="s">
        <v>487</v>
      </c>
    </row>
    <row r="849" spans="1:11">
      <c r="A849" t="s">
        <v>547</v>
      </c>
      <c r="B849" t="s">
        <v>596</v>
      </c>
      <c r="C849" t="s">
        <v>584</v>
      </c>
      <c r="D849" s="15">
        <v>0.112</v>
      </c>
      <c r="E849" s="15">
        <v>-4.7E-2</v>
      </c>
      <c r="F849" s="15">
        <v>0.245</v>
      </c>
      <c r="G849" s="15">
        <v>3.3000000000000002E-2</v>
      </c>
      <c r="H849" s="15">
        <v>0.10299999999999999</v>
      </c>
      <c r="I849" s="15">
        <v>0.13500000000000001</v>
      </c>
      <c r="J849" t="s">
        <v>412</v>
      </c>
      <c r="K849" t="s">
        <v>480</v>
      </c>
    </row>
    <row r="850" spans="1:11">
      <c r="A850" t="s">
        <v>506</v>
      </c>
      <c r="B850" t="s">
        <v>578</v>
      </c>
      <c r="C850" t="s">
        <v>584</v>
      </c>
      <c r="D850" s="15">
        <v>0.11899999999999999</v>
      </c>
      <c r="E850" s="15">
        <v>-5.6000000000000001E-2</v>
      </c>
      <c r="F850" s="15">
        <v>0.23100000000000001</v>
      </c>
      <c r="G850" s="15">
        <v>3.2000000000000001E-2</v>
      </c>
      <c r="H850" s="15">
        <v>9.8000000000000004E-2</v>
      </c>
      <c r="I850" s="15">
        <v>0.13500000000000001</v>
      </c>
      <c r="J850" t="s">
        <v>412</v>
      </c>
      <c r="K850" t="s">
        <v>480</v>
      </c>
    </row>
    <row r="851" spans="1:11">
      <c r="A851" t="s">
        <v>573</v>
      </c>
      <c r="B851" t="s">
        <v>550</v>
      </c>
      <c r="C851" t="s">
        <v>477</v>
      </c>
      <c r="D851" s="15">
        <v>0.14599999999999999</v>
      </c>
      <c r="E851" s="15">
        <v>0.19800000000000001</v>
      </c>
      <c r="F851" s="15">
        <v>-0.06</v>
      </c>
      <c r="G851" s="15">
        <v>0.17199999999999999</v>
      </c>
      <c r="H851" s="15">
        <v>9.5000000000000001E-2</v>
      </c>
      <c r="I851" s="15">
        <v>0.13500000000000001</v>
      </c>
      <c r="J851" t="s">
        <v>412</v>
      </c>
      <c r="K851" t="s">
        <v>493</v>
      </c>
    </row>
    <row r="852" spans="1:11">
      <c r="A852" t="s">
        <v>479</v>
      </c>
      <c r="B852" t="s">
        <v>517</v>
      </c>
      <c r="C852" t="s">
        <v>584</v>
      </c>
      <c r="D852" s="15">
        <v>0.106</v>
      </c>
      <c r="E852" s="15">
        <v>-7.3999999999999996E-2</v>
      </c>
      <c r="F852" s="15">
        <v>0.224</v>
      </c>
      <c r="G852" s="15">
        <v>1.6E-2</v>
      </c>
      <c r="H852" s="15">
        <v>8.5000000000000006E-2</v>
      </c>
      <c r="I852" s="15">
        <v>0.13500000000000001</v>
      </c>
      <c r="J852" t="s">
        <v>412</v>
      </c>
      <c r="K852" t="s">
        <v>480</v>
      </c>
    </row>
    <row r="853" spans="1:11">
      <c r="A853" t="s">
        <v>571</v>
      </c>
      <c r="B853" t="s">
        <v>574</v>
      </c>
      <c r="C853" t="s">
        <v>492</v>
      </c>
      <c r="D853" s="15">
        <v>-6.5000000000000002E-2</v>
      </c>
      <c r="E853" s="15">
        <v>-4.4999999999999998E-2</v>
      </c>
      <c r="F853" s="15">
        <v>0.29499999999999998</v>
      </c>
      <c r="G853" s="15">
        <v>-5.5E-2</v>
      </c>
      <c r="H853" s="15">
        <v>6.0999999999999999E-2</v>
      </c>
      <c r="I853" s="15">
        <v>0.13500000000000001</v>
      </c>
      <c r="J853" t="s">
        <v>412</v>
      </c>
      <c r="K853" t="s">
        <v>510</v>
      </c>
    </row>
    <row r="854" spans="1:11">
      <c r="A854" t="s">
        <v>576</v>
      </c>
      <c r="B854" t="s">
        <v>596</v>
      </c>
      <c r="C854" t="s">
        <v>584</v>
      </c>
      <c r="D854" s="15">
        <v>-0.1</v>
      </c>
      <c r="E854" s="15">
        <v>-6.0999999999999999E-2</v>
      </c>
      <c r="F854" s="15">
        <v>0.245</v>
      </c>
      <c r="G854" s="15">
        <v>-0.08</v>
      </c>
      <c r="H854" s="15">
        <v>2.8000000000000001E-2</v>
      </c>
      <c r="I854" s="15">
        <v>0.13500000000000001</v>
      </c>
      <c r="J854" t="s">
        <v>412</v>
      </c>
      <c r="K854" t="s">
        <v>510</v>
      </c>
    </row>
    <row r="855" spans="1:11">
      <c r="A855" t="s">
        <v>486</v>
      </c>
      <c r="B855" t="s">
        <v>509</v>
      </c>
      <c r="C855" t="s">
        <v>583</v>
      </c>
      <c r="D855" s="15">
        <v>-0.16700000000000001</v>
      </c>
      <c r="E855" s="15">
        <v>-5.0000000000000001E-3</v>
      </c>
      <c r="F855" s="15">
        <v>0.23200000000000001</v>
      </c>
      <c r="G855" s="15">
        <v>-8.5999999999999993E-2</v>
      </c>
      <c r="H855" s="15">
        <v>0.02</v>
      </c>
      <c r="I855" s="15">
        <v>0.13500000000000001</v>
      </c>
      <c r="J855" t="s">
        <v>412</v>
      </c>
      <c r="K855" t="s">
        <v>510</v>
      </c>
    </row>
    <row r="856" spans="1:11">
      <c r="A856" t="s">
        <v>479</v>
      </c>
      <c r="B856" t="s">
        <v>505</v>
      </c>
      <c r="C856" t="s">
        <v>585</v>
      </c>
      <c r="D856" s="15">
        <v>-0.123</v>
      </c>
      <c r="E856" s="15">
        <v>-0.14699999999999999</v>
      </c>
      <c r="F856" s="15">
        <v>0.13500000000000001</v>
      </c>
      <c r="G856" s="15">
        <v>-0.13500000000000001</v>
      </c>
      <c r="H856" s="15">
        <v>-4.4999999999999998E-2</v>
      </c>
      <c r="I856" s="15">
        <v>0.13500000000000001</v>
      </c>
      <c r="J856" t="s">
        <v>412</v>
      </c>
      <c r="K856" t="s">
        <v>510</v>
      </c>
    </row>
    <row r="857" spans="1:11">
      <c r="A857" t="s">
        <v>547</v>
      </c>
      <c r="B857" t="s">
        <v>597</v>
      </c>
      <c r="C857" t="s">
        <v>584</v>
      </c>
      <c r="D857" s="15">
        <v>0.112</v>
      </c>
      <c r="E857" s="15">
        <v>-1.0999999999999999E-2</v>
      </c>
      <c r="F857" s="15">
        <v>-0.28299999999999997</v>
      </c>
      <c r="G857" s="15">
        <v>5.0999999999999997E-2</v>
      </c>
      <c r="H857" s="15">
        <v>-0.06</v>
      </c>
      <c r="I857" s="15">
        <v>0.13500000000000001</v>
      </c>
      <c r="J857" t="s">
        <v>412</v>
      </c>
      <c r="K857" t="s">
        <v>579</v>
      </c>
    </row>
    <row r="858" spans="1:11">
      <c r="A858" t="s">
        <v>486</v>
      </c>
      <c r="B858" t="s">
        <v>587</v>
      </c>
      <c r="C858" t="s">
        <v>593</v>
      </c>
      <c r="D858" s="15">
        <v>-8.6999999999999994E-2</v>
      </c>
      <c r="E858" s="15">
        <v>9.0999999999999998E-2</v>
      </c>
      <c r="F858" s="15">
        <v>-0.22800000000000001</v>
      </c>
      <c r="G858" s="15">
        <v>2E-3</v>
      </c>
      <c r="H858" s="15">
        <v>-7.4999999999999997E-2</v>
      </c>
      <c r="I858" s="15">
        <v>0.13500000000000001</v>
      </c>
      <c r="J858" t="s">
        <v>412</v>
      </c>
      <c r="K858" t="s">
        <v>500</v>
      </c>
    </row>
    <row r="859" spans="1:11">
      <c r="A859" t="s">
        <v>571</v>
      </c>
      <c r="B859" t="s">
        <v>478</v>
      </c>
      <c r="C859" t="s">
        <v>584</v>
      </c>
      <c r="D859" s="15">
        <v>-0.108</v>
      </c>
      <c r="E859" s="15">
        <v>-0.216</v>
      </c>
      <c r="F859" s="15">
        <v>8.1000000000000003E-2</v>
      </c>
      <c r="G859" s="15">
        <v>-0.16200000000000001</v>
      </c>
      <c r="H859" s="15">
        <v>-8.1000000000000003E-2</v>
      </c>
      <c r="I859" s="15">
        <v>0.13500000000000001</v>
      </c>
      <c r="J859" t="s">
        <v>412</v>
      </c>
      <c r="K859" t="s">
        <v>510</v>
      </c>
    </row>
    <row r="860" spans="1:11">
      <c r="A860" t="s">
        <v>486</v>
      </c>
      <c r="B860" t="s">
        <v>598</v>
      </c>
      <c r="C860" t="s">
        <v>570</v>
      </c>
      <c r="D860" s="15">
        <v>-0.32400000000000001</v>
      </c>
      <c r="E860" s="15">
        <v>-7.0000000000000001E-3</v>
      </c>
      <c r="F860" s="15">
        <v>-7.4999999999999997E-2</v>
      </c>
      <c r="G860" s="15">
        <v>-0.16500000000000001</v>
      </c>
      <c r="H860" s="15">
        <v>-0.13500000000000001</v>
      </c>
      <c r="I860" s="15">
        <v>0.13500000000000001</v>
      </c>
      <c r="J860" t="s">
        <v>412</v>
      </c>
      <c r="K860" t="s">
        <v>589</v>
      </c>
    </row>
    <row r="861" spans="1:11">
      <c r="A861" t="s">
        <v>479</v>
      </c>
      <c r="B861" t="s">
        <v>505</v>
      </c>
      <c r="C861" t="s">
        <v>582</v>
      </c>
      <c r="D861" s="15">
        <v>-0.127</v>
      </c>
      <c r="E861" s="15">
        <v>-0.14699999999999999</v>
      </c>
      <c r="F861" s="15">
        <v>-0.13200000000000001</v>
      </c>
      <c r="G861" s="15">
        <v>-0.13700000000000001</v>
      </c>
      <c r="H861" s="15">
        <v>-0.13500000000000001</v>
      </c>
      <c r="I861" s="15">
        <v>0.13500000000000001</v>
      </c>
      <c r="J861" t="s">
        <v>412</v>
      </c>
      <c r="K861" t="s">
        <v>589</v>
      </c>
    </row>
    <row r="862" spans="1:11">
      <c r="A862" t="s">
        <v>506</v>
      </c>
      <c r="B862" t="s">
        <v>586</v>
      </c>
      <c r="C862" t="s">
        <v>584</v>
      </c>
      <c r="D862" s="15">
        <v>0.11899999999999999</v>
      </c>
      <c r="E862" s="15">
        <v>0.16400000000000001</v>
      </c>
      <c r="F862" s="15">
        <v>0.11700000000000001</v>
      </c>
      <c r="G862" s="15">
        <v>0.14199999999999999</v>
      </c>
      <c r="H862" s="15">
        <v>0.13400000000000001</v>
      </c>
      <c r="I862" s="15">
        <v>0.13400000000000001</v>
      </c>
      <c r="J862" t="s">
        <v>412</v>
      </c>
      <c r="K862" t="s">
        <v>551</v>
      </c>
    </row>
    <row r="863" spans="1:11">
      <c r="A863" t="s">
        <v>577</v>
      </c>
      <c r="B863" t="s">
        <v>517</v>
      </c>
      <c r="C863" t="s">
        <v>575</v>
      </c>
      <c r="D863" s="15">
        <v>0.14199999999999999</v>
      </c>
      <c r="E863" s="15">
        <v>0.13900000000000001</v>
      </c>
      <c r="F863" s="15">
        <v>0.123</v>
      </c>
      <c r="G863" s="15">
        <v>0.14000000000000001</v>
      </c>
      <c r="H863" s="15">
        <v>0.13400000000000001</v>
      </c>
      <c r="I863" s="15">
        <v>0.13400000000000001</v>
      </c>
      <c r="J863" t="s">
        <v>412</v>
      </c>
      <c r="K863" t="s">
        <v>551</v>
      </c>
    </row>
    <row r="864" spans="1:11">
      <c r="A864" t="s">
        <v>576</v>
      </c>
      <c r="B864" t="s">
        <v>580</v>
      </c>
      <c r="C864" t="s">
        <v>477</v>
      </c>
      <c r="D864" s="15">
        <v>2.9000000000000001E-2</v>
      </c>
      <c r="E864" s="15">
        <v>-0.09</v>
      </c>
      <c r="F864" s="15">
        <v>0.28399999999999997</v>
      </c>
      <c r="G864" s="15">
        <v>-0.03</v>
      </c>
      <c r="H864" s="15">
        <v>7.4999999999999997E-2</v>
      </c>
      <c r="I864" s="15">
        <v>0.13400000000000001</v>
      </c>
      <c r="J864" t="s">
        <v>412</v>
      </c>
      <c r="K864" t="s">
        <v>480</v>
      </c>
    </row>
    <row r="865" spans="1:11">
      <c r="A865" t="s">
        <v>573</v>
      </c>
      <c r="B865" t="s">
        <v>590</v>
      </c>
      <c r="C865" t="s">
        <v>583</v>
      </c>
      <c r="D865" s="15">
        <v>7.3999999999999996E-2</v>
      </c>
      <c r="E865" s="15">
        <v>0.23</v>
      </c>
      <c r="F865" s="15">
        <v>-9.9000000000000005E-2</v>
      </c>
      <c r="G865" s="15">
        <v>0.152</v>
      </c>
      <c r="H865" s="15">
        <v>6.9000000000000006E-2</v>
      </c>
      <c r="I865" s="15">
        <v>0.13400000000000001</v>
      </c>
      <c r="J865" t="s">
        <v>412</v>
      </c>
      <c r="K865" t="s">
        <v>493</v>
      </c>
    </row>
    <row r="866" spans="1:11">
      <c r="A866" t="s">
        <v>547</v>
      </c>
      <c r="B866" t="s">
        <v>578</v>
      </c>
      <c r="C866" t="s">
        <v>585</v>
      </c>
      <c r="D866" s="15">
        <v>-7.1999999999999995E-2</v>
      </c>
      <c r="E866" s="15">
        <v>-4.2999999999999997E-2</v>
      </c>
      <c r="F866" s="15">
        <v>0.28799999999999998</v>
      </c>
      <c r="G866" s="15">
        <v>-5.7000000000000002E-2</v>
      </c>
      <c r="H866" s="15">
        <v>5.8000000000000003E-2</v>
      </c>
      <c r="I866" s="15">
        <v>0.13400000000000001</v>
      </c>
      <c r="J866" t="s">
        <v>412</v>
      </c>
      <c r="K866" t="s">
        <v>510</v>
      </c>
    </row>
    <row r="867" spans="1:11">
      <c r="A867" t="s">
        <v>547</v>
      </c>
      <c r="B867" t="s">
        <v>586</v>
      </c>
      <c r="C867" t="s">
        <v>584</v>
      </c>
      <c r="D867" s="15">
        <v>0.112</v>
      </c>
      <c r="E867" s="15">
        <v>-0.17299999999999999</v>
      </c>
      <c r="F867" s="15">
        <v>0.11700000000000001</v>
      </c>
      <c r="G867" s="15">
        <v>-0.03</v>
      </c>
      <c r="H867" s="15">
        <v>1.9E-2</v>
      </c>
      <c r="I867" s="15">
        <v>0.13400000000000001</v>
      </c>
      <c r="J867" t="s">
        <v>412</v>
      </c>
      <c r="K867" t="s">
        <v>480</v>
      </c>
    </row>
    <row r="868" spans="1:11">
      <c r="A868" t="s">
        <v>576</v>
      </c>
      <c r="B868" t="s">
        <v>581</v>
      </c>
      <c r="C868" t="s">
        <v>585</v>
      </c>
      <c r="D868" s="15">
        <v>0.03</v>
      </c>
      <c r="E868" s="15">
        <v>0.18</v>
      </c>
      <c r="F868" s="15">
        <v>-0.193</v>
      </c>
      <c r="G868" s="15">
        <v>0.105</v>
      </c>
      <c r="H868" s="15">
        <v>6.0000000000000001E-3</v>
      </c>
      <c r="I868" s="15">
        <v>0.13400000000000001</v>
      </c>
      <c r="J868" t="s">
        <v>412</v>
      </c>
      <c r="K868" t="s">
        <v>493</v>
      </c>
    </row>
    <row r="869" spans="1:11">
      <c r="A869" t="s">
        <v>547</v>
      </c>
      <c r="B869" t="s">
        <v>590</v>
      </c>
      <c r="C869" t="s">
        <v>572</v>
      </c>
      <c r="D869" s="15">
        <v>5.0000000000000001E-3</v>
      </c>
      <c r="E869" s="15">
        <v>0.16600000000000001</v>
      </c>
      <c r="F869" s="15">
        <v>-0.23</v>
      </c>
      <c r="G869" s="15">
        <v>8.5999999999999993E-2</v>
      </c>
      <c r="H869" s="15">
        <v>-0.02</v>
      </c>
      <c r="I869" s="15">
        <v>0.13400000000000001</v>
      </c>
      <c r="J869" t="s">
        <v>412</v>
      </c>
      <c r="K869" t="s">
        <v>493</v>
      </c>
    </row>
    <row r="870" spans="1:11">
      <c r="A870" t="s">
        <v>576</v>
      </c>
      <c r="B870" t="s">
        <v>498</v>
      </c>
      <c r="C870" t="s">
        <v>583</v>
      </c>
      <c r="D870" s="15">
        <v>-0.109</v>
      </c>
      <c r="E870" s="15">
        <v>5.0999999999999997E-2</v>
      </c>
      <c r="F870" s="15">
        <v>-0.24199999999999999</v>
      </c>
      <c r="G870" s="15">
        <v>-2.9000000000000001E-2</v>
      </c>
      <c r="H870" s="15">
        <v>-0.1</v>
      </c>
      <c r="I870" s="15">
        <v>0.13400000000000001</v>
      </c>
      <c r="J870" t="s">
        <v>412</v>
      </c>
      <c r="K870" t="s">
        <v>500</v>
      </c>
    </row>
    <row r="871" spans="1:11">
      <c r="A871" t="s">
        <v>573</v>
      </c>
      <c r="B871" t="s">
        <v>505</v>
      </c>
      <c r="C871" t="s">
        <v>570</v>
      </c>
      <c r="D871" s="15">
        <v>-0.17100000000000001</v>
      </c>
      <c r="E871" s="15">
        <v>-0.20300000000000001</v>
      </c>
      <c r="F871" s="15">
        <v>2.9000000000000001E-2</v>
      </c>
      <c r="G871" s="15">
        <v>-0.187</v>
      </c>
      <c r="H871" s="15">
        <v>-0.115</v>
      </c>
      <c r="I871" s="15">
        <v>0.13400000000000001</v>
      </c>
      <c r="J871" t="s">
        <v>412</v>
      </c>
      <c r="K871" t="s">
        <v>510</v>
      </c>
    </row>
    <row r="872" spans="1:11">
      <c r="A872" t="s">
        <v>573</v>
      </c>
      <c r="B872" t="s">
        <v>499</v>
      </c>
      <c r="C872" t="s">
        <v>585</v>
      </c>
      <c r="D872" s="15">
        <v>2.5999999999999999E-2</v>
      </c>
      <c r="E872" s="15">
        <v>-8.8999999999999996E-2</v>
      </c>
      <c r="F872" s="15">
        <v>-0.28599999999999998</v>
      </c>
      <c r="G872" s="15">
        <v>-3.1E-2</v>
      </c>
      <c r="H872" s="15">
        <v>-0.11600000000000001</v>
      </c>
      <c r="I872" s="15">
        <v>0.13400000000000001</v>
      </c>
      <c r="J872" t="s">
        <v>412</v>
      </c>
      <c r="K872" t="s">
        <v>579</v>
      </c>
    </row>
    <row r="873" spans="1:11">
      <c r="A873" t="s">
        <v>479</v>
      </c>
      <c r="B873" t="s">
        <v>574</v>
      </c>
      <c r="C873" t="s">
        <v>585</v>
      </c>
      <c r="D873" s="15">
        <v>-0.123</v>
      </c>
      <c r="E873" s="15">
        <v>-6.6000000000000003E-2</v>
      </c>
      <c r="F873" s="15">
        <v>-0.21299999999999999</v>
      </c>
      <c r="G873" s="15">
        <v>-9.5000000000000001E-2</v>
      </c>
      <c r="H873" s="15">
        <v>-0.13400000000000001</v>
      </c>
      <c r="I873" s="15">
        <v>0.13400000000000001</v>
      </c>
      <c r="J873" t="s">
        <v>412</v>
      </c>
      <c r="K873" t="s">
        <v>589</v>
      </c>
    </row>
    <row r="874" spans="1:11">
      <c r="A874" t="s">
        <v>571</v>
      </c>
      <c r="B874" t="s">
        <v>499</v>
      </c>
      <c r="C874" t="s">
        <v>593</v>
      </c>
      <c r="D874" s="15">
        <v>-0.10100000000000001</v>
      </c>
      <c r="E874" s="15">
        <v>-1E-3</v>
      </c>
      <c r="F874" s="15">
        <v>-0.3</v>
      </c>
      <c r="G874" s="15">
        <v>-5.0999999999999997E-2</v>
      </c>
      <c r="H874" s="15">
        <v>-0.13400000000000001</v>
      </c>
      <c r="I874" s="15">
        <v>0.13400000000000001</v>
      </c>
      <c r="J874" t="s">
        <v>412</v>
      </c>
      <c r="K874" t="s">
        <v>589</v>
      </c>
    </row>
    <row r="875" spans="1:11">
      <c r="A875" t="s">
        <v>506</v>
      </c>
      <c r="B875" t="s">
        <v>580</v>
      </c>
      <c r="C875" t="s">
        <v>582</v>
      </c>
      <c r="D875" s="15">
        <v>0.34100000000000003</v>
      </c>
      <c r="E875" s="15">
        <v>5.0999999999999997E-2</v>
      </c>
      <c r="F875" s="15">
        <v>8.9999999999999993E-3</v>
      </c>
      <c r="G875" s="15">
        <v>0.19600000000000001</v>
      </c>
      <c r="H875" s="15">
        <v>0.13300000000000001</v>
      </c>
      <c r="I875" s="15">
        <v>0.13300000000000001</v>
      </c>
      <c r="J875" t="s">
        <v>412</v>
      </c>
      <c r="K875" t="s">
        <v>551</v>
      </c>
    </row>
    <row r="876" spans="1:11">
      <c r="A876" t="s">
        <v>486</v>
      </c>
      <c r="B876" t="s">
        <v>517</v>
      </c>
      <c r="C876" t="s">
        <v>593</v>
      </c>
      <c r="D876" s="15">
        <v>-8.6999999999999994E-2</v>
      </c>
      <c r="E876" s="15">
        <v>9.2999999999999999E-2</v>
      </c>
      <c r="F876" s="15">
        <v>0.221</v>
      </c>
      <c r="G876" s="15">
        <v>3.0000000000000001E-3</v>
      </c>
      <c r="H876" s="15">
        <v>7.4999999999999997E-2</v>
      </c>
      <c r="I876" s="15">
        <v>0.13300000000000001</v>
      </c>
      <c r="J876" t="s">
        <v>412</v>
      </c>
      <c r="K876" t="s">
        <v>487</v>
      </c>
    </row>
    <row r="877" spans="1:11">
      <c r="A877" t="s">
        <v>571</v>
      </c>
      <c r="B877" t="s">
        <v>596</v>
      </c>
      <c r="C877" t="s">
        <v>584</v>
      </c>
      <c r="D877" s="15">
        <v>-0.108</v>
      </c>
      <c r="E877" s="15">
        <v>4.5999999999999999E-2</v>
      </c>
      <c r="F877" s="15">
        <v>0.245</v>
      </c>
      <c r="G877" s="15">
        <v>-3.1E-2</v>
      </c>
      <c r="H877" s="15">
        <v>6.0999999999999999E-2</v>
      </c>
      <c r="I877" s="15">
        <v>0.13300000000000001</v>
      </c>
      <c r="J877" t="s">
        <v>412</v>
      </c>
      <c r="K877" t="s">
        <v>487</v>
      </c>
    </row>
    <row r="878" spans="1:11">
      <c r="A878" t="s">
        <v>506</v>
      </c>
      <c r="B878" t="s">
        <v>578</v>
      </c>
      <c r="C878" t="s">
        <v>585</v>
      </c>
      <c r="D878" s="15">
        <v>-5.6000000000000001E-2</v>
      </c>
      <c r="E878" s="15">
        <v>-5.6000000000000001E-2</v>
      </c>
      <c r="F878" s="15">
        <v>0.28799999999999998</v>
      </c>
      <c r="G878" s="15">
        <v>-5.6000000000000001E-2</v>
      </c>
      <c r="H878" s="15">
        <v>5.8999999999999997E-2</v>
      </c>
      <c r="I878" s="15">
        <v>0.13300000000000001</v>
      </c>
      <c r="J878" t="s">
        <v>412</v>
      </c>
      <c r="K878" t="s">
        <v>510</v>
      </c>
    </row>
    <row r="879" spans="1:11">
      <c r="A879" t="s">
        <v>571</v>
      </c>
      <c r="B879" t="s">
        <v>509</v>
      </c>
      <c r="C879" t="s">
        <v>583</v>
      </c>
      <c r="D879" s="15">
        <v>-0.152</v>
      </c>
      <c r="E879" s="15">
        <v>-1.6E-2</v>
      </c>
      <c r="F879" s="15">
        <v>0.23200000000000001</v>
      </c>
      <c r="G879" s="15">
        <v>-8.4000000000000005E-2</v>
      </c>
      <c r="H879" s="15">
        <v>2.1000000000000001E-2</v>
      </c>
      <c r="I879" s="15">
        <v>0.13300000000000001</v>
      </c>
      <c r="J879" t="s">
        <v>412</v>
      </c>
      <c r="K879" t="s">
        <v>510</v>
      </c>
    </row>
    <row r="880" spans="1:11">
      <c r="A880" t="s">
        <v>577</v>
      </c>
      <c r="B880" t="s">
        <v>498</v>
      </c>
      <c r="C880" t="s">
        <v>575</v>
      </c>
      <c r="D880" s="15">
        <v>0.14199999999999999</v>
      </c>
      <c r="E880" s="15">
        <v>-1.2E-2</v>
      </c>
      <c r="F880" s="15">
        <v>-0.24399999999999999</v>
      </c>
      <c r="G880" s="15">
        <v>6.5000000000000002E-2</v>
      </c>
      <c r="H880" s="15">
        <v>-3.7999999999999999E-2</v>
      </c>
      <c r="I880" s="15">
        <v>0.13300000000000001</v>
      </c>
      <c r="J880" t="s">
        <v>412</v>
      </c>
      <c r="K880" t="s">
        <v>579</v>
      </c>
    </row>
    <row r="881" spans="1:11">
      <c r="A881" t="s">
        <v>573</v>
      </c>
      <c r="B881" t="s">
        <v>505</v>
      </c>
      <c r="C881" t="s">
        <v>591</v>
      </c>
      <c r="D881" s="15">
        <v>0.123</v>
      </c>
      <c r="E881" s="15">
        <v>-0.20300000000000001</v>
      </c>
      <c r="F881" s="15">
        <v>-7.2999999999999995E-2</v>
      </c>
      <c r="G881" s="15">
        <v>-0.04</v>
      </c>
      <c r="H881" s="15">
        <v>-5.0999999999999997E-2</v>
      </c>
      <c r="I881" s="15">
        <v>0.13300000000000001</v>
      </c>
      <c r="J881" t="s">
        <v>412</v>
      </c>
      <c r="K881" t="s">
        <v>579</v>
      </c>
    </row>
    <row r="882" spans="1:11">
      <c r="A882" t="s">
        <v>573</v>
      </c>
      <c r="B882" t="s">
        <v>581</v>
      </c>
      <c r="C882" t="s">
        <v>570</v>
      </c>
      <c r="D882" s="15">
        <v>-0.17100000000000001</v>
      </c>
      <c r="E882" s="15">
        <v>7.3999999999999996E-2</v>
      </c>
      <c r="F882" s="15">
        <v>-0.155</v>
      </c>
      <c r="G882" s="15">
        <v>-4.8000000000000001E-2</v>
      </c>
      <c r="H882" s="15">
        <v>-8.4000000000000005E-2</v>
      </c>
      <c r="I882" s="15">
        <v>0.13300000000000001</v>
      </c>
      <c r="J882" t="s">
        <v>412</v>
      </c>
      <c r="K882" t="s">
        <v>500</v>
      </c>
    </row>
    <row r="883" spans="1:11">
      <c r="A883" t="s">
        <v>479</v>
      </c>
      <c r="B883" t="s">
        <v>517</v>
      </c>
      <c r="C883" t="s">
        <v>492</v>
      </c>
      <c r="D883" s="15">
        <v>5.8999999999999997E-2</v>
      </c>
      <c r="E883" s="15">
        <v>-7.3999999999999996E-2</v>
      </c>
      <c r="F883" s="15">
        <v>-0.26700000000000002</v>
      </c>
      <c r="G883" s="15">
        <v>-8.0000000000000002E-3</v>
      </c>
      <c r="H883" s="15">
        <v>-9.4E-2</v>
      </c>
      <c r="I883" s="15">
        <v>0.13300000000000001</v>
      </c>
      <c r="J883" t="s">
        <v>412</v>
      </c>
      <c r="K883" t="s">
        <v>579</v>
      </c>
    </row>
    <row r="884" spans="1:11">
      <c r="A884" t="s">
        <v>571</v>
      </c>
      <c r="B884" t="s">
        <v>478</v>
      </c>
      <c r="C884" t="s">
        <v>583</v>
      </c>
      <c r="D884" s="15">
        <v>-0.152</v>
      </c>
      <c r="E884" s="15">
        <v>-0.216</v>
      </c>
      <c r="F884" s="15">
        <v>3.1E-2</v>
      </c>
      <c r="G884" s="15">
        <v>-0.184</v>
      </c>
      <c r="H884" s="15">
        <v>-0.112</v>
      </c>
      <c r="I884" s="15">
        <v>0.13300000000000001</v>
      </c>
      <c r="J884" t="s">
        <v>412</v>
      </c>
      <c r="K884" t="s">
        <v>510</v>
      </c>
    </row>
    <row r="885" spans="1:11">
      <c r="A885" t="s">
        <v>486</v>
      </c>
      <c r="B885" t="s">
        <v>590</v>
      </c>
      <c r="C885" t="s">
        <v>585</v>
      </c>
      <c r="D885" s="15">
        <v>-0.27</v>
      </c>
      <c r="E885" s="15">
        <v>-0.106</v>
      </c>
      <c r="F885" s="15">
        <v>2.3E-2</v>
      </c>
      <c r="G885" s="15">
        <v>-0.188</v>
      </c>
      <c r="H885" s="15">
        <v>-0.11799999999999999</v>
      </c>
      <c r="I885" s="15">
        <v>0.13300000000000001</v>
      </c>
      <c r="J885" t="s">
        <v>412</v>
      </c>
      <c r="K885" t="s">
        <v>510</v>
      </c>
    </row>
    <row r="886" spans="1:11">
      <c r="A886" t="s">
        <v>577</v>
      </c>
      <c r="B886" t="s">
        <v>580</v>
      </c>
      <c r="C886" t="s">
        <v>572</v>
      </c>
      <c r="D886" s="15">
        <v>-0.14399999999999999</v>
      </c>
      <c r="E886" s="15">
        <v>0.01</v>
      </c>
      <c r="F886" s="15">
        <v>-0.245</v>
      </c>
      <c r="G886" s="15">
        <v>-6.7000000000000004E-2</v>
      </c>
      <c r="H886" s="15">
        <v>-0.127</v>
      </c>
      <c r="I886" s="15">
        <v>0.13300000000000001</v>
      </c>
      <c r="J886" t="s">
        <v>412</v>
      </c>
      <c r="K886" t="s">
        <v>500</v>
      </c>
    </row>
    <row r="887" spans="1:11">
      <c r="A887" t="s">
        <v>486</v>
      </c>
      <c r="B887" t="s">
        <v>596</v>
      </c>
      <c r="C887" t="s">
        <v>570</v>
      </c>
      <c r="D887" s="15">
        <v>-0.32400000000000001</v>
      </c>
      <c r="E887" s="15">
        <v>-1E-3</v>
      </c>
      <c r="F887" s="15">
        <v>-7.2999999999999995E-2</v>
      </c>
      <c r="G887" s="15">
        <v>-0.16300000000000001</v>
      </c>
      <c r="H887" s="15">
        <v>-0.13300000000000001</v>
      </c>
      <c r="I887" s="15">
        <v>0.13300000000000001</v>
      </c>
      <c r="J887" t="s">
        <v>412</v>
      </c>
      <c r="K887" t="s">
        <v>589</v>
      </c>
    </row>
    <row r="888" spans="1:11">
      <c r="A888" t="s">
        <v>576</v>
      </c>
      <c r="B888" t="s">
        <v>595</v>
      </c>
      <c r="C888" t="s">
        <v>570</v>
      </c>
      <c r="D888" s="15">
        <v>-0.222</v>
      </c>
      <c r="E888" s="15">
        <v>-4.2000000000000003E-2</v>
      </c>
      <c r="F888" s="15">
        <v>-0.13500000000000001</v>
      </c>
      <c r="G888" s="15">
        <v>-0.13200000000000001</v>
      </c>
      <c r="H888" s="15">
        <v>-0.13300000000000001</v>
      </c>
      <c r="I888" s="15">
        <v>0.13300000000000001</v>
      </c>
      <c r="J888" t="s">
        <v>412</v>
      </c>
      <c r="K888" t="s">
        <v>589</v>
      </c>
    </row>
    <row r="889" spans="1:11">
      <c r="A889" t="s">
        <v>573</v>
      </c>
      <c r="B889" t="s">
        <v>517</v>
      </c>
      <c r="C889" t="s">
        <v>591</v>
      </c>
      <c r="D889" s="15">
        <v>0.123</v>
      </c>
      <c r="E889" s="15">
        <v>7.4999999999999997E-2</v>
      </c>
      <c r="F889" s="15">
        <v>0.19900000000000001</v>
      </c>
      <c r="G889" s="15">
        <v>9.9000000000000005E-2</v>
      </c>
      <c r="H889" s="15">
        <v>0.13200000000000001</v>
      </c>
      <c r="I889" s="15">
        <v>0.13200000000000001</v>
      </c>
      <c r="J889" t="s">
        <v>412</v>
      </c>
      <c r="K889" t="s">
        <v>551</v>
      </c>
    </row>
    <row r="890" spans="1:11">
      <c r="A890" t="s">
        <v>577</v>
      </c>
      <c r="B890" t="s">
        <v>517</v>
      </c>
      <c r="C890" t="s">
        <v>593</v>
      </c>
      <c r="D890" s="15">
        <v>3.7999999999999999E-2</v>
      </c>
      <c r="E890" s="15">
        <v>0.13900000000000001</v>
      </c>
      <c r="F890" s="15">
        <v>0.221</v>
      </c>
      <c r="G890" s="15">
        <v>8.7999999999999995E-2</v>
      </c>
      <c r="H890" s="15">
        <v>0.13200000000000001</v>
      </c>
      <c r="I890" s="15">
        <v>0.13200000000000001</v>
      </c>
      <c r="J890" t="s">
        <v>412</v>
      </c>
      <c r="K890" t="s">
        <v>551</v>
      </c>
    </row>
    <row r="891" spans="1:11">
      <c r="A891" t="s">
        <v>573</v>
      </c>
      <c r="B891" t="s">
        <v>597</v>
      </c>
      <c r="C891" t="s">
        <v>582</v>
      </c>
      <c r="D891" s="15">
        <v>0.28599999999999998</v>
      </c>
      <c r="E891" s="15">
        <v>-6.4000000000000001E-2</v>
      </c>
      <c r="F891" s="15">
        <v>4.7E-2</v>
      </c>
      <c r="G891" s="15">
        <v>0.111</v>
      </c>
      <c r="H891" s="15">
        <v>8.8999999999999996E-2</v>
      </c>
      <c r="I891" s="15">
        <v>0.13200000000000001</v>
      </c>
      <c r="J891" t="s">
        <v>412</v>
      </c>
      <c r="K891" t="s">
        <v>480</v>
      </c>
    </row>
    <row r="892" spans="1:11">
      <c r="A892" t="s">
        <v>486</v>
      </c>
      <c r="B892" t="s">
        <v>517</v>
      </c>
      <c r="C892" t="s">
        <v>584</v>
      </c>
      <c r="D892" s="15">
        <v>-7.9000000000000001E-2</v>
      </c>
      <c r="E892" s="15">
        <v>9.2999999999999999E-2</v>
      </c>
      <c r="F892" s="15">
        <v>0.224</v>
      </c>
      <c r="G892" s="15">
        <v>7.0000000000000001E-3</v>
      </c>
      <c r="H892" s="15">
        <v>7.9000000000000001E-2</v>
      </c>
      <c r="I892" s="15">
        <v>0.13200000000000001</v>
      </c>
      <c r="J892" t="s">
        <v>412</v>
      </c>
      <c r="K892" t="s">
        <v>487</v>
      </c>
    </row>
    <row r="893" spans="1:11">
      <c r="A893" t="s">
        <v>571</v>
      </c>
      <c r="B893" t="s">
        <v>588</v>
      </c>
      <c r="C893" t="s">
        <v>584</v>
      </c>
      <c r="D893" s="15">
        <v>-0.108</v>
      </c>
      <c r="E893" s="15">
        <v>-1.9E-2</v>
      </c>
      <c r="F893" s="15">
        <v>0.26900000000000002</v>
      </c>
      <c r="G893" s="15">
        <v>-6.3E-2</v>
      </c>
      <c r="H893" s="15">
        <v>4.8000000000000001E-2</v>
      </c>
      <c r="I893" s="15">
        <v>0.13200000000000001</v>
      </c>
      <c r="J893" t="s">
        <v>412</v>
      </c>
      <c r="K893" t="s">
        <v>510</v>
      </c>
    </row>
    <row r="894" spans="1:11">
      <c r="A894" t="s">
        <v>547</v>
      </c>
      <c r="B894" t="s">
        <v>587</v>
      </c>
      <c r="C894" t="s">
        <v>477</v>
      </c>
      <c r="D894" s="15">
        <v>6.4000000000000001E-2</v>
      </c>
      <c r="E894" s="15">
        <v>0.13</v>
      </c>
      <c r="F894" s="15">
        <v>-0.20200000000000001</v>
      </c>
      <c r="G894" s="15">
        <v>9.7000000000000003E-2</v>
      </c>
      <c r="H894" s="15">
        <v>-3.0000000000000001E-3</v>
      </c>
      <c r="I894" s="15">
        <v>0.13200000000000001</v>
      </c>
      <c r="J894" t="s">
        <v>412</v>
      </c>
      <c r="K894" t="s">
        <v>493</v>
      </c>
    </row>
    <row r="895" spans="1:11">
      <c r="A895" t="s">
        <v>486</v>
      </c>
      <c r="B895" t="s">
        <v>523</v>
      </c>
      <c r="C895" t="s">
        <v>584</v>
      </c>
      <c r="D895" s="15">
        <v>-7.9000000000000001E-2</v>
      </c>
      <c r="E895" s="15">
        <v>-0.21099999999999999</v>
      </c>
      <c r="F895" s="15">
        <v>0.106</v>
      </c>
      <c r="G895" s="15">
        <v>-0.14499999999999999</v>
      </c>
      <c r="H895" s="15">
        <v>-6.0999999999999999E-2</v>
      </c>
      <c r="I895" s="15">
        <v>0.13200000000000001</v>
      </c>
      <c r="J895" t="s">
        <v>412</v>
      </c>
      <c r="K895" t="s">
        <v>510</v>
      </c>
    </row>
    <row r="896" spans="1:11">
      <c r="A896" t="s">
        <v>479</v>
      </c>
      <c r="B896" t="s">
        <v>597</v>
      </c>
      <c r="C896" t="s">
        <v>594</v>
      </c>
      <c r="D896" s="15">
        <v>8.5000000000000006E-2</v>
      </c>
      <c r="E896" s="15">
        <v>-0.251</v>
      </c>
      <c r="F896" s="15">
        <v>-5.8999999999999997E-2</v>
      </c>
      <c r="G896" s="15">
        <v>-8.3000000000000004E-2</v>
      </c>
      <c r="H896" s="15">
        <v>-7.4999999999999997E-2</v>
      </c>
      <c r="I896" s="15">
        <v>0.13200000000000001</v>
      </c>
      <c r="J896" t="s">
        <v>412</v>
      </c>
      <c r="K896" t="s">
        <v>579</v>
      </c>
    </row>
    <row r="897" spans="1:11">
      <c r="A897" t="s">
        <v>479</v>
      </c>
      <c r="B897" t="s">
        <v>523</v>
      </c>
      <c r="C897" t="s">
        <v>572</v>
      </c>
      <c r="D897" s="15">
        <v>-6.8000000000000005E-2</v>
      </c>
      <c r="E897" s="15">
        <v>0.06</v>
      </c>
      <c r="F897" s="15">
        <v>-0.26900000000000002</v>
      </c>
      <c r="G897" s="15">
        <v>-4.0000000000000001E-3</v>
      </c>
      <c r="H897" s="15">
        <v>-9.2999999999999999E-2</v>
      </c>
      <c r="I897" s="15">
        <v>0.13200000000000001</v>
      </c>
      <c r="J897" t="s">
        <v>412</v>
      </c>
      <c r="K897" t="s">
        <v>500</v>
      </c>
    </row>
    <row r="898" spans="1:11">
      <c r="A898" t="s">
        <v>571</v>
      </c>
      <c r="B898" t="s">
        <v>597</v>
      </c>
      <c r="C898" t="s">
        <v>593</v>
      </c>
      <c r="D898" s="15">
        <v>-0.10100000000000001</v>
      </c>
      <c r="E898" s="15">
        <v>4.7E-2</v>
      </c>
      <c r="F898" s="15">
        <v>-0.249</v>
      </c>
      <c r="G898" s="15">
        <v>-2.7E-2</v>
      </c>
      <c r="H898" s="15">
        <v>-0.10100000000000001</v>
      </c>
      <c r="I898" s="15">
        <v>0.13200000000000001</v>
      </c>
      <c r="J898" t="s">
        <v>412</v>
      </c>
      <c r="K898" t="s">
        <v>500</v>
      </c>
    </row>
    <row r="899" spans="1:11">
      <c r="A899" t="s">
        <v>486</v>
      </c>
      <c r="B899" t="s">
        <v>580</v>
      </c>
      <c r="C899" t="s">
        <v>582</v>
      </c>
      <c r="D899" s="15">
        <v>-0.129</v>
      </c>
      <c r="E899" s="15">
        <v>-0.25700000000000001</v>
      </c>
      <c r="F899" s="15">
        <v>8.9999999999999993E-3</v>
      </c>
      <c r="G899" s="15">
        <v>-0.193</v>
      </c>
      <c r="H899" s="15">
        <v>-0.126</v>
      </c>
      <c r="I899" s="15">
        <v>0.13200000000000001</v>
      </c>
      <c r="J899" t="s">
        <v>412</v>
      </c>
      <c r="K899" t="s">
        <v>510</v>
      </c>
    </row>
    <row r="900" spans="1:11">
      <c r="A900" t="s">
        <v>479</v>
      </c>
      <c r="B900" t="s">
        <v>581</v>
      </c>
      <c r="C900" t="s">
        <v>585</v>
      </c>
      <c r="D900" s="15">
        <v>-0.123</v>
      </c>
      <c r="E900" s="15">
        <v>-7.8E-2</v>
      </c>
      <c r="F900" s="15">
        <v>-0.193</v>
      </c>
      <c r="G900" s="15">
        <v>-0.10100000000000001</v>
      </c>
      <c r="H900" s="15">
        <v>-0.13200000000000001</v>
      </c>
      <c r="I900" s="15">
        <v>0.13200000000000001</v>
      </c>
      <c r="J900" t="s">
        <v>412</v>
      </c>
      <c r="K900" t="s">
        <v>589</v>
      </c>
    </row>
    <row r="901" spans="1:11">
      <c r="A901" t="s">
        <v>573</v>
      </c>
      <c r="B901" t="s">
        <v>505</v>
      </c>
      <c r="C901" t="s">
        <v>492</v>
      </c>
      <c r="D901" s="15">
        <v>-0.16400000000000001</v>
      </c>
      <c r="E901" s="15">
        <v>-0.20300000000000001</v>
      </c>
      <c r="F901" s="15">
        <v>-0.03</v>
      </c>
      <c r="G901" s="15">
        <v>-0.183</v>
      </c>
      <c r="H901" s="15">
        <v>-0.13200000000000001</v>
      </c>
      <c r="I901" s="15">
        <v>0.13200000000000001</v>
      </c>
      <c r="J901" t="s">
        <v>412</v>
      </c>
      <c r="K901" t="s">
        <v>589</v>
      </c>
    </row>
    <row r="902" spans="1:11">
      <c r="A902" t="s">
        <v>573</v>
      </c>
      <c r="B902" t="s">
        <v>595</v>
      </c>
      <c r="C902" t="s">
        <v>570</v>
      </c>
      <c r="D902" s="15">
        <v>-0.17100000000000001</v>
      </c>
      <c r="E902" s="15">
        <v>-9.0999999999999998E-2</v>
      </c>
      <c r="F902" s="15">
        <v>-0.13500000000000001</v>
      </c>
      <c r="G902" s="15">
        <v>-0.13100000000000001</v>
      </c>
      <c r="H902" s="15">
        <v>-0.13200000000000001</v>
      </c>
      <c r="I902" s="15">
        <v>0.13200000000000001</v>
      </c>
      <c r="J902" t="s">
        <v>412</v>
      </c>
      <c r="K902" t="s">
        <v>589</v>
      </c>
    </row>
    <row r="903" spans="1:11">
      <c r="A903" t="s">
        <v>571</v>
      </c>
      <c r="B903" t="s">
        <v>478</v>
      </c>
      <c r="C903" t="s">
        <v>492</v>
      </c>
      <c r="D903" s="15">
        <v>-6.5000000000000002E-2</v>
      </c>
      <c r="E903" s="15">
        <v>-0.216</v>
      </c>
      <c r="F903" s="15">
        <v>-0.115</v>
      </c>
      <c r="G903" s="15">
        <v>-0.14099999999999999</v>
      </c>
      <c r="H903" s="15">
        <v>-0.13200000000000001</v>
      </c>
      <c r="I903" s="15">
        <v>0.13200000000000001</v>
      </c>
      <c r="J903" t="s">
        <v>412</v>
      </c>
      <c r="K903" t="s">
        <v>589</v>
      </c>
    </row>
    <row r="904" spans="1:11">
      <c r="A904" t="s">
        <v>576</v>
      </c>
      <c r="B904" t="s">
        <v>597</v>
      </c>
      <c r="C904" t="s">
        <v>570</v>
      </c>
      <c r="D904" s="15">
        <v>-0.222</v>
      </c>
      <c r="E904" s="15">
        <v>-0.11700000000000001</v>
      </c>
      <c r="F904" s="15">
        <v>-5.6000000000000001E-2</v>
      </c>
      <c r="G904" s="15">
        <v>-0.17</v>
      </c>
      <c r="H904" s="15">
        <v>-0.13200000000000001</v>
      </c>
      <c r="I904" s="15">
        <v>0.13200000000000001</v>
      </c>
      <c r="J904" t="s">
        <v>412</v>
      </c>
      <c r="K904" t="s">
        <v>589</v>
      </c>
    </row>
    <row r="905" spans="1:11">
      <c r="A905" t="s">
        <v>506</v>
      </c>
      <c r="B905" t="s">
        <v>574</v>
      </c>
      <c r="C905" t="s">
        <v>582</v>
      </c>
      <c r="D905" s="15">
        <v>0.34100000000000003</v>
      </c>
      <c r="E905" s="15">
        <v>3.5999999999999997E-2</v>
      </c>
      <c r="F905" s="15">
        <v>1.4999999999999999E-2</v>
      </c>
      <c r="G905" s="15">
        <v>0.188</v>
      </c>
      <c r="H905" s="15">
        <v>0.13100000000000001</v>
      </c>
      <c r="I905" s="15">
        <v>0.13100000000000001</v>
      </c>
      <c r="J905" t="s">
        <v>412</v>
      </c>
      <c r="K905" t="s">
        <v>551</v>
      </c>
    </row>
    <row r="906" spans="1:11">
      <c r="A906" t="s">
        <v>479</v>
      </c>
      <c r="B906" t="s">
        <v>588</v>
      </c>
      <c r="C906" t="s">
        <v>584</v>
      </c>
      <c r="D906" s="15">
        <v>0.106</v>
      </c>
      <c r="E906" s="15">
        <v>-1.7000000000000001E-2</v>
      </c>
      <c r="F906" s="15">
        <v>0.26900000000000002</v>
      </c>
      <c r="G906" s="15">
        <v>4.4999999999999998E-2</v>
      </c>
      <c r="H906" s="15">
        <v>0.12</v>
      </c>
      <c r="I906" s="15">
        <v>0.13100000000000001</v>
      </c>
      <c r="J906" t="s">
        <v>412</v>
      </c>
      <c r="K906" t="s">
        <v>480</v>
      </c>
    </row>
    <row r="907" spans="1:11">
      <c r="A907" t="s">
        <v>506</v>
      </c>
      <c r="B907" t="s">
        <v>578</v>
      </c>
      <c r="C907" t="s">
        <v>583</v>
      </c>
      <c r="D907" s="15">
        <v>4.1000000000000002E-2</v>
      </c>
      <c r="E907" s="15">
        <v>-5.6000000000000001E-2</v>
      </c>
      <c r="F907" s="15">
        <v>0.29499999999999998</v>
      </c>
      <c r="G907" s="15">
        <v>-8.0000000000000002E-3</v>
      </c>
      <c r="H907" s="15">
        <v>9.2999999999999999E-2</v>
      </c>
      <c r="I907" s="15">
        <v>0.13100000000000001</v>
      </c>
      <c r="J907" t="s">
        <v>412</v>
      </c>
      <c r="K907" t="s">
        <v>480</v>
      </c>
    </row>
    <row r="908" spans="1:11">
      <c r="A908" t="s">
        <v>576</v>
      </c>
      <c r="B908" t="s">
        <v>499</v>
      </c>
      <c r="C908" t="s">
        <v>492</v>
      </c>
      <c r="D908" s="15">
        <v>1.7999999999999999E-2</v>
      </c>
      <c r="E908" s="15">
        <v>-7.0999999999999994E-2</v>
      </c>
      <c r="F908" s="15">
        <v>0.30399999999999999</v>
      </c>
      <c r="G908" s="15">
        <v>-2.5999999999999999E-2</v>
      </c>
      <c r="H908" s="15">
        <v>8.4000000000000005E-2</v>
      </c>
      <c r="I908" s="15">
        <v>0.13100000000000001</v>
      </c>
      <c r="J908" t="s">
        <v>412</v>
      </c>
      <c r="K908" t="s">
        <v>480</v>
      </c>
    </row>
    <row r="909" spans="1:11">
      <c r="A909" t="s">
        <v>506</v>
      </c>
      <c r="B909" t="s">
        <v>523</v>
      </c>
      <c r="C909" t="s">
        <v>575</v>
      </c>
      <c r="D909" s="15">
        <v>-0.14399999999999999</v>
      </c>
      <c r="E909" s="15">
        <v>5.2999999999999999E-2</v>
      </c>
      <c r="F909" s="15">
        <v>0.19600000000000001</v>
      </c>
      <c r="G909" s="15">
        <v>-4.4999999999999998E-2</v>
      </c>
      <c r="H909" s="15">
        <v>3.5000000000000003E-2</v>
      </c>
      <c r="I909" s="15">
        <v>0.13100000000000001</v>
      </c>
      <c r="J909" t="s">
        <v>412</v>
      </c>
      <c r="K909" t="s">
        <v>487</v>
      </c>
    </row>
    <row r="910" spans="1:11">
      <c r="A910" t="s">
        <v>577</v>
      </c>
      <c r="B910" t="s">
        <v>498</v>
      </c>
      <c r="C910" t="s">
        <v>477</v>
      </c>
      <c r="D910" s="15">
        <v>0.246</v>
      </c>
      <c r="E910" s="15">
        <v>-1.2E-2</v>
      </c>
      <c r="F910" s="15">
        <v>-0.13400000000000001</v>
      </c>
      <c r="G910" s="15">
        <v>0.11700000000000001</v>
      </c>
      <c r="H910" s="15">
        <v>3.3000000000000002E-2</v>
      </c>
      <c r="I910" s="15">
        <v>0.13100000000000001</v>
      </c>
      <c r="J910" t="s">
        <v>412</v>
      </c>
      <c r="K910" t="s">
        <v>579</v>
      </c>
    </row>
    <row r="911" spans="1:11">
      <c r="A911" t="s">
        <v>571</v>
      </c>
      <c r="B911" t="s">
        <v>578</v>
      </c>
      <c r="C911" t="s">
        <v>584</v>
      </c>
      <c r="D911" s="15">
        <v>-0.108</v>
      </c>
      <c r="E911" s="15">
        <v>-5.3999999999999999E-2</v>
      </c>
      <c r="F911" s="15">
        <v>0.23100000000000001</v>
      </c>
      <c r="G911" s="15">
        <v>-8.1000000000000003E-2</v>
      </c>
      <c r="H911" s="15">
        <v>2.3E-2</v>
      </c>
      <c r="I911" s="15">
        <v>0.13100000000000001</v>
      </c>
      <c r="J911" t="s">
        <v>412</v>
      </c>
      <c r="K911" t="s">
        <v>510</v>
      </c>
    </row>
    <row r="912" spans="1:11">
      <c r="A912" t="s">
        <v>547</v>
      </c>
      <c r="B912" t="s">
        <v>478</v>
      </c>
      <c r="C912" t="s">
        <v>585</v>
      </c>
      <c r="D912" s="15">
        <v>-7.1999999999999995E-2</v>
      </c>
      <c r="E912" s="15">
        <v>-9.4E-2</v>
      </c>
      <c r="F912" s="15">
        <v>0.22600000000000001</v>
      </c>
      <c r="G912" s="15">
        <v>-8.3000000000000004E-2</v>
      </c>
      <c r="H912" s="15">
        <v>0.02</v>
      </c>
      <c r="I912" s="15">
        <v>0.13100000000000001</v>
      </c>
      <c r="J912" t="s">
        <v>412</v>
      </c>
      <c r="K912" t="s">
        <v>510</v>
      </c>
    </row>
    <row r="913" spans="1:11">
      <c r="A913" t="s">
        <v>573</v>
      </c>
      <c r="B913" t="s">
        <v>478</v>
      </c>
      <c r="C913" t="s">
        <v>593</v>
      </c>
      <c r="D913" s="15">
        <v>2.8000000000000001E-2</v>
      </c>
      <c r="E913" s="15">
        <v>-0.20399999999999999</v>
      </c>
      <c r="F913" s="15">
        <v>0.16300000000000001</v>
      </c>
      <c r="G913" s="15">
        <v>-8.7999999999999995E-2</v>
      </c>
      <c r="H913" s="15">
        <v>-4.0000000000000001E-3</v>
      </c>
      <c r="I913" s="15">
        <v>0.13100000000000001</v>
      </c>
      <c r="J913" t="s">
        <v>412</v>
      </c>
      <c r="K913" t="s">
        <v>480</v>
      </c>
    </row>
    <row r="914" spans="1:11">
      <c r="A914" t="s">
        <v>547</v>
      </c>
      <c r="B914" t="s">
        <v>587</v>
      </c>
      <c r="C914" t="s">
        <v>593</v>
      </c>
      <c r="D914" s="15">
        <v>3.5000000000000003E-2</v>
      </c>
      <c r="E914" s="15">
        <v>0.13</v>
      </c>
      <c r="F914" s="15">
        <v>-0.22800000000000001</v>
      </c>
      <c r="G914" s="15">
        <v>8.3000000000000004E-2</v>
      </c>
      <c r="H914" s="15">
        <v>-2.1000000000000001E-2</v>
      </c>
      <c r="I914" s="15">
        <v>0.13100000000000001</v>
      </c>
      <c r="J914" t="s">
        <v>412</v>
      </c>
      <c r="K914" t="s">
        <v>493</v>
      </c>
    </row>
    <row r="915" spans="1:11">
      <c r="A915" t="s">
        <v>479</v>
      </c>
      <c r="B915" t="s">
        <v>578</v>
      </c>
      <c r="C915" t="s">
        <v>570</v>
      </c>
      <c r="D915" s="15">
        <v>-0.26900000000000002</v>
      </c>
      <c r="E915" s="15">
        <v>2.8000000000000001E-2</v>
      </c>
      <c r="F915" s="15">
        <v>9.5000000000000001E-2</v>
      </c>
      <c r="G915" s="15">
        <v>-0.12</v>
      </c>
      <c r="H915" s="15">
        <v>-4.8000000000000001E-2</v>
      </c>
      <c r="I915" s="15">
        <v>0.13100000000000001</v>
      </c>
      <c r="J915" t="s">
        <v>412</v>
      </c>
      <c r="K915" t="s">
        <v>487</v>
      </c>
    </row>
    <row r="916" spans="1:11">
      <c r="A916" t="s">
        <v>577</v>
      </c>
      <c r="B916" t="s">
        <v>595</v>
      </c>
      <c r="C916" t="s">
        <v>583</v>
      </c>
      <c r="D916" s="15">
        <v>-0.09</v>
      </c>
      <c r="E916" s="15">
        <v>0.122</v>
      </c>
      <c r="F916" s="15">
        <v>-0.18099999999999999</v>
      </c>
      <c r="G916" s="15">
        <v>1.6E-2</v>
      </c>
      <c r="H916" s="15">
        <v>-4.9000000000000002E-2</v>
      </c>
      <c r="I916" s="15">
        <v>0.13100000000000001</v>
      </c>
      <c r="J916" t="s">
        <v>412</v>
      </c>
      <c r="K916" t="s">
        <v>500</v>
      </c>
    </row>
    <row r="917" spans="1:11">
      <c r="A917" t="s">
        <v>479</v>
      </c>
      <c r="B917" t="s">
        <v>499</v>
      </c>
      <c r="C917" t="s">
        <v>477</v>
      </c>
      <c r="D917" s="15">
        <v>4.5999999999999999E-2</v>
      </c>
      <c r="E917" s="15">
        <v>6.6000000000000003E-2</v>
      </c>
      <c r="F917" s="15">
        <v>-0.28000000000000003</v>
      </c>
      <c r="G917" s="15">
        <v>5.6000000000000001E-2</v>
      </c>
      <c r="H917" s="15">
        <v>-5.6000000000000001E-2</v>
      </c>
      <c r="I917" s="15">
        <v>0.13100000000000001</v>
      </c>
      <c r="J917" t="s">
        <v>412</v>
      </c>
      <c r="K917" t="s">
        <v>493</v>
      </c>
    </row>
    <row r="918" spans="1:11">
      <c r="A918" t="s">
        <v>576</v>
      </c>
      <c r="B918" t="s">
        <v>574</v>
      </c>
      <c r="C918" t="s">
        <v>591</v>
      </c>
      <c r="D918" s="15">
        <v>-6.5000000000000002E-2</v>
      </c>
      <c r="E918" s="15">
        <v>0.109</v>
      </c>
      <c r="F918" s="15">
        <v>-0.218</v>
      </c>
      <c r="G918" s="15">
        <v>2.1999999999999999E-2</v>
      </c>
      <c r="H918" s="15">
        <v>-5.8000000000000003E-2</v>
      </c>
      <c r="I918" s="15">
        <v>0.13100000000000001</v>
      </c>
      <c r="J918" t="s">
        <v>412</v>
      </c>
      <c r="K918" t="s">
        <v>500</v>
      </c>
    </row>
    <row r="919" spans="1:11">
      <c r="A919" t="s">
        <v>547</v>
      </c>
      <c r="B919" t="s">
        <v>569</v>
      </c>
      <c r="C919" t="s">
        <v>477</v>
      </c>
      <c r="D919" s="15">
        <v>6.4000000000000001E-2</v>
      </c>
      <c r="E919" s="15">
        <v>-0.14699999999999999</v>
      </c>
      <c r="F919" s="15">
        <v>-0.18099999999999999</v>
      </c>
      <c r="G919" s="15">
        <v>-4.1000000000000002E-2</v>
      </c>
      <c r="H919" s="15">
        <v>-8.7999999999999995E-2</v>
      </c>
      <c r="I919" s="15">
        <v>0.13100000000000001</v>
      </c>
      <c r="J919" t="s">
        <v>412</v>
      </c>
      <c r="K919" t="s">
        <v>579</v>
      </c>
    </row>
    <row r="920" spans="1:11">
      <c r="A920" t="s">
        <v>486</v>
      </c>
      <c r="B920" t="s">
        <v>580</v>
      </c>
      <c r="C920" t="s">
        <v>593</v>
      </c>
      <c r="D920" s="15">
        <v>-8.6999999999999994E-2</v>
      </c>
      <c r="E920" s="15">
        <v>-0.25700000000000001</v>
      </c>
      <c r="F920" s="15">
        <v>-4.8000000000000001E-2</v>
      </c>
      <c r="G920" s="15">
        <v>-0.17199999999999999</v>
      </c>
      <c r="H920" s="15">
        <v>-0.13100000000000001</v>
      </c>
      <c r="I920" s="15">
        <v>0.13100000000000001</v>
      </c>
      <c r="J920" t="s">
        <v>412</v>
      </c>
      <c r="K920" t="s">
        <v>589</v>
      </c>
    </row>
    <row r="921" spans="1:11">
      <c r="A921" t="s">
        <v>547</v>
      </c>
      <c r="B921" t="s">
        <v>499</v>
      </c>
      <c r="C921" t="s">
        <v>575</v>
      </c>
      <c r="D921" s="15">
        <v>-6.8000000000000005E-2</v>
      </c>
      <c r="E921" s="15">
        <v>-7.0999999999999994E-2</v>
      </c>
      <c r="F921" s="15">
        <v>-0.254</v>
      </c>
      <c r="G921" s="15">
        <v>-7.0000000000000007E-2</v>
      </c>
      <c r="H921" s="15">
        <v>-0.13100000000000001</v>
      </c>
      <c r="I921" s="15">
        <v>0.13100000000000001</v>
      </c>
      <c r="J921" t="s">
        <v>412</v>
      </c>
      <c r="K921" t="s">
        <v>589</v>
      </c>
    </row>
    <row r="922" spans="1:11">
      <c r="A922" t="s">
        <v>573</v>
      </c>
      <c r="B922" t="s">
        <v>499</v>
      </c>
      <c r="C922" t="s">
        <v>575</v>
      </c>
      <c r="D922" s="15">
        <v>-4.9000000000000002E-2</v>
      </c>
      <c r="E922" s="15">
        <v>-8.8999999999999996E-2</v>
      </c>
      <c r="F922" s="15">
        <v>-0.254</v>
      </c>
      <c r="G922" s="15">
        <v>-6.9000000000000006E-2</v>
      </c>
      <c r="H922" s="15">
        <v>-0.13100000000000001</v>
      </c>
      <c r="I922" s="15">
        <v>0.13100000000000001</v>
      </c>
      <c r="J922" t="s">
        <v>412</v>
      </c>
      <c r="K922" t="s">
        <v>589</v>
      </c>
    </row>
    <row r="923" spans="1:11">
      <c r="A923" t="s">
        <v>576</v>
      </c>
      <c r="B923" t="s">
        <v>499</v>
      </c>
      <c r="C923" t="s">
        <v>591</v>
      </c>
      <c r="D923" s="15">
        <v>-6.5000000000000002E-2</v>
      </c>
      <c r="E923" s="15">
        <v>-7.0999999999999994E-2</v>
      </c>
      <c r="F923" s="15">
        <v>-0.25700000000000001</v>
      </c>
      <c r="G923" s="15">
        <v>-6.8000000000000005E-2</v>
      </c>
      <c r="H923" s="15">
        <v>-0.13100000000000001</v>
      </c>
      <c r="I923" s="15">
        <v>0.13100000000000001</v>
      </c>
      <c r="J923" t="s">
        <v>412</v>
      </c>
      <c r="K923" t="s">
        <v>589</v>
      </c>
    </row>
    <row r="924" spans="1:11">
      <c r="A924" t="s">
        <v>576</v>
      </c>
      <c r="B924" t="s">
        <v>580</v>
      </c>
      <c r="C924" t="s">
        <v>572</v>
      </c>
      <c r="D924" s="15">
        <v>-5.8999999999999997E-2</v>
      </c>
      <c r="E924" s="15">
        <v>-0.09</v>
      </c>
      <c r="F924" s="15">
        <v>-0.245</v>
      </c>
      <c r="G924" s="15">
        <v>-7.4999999999999997E-2</v>
      </c>
      <c r="H924" s="15">
        <v>-0.13100000000000001</v>
      </c>
      <c r="I924" s="15">
        <v>0.13100000000000001</v>
      </c>
      <c r="J924" t="s">
        <v>412</v>
      </c>
      <c r="K924" t="s">
        <v>589</v>
      </c>
    </row>
    <row r="925" spans="1:11">
      <c r="A925" t="s">
        <v>571</v>
      </c>
      <c r="B925" t="s">
        <v>595</v>
      </c>
      <c r="C925" t="s">
        <v>594</v>
      </c>
      <c r="D925" s="15">
        <v>-8.0000000000000002E-3</v>
      </c>
      <c r="E925" s="15">
        <v>0.32600000000000001</v>
      </c>
      <c r="F925" s="15">
        <v>5.5E-2</v>
      </c>
      <c r="G925" s="15">
        <v>0.159</v>
      </c>
      <c r="H925" s="15">
        <v>0.125</v>
      </c>
      <c r="I925" s="15">
        <v>0.13</v>
      </c>
      <c r="J925" t="s">
        <v>412</v>
      </c>
      <c r="K925" t="s">
        <v>487</v>
      </c>
    </row>
    <row r="926" spans="1:11">
      <c r="A926" t="s">
        <v>577</v>
      </c>
      <c r="B926" t="s">
        <v>523</v>
      </c>
      <c r="C926" t="s">
        <v>591</v>
      </c>
      <c r="D926" s="15">
        <v>-1.4E-2</v>
      </c>
      <c r="E926" s="15">
        <v>0.191</v>
      </c>
      <c r="F926" s="15">
        <v>0.184</v>
      </c>
      <c r="G926" s="15">
        <v>8.8999999999999996E-2</v>
      </c>
      <c r="H926" s="15">
        <v>0.12</v>
      </c>
      <c r="I926" s="15">
        <v>0.13</v>
      </c>
      <c r="J926" t="s">
        <v>412</v>
      </c>
      <c r="K926" t="s">
        <v>487</v>
      </c>
    </row>
    <row r="927" spans="1:11">
      <c r="A927" t="s">
        <v>547</v>
      </c>
      <c r="B927" t="s">
        <v>578</v>
      </c>
      <c r="C927" t="s">
        <v>591</v>
      </c>
      <c r="D927" s="15">
        <v>0.01</v>
      </c>
      <c r="E927" s="15">
        <v>-4.2999999999999997E-2</v>
      </c>
      <c r="F927" s="15">
        <v>0.33800000000000002</v>
      </c>
      <c r="G927" s="15">
        <v>-1.6E-2</v>
      </c>
      <c r="H927" s="15">
        <v>0.10199999999999999</v>
      </c>
      <c r="I927" s="15">
        <v>0.13</v>
      </c>
      <c r="J927" t="s">
        <v>412</v>
      </c>
      <c r="K927" t="s">
        <v>480</v>
      </c>
    </row>
    <row r="928" spans="1:11">
      <c r="A928" t="s">
        <v>573</v>
      </c>
      <c r="B928" t="s">
        <v>595</v>
      </c>
      <c r="C928" t="s">
        <v>582</v>
      </c>
      <c r="D928" s="15">
        <v>0.28599999999999998</v>
      </c>
      <c r="E928" s="15">
        <v>-9.0999999999999998E-2</v>
      </c>
      <c r="F928" s="15">
        <v>1.4999999999999999E-2</v>
      </c>
      <c r="G928" s="15">
        <v>9.7000000000000003E-2</v>
      </c>
      <c r="H928" s="15">
        <v>7.0000000000000007E-2</v>
      </c>
      <c r="I928" s="15">
        <v>0.13</v>
      </c>
      <c r="J928" t="s">
        <v>412</v>
      </c>
      <c r="K928" t="s">
        <v>480</v>
      </c>
    </row>
    <row r="929" spans="1:11">
      <c r="A929" t="s">
        <v>571</v>
      </c>
      <c r="B929" t="s">
        <v>598</v>
      </c>
      <c r="C929" t="s">
        <v>593</v>
      </c>
      <c r="D929" s="15">
        <v>-0.10100000000000001</v>
      </c>
      <c r="E929" s="15">
        <v>0.17299999999999999</v>
      </c>
      <c r="F929" s="15">
        <v>-0.115</v>
      </c>
      <c r="G929" s="15">
        <v>3.5999999999999997E-2</v>
      </c>
      <c r="H929" s="15">
        <v>-1.4E-2</v>
      </c>
      <c r="I929" s="15">
        <v>0.13</v>
      </c>
      <c r="J929" t="s">
        <v>412</v>
      </c>
      <c r="K929" t="s">
        <v>500</v>
      </c>
    </row>
    <row r="930" spans="1:11">
      <c r="A930" t="s">
        <v>573</v>
      </c>
      <c r="B930" t="s">
        <v>569</v>
      </c>
      <c r="C930" t="s">
        <v>591</v>
      </c>
      <c r="D930" s="15">
        <v>0.123</v>
      </c>
      <c r="E930" s="15">
        <v>-0.16</v>
      </c>
      <c r="F930" s="15">
        <v>-0.106</v>
      </c>
      <c r="G930" s="15">
        <v>-1.9E-2</v>
      </c>
      <c r="H930" s="15">
        <v>-4.8000000000000001E-2</v>
      </c>
      <c r="I930" s="15">
        <v>0.13</v>
      </c>
      <c r="J930" t="s">
        <v>412</v>
      </c>
      <c r="K930" t="s">
        <v>579</v>
      </c>
    </row>
    <row r="931" spans="1:11">
      <c r="A931" t="s">
        <v>576</v>
      </c>
      <c r="B931" t="s">
        <v>587</v>
      </c>
      <c r="C931" t="s">
        <v>591</v>
      </c>
      <c r="D931" s="15">
        <v>-6.5000000000000002E-2</v>
      </c>
      <c r="E931" s="15">
        <v>0.11700000000000001</v>
      </c>
      <c r="F931" s="15">
        <v>-0.20899999999999999</v>
      </c>
      <c r="G931" s="15">
        <v>2.5999999999999999E-2</v>
      </c>
      <c r="H931" s="15">
        <v>-5.1999999999999998E-2</v>
      </c>
      <c r="I931" s="15">
        <v>0.13</v>
      </c>
      <c r="J931" t="s">
        <v>412</v>
      </c>
      <c r="K931" t="s">
        <v>500</v>
      </c>
    </row>
    <row r="932" spans="1:11">
      <c r="A932" t="s">
        <v>577</v>
      </c>
      <c r="B932" t="s">
        <v>509</v>
      </c>
      <c r="C932" t="s">
        <v>572</v>
      </c>
      <c r="D932" s="15">
        <v>-0.14399999999999999</v>
      </c>
      <c r="E932" s="15">
        <v>0.104</v>
      </c>
      <c r="F932" s="15">
        <v>-0.14199999999999999</v>
      </c>
      <c r="G932" s="15">
        <v>-0.02</v>
      </c>
      <c r="H932" s="15">
        <v>-0.06</v>
      </c>
      <c r="I932" s="15">
        <v>0.13</v>
      </c>
      <c r="J932" t="s">
        <v>412</v>
      </c>
      <c r="K932" t="s">
        <v>500</v>
      </c>
    </row>
    <row r="933" spans="1:11">
      <c r="A933" t="s">
        <v>486</v>
      </c>
      <c r="B933" t="s">
        <v>587</v>
      </c>
      <c r="C933" t="s">
        <v>584</v>
      </c>
      <c r="D933" s="15">
        <v>-7.9000000000000001E-2</v>
      </c>
      <c r="E933" s="15">
        <v>9.0999999999999998E-2</v>
      </c>
      <c r="F933" s="15">
        <v>-0.221</v>
      </c>
      <c r="G933" s="15">
        <v>6.0000000000000001E-3</v>
      </c>
      <c r="H933" s="15">
        <v>-7.0000000000000007E-2</v>
      </c>
      <c r="I933" s="15">
        <v>0.13</v>
      </c>
      <c r="J933" t="s">
        <v>412</v>
      </c>
      <c r="K933" t="s">
        <v>500</v>
      </c>
    </row>
    <row r="934" spans="1:11">
      <c r="A934" t="s">
        <v>486</v>
      </c>
      <c r="B934" t="s">
        <v>597</v>
      </c>
      <c r="C934" t="s">
        <v>570</v>
      </c>
      <c r="D934" s="15">
        <v>-0.32400000000000001</v>
      </c>
      <c r="E934" s="15">
        <v>-8.9999999999999993E-3</v>
      </c>
      <c r="F934" s="15">
        <v>-5.6000000000000001E-2</v>
      </c>
      <c r="G934" s="15">
        <v>-0.16700000000000001</v>
      </c>
      <c r="H934" s="15">
        <v>-0.13</v>
      </c>
      <c r="I934" s="15">
        <v>0.13</v>
      </c>
      <c r="J934" t="s">
        <v>412</v>
      </c>
      <c r="K934" t="s">
        <v>589</v>
      </c>
    </row>
    <row r="935" spans="1:11">
      <c r="A935" t="s">
        <v>577</v>
      </c>
      <c r="B935" t="s">
        <v>499</v>
      </c>
      <c r="C935" t="s">
        <v>582</v>
      </c>
      <c r="D935" s="15">
        <v>0.31900000000000001</v>
      </c>
      <c r="E935" s="15">
        <v>-1.2E-2</v>
      </c>
      <c r="F935" s="15">
        <v>5.6000000000000001E-2</v>
      </c>
      <c r="G935" s="15">
        <v>0.153</v>
      </c>
      <c r="H935" s="15">
        <v>0.121</v>
      </c>
      <c r="I935" s="15">
        <v>0.129</v>
      </c>
      <c r="J935" t="s">
        <v>412</v>
      </c>
      <c r="K935" t="s">
        <v>480</v>
      </c>
    </row>
    <row r="936" spans="1:11">
      <c r="A936" t="s">
        <v>486</v>
      </c>
      <c r="B936" t="s">
        <v>505</v>
      </c>
      <c r="C936" t="s">
        <v>492</v>
      </c>
      <c r="D936" s="15">
        <v>0.34899999999999998</v>
      </c>
      <c r="E936" s="15">
        <v>8.9999999999999993E-3</v>
      </c>
      <c r="F936" s="15">
        <v>-0.03</v>
      </c>
      <c r="G936" s="15">
        <v>0.17899999999999999</v>
      </c>
      <c r="H936" s="15">
        <v>0.109</v>
      </c>
      <c r="I936" s="15">
        <v>0.129</v>
      </c>
      <c r="J936" t="s">
        <v>412</v>
      </c>
      <c r="K936" t="s">
        <v>493</v>
      </c>
    </row>
    <row r="937" spans="1:11">
      <c r="A937" t="s">
        <v>573</v>
      </c>
      <c r="B937" t="s">
        <v>586</v>
      </c>
      <c r="C937" t="s">
        <v>477</v>
      </c>
      <c r="D937" s="15">
        <v>0.14599999999999999</v>
      </c>
      <c r="E937" s="15">
        <v>-0.10299999999999999</v>
      </c>
      <c r="F937" s="15">
        <v>0.13600000000000001</v>
      </c>
      <c r="G937" s="15">
        <v>2.1000000000000001E-2</v>
      </c>
      <c r="H937" s="15">
        <v>0.06</v>
      </c>
      <c r="I937" s="15">
        <v>0.129</v>
      </c>
      <c r="J937" t="s">
        <v>412</v>
      </c>
      <c r="K937" t="s">
        <v>480</v>
      </c>
    </row>
    <row r="938" spans="1:11">
      <c r="A938" t="s">
        <v>576</v>
      </c>
      <c r="B938" t="s">
        <v>597</v>
      </c>
      <c r="C938" t="s">
        <v>572</v>
      </c>
      <c r="D938" s="15">
        <v>-5.8999999999999997E-2</v>
      </c>
      <c r="E938" s="15">
        <v>-0.11700000000000001</v>
      </c>
      <c r="F938" s="15">
        <v>0.21</v>
      </c>
      <c r="G938" s="15">
        <v>-8.7999999999999995E-2</v>
      </c>
      <c r="H938" s="15">
        <v>1.0999999999999999E-2</v>
      </c>
      <c r="I938" s="15">
        <v>0.129</v>
      </c>
      <c r="J938" t="s">
        <v>412</v>
      </c>
      <c r="K938" t="s">
        <v>510</v>
      </c>
    </row>
    <row r="939" spans="1:11">
      <c r="A939" t="s">
        <v>573</v>
      </c>
      <c r="B939" t="s">
        <v>550</v>
      </c>
      <c r="C939" t="s">
        <v>570</v>
      </c>
      <c r="D939" s="15">
        <v>-0.17100000000000001</v>
      </c>
      <c r="E939" s="15">
        <v>0.19800000000000001</v>
      </c>
      <c r="F939" s="15">
        <v>-1.9E-2</v>
      </c>
      <c r="G939" s="15">
        <v>1.4E-2</v>
      </c>
      <c r="H939" s="15">
        <v>3.0000000000000001E-3</v>
      </c>
      <c r="I939" s="15">
        <v>0.129</v>
      </c>
      <c r="J939" t="s">
        <v>412</v>
      </c>
      <c r="K939" t="s">
        <v>500</v>
      </c>
    </row>
    <row r="940" spans="1:11">
      <c r="A940" t="s">
        <v>486</v>
      </c>
      <c r="B940" t="s">
        <v>586</v>
      </c>
      <c r="C940" t="s">
        <v>593</v>
      </c>
      <c r="D940" s="15">
        <v>-8.6999999999999994E-2</v>
      </c>
      <c r="E940" s="15">
        <v>-0.189</v>
      </c>
      <c r="F940" s="15">
        <v>0.112</v>
      </c>
      <c r="G940" s="15">
        <v>-0.13800000000000001</v>
      </c>
      <c r="H940" s="15">
        <v>-5.5E-2</v>
      </c>
      <c r="I940" s="15">
        <v>0.129</v>
      </c>
      <c r="J940" t="s">
        <v>412</v>
      </c>
      <c r="K940" t="s">
        <v>510</v>
      </c>
    </row>
    <row r="941" spans="1:11">
      <c r="A941" t="s">
        <v>486</v>
      </c>
      <c r="B941" t="s">
        <v>580</v>
      </c>
      <c r="C941" t="s">
        <v>584</v>
      </c>
      <c r="D941" s="15">
        <v>-7.9000000000000001E-2</v>
      </c>
      <c r="E941" s="15">
        <v>-0.25700000000000001</v>
      </c>
      <c r="F941" s="15">
        <v>0.05</v>
      </c>
      <c r="G941" s="15">
        <v>-0.16800000000000001</v>
      </c>
      <c r="H941" s="15">
        <v>-9.5000000000000001E-2</v>
      </c>
      <c r="I941" s="15">
        <v>0.129</v>
      </c>
      <c r="J941" t="s">
        <v>412</v>
      </c>
      <c r="K941" t="s">
        <v>510</v>
      </c>
    </row>
    <row r="942" spans="1:11">
      <c r="A942" t="s">
        <v>576</v>
      </c>
      <c r="B942" t="s">
        <v>499</v>
      </c>
      <c r="C942" t="s">
        <v>585</v>
      </c>
      <c r="D942" s="15">
        <v>0.03</v>
      </c>
      <c r="E942" s="15">
        <v>-7.0999999999999994E-2</v>
      </c>
      <c r="F942" s="15">
        <v>-0.28599999999999998</v>
      </c>
      <c r="G942" s="15">
        <v>-2.1000000000000001E-2</v>
      </c>
      <c r="H942" s="15">
        <v>-0.109</v>
      </c>
      <c r="I942" s="15">
        <v>0.129</v>
      </c>
      <c r="J942" t="s">
        <v>412</v>
      </c>
      <c r="K942" t="s">
        <v>579</v>
      </c>
    </row>
    <row r="943" spans="1:11">
      <c r="A943" t="s">
        <v>506</v>
      </c>
      <c r="B943" t="s">
        <v>587</v>
      </c>
      <c r="C943" t="s">
        <v>585</v>
      </c>
      <c r="D943" s="15">
        <v>-5.6000000000000001E-2</v>
      </c>
      <c r="E943" s="15">
        <v>2.1000000000000001E-2</v>
      </c>
      <c r="F943" s="15">
        <v>-0.31</v>
      </c>
      <c r="G943" s="15">
        <v>-1.7999999999999999E-2</v>
      </c>
      <c r="H943" s="15">
        <v>-0.115</v>
      </c>
      <c r="I943" s="15">
        <v>0.129</v>
      </c>
      <c r="J943" t="s">
        <v>412</v>
      </c>
      <c r="K943" t="s">
        <v>500</v>
      </c>
    </row>
    <row r="944" spans="1:11">
      <c r="A944" t="s">
        <v>547</v>
      </c>
      <c r="B944" t="s">
        <v>586</v>
      </c>
      <c r="C944" t="s">
        <v>572</v>
      </c>
      <c r="D944" s="15">
        <v>5.0000000000000001E-3</v>
      </c>
      <c r="E944" s="15">
        <v>-0.17299999999999999</v>
      </c>
      <c r="F944" s="15">
        <v>-0.20799999999999999</v>
      </c>
      <c r="G944" s="15">
        <v>-8.4000000000000005E-2</v>
      </c>
      <c r="H944" s="15">
        <v>-0.125</v>
      </c>
      <c r="I944" s="15">
        <v>0.129</v>
      </c>
      <c r="J944" t="s">
        <v>412</v>
      </c>
      <c r="K944" t="s">
        <v>579</v>
      </c>
    </row>
    <row r="945" spans="1:11">
      <c r="A945" t="s">
        <v>576</v>
      </c>
      <c r="B945" t="s">
        <v>499</v>
      </c>
      <c r="C945" t="s">
        <v>593</v>
      </c>
      <c r="D945" s="15">
        <v>-1.7000000000000001E-2</v>
      </c>
      <c r="E945" s="15">
        <v>-7.0999999999999994E-2</v>
      </c>
      <c r="F945" s="15">
        <v>-0.3</v>
      </c>
      <c r="G945" s="15">
        <v>-4.3999999999999997E-2</v>
      </c>
      <c r="H945" s="15">
        <v>-0.129</v>
      </c>
      <c r="I945" s="15">
        <v>0.129</v>
      </c>
      <c r="J945" t="s">
        <v>412</v>
      </c>
      <c r="K945" t="s">
        <v>589</v>
      </c>
    </row>
    <row r="946" spans="1:11">
      <c r="A946" t="s">
        <v>506</v>
      </c>
      <c r="B946" t="s">
        <v>590</v>
      </c>
      <c r="C946" t="s">
        <v>594</v>
      </c>
      <c r="D946" s="15">
        <v>8.2000000000000003E-2</v>
      </c>
      <c r="E946" s="15">
        <v>1E-3</v>
      </c>
      <c r="F946" s="15">
        <v>0.29899999999999999</v>
      </c>
      <c r="G946" s="15">
        <v>4.2000000000000003E-2</v>
      </c>
      <c r="H946" s="15">
        <v>0.128</v>
      </c>
      <c r="I946" s="15">
        <v>0.128</v>
      </c>
      <c r="J946" t="s">
        <v>412</v>
      </c>
      <c r="K946" t="s">
        <v>551</v>
      </c>
    </row>
    <row r="947" spans="1:11">
      <c r="A947" t="s">
        <v>506</v>
      </c>
      <c r="B947" t="s">
        <v>586</v>
      </c>
      <c r="C947" t="s">
        <v>591</v>
      </c>
      <c r="D947" s="15">
        <v>0.20899999999999999</v>
      </c>
      <c r="E947" s="15">
        <v>0.16400000000000001</v>
      </c>
      <c r="F947" s="15">
        <v>1.2E-2</v>
      </c>
      <c r="G947" s="15">
        <v>0.186</v>
      </c>
      <c r="H947" s="15">
        <v>0.128</v>
      </c>
      <c r="I947" s="15">
        <v>0.128</v>
      </c>
      <c r="J947" t="s">
        <v>412</v>
      </c>
      <c r="K947" t="s">
        <v>551</v>
      </c>
    </row>
    <row r="948" spans="1:11">
      <c r="A948" t="s">
        <v>547</v>
      </c>
      <c r="B948" t="s">
        <v>509</v>
      </c>
      <c r="C948" t="s">
        <v>582</v>
      </c>
      <c r="D948" s="15">
        <v>0.14299999999999999</v>
      </c>
      <c r="E948" s="15">
        <v>4.5999999999999999E-2</v>
      </c>
      <c r="F948" s="15">
        <v>0.19600000000000001</v>
      </c>
      <c r="G948" s="15">
        <v>9.4E-2</v>
      </c>
      <c r="H948" s="15">
        <v>0.128</v>
      </c>
      <c r="I948" s="15">
        <v>0.128</v>
      </c>
      <c r="J948" t="s">
        <v>412</v>
      </c>
      <c r="K948" t="s">
        <v>551</v>
      </c>
    </row>
    <row r="949" spans="1:11">
      <c r="A949" t="s">
        <v>573</v>
      </c>
      <c r="B949" t="s">
        <v>550</v>
      </c>
      <c r="C949" t="s">
        <v>594</v>
      </c>
      <c r="D949" s="15">
        <v>0.13700000000000001</v>
      </c>
      <c r="E949" s="15">
        <v>0.19800000000000001</v>
      </c>
      <c r="F949" s="15">
        <v>4.9000000000000002E-2</v>
      </c>
      <c r="G949" s="15">
        <v>0.16800000000000001</v>
      </c>
      <c r="H949" s="15">
        <v>0.128</v>
      </c>
      <c r="I949" s="15">
        <v>0.128</v>
      </c>
      <c r="J949" t="s">
        <v>412</v>
      </c>
      <c r="K949" t="s">
        <v>551</v>
      </c>
    </row>
    <row r="950" spans="1:11">
      <c r="A950" t="s">
        <v>576</v>
      </c>
      <c r="B950" t="s">
        <v>587</v>
      </c>
      <c r="C950" t="s">
        <v>492</v>
      </c>
      <c r="D950" s="15">
        <v>1.7999999999999999E-2</v>
      </c>
      <c r="E950" s="15">
        <v>0.11700000000000001</v>
      </c>
      <c r="F950" s="15">
        <v>0.25</v>
      </c>
      <c r="G950" s="15">
        <v>6.7000000000000004E-2</v>
      </c>
      <c r="H950" s="15">
        <v>0.128</v>
      </c>
      <c r="I950" s="15">
        <v>0.128</v>
      </c>
      <c r="J950" t="s">
        <v>412</v>
      </c>
      <c r="K950" t="s">
        <v>551</v>
      </c>
    </row>
    <row r="951" spans="1:11">
      <c r="A951" t="s">
        <v>486</v>
      </c>
      <c r="B951" t="s">
        <v>595</v>
      </c>
      <c r="C951" t="s">
        <v>492</v>
      </c>
      <c r="D951" s="15">
        <v>0.34899999999999998</v>
      </c>
      <c r="E951" s="15">
        <v>-1.6E-2</v>
      </c>
      <c r="F951" s="15">
        <v>-1.9E-2</v>
      </c>
      <c r="G951" s="15">
        <v>0.16600000000000001</v>
      </c>
      <c r="H951" s="15">
        <v>0.105</v>
      </c>
      <c r="I951" s="15">
        <v>0.128</v>
      </c>
      <c r="J951" t="s">
        <v>412</v>
      </c>
      <c r="K951" t="s">
        <v>579</v>
      </c>
    </row>
    <row r="952" spans="1:11">
      <c r="A952" t="s">
        <v>547</v>
      </c>
      <c r="B952" t="s">
        <v>578</v>
      </c>
      <c r="C952" t="s">
        <v>584</v>
      </c>
      <c r="D952" s="15">
        <v>0.112</v>
      </c>
      <c r="E952" s="15">
        <v>-4.2999999999999997E-2</v>
      </c>
      <c r="F952" s="15">
        <v>0.23100000000000001</v>
      </c>
      <c r="G952" s="15">
        <v>3.5000000000000003E-2</v>
      </c>
      <c r="H952" s="15">
        <v>0.1</v>
      </c>
      <c r="I952" s="15">
        <v>0.128</v>
      </c>
      <c r="J952" t="s">
        <v>412</v>
      </c>
      <c r="K952" t="s">
        <v>480</v>
      </c>
    </row>
    <row r="953" spans="1:11">
      <c r="A953" t="s">
        <v>547</v>
      </c>
      <c r="B953" t="s">
        <v>574</v>
      </c>
      <c r="C953" t="s">
        <v>492</v>
      </c>
      <c r="D953" s="15">
        <v>-6.6000000000000003E-2</v>
      </c>
      <c r="E953" s="15">
        <v>-2.4E-2</v>
      </c>
      <c r="F953" s="15">
        <v>0.29499999999999998</v>
      </c>
      <c r="G953" s="15">
        <v>-4.4999999999999998E-2</v>
      </c>
      <c r="H953" s="15">
        <v>6.8000000000000005E-2</v>
      </c>
      <c r="I953" s="15">
        <v>0.128</v>
      </c>
      <c r="J953" t="s">
        <v>412</v>
      </c>
      <c r="K953" t="s">
        <v>510</v>
      </c>
    </row>
    <row r="954" spans="1:11">
      <c r="A954" t="s">
        <v>571</v>
      </c>
      <c r="B954" t="s">
        <v>523</v>
      </c>
      <c r="C954" t="s">
        <v>591</v>
      </c>
      <c r="D954" s="15">
        <v>6.6000000000000003E-2</v>
      </c>
      <c r="E954" s="15">
        <v>-0.13200000000000001</v>
      </c>
      <c r="F954" s="15">
        <v>0.184</v>
      </c>
      <c r="G954" s="15">
        <v>-3.3000000000000002E-2</v>
      </c>
      <c r="H954" s="15">
        <v>3.9E-2</v>
      </c>
      <c r="I954" s="15">
        <v>0.128</v>
      </c>
      <c r="J954" t="s">
        <v>412</v>
      </c>
      <c r="K954" t="s">
        <v>480</v>
      </c>
    </row>
    <row r="955" spans="1:11">
      <c r="A955" t="s">
        <v>547</v>
      </c>
      <c r="B955" t="s">
        <v>588</v>
      </c>
      <c r="C955" t="s">
        <v>570</v>
      </c>
      <c r="D955" s="15">
        <v>-0.14799999999999999</v>
      </c>
      <c r="E955" s="15">
        <v>0.20200000000000001</v>
      </c>
      <c r="F955" s="15">
        <v>3.4000000000000002E-2</v>
      </c>
      <c r="G955" s="15">
        <v>2.7E-2</v>
      </c>
      <c r="H955" s="15">
        <v>2.9000000000000001E-2</v>
      </c>
      <c r="I955" s="15">
        <v>0.128</v>
      </c>
      <c r="J955" t="s">
        <v>412</v>
      </c>
      <c r="K955" t="s">
        <v>487</v>
      </c>
    </row>
    <row r="956" spans="1:11">
      <c r="A956" t="s">
        <v>486</v>
      </c>
      <c r="B956" t="s">
        <v>586</v>
      </c>
      <c r="C956" t="s">
        <v>584</v>
      </c>
      <c r="D956" s="15">
        <v>-7.9000000000000001E-2</v>
      </c>
      <c r="E956" s="15">
        <v>-0.189</v>
      </c>
      <c r="F956" s="15">
        <v>0.11700000000000001</v>
      </c>
      <c r="G956" s="15">
        <v>-0.13400000000000001</v>
      </c>
      <c r="H956" s="15">
        <v>-0.05</v>
      </c>
      <c r="I956" s="15">
        <v>0.128</v>
      </c>
      <c r="J956" t="s">
        <v>412</v>
      </c>
      <c r="K956" t="s">
        <v>510</v>
      </c>
    </row>
    <row r="957" spans="1:11">
      <c r="A957" t="s">
        <v>547</v>
      </c>
      <c r="B957" t="s">
        <v>569</v>
      </c>
      <c r="C957" t="s">
        <v>584</v>
      </c>
      <c r="D957" s="15">
        <v>0.112</v>
      </c>
      <c r="E957" s="15">
        <v>-0.14699999999999999</v>
      </c>
      <c r="F957" s="15">
        <v>-0.124</v>
      </c>
      <c r="G957" s="15">
        <v>-1.7000000000000001E-2</v>
      </c>
      <c r="H957" s="15">
        <v>-5.2999999999999999E-2</v>
      </c>
      <c r="I957" s="15">
        <v>0.128</v>
      </c>
      <c r="J957" t="s">
        <v>412</v>
      </c>
      <c r="K957" t="s">
        <v>579</v>
      </c>
    </row>
    <row r="958" spans="1:11">
      <c r="A958" t="s">
        <v>576</v>
      </c>
      <c r="B958" t="s">
        <v>505</v>
      </c>
      <c r="C958" t="s">
        <v>584</v>
      </c>
      <c r="D958" s="15">
        <v>-0.1</v>
      </c>
      <c r="E958" s="15">
        <v>0.104</v>
      </c>
      <c r="F958" s="15">
        <v>-0.18099999999999999</v>
      </c>
      <c r="G958" s="15">
        <v>2E-3</v>
      </c>
      <c r="H958" s="15">
        <v>-5.8999999999999997E-2</v>
      </c>
      <c r="I958" s="15">
        <v>0.128</v>
      </c>
      <c r="J958" t="s">
        <v>412</v>
      </c>
      <c r="K958" t="s">
        <v>500</v>
      </c>
    </row>
    <row r="959" spans="1:11">
      <c r="A959" t="s">
        <v>486</v>
      </c>
      <c r="B959" t="s">
        <v>592</v>
      </c>
      <c r="C959" t="s">
        <v>585</v>
      </c>
      <c r="D959" s="15">
        <v>-0.27</v>
      </c>
      <c r="E959" s="15">
        <v>-9.1999999999999998E-2</v>
      </c>
      <c r="F959" s="15">
        <v>2.1000000000000001E-2</v>
      </c>
      <c r="G959" s="15">
        <v>-0.18099999999999999</v>
      </c>
      <c r="H959" s="15">
        <v>-0.114</v>
      </c>
      <c r="I959" s="15">
        <v>0.128</v>
      </c>
      <c r="J959" t="s">
        <v>412</v>
      </c>
      <c r="K959" t="s">
        <v>510</v>
      </c>
    </row>
    <row r="960" spans="1:11">
      <c r="A960" t="s">
        <v>571</v>
      </c>
      <c r="B960" t="s">
        <v>478</v>
      </c>
      <c r="C960" t="s">
        <v>572</v>
      </c>
      <c r="D960" s="15">
        <v>-0.16300000000000001</v>
      </c>
      <c r="E960" s="15">
        <v>-0.216</v>
      </c>
      <c r="F960" s="15">
        <v>4.0000000000000001E-3</v>
      </c>
      <c r="G960" s="15">
        <v>-0.19</v>
      </c>
      <c r="H960" s="15">
        <v>-0.125</v>
      </c>
      <c r="I960" s="15">
        <v>0.128</v>
      </c>
      <c r="J960" t="s">
        <v>412</v>
      </c>
      <c r="K960" t="s">
        <v>510</v>
      </c>
    </row>
    <row r="961" spans="1:11">
      <c r="A961" t="s">
        <v>571</v>
      </c>
      <c r="B961" t="s">
        <v>550</v>
      </c>
      <c r="C961" t="s">
        <v>572</v>
      </c>
      <c r="D961" s="15">
        <v>-0.16300000000000001</v>
      </c>
      <c r="E961" s="15">
        <v>-2.5000000000000001E-2</v>
      </c>
      <c r="F961" s="15">
        <v>-0.19400000000000001</v>
      </c>
      <c r="G961" s="15">
        <v>-9.4E-2</v>
      </c>
      <c r="H961" s="15">
        <v>-0.128</v>
      </c>
      <c r="I961" s="15">
        <v>0.128</v>
      </c>
      <c r="J961" t="s">
        <v>412</v>
      </c>
      <c r="K961" t="s">
        <v>589</v>
      </c>
    </row>
    <row r="962" spans="1:11">
      <c r="A962" t="s">
        <v>576</v>
      </c>
      <c r="B962" t="s">
        <v>597</v>
      </c>
      <c r="C962" t="s">
        <v>593</v>
      </c>
      <c r="D962" s="15">
        <v>-1.7000000000000001E-2</v>
      </c>
      <c r="E962" s="15">
        <v>-0.11700000000000001</v>
      </c>
      <c r="F962" s="15">
        <v>-0.249</v>
      </c>
      <c r="G962" s="15">
        <v>-6.7000000000000004E-2</v>
      </c>
      <c r="H962" s="15">
        <v>-0.128</v>
      </c>
      <c r="I962" s="15">
        <v>0.128</v>
      </c>
      <c r="J962" t="s">
        <v>412</v>
      </c>
      <c r="K962" t="s">
        <v>589</v>
      </c>
    </row>
    <row r="963" spans="1:11">
      <c r="A963" t="s">
        <v>576</v>
      </c>
      <c r="B963" t="s">
        <v>596</v>
      </c>
      <c r="C963" t="s">
        <v>575</v>
      </c>
      <c r="D963" s="15">
        <v>-0.17100000000000001</v>
      </c>
      <c r="E963" s="15">
        <v>-6.0999999999999999E-2</v>
      </c>
      <c r="F963" s="15">
        <v>-0.151</v>
      </c>
      <c r="G963" s="15">
        <v>-0.11600000000000001</v>
      </c>
      <c r="H963" s="15">
        <v>-0.128</v>
      </c>
      <c r="I963" s="15">
        <v>0.128</v>
      </c>
      <c r="J963" t="s">
        <v>412</v>
      </c>
      <c r="K963" t="s">
        <v>589</v>
      </c>
    </row>
    <row r="964" spans="1:11">
      <c r="A964" t="s">
        <v>547</v>
      </c>
      <c r="B964" t="s">
        <v>580</v>
      </c>
      <c r="C964" t="s">
        <v>477</v>
      </c>
      <c r="D964" s="15">
        <v>6.4000000000000001E-2</v>
      </c>
      <c r="E964" s="15">
        <v>3.2000000000000001E-2</v>
      </c>
      <c r="F964" s="15">
        <v>0.28399999999999997</v>
      </c>
      <c r="G964" s="15">
        <v>4.8000000000000001E-2</v>
      </c>
      <c r="H964" s="15">
        <v>0.127</v>
      </c>
      <c r="I964" s="15">
        <v>0.127</v>
      </c>
      <c r="J964" t="s">
        <v>412</v>
      </c>
      <c r="K964" t="s">
        <v>551</v>
      </c>
    </row>
    <row r="965" spans="1:11">
      <c r="A965" t="s">
        <v>577</v>
      </c>
      <c r="B965" t="s">
        <v>590</v>
      </c>
      <c r="C965" t="s">
        <v>584</v>
      </c>
      <c r="D965" s="15">
        <v>0.182</v>
      </c>
      <c r="E965" s="15">
        <v>4.4999999999999998E-2</v>
      </c>
      <c r="F965" s="15">
        <v>0.155</v>
      </c>
      <c r="G965" s="15">
        <v>0.113</v>
      </c>
      <c r="H965" s="15">
        <v>0.127</v>
      </c>
      <c r="I965" s="15">
        <v>0.127</v>
      </c>
      <c r="J965" t="s">
        <v>412</v>
      </c>
      <c r="K965" t="s">
        <v>551</v>
      </c>
    </row>
    <row r="966" spans="1:11">
      <c r="A966" t="s">
        <v>479</v>
      </c>
      <c r="B966" t="s">
        <v>588</v>
      </c>
      <c r="C966" t="s">
        <v>477</v>
      </c>
      <c r="D966" s="15">
        <v>4.5999999999999999E-2</v>
      </c>
      <c r="E966" s="15">
        <v>-1.7000000000000001E-2</v>
      </c>
      <c r="F966" s="15">
        <v>0.31900000000000001</v>
      </c>
      <c r="G966" s="15">
        <v>1.4999999999999999E-2</v>
      </c>
      <c r="H966" s="15">
        <v>0.11600000000000001</v>
      </c>
      <c r="I966" s="15">
        <v>0.127</v>
      </c>
      <c r="J966" t="s">
        <v>412</v>
      </c>
      <c r="K966" t="s">
        <v>480</v>
      </c>
    </row>
    <row r="967" spans="1:11">
      <c r="A967" t="s">
        <v>577</v>
      </c>
      <c r="B967" t="s">
        <v>592</v>
      </c>
      <c r="C967" t="s">
        <v>477</v>
      </c>
      <c r="D967" s="15">
        <v>0.246</v>
      </c>
      <c r="E967" s="15">
        <v>-6.9000000000000006E-2</v>
      </c>
      <c r="F967" s="15">
        <v>-6.6000000000000003E-2</v>
      </c>
      <c r="G967" s="15">
        <v>8.8999999999999996E-2</v>
      </c>
      <c r="H967" s="15">
        <v>3.6999999999999998E-2</v>
      </c>
      <c r="I967" s="15">
        <v>0.127</v>
      </c>
      <c r="J967" t="s">
        <v>412</v>
      </c>
      <c r="K967" t="s">
        <v>579</v>
      </c>
    </row>
    <row r="968" spans="1:11">
      <c r="A968" t="s">
        <v>571</v>
      </c>
      <c r="B968" t="s">
        <v>598</v>
      </c>
      <c r="C968" t="s">
        <v>572</v>
      </c>
      <c r="D968" s="15">
        <v>-0.16300000000000001</v>
      </c>
      <c r="E968" s="15">
        <v>0.17299999999999999</v>
      </c>
      <c r="F968" s="15">
        <v>4.5999999999999999E-2</v>
      </c>
      <c r="G968" s="15">
        <v>5.0000000000000001E-3</v>
      </c>
      <c r="H968" s="15">
        <v>1.7999999999999999E-2</v>
      </c>
      <c r="I968" s="15">
        <v>0.127</v>
      </c>
      <c r="J968" t="s">
        <v>412</v>
      </c>
      <c r="K968" t="s">
        <v>487</v>
      </c>
    </row>
    <row r="969" spans="1:11">
      <c r="A969" t="s">
        <v>576</v>
      </c>
      <c r="B969" t="s">
        <v>588</v>
      </c>
      <c r="C969" t="s">
        <v>570</v>
      </c>
      <c r="D969" s="15">
        <v>-0.222</v>
      </c>
      <c r="E969" s="15">
        <v>0.124</v>
      </c>
      <c r="F969" s="15">
        <v>3.4000000000000002E-2</v>
      </c>
      <c r="G969" s="15">
        <v>-4.9000000000000002E-2</v>
      </c>
      <c r="H969" s="15">
        <v>-2.1000000000000001E-2</v>
      </c>
      <c r="I969" s="15">
        <v>0.127</v>
      </c>
      <c r="J969" t="s">
        <v>412</v>
      </c>
      <c r="K969" t="s">
        <v>487</v>
      </c>
    </row>
    <row r="970" spans="1:11">
      <c r="A970" t="s">
        <v>577</v>
      </c>
      <c r="B970" t="s">
        <v>588</v>
      </c>
      <c r="C970" t="s">
        <v>572</v>
      </c>
      <c r="D970" s="15">
        <v>-0.14399999999999999</v>
      </c>
      <c r="E970" s="15">
        <v>0.114</v>
      </c>
      <c r="F970" s="15">
        <v>-0.124</v>
      </c>
      <c r="G970" s="15">
        <v>-1.4999999999999999E-2</v>
      </c>
      <c r="H970" s="15">
        <v>-5.0999999999999997E-2</v>
      </c>
      <c r="I970" s="15">
        <v>0.127</v>
      </c>
      <c r="J970" t="s">
        <v>412</v>
      </c>
      <c r="K970" t="s">
        <v>500</v>
      </c>
    </row>
    <row r="971" spans="1:11">
      <c r="A971" t="s">
        <v>486</v>
      </c>
      <c r="B971" t="s">
        <v>598</v>
      </c>
      <c r="C971" t="s">
        <v>585</v>
      </c>
      <c r="D971" s="15">
        <v>-0.27</v>
      </c>
      <c r="E971" s="15">
        <v>-7.0000000000000001E-3</v>
      </c>
      <c r="F971" s="15">
        <v>0.104</v>
      </c>
      <c r="G971" s="15">
        <v>-0.13800000000000001</v>
      </c>
      <c r="H971" s="15">
        <v>-5.7000000000000002E-2</v>
      </c>
      <c r="I971" s="15">
        <v>0.127</v>
      </c>
      <c r="J971" t="s">
        <v>412</v>
      </c>
      <c r="K971" t="s">
        <v>510</v>
      </c>
    </row>
    <row r="972" spans="1:11">
      <c r="A972" t="s">
        <v>506</v>
      </c>
      <c r="B972" t="s">
        <v>569</v>
      </c>
      <c r="C972" t="s">
        <v>594</v>
      </c>
      <c r="D972" s="15">
        <v>8.2000000000000003E-2</v>
      </c>
      <c r="E972" s="15">
        <v>-0.22700000000000001</v>
      </c>
      <c r="F972" s="15">
        <v>-7.3999999999999996E-2</v>
      </c>
      <c r="G972" s="15">
        <v>-7.1999999999999995E-2</v>
      </c>
      <c r="H972" s="15">
        <v>-7.2999999999999995E-2</v>
      </c>
      <c r="I972" s="15">
        <v>0.127</v>
      </c>
      <c r="J972" t="s">
        <v>412</v>
      </c>
      <c r="K972" t="s">
        <v>579</v>
      </c>
    </row>
    <row r="973" spans="1:11">
      <c r="A973" t="s">
        <v>573</v>
      </c>
      <c r="B973" t="s">
        <v>569</v>
      </c>
      <c r="C973" t="s">
        <v>492</v>
      </c>
      <c r="D973" s="15">
        <v>-0.16400000000000001</v>
      </c>
      <c r="E973" s="15">
        <v>-0.16</v>
      </c>
      <c r="F973" s="15">
        <v>5.7000000000000002E-2</v>
      </c>
      <c r="G973" s="15">
        <v>-0.16200000000000001</v>
      </c>
      <c r="H973" s="15">
        <v>-8.8999999999999996E-2</v>
      </c>
      <c r="I973" s="15">
        <v>0.127</v>
      </c>
      <c r="J973" t="s">
        <v>412</v>
      </c>
      <c r="K973" t="s">
        <v>510</v>
      </c>
    </row>
    <row r="974" spans="1:11">
      <c r="A974" t="s">
        <v>573</v>
      </c>
      <c r="B974" t="s">
        <v>588</v>
      </c>
      <c r="C974" t="s">
        <v>572</v>
      </c>
      <c r="D974" s="15">
        <v>-0.20799999999999999</v>
      </c>
      <c r="E974" s="15">
        <v>4.9000000000000002E-2</v>
      </c>
      <c r="F974" s="15">
        <v>-0.124</v>
      </c>
      <c r="G974" s="15">
        <v>-7.9000000000000001E-2</v>
      </c>
      <c r="H974" s="15">
        <v>-9.4E-2</v>
      </c>
      <c r="I974" s="15">
        <v>0.127</v>
      </c>
      <c r="J974" t="s">
        <v>412</v>
      </c>
      <c r="K974" t="s">
        <v>500</v>
      </c>
    </row>
    <row r="975" spans="1:11">
      <c r="A975" t="s">
        <v>576</v>
      </c>
      <c r="B975" t="s">
        <v>499</v>
      </c>
      <c r="C975" t="s">
        <v>477</v>
      </c>
      <c r="D975" s="15">
        <v>2.9000000000000001E-2</v>
      </c>
      <c r="E975" s="15">
        <v>-7.0999999999999994E-2</v>
      </c>
      <c r="F975" s="15">
        <v>-0.28000000000000003</v>
      </c>
      <c r="G975" s="15">
        <v>-2.1000000000000001E-2</v>
      </c>
      <c r="H975" s="15">
        <v>-0.107</v>
      </c>
      <c r="I975" s="15">
        <v>0.127</v>
      </c>
      <c r="J975" t="s">
        <v>412</v>
      </c>
      <c r="K975" t="s">
        <v>579</v>
      </c>
    </row>
    <row r="976" spans="1:11">
      <c r="A976" t="s">
        <v>479</v>
      </c>
      <c r="B976" t="s">
        <v>505</v>
      </c>
      <c r="C976" t="s">
        <v>575</v>
      </c>
      <c r="D976" s="15">
        <v>-0.22500000000000001</v>
      </c>
      <c r="E976" s="15">
        <v>-0.14699999999999999</v>
      </c>
      <c r="F976" s="15">
        <v>8.0000000000000002E-3</v>
      </c>
      <c r="G976" s="15">
        <v>-0.186</v>
      </c>
      <c r="H976" s="15">
        <v>-0.121</v>
      </c>
      <c r="I976" s="15">
        <v>0.127</v>
      </c>
      <c r="J976" t="s">
        <v>412</v>
      </c>
      <c r="K976" t="s">
        <v>510</v>
      </c>
    </row>
    <row r="977" spans="1:11">
      <c r="A977" t="s">
        <v>577</v>
      </c>
      <c r="B977" t="s">
        <v>574</v>
      </c>
      <c r="C977" t="s">
        <v>570</v>
      </c>
      <c r="D977" s="15">
        <v>-8.8999999999999996E-2</v>
      </c>
      <c r="E977" s="15">
        <v>-4.0000000000000001E-3</v>
      </c>
      <c r="F977" s="15">
        <v>-0.28799999999999998</v>
      </c>
      <c r="G977" s="15">
        <v>-4.7E-2</v>
      </c>
      <c r="H977" s="15">
        <v>-0.127</v>
      </c>
      <c r="I977" s="15">
        <v>0.127</v>
      </c>
      <c r="J977" t="s">
        <v>412</v>
      </c>
      <c r="K977" t="s">
        <v>589</v>
      </c>
    </row>
    <row r="978" spans="1:11">
      <c r="A978" t="s">
        <v>573</v>
      </c>
      <c r="B978" t="s">
        <v>523</v>
      </c>
      <c r="C978" t="s">
        <v>594</v>
      </c>
      <c r="D978" s="15">
        <v>0.13700000000000001</v>
      </c>
      <c r="E978" s="15">
        <v>0.21199999999999999</v>
      </c>
      <c r="F978" s="15">
        <v>2.8000000000000001E-2</v>
      </c>
      <c r="G978" s="15">
        <v>0.17499999999999999</v>
      </c>
      <c r="H978" s="15">
        <v>0.126</v>
      </c>
      <c r="I978" s="15">
        <v>0.126</v>
      </c>
      <c r="J978" t="s">
        <v>412</v>
      </c>
      <c r="K978" t="s">
        <v>551</v>
      </c>
    </row>
    <row r="979" spans="1:11">
      <c r="A979" t="s">
        <v>576</v>
      </c>
      <c r="B979" t="s">
        <v>587</v>
      </c>
      <c r="C979" t="s">
        <v>594</v>
      </c>
      <c r="D979" s="15">
        <v>2.1000000000000001E-2</v>
      </c>
      <c r="E979" s="15">
        <v>0.11700000000000001</v>
      </c>
      <c r="F979" s="15">
        <v>0.24</v>
      </c>
      <c r="G979" s="15">
        <v>6.9000000000000006E-2</v>
      </c>
      <c r="H979" s="15">
        <v>0.126</v>
      </c>
      <c r="I979" s="15">
        <v>0.126</v>
      </c>
      <c r="J979" t="s">
        <v>412</v>
      </c>
      <c r="K979" t="s">
        <v>551</v>
      </c>
    </row>
    <row r="980" spans="1:11">
      <c r="A980" t="s">
        <v>577</v>
      </c>
      <c r="B980" t="s">
        <v>478</v>
      </c>
      <c r="C980" t="s">
        <v>477</v>
      </c>
      <c r="D980" s="15">
        <v>0.246</v>
      </c>
      <c r="E980" s="15">
        <v>-5.3999999999999999E-2</v>
      </c>
      <c r="F980" s="15">
        <v>7.6999999999999999E-2</v>
      </c>
      <c r="G980" s="15">
        <v>9.6000000000000002E-2</v>
      </c>
      <c r="H980" s="15">
        <v>0.09</v>
      </c>
      <c r="I980" s="15">
        <v>0.126</v>
      </c>
      <c r="J980" t="s">
        <v>412</v>
      </c>
      <c r="K980" t="s">
        <v>480</v>
      </c>
    </row>
    <row r="981" spans="1:11">
      <c r="A981" t="s">
        <v>576</v>
      </c>
      <c r="B981" t="s">
        <v>523</v>
      </c>
      <c r="C981" t="s">
        <v>591</v>
      </c>
      <c r="D981" s="15">
        <v>-6.5000000000000002E-2</v>
      </c>
      <c r="E981" s="15">
        <v>0.129</v>
      </c>
      <c r="F981" s="15">
        <v>0.184</v>
      </c>
      <c r="G981" s="15">
        <v>3.2000000000000001E-2</v>
      </c>
      <c r="H981" s="15">
        <v>8.3000000000000004E-2</v>
      </c>
      <c r="I981" s="15">
        <v>0.126</v>
      </c>
      <c r="J981" t="s">
        <v>412</v>
      </c>
      <c r="K981" t="s">
        <v>487</v>
      </c>
    </row>
    <row r="982" spans="1:11">
      <c r="A982" t="s">
        <v>479</v>
      </c>
      <c r="B982" t="s">
        <v>517</v>
      </c>
      <c r="C982" t="s">
        <v>477</v>
      </c>
      <c r="D982" s="15">
        <v>4.5999999999999999E-2</v>
      </c>
      <c r="E982" s="15">
        <v>-7.3999999999999996E-2</v>
      </c>
      <c r="F982" s="15">
        <v>0.25800000000000001</v>
      </c>
      <c r="G982" s="15">
        <v>-1.4E-2</v>
      </c>
      <c r="H982" s="15">
        <v>7.6999999999999999E-2</v>
      </c>
      <c r="I982" s="15">
        <v>0.126</v>
      </c>
      <c r="J982" t="s">
        <v>412</v>
      </c>
      <c r="K982" t="s">
        <v>480</v>
      </c>
    </row>
    <row r="983" spans="1:11">
      <c r="A983" t="s">
        <v>571</v>
      </c>
      <c r="B983" t="s">
        <v>581</v>
      </c>
      <c r="C983" t="s">
        <v>594</v>
      </c>
      <c r="D983" s="15">
        <v>-8.0000000000000002E-3</v>
      </c>
      <c r="E983" s="15">
        <v>0.27500000000000002</v>
      </c>
      <c r="F983" s="15">
        <v>-9.5000000000000001E-2</v>
      </c>
      <c r="G983" s="15">
        <v>0.13400000000000001</v>
      </c>
      <c r="H983" s="15">
        <v>5.7000000000000002E-2</v>
      </c>
      <c r="I983" s="15">
        <v>0.126</v>
      </c>
      <c r="J983" t="s">
        <v>412</v>
      </c>
      <c r="K983" t="s">
        <v>500</v>
      </c>
    </row>
    <row r="984" spans="1:11">
      <c r="A984" t="s">
        <v>506</v>
      </c>
      <c r="B984" t="s">
        <v>597</v>
      </c>
      <c r="C984" t="s">
        <v>572</v>
      </c>
      <c r="D984" s="15">
        <v>-0.11899999999999999</v>
      </c>
      <c r="E984" s="15">
        <v>5.0999999999999997E-2</v>
      </c>
      <c r="F984" s="15">
        <v>0.21</v>
      </c>
      <c r="G984" s="15">
        <v>-3.4000000000000002E-2</v>
      </c>
      <c r="H984" s="15">
        <v>4.7E-2</v>
      </c>
      <c r="I984" s="15">
        <v>0.126</v>
      </c>
      <c r="J984" t="s">
        <v>412</v>
      </c>
      <c r="K984" t="s">
        <v>487</v>
      </c>
    </row>
    <row r="985" spans="1:11">
      <c r="A985" t="s">
        <v>571</v>
      </c>
      <c r="B985" t="s">
        <v>498</v>
      </c>
      <c r="C985" t="s">
        <v>477</v>
      </c>
      <c r="D985" s="15">
        <v>0.13300000000000001</v>
      </c>
      <c r="E985" s="15">
        <v>0.11</v>
      </c>
      <c r="F985" s="15">
        <v>-0.13400000000000001</v>
      </c>
      <c r="G985" s="15">
        <v>0.122</v>
      </c>
      <c r="H985" s="15">
        <v>3.5999999999999997E-2</v>
      </c>
      <c r="I985" s="15">
        <v>0.126</v>
      </c>
      <c r="J985" t="s">
        <v>412</v>
      </c>
      <c r="K985" t="s">
        <v>493</v>
      </c>
    </row>
    <row r="986" spans="1:11">
      <c r="A986" t="s">
        <v>506</v>
      </c>
      <c r="B986" t="s">
        <v>596</v>
      </c>
      <c r="C986" t="s">
        <v>591</v>
      </c>
      <c r="D986" s="15">
        <v>0.20899999999999999</v>
      </c>
      <c r="E986" s="15">
        <v>-6.0000000000000001E-3</v>
      </c>
      <c r="F986" s="15">
        <v>-0.16300000000000001</v>
      </c>
      <c r="G986" s="15">
        <v>0.10100000000000001</v>
      </c>
      <c r="H986" s="15">
        <v>1.2999999999999999E-2</v>
      </c>
      <c r="I986" s="15">
        <v>0.126</v>
      </c>
      <c r="J986" t="s">
        <v>412</v>
      </c>
      <c r="K986" t="s">
        <v>579</v>
      </c>
    </row>
    <row r="987" spans="1:11">
      <c r="A987" t="s">
        <v>573</v>
      </c>
      <c r="B987" t="s">
        <v>498</v>
      </c>
      <c r="C987" t="s">
        <v>585</v>
      </c>
      <c r="D987" s="15">
        <v>2.5999999999999999E-2</v>
      </c>
      <c r="E987" s="15">
        <v>0.13100000000000001</v>
      </c>
      <c r="F987" s="15">
        <v>-0.221</v>
      </c>
      <c r="G987" s="15">
        <v>7.9000000000000001E-2</v>
      </c>
      <c r="H987" s="15">
        <v>-2.1000000000000001E-2</v>
      </c>
      <c r="I987" s="15">
        <v>0.126</v>
      </c>
      <c r="J987" t="s">
        <v>412</v>
      </c>
      <c r="K987" t="s">
        <v>493</v>
      </c>
    </row>
    <row r="988" spans="1:11">
      <c r="A988" t="s">
        <v>506</v>
      </c>
      <c r="B988" t="s">
        <v>550</v>
      </c>
      <c r="C988" t="s">
        <v>477</v>
      </c>
      <c r="D988" s="15">
        <v>0.14399999999999999</v>
      </c>
      <c r="E988" s="15">
        <v>-0.17299999999999999</v>
      </c>
      <c r="F988" s="15">
        <v>-0.06</v>
      </c>
      <c r="G988" s="15">
        <v>-1.4999999999999999E-2</v>
      </c>
      <c r="H988" s="15">
        <v>-0.03</v>
      </c>
      <c r="I988" s="15">
        <v>0.126</v>
      </c>
      <c r="J988" t="s">
        <v>412</v>
      </c>
      <c r="K988" t="s">
        <v>579</v>
      </c>
    </row>
    <row r="989" spans="1:11">
      <c r="A989" t="s">
        <v>479</v>
      </c>
      <c r="B989" t="s">
        <v>581</v>
      </c>
      <c r="C989" t="s">
        <v>584</v>
      </c>
      <c r="D989" s="15">
        <v>0.106</v>
      </c>
      <c r="E989" s="15">
        <v>-7.8E-2</v>
      </c>
      <c r="F989" s="15">
        <v>-0.193</v>
      </c>
      <c r="G989" s="15">
        <v>1.4E-2</v>
      </c>
      <c r="H989" s="15">
        <v>-5.5E-2</v>
      </c>
      <c r="I989" s="15">
        <v>0.126</v>
      </c>
      <c r="J989" t="s">
        <v>412</v>
      </c>
      <c r="K989" t="s">
        <v>579</v>
      </c>
    </row>
    <row r="990" spans="1:11">
      <c r="A990" t="s">
        <v>479</v>
      </c>
      <c r="B990" t="s">
        <v>574</v>
      </c>
      <c r="C990" t="s">
        <v>591</v>
      </c>
      <c r="D990" s="15">
        <v>9.4E-2</v>
      </c>
      <c r="E990" s="15">
        <v>-6.6000000000000003E-2</v>
      </c>
      <c r="F990" s="15">
        <v>-0.218</v>
      </c>
      <c r="G990" s="15">
        <v>1.4E-2</v>
      </c>
      <c r="H990" s="15">
        <v>-6.4000000000000001E-2</v>
      </c>
      <c r="I990" s="15">
        <v>0.126</v>
      </c>
      <c r="J990" t="s">
        <v>412</v>
      </c>
      <c r="K990" t="s">
        <v>579</v>
      </c>
    </row>
    <row r="991" spans="1:11">
      <c r="A991" t="s">
        <v>577</v>
      </c>
      <c r="B991" t="s">
        <v>598</v>
      </c>
      <c r="C991" t="s">
        <v>572</v>
      </c>
      <c r="D991" s="15">
        <v>-0.14399999999999999</v>
      </c>
      <c r="E991" s="15">
        <v>-0.188</v>
      </c>
      <c r="F991" s="15">
        <v>4.5999999999999999E-2</v>
      </c>
      <c r="G991" s="15">
        <v>-0.16600000000000001</v>
      </c>
      <c r="H991" s="15">
        <v>-9.5000000000000001E-2</v>
      </c>
      <c r="I991" s="15">
        <v>0.126</v>
      </c>
      <c r="J991" t="s">
        <v>412</v>
      </c>
      <c r="K991" t="s">
        <v>510</v>
      </c>
    </row>
    <row r="992" spans="1:11">
      <c r="A992" t="s">
        <v>506</v>
      </c>
      <c r="B992" t="s">
        <v>592</v>
      </c>
      <c r="C992" t="s">
        <v>585</v>
      </c>
      <c r="D992" s="15">
        <v>-5.6000000000000001E-2</v>
      </c>
      <c r="E992" s="15">
        <v>-0.30199999999999999</v>
      </c>
      <c r="F992" s="15">
        <v>2.1000000000000001E-2</v>
      </c>
      <c r="G992" s="15">
        <v>-0.17899999999999999</v>
      </c>
      <c r="H992" s="15">
        <v>-0.112</v>
      </c>
      <c r="I992" s="15">
        <v>0.126</v>
      </c>
      <c r="J992" t="s">
        <v>412</v>
      </c>
      <c r="K992" t="s">
        <v>510</v>
      </c>
    </row>
    <row r="993" spans="1:11">
      <c r="A993" t="s">
        <v>576</v>
      </c>
      <c r="B993" t="s">
        <v>598</v>
      </c>
      <c r="C993" t="s">
        <v>575</v>
      </c>
      <c r="D993" s="15">
        <v>-0.17100000000000001</v>
      </c>
      <c r="E993" s="15">
        <v>-0.20200000000000001</v>
      </c>
      <c r="F993" s="15">
        <v>7.0000000000000001E-3</v>
      </c>
      <c r="G993" s="15">
        <v>-0.186</v>
      </c>
      <c r="H993" s="15">
        <v>-0.122</v>
      </c>
      <c r="I993" s="15">
        <v>0.126</v>
      </c>
      <c r="J993" t="s">
        <v>412</v>
      </c>
      <c r="K993" t="s">
        <v>510</v>
      </c>
    </row>
    <row r="994" spans="1:11">
      <c r="A994" t="s">
        <v>479</v>
      </c>
      <c r="B994" t="s">
        <v>597</v>
      </c>
      <c r="C994" t="s">
        <v>585</v>
      </c>
      <c r="D994" s="15">
        <v>-0.123</v>
      </c>
      <c r="E994" s="15">
        <v>-0.251</v>
      </c>
      <c r="F994" s="15">
        <v>-3.0000000000000001E-3</v>
      </c>
      <c r="G994" s="15">
        <v>-0.187</v>
      </c>
      <c r="H994" s="15">
        <v>-0.126</v>
      </c>
      <c r="I994" s="15">
        <v>0.126</v>
      </c>
      <c r="J994" t="s">
        <v>412</v>
      </c>
      <c r="K994" t="s">
        <v>589</v>
      </c>
    </row>
    <row r="995" spans="1:11">
      <c r="A995" t="s">
        <v>479</v>
      </c>
      <c r="B995" t="s">
        <v>586</v>
      </c>
      <c r="C995" t="s">
        <v>572</v>
      </c>
      <c r="D995" s="15">
        <v>-6.8000000000000005E-2</v>
      </c>
      <c r="E995" s="15">
        <v>-0.10100000000000001</v>
      </c>
      <c r="F995" s="15">
        <v>-0.20799999999999999</v>
      </c>
      <c r="G995" s="15">
        <v>-8.5000000000000006E-2</v>
      </c>
      <c r="H995" s="15">
        <v>-0.126</v>
      </c>
      <c r="I995" s="15">
        <v>0.126</v>
      </c>
      <c r="J995" t="s">
        <v>412</v>
      </c>
      <c r="K995" t="s">
        <v>589</v>
      </c>
    </row>
    <row r="996" spans="1:11">
      <c r="A996" t="s">
        <v>479</v>
      </c>
      <c r="B996" t="s">
        <v>509</v>
      </c>
      <c r="C996" t="s">
        <v>584</v>
      </c>
      <c r="D996" s="15">
        <v>0.106</v>
      </c>
      <c r="E996" s="15">
        <v>0.111</v>
      </c>
      <c r="F996" s="15">
        <v>0.157</v>
      </c>
      <c r="G996" s="15">
        <v>0.108</v>
      </c>
      <c r="H996" s="15">
        <v>0.125</v>
      </c>
      <c r="I996" s="15">
        <v>0.125</v>
      </c>
      <c r="J996" t="s">
        <v>412</v>
      </c>
      <c r="K996" t="s">
        <v>551</v>
      </c>
    </row>
    <row r="997" spans="1:11">
      <c r="A997" t="s">
        <v>547</v>
      </c>
      <c r="B997" t="s">
        <v>587</v>
      </c>
      <c r="C997" t="s">
        <v>594</v>
      </c>
      <c r="D997" s="15">
        <v>-6.0000000000000001E-3</v>
      </c>
      <c r="E997" s="15">
        <v>0.13</v>
      </c>
      <c r="F997" s="15">
        <v>0.24</v>
      </c>
      <c r="G997" s="15">
        <v>6.2E-2</v>
      </c>
      <c r="H997" s="15">
        <v>0.121</v>
      </c>
      <c r="I997" s="15">
        <v>0.125</v>
      </c>
      <c r="J997" t="s">
        <v>412</v>
      </c>
      <c r="K997" t="s">
        <v>487</v>
      </c>
    </row>
    <row r="998" spans="1:11">
      <c r="A998" t="s">
        <v>576</v>
      </c>
      <c r="B998" t="s">
        <v>596</v>
      </c>
      <c r="C998" t="s">
        <v>492</v>
      </c>
      <c r="D998" s="15">
        <v>1.7999999999999999E-2</v>
      </c>
      <c r="E998" s="15">
        <v>-6.0999999999999999E-2</v>
      </c>
      <c r="F998" s="15">
        <v>0.29499999999999998</v>
      </c>
      <c r="G998" s="15">
        <v>-2.1000000000000001E-2</v>
      </c>
      <c r="H998" s="15">
        <v>8.4000000000000005E-2</v>
      </c>
      <c r="I998" s="15">
        <v>0.125</v>
      </c>
      <c r="J998" t="s">
        <v>412</v>
      </c>
      <c r="K998" t="s">
        <v>480</v>
      </c>
    </row>
    <row r="999" spans="1:11">
      <c r="A999" t="s">
        <v>486</v>
      </c>
      <c r="B999" t="s">
        <v>581</v>
      </c>
      <c r="C999" t="s">
        <v>582</v>
      </c>
      <c r="D999" s="15">
        <v>-0.129</v>
      </c>
      <c r="E999" s="15">
        <v>0.14199999999999999</v>
      </c>
      <c r="F999" s="15">
        <v>0.10299999999999999</v>
      </c>
      <c r="G999" s="15">
        <v>7.0000000000000001E-3</v>
      </c>
      <c r="H999" s="15">
        <v>3.9E-2</v>
      </c>
      <c r="I999" s="15">
        <v>0.125</v>
      </c>
      <c r="J999" t="s">
        <v>412</v>
      </c>
      <c r="K999" t="s">
        <v>487</v>
      </c>
    </row>
    <row r="1000" spans="1:11">
      <c r="A1000" t="s">
        <v>506</v>
      </c>
      <c r="B1000" t="s">
        <v>581</v>
      </c>
      <c r="C1000" t="s">
        <v>572</v>
      </c>
      <c r="D1000" s="15">
        <v>-0.11899999999999999</v>
      </c>
      <c r="E1000" s="15">
        <v>-0.03</v>
      </c>
      <c r="F1000" s="15">
        <v>0.22500000000000001</v>
      </c>
      <c r="G1000" s="15">
        <v>-7.3999999999999996E-2</v>
      </c>
      <c r="H1000" s="15">
        <v>2.5999999999999999E-2</v>
      </c>
      <c r="I1000" s="15">
        <v>0.125</v>
      </c>
      <c r="J1000" t="s">
        <v>412</v>
      </c>
      <c r="K1000" t="s">
        <v>510</v>
      </c>
    </row>
    <row r="1001" spans="1:11">
      <c r="A1001" t="s">
        <v>486</v>
      </c>
      <c r="B1001" t="s">
        <v>498</v>
      </c>
      <c r="C1001" t="s">
        <v>584</v>
      </c>
      <c r="D1001" s="15">
        <v>-7.9000000000000001E-2</v>
      </c>
      <c r="E1001" s="15">
        <v>0.20599999999999999</v>
      </c>
      <c r="F1001" s="15">
        <v>-9.1999999999999998E-2</v>
      </c>
      <c r="G1001" s="15">
        <v>6.4000000000000001E-2</v>
      </c>
      <c r="H1001" s="15">
        <v>1.2E-2</v>
      </c>
      <c r="I1001" s="15">
        <v>0.125</v>
      </c>
      <c r="J1001" t="s">
        <v>412</v>
      </c>
      <c r="K1001" t="s">
        <v>500</v>
      </c>
    </row>
    <row r="1002" spans="1:11">
      <c r="A1002" t="s">
        <v>547</v>
      </c>
      <c r="B1002" t="s">
        <v>586</v>
      </c>
      <c r="C1002" t="s">
        <v>477</v>
      </c>
      <c r="D1002" s="15">
        <v>6.4000000000000001E-2</v>
      </c>
      <c r="E1002" s="15">
        <v>-0.17299999999999999</v>
      </c>
      <c r="F1002" s="15">
        <v>0.13600000000000001</v>
      </c>
      <c r="G1002" s="15">
        <v>-5.5E-2</v>
      </c>
      <c r="H1002" s="15">
        <v>8.9999999999999993E-3</v>
      </c>
      <c r="I1002" s="15">
        <v>0.125</v>
      </c>
      <c r="J1002" t="s">
        <v>412</v>
      </c>
      <c r="K1002" t="s">
        <v>480</v>
      </c>
    </row>
    <row r="1003" spans="1:11">
      <c r="A1003" t="s">
        <v>577</v>
      </c>
      <c r="B1003" t="s">
        <v>505</v>
      </c>
      <c r="C1003" t="s">
        <v>584</v>
      </c>
      <c r="D1003" s="15">
        <v>0.182</v>
      </c>
      <c r="E1003" s="15">
        <v>1.2E-2</v>
      </c>
      <c r="F1003" s="15">
        <v>-0.18099999999999999</v>
      </c>
      <c r="G1003" s="15">
        <v>9.7000000000000003E-2</v>
      </c>
      <c r="H1003" s="15">
        <v>4.0000000000000001E-3</v>
      </c>
      <c r="I1003" s="15">
        <v>0.125</v>
      </c>
      <c r="J1003" t="s">
        <v>412</v>
      </c>
      <c r="K1003" t="s">
        <v>493</v>
      </c>
    </row>
    <row r="1004" spans="1:11">
      <c r="A1004" t="s">
        <v>577</v>
      </c>
      <c r="B1004" t="s">
        <v>598</v>
      </c>
      <c r="C1004" t="s">
        <v>584</v>
      </c>
      <c r="D1004" s="15">
        <v>0.182</v>
      </c>
      <c r="E1004" s="15">
        <v>-0.188</v>
      </c>
      <c r="F1004" s="15">
        <v>-4.0000000000000001E-3</v>
      </c>
      <c r="G1004" s="15">
        <v>-3.0000000000000001E-3</v>
      </c>
      <c r="H1004" s="15">
        <v>-3.0000000000000001E-3</v>
      </c>
      <c r="I1004" s="15">
        <v>0.125</v>
      </c>
      <c r="J1004" t="s">
        <v>412</v>
      </c>
      <c r="K1004" t="s">
        <v>579</v>
      </c>
    </row>
    <row r="1005" spans="1:11">
      <c r="A1005" t="s">
        <v>547</v>
      </c>
      <c r="B1005" t="s">
        <v>550</v>
      </c>
      <c r="C1005" t="s">
        <v>582</v>
      </c>
      <c r="D1005" s="15">
        <v>0.14299999999999999</v>
      </c>
      <c r="E1005" s="15">
        <v>2.7E-2</v>
      </c>
      <c r="F1005" s="15">
        <v>-0.20499999999999999</v>
      </c>
      <c r="G1005" s="15">
        <v>8.5000000000000006E-2</v>
      </c>
      <c r="H1005" s="15">
        <v>-1.2E-2</v>
      </c>
      <c r="I1005" s="15">
        <v>0.125</v>
      </c>
      <c r="J1005" t="s">
        <v>412</v>
      </c>
      <c r="K1005" t="s">
        <v>493</v>
      </c>
    </row>
    <row r="1006" spans="1:11">
      <c r="A1006" t="s">
        <v>576</v>
      </c>
      <c r="B1006" t="s">
        <v>523</v>
      </c>
      <c r="C1006" t="s">
        <v>570</v>
      </c>
      <c r="D1006" s="15">
        <v>-0.222</v>
      </c>
      <c r="E1006" s="15">
        <v>0.129</v>
      </c>
      <c r="F1006" s="15">
        <v>-2.5000000000000001E-2</v>
      </c>
      <c r="G1006" s="15">
        <v>-4.5999999999999999E-2</v>
      </c>
      <c r="H1006" s="15">
        <v>-3.9E-2</v>
      </c>
      <c r="I1006" s="15">
        <v>0.125</v>
      </c>
      <c r="J1006" t="s">
        <v>412</v>
      </c>
      <c r="K1006" t="s">
        <v>500</v>
      </c>
    </row>
    <row r="1007" spans="1:11">
      <c r="A1007" t="s">
        <v>486</v>
      </c>
      <c r="B1007" t="s">
        <v>595</v>
      </c>
      <c r="C1007" t="s">
        <v>585</v>
      </c>
      <c r="D1007" s="15">
        <v>-0.27</v>
      </c>
      <c r="E1007" s="15">
        <v>-1.6E-2</v>
      </c>
      <c r="F1007" s="15">
        <v>8.8999999999999996E-2</v>
      </c>
      <c r="G1007" s="15">
        <v>-0.14299999999999999</v>
      </c>
      <c r="H1007" s="15">
        <v>-6.6000000000000003E-2</v>
      </c>
      <c r="I1007" s="15">
        <v>0.125</v>
      </c>
      <c r="J1007" t="s">
        <v>412</v>
      </c>
      <c r="K1007" t="s">
        <v>510</v>
      </c>
    </row>
    <row r="1008" spans="1:11">
      <c r="A1008" t="s">
        <v>479</v>
      </c>
      <c r="B1008" t="s">
        <v>499</v>
      </c>
      <c r="C1008" t="s">
        <v>593</v>
      </c>
      <c r="D1008" s="15">
        <v>-8.0000000000000002E-3</v>
      </c>
      <c r="E1008" s="15">
        <v>6.6000000000000003E-2</v>
      </c>
      <c r="F1008" s="15">
        <v>-0.3</v>
      </c>
      <c r="G1008" s="15">
        <v>2.9000000000000001E-2</v>
      </c>
      <c r="H1008" s="15">
        <v>-0.08</v>
      </c>
      <c r="I1008" s="15">
        <v>0.125</v>
      </c>
      <c r="J1008" t="s">
        <v>412</v>
      </c>
      <c r="K1008" t="s">
        <v>500</v>
      </c>
    </row>
    <row r="1009" spans="1:11">
      <c r="A1009" t="s">
        <v>547</v>
      </c>
      <c r="B1009" t="s">
        <v>596</v>
      </c>
      <c r="C1009" t="s">
        <v>477</v>
      </c>
      <c r="D1009" s="15">
        <v>6.4000000000000001E-2</v>
      </c>
      <c r="E1009" s="15">
        <v>-4.7E-2</v>
      </c>
      <c r="F1009" s="15">
        <v>-0.26400000000000001</v>
      </c>
      <c r="G1009" s="15">
        <v>8.0000000000000002E-3</v>
      </c>
      <c r="H1009" s="15">
        <v>-8.2000000000000003E-2</v>
      </c>
      <c r="I1009" s="15">
        <v>0.125</v>
      </c>
      <c r="J1009" t="s">
        <v>412</v>
      </c>
      <c r="K1009" t="s">
        <v>579</v>
      </c>
    </row>
    <row r="1010" spans="1:11">
      <c r="A1010" t="s">
        <v>506</v>
      </c>
      <c r="B1010" t="s">
        <v>590</v>
      </c>
      <c r="C1010" t="s">
        <v>492</v>
      </c>
      <c r="D1010" s="15">
        <v>-0.17399999999999999</v>
      </c>
      <c r="E1010" s="15">
        <v>1E-3</v>
      </c>
      <c r="F1010" s="15">
        <v>-0.19900000000000001</v>
      </c>
      <c r="G1010" s="15">
        <v>-8.5999999999999993E-2</v>
      </c>
      <c r="H1010" s="15">
        <v>-0.124</v>
      </c>
      <c r="I1010" s="15">
        <v>0.125</v>
      </c>
      <c r="J1010" t="s">
        <v>412</v>
      </c>
      <c r="K1010" t="s">
        <v>500</v>
      </c>
    </row>
    <row r="1011" spans="1:11">
      <c r="A1011" t="s">
        <v>506</v>
      </c>
      <c r="B1011" t="s">
        <v>517</v>
      </c>
      <c r="C1011" t="s">
        <v>572</v>
      </c>
      <c r="D1011" s="15">
        <v>-0.11899999999999999</v>
      </c>
      <c r="E1011" s="15">
        <v>-6.5000000000000002E-2</v>
      </c>
      <c r="F1011" s="15">
        <v>-0.191</v>
      </c>
      <c r="G1011" s="15">
        <v>-9.1999999999999998E-2</v>
      </c>
      <c r="H1011" s="15">
        <v>-0.125</v>
      </c>
      <c r="I1011" s="15">
        <v>0.125</v>
      </c>
      <c r="J1011" t="s">
        <v>412</v>
      </c>
      <c r="K1011" t="s">
        <v>589</v>
      </c>
    </row>
    <row r="1012" spans="1:11">
      <c r="A1012" t="s">
        <v>479</v>
      </c>
      <c r="B1012" t="s">
        <v>509</v>
      </c>
      <c r="C1012" t="s">
        <v>591</v>
      </c>
      <c r="D1012" s="15">
        <v>9.4E-2</v>
      </c>
      <c r="E1012" s="15">
        <v>0.111</v>
      </c>
      <c r="F1012" s="15">
        <v>0.16800000000000001</v>
      </c>
      <c r="G1012" s="15">
        <v>0.10199999999999999</v>
      </c>
      <c r="H1012" s="15">
        <v>0.124</v>
      </c>
      <c r="I1012" s="15">
        <v>0.124</v>
      </c>
      <c r="J1012" t="s">
        <v>412</v>
      </c>
      <c r="K1012" t="s">
        <v>551</v>
      </c>
    </row>
    <row r="1013" spans="1:11">
      <c r="A1013" t="s">
        <v>547</v>
      </c>
      <c r="B1013" t="s">
        <v>588</v>
      </c>
      <c r="C1013" t="s">
        <v>582</v>
      </c>
      <c r="D1013" s="15">
        <v>0.14299999999999999</v>
      </c>
      <c r="E1013" s="15">
        <v>0.20200000000000001</v>
      </c>
      <c r="F1013" s="15">
        <v>2.5999999999999999E-2</v>
      </c>
      <c r="G1013" s="15">
        <v>0.17299999999999999</v>
      </c>
      <c r="H1013" s="15">
        <v>0.124</v>
      </c>
      <c r="I1013" s="15">
        <v>0.124</v>
      </c>
      <c r="J1013" t="s">
        <v>412</v>
      </c>
      <c r="K1013" t="s">
        <v>551</v>
      </c>
    </row>
    <row r="1014" spans="1:11">
      <c r="A1014" t="s">
        <v>506</v>
      </c>
      <c r="B1014" t="s">
        <v>596</v>
      </c>
      <c r="C1014" t="s">
        <v>584</v>
      </c>
      <c r="D1014" s="15">
        <v>0.11899999999999999</v>
      </c>
      <c r="E1014" s="15">
        <v>-6.0000000000000001E-3</v>
      </c>
      <c r="F1014" s="15">
        <v>0.245</v>
      </c>
      <c r="G1014" s="15">
        <v>5.6000000000000001E-2</v>
      </c>
      <c r="H1014" s="15">
        <v>0.11899999999999999</v>
      </c>
      <c r="I1014" s="15">
        <v>0.124</v>
      </c>
      <c r="J1014" t="s">
        <v>412</v>
      </c>
      <c r="K1014" t="s">
        <v>480</v>
      </c>
    </row>
    <row r="1015" spans="1:11">
      <c r="A1015" t="s">
        <v>573</v>
      </c>
      <c r="B1015" t="s">
        <v>590</v>
      </c>
      <c r="C1015" t="s">
        <v>591</v>
      </c>
      <c r="D1015" s="15">
        <v>0.123</v>
      </c>
      <c r="E1015" s="15">
        <v>0.23</v>
      </c>
      <c r="F1015" s="15">
        <v>-1.9E-2</v>
      </c>
      <c r="G1015" s="15">
        <v>0.17699999999999999</v>
      </c>
      <c r="H1015" s="15">
        <v>0.111</v>
      </c>
      <c r="I1015" s="15">
        <v>0.124</v>
      </c>
      <c r="J1015" t="s">
        <v>412</v>
      </c>
      <c r="K1015" t="s">
        <v>493</v>
      </c>
    </row>
    <row r="1016" spans="1:11">
      <c r="A1016" t="s">
        <v>547</v>
      </c>
      <c r="B1016" t="s">
        <v>498</v>
      </c>
      <c r="C1016" t="s">
        <v>492</v>
      </c>
      <c r="D1016" s="15">
        <v>-6.6000000000000003E-2</v>
      </c>
      <c r="E1016" s="15">
        <v>0.16500000000000001</v>
      </c>
      <c r="F1016" s="15">
        <v>0.14099999999999999</v>
      </c>
      <c r="G1016" s="15">
        <v>0.05</v>
      </c>
      <c r="H1016" s="15">
        <v>0.08</v>
      </c>
      <c r="I1016" s="15">
        <v>0.124</v>
      </c>
      <c r="J1016" t="s">
        <v>412</v>
      </c>
      <c r="K1016" t="s">
        <v>487</v>
      </c>
    </row>
    <row r="1017" spans="1:11">
      <c r="A1017" t="s">
        <v>479</v>
      </c>
      <c r="B1017" t="s">
        <v>581</v>
      </c>
      <c r="C1017" t="s">
        <v>572</v>
      </c>
      <c r="D1017" s="15">
        <v>-6.8000000000000005E-2</v>
      </c>
      <c r="E1017" s="15">
        <v>-7.8E-2</v>
      </c>
      <c r="F1017" s="15">
        <v>0.22500000000000001</v>
      </c>
      <c r="G1017" s="15">
        <v>-7.2999999999999995E-2</v>
      </c>
      <c r="H1017" s="15">
        <v>2.5999999999999999E-2</v>
      </c>
      <c r="I1017" s="15">
        <v>0.124</v>
      </c>
      <c r="J1017" t="s">
        <v>412</v>
      </c>
      <c r="K1017" t="s">
        <v>510</v>
      </c>
    </row>
    <row r="1018" spans="1:11">
      <c r="A1018" t="s">
        <v>573</v>
      </c>
      <c r="B1018" t="s">
        <v>569</v>
      </c>
      <c r="C1018" t="s">
        <v>594</v>
      </c>
      <c r="D1018" s="15">
        <v>0.13700000000000001</v>
      </c>
      <c r="E1018" s="15">
        <v>-0.16</v>
      </c>
      <c r="F1018" s="15">
        <v>-7.3999999999999996E-2</v>
      </c>
      <c r="G1018" s="15">
        <v>-1.0999999999999999E-2</v>
      </c>
      <c r="H1018" s="15">
        <v>-3.2000000000000001E-2</v>
      </c>
      <c r="I1018" s="15">
        <v>0.124</v>
      </c>
      <c r="J1018" t="s">
        <v>412</v>
      </c>
      <c r="K1018" t="s">
        <v>579</v>
      </c>
    </row>
    <row r="1019" spans="1:11">
      <c r="A1019" t="s">
        <v>486</v>
      </c>
      <c r="B1019" t="s">
        <v>509</v>
      </c>
      <c r="C1019" t="s">
        <v>477</v>
      </c>
      <c r="D1019" s="15">
        <v>-0.28399999999999997</v>
      </c>
      <c r="E1019" s="15">
        <v>-5.0000000000000001E-3</v>
      </c>
      <c r="F1019" s="15">
        <v>8.2000000000000003E-2</v>
      </c>
      <c r="G1019" s="15">
        <v>-0.14399999999999999</v>
      </c>
      <c r="H1019" s="15">
        <v>-6.9000000000000006E-2</v>
      </c>
      <c r="I1019" s="15">
        <v>0.124</v>
      </c>
      <c r="J1019" t="s">
        <v>412</v>
      </c>
      <c r="K1019" t="s">
        <v>510</v>
      </c>
    </row>
    <row r="1020" spans="1:11">
      <c r="A1020" t="s">
        <v>506</v>
      </c>
      <c r="B1020" t="s">
        <v>597</v>
      </c>
      <c r="C1020" t="s">
        <v>593</v>
      </c>
      <c r="D1020" s="15">
        <v>-7.1999999999999995E-2</v>
      </c>
      <c r="E1020" s="15">
        <v>5.0999999999999997E-2</v>
      </c>
      <c r="F1020" s="15">
        <v>-0.249</v>
      </c>
      <c r="G1020" s="15">
        <v>-0.01</v>
      </c>
      <c r="H1020" s="15">
        <v>-0.09</v>
      </c>
      <c r="I1020" s="15">
        <v>0.124</v>
      </c>
      <c r="J1020" t="s">
        <v>412</v>
      </c>
      <c r="K1020" t="s">
        <v>500</v>
      </c>
    </row>
    <row r="1021" spans="1:11">
      <c r="A1021" t="s">
        <v>571</v>
      </c>
      <c r="B1021" t="s">
        <v>517</v>
      </c>
      <c r="C1021" t="s">
        <v>572</v>
      </c>
      <c r="D1021" s="15">
        <v>-0.16300000000000001</v>
      </c>
      <c r="E1021" s="15">
        <v>1.7999999999999999E-2</v>
      </c>
      <c r="F1021" s="15">
        <v>-0.191</v>
      </c>
      <c r="G1021" s="15">
        <v>-7.2999999999999995E-2</v>
      </c>
      <c r="H1021" s="15">
        <v>-0.112</v>
      </c>
      <c r="I1021" s="15">
        <v>0.124</v>
      </c>
      <c r="J1021" t="s">
        <v>412</v>
      </c>
      <c r="K1021" t="s">
        <v>500</v>
      </c>
    </row>
    <row r="1022" spans="1:11">
      <c r="A1022" t="s">
        <v>486</v>
      </c>
      <c r="B1022" t="s">
        <v>590</v>
      </c>
      <c r="C1022" t="s">
        <v>583</v>
      </c>
      <c r="D1022" s="15">
        <v>-0.16700000000000001</v>
      </c>
      <c r="E1022" s="15">
        <v>-0.106</v>
      </c>
      <c r="F1022" s="15">
        <v>-9.9000000000000005E-2</v>
      </c>
      <c r="G1022" s="15">
        <v>-0.13700000000000001</v>
      </c>
      <c r="H1022" s="15">
        <v>-0.124</v>
      </c>
      <c r="I1022" s="15">
        <v>0.124</v>
      </c>
      <c r="J1022" t="s">
        <v>412</v>
      </c>
      <c r="K1022" t="s">
        <v>589</v>
      </c>
    </row>
    <row r="1023" spans="1:11">
      <c r="A1023" t="s">
        <v>486</v>
      </c>
      <c r="B1023" t="s">
        <v>580</v>
      </c>
      <c r="C1023" t="s">
        <v>594</v>
      </c>
      <c r="D1023" s="15">
        <v>-9.7000000000000003E-2</v>
      </c>
      <c r="E1023" s="15">
        <v>-0.25700000000000001</v>
      </c>
      <c r="F1023" s="15">
        <v>-1.7000000000000001E-2</v>
      </c>
      <c r="G1023" s="15">
        <v>-0.17699999999999999</v>
      </c>
      <c r="H1023" s="15">
        <v>-0.124</v>
      </c>
      <c r="I1023" s="15">
        <v>0.124</v>
      </c>
      <c r="J1023" t="s">
        <v>412</v>
      </c>
      <c r="K1023" t="s">
        <v>589</v>
      </c>
    </row>
    <row r="1024" spans="1:11">
      <c r="A1024" t="s">
        <v>577</v>
      </c>
      <c r="B1024" t="s">
        <v>587</v>
      </c>
      <c r="C1024" t="s">
        <v>591</v>
      </c>
      <c r="D1024" s="15">
        <v>-1.4E-2</v>
      </c>
      <c r="E1024" s="15">
        <v>-0.15</v>
      </c>
      <c r="F1024" s="15">
        <v>-0.20899999999999999</v>
      </c>
      <c r="G1024" s="15">
        <v>-8.2000000000000003E-2</v>
      </c>
      <c r="H1024" s="15">
        <v>-0.124</v>
      </c>
      <c r="I1024" s="15">
        <v>0.124</v>
      </c>
      <c r="J1024" t="s">
        <v>412</v>
      </c>
      <c r="K1024" t="s">
        <v>589</v>
      </c>
    </row>
    <row r="1025" spans="1:11">
      <c r="A1025" t="s">
        <v>571</v>
      </c>
      <c r="B1025" t="s">
        <v>590</v>
      </c>
      <c r="C1025" t="s">
        <v>594</v>
      </c>
      <c r="D1025" s="15">
        <v>-8.0000000000000002E-3</v>
      </c>
      <c r="E1025" s="15">
        <v>6.2E-2</v>
      </c>
      <c r="F1025" s="15">
        <v>0.29899999999999999</v>
      </c>
      <c r="G1025" s="15">
        <v>2.7E-2</v>
      </c>
      <c r="H1025" s="15">
        <v>0.11799999999999999</v>
      </c>
      <c r="I1025" s="15">
        <v>0.123</v>
      </c>
      <c r="J1025" t="s">
        <v>412</v>
      </c>
      <c r="K1025" t="s">
        <v>487</v>
      </c>
    </row>
    <row r="1026" spans="1:11">
      <c r="A1026" t="s">
        <v>486</v>
      </c>
      <c r="B1026" t="s">
        <v>597</v>
      </c>
      <c r="C1026" t="s">
        <v>492</v>
      </c>
      <c r="D1026" s="15">
        <v>0.34899999999999998</v>
      </c>
      <c r="E1026" s="15">
        <v>-8.9999999999999993E-3</v>
      </c>
      <c r="F1026" s="15">
        <v>1.0999999999999999E-2</v>
      </c>
      <c r="G1026" s="15">
        <v>0.17</v>
      </c>
      <c r="H1026" s="15">
        <v>0.11700000000000001</v>
      </c>
      <c r="I1026" s="15">
        <v>0.123</v>
      </c>
      <c r="J1026" t="s">
        <v>412</v>
      </c>
      <c r="K1026" t="s">
        <v>480</v>
      </c>
    </row>
    <row r="1027" spans="1:11">
      <c r="A1027" t="s">
        <v>547</v>
      </c>
      <c r="B1027" t="s">
        <v>574</v>
      </c>
      <c r="C1027" t="s">
        <v>572</v>
      </c>
      <c r="D1027" s="15">
        <v>5.0000000000000001E-3</v>
      </c>
      <c r="E1027" s="15">
        <v>-2.4E-2</v>
      </c>
      <c r="F1027" s="15">
        <v>0.34</v>
      </c>
      <c r="G1027" s="15">
        <v>-8.9999999999999993E-3</v>
      </c>
      <c r="H1027" s="15">
        <v>0.107</v>
      </c>
      <c r="I1027" s="15">
        <v>0.123</v>
      </c>
      <c r="J1027" t="s">
        <v>412</v>
      </c>
      <c r="K1027" t="s">
        <v>480</v>
      </c>
    </row>
    <row r="1028" spans="1:11">
      <c r="A1028" t="s">
        <v>573</v>
      </c>
      <c r="B1028" t="s">
        <v>509</v>
      </c>
      <c r="C1028" t="s">
        <v>583</v>
      </c>
      <c r="D1028" s="15">
        <v>7.3999999999999996E-2</v>
      </c>
      <c r="E1028" s="15">
        <v>-6.3E-2</v>
      </c>
      <c r="F1028" s="15">
        <v>0.23200000000000001</v>
      </c>
      <c r="G1028" s="15">
        <v>5.0000000000000001E-3</v>
      </c>
      <c r="H1028" s="15">
        <v>8.1000000000000003E-2</v>
      </c>
      <c r="I1028" s="15">
        <v>0.123</v>
      </c>
      <c r="J1028" t="s">
        <v>412</v>
      </c>
      <c r="K1028" t="s">
        <v>480</v>
      </c>
    </row>
    <row r="1029" spans="1:11">
      <c r="A1029" t="s">
        <v>571</v>
      </c>
      <c r="B1029" t="s">
        <v>499</v>
      </c>
      <c r="C1029" t="s">
        <v>492</v>
      </c>
      <c r="D1029" s="15">
        <v>-6.5000000000000002E-2</v>
      </c>
      <c r="E1029" s="15">
        <v>-1E-3</v>
      </c>
      <c r="F1029" s="15">
        <v>0.30399999999999999</v>
      </c>
      <c r="G1029" s="15">
        <v>-3.3000000000000002E-2</v>
      </c>
      <c r="H1029" s="15">
        <v>7.9000000000000001E-2</v>
      </c>
      <c r="I1029" s="15">
        <v>0.123</v>
      </c>
      <c r="J1029" t="s">
        <v>412</v>
      </c>
      <c r="K1029" t="s">
        <v>510</v>
      </c>
    </row>
    <row r="1030" spans="1:11">
      <c r="A1030" t="s">
        <v>479</v>
      </c>
      <c r="B1030" t="s">
        <v>581</v>
      </c>
      <c r="C1030" t="s">
        <v>492</v>
      </c>
      <c r="D1030" s="15">
        <v>5.8999999999999997E-2</v>
      </c>
      <c r="E1030" s="15">
        <v>-7.8E-2</v>
      </c>
      <c r="F1030" s="15">
        <v>0.23200000000000001</v>
      </c>
      <c r="G1030" s="15">
        <v>-0.01</v>
      </c>
      <c r="H1030" s="15">
        <v>7.0999999999999994E-2</v>
      </c>
      <c r="I1030" s="15">
        <v>0.123</v>
      </c>
      <c r="J1030" t="s">
        <v>412</v>
      </c>
      <c r="K1030" t="s">
        <v>480</v>
      </c>
    </row>
    <row r="1031" spans="1:11">
      <c r="A1031" t="s">
        <v>547</v>
      </c>
      <c r="B1031" t="s">
        <v>498</v>
      </c>
      <c r="C1031" t="s">
        <v>584</v>
      </c>
      <c r="D1031" s="15">
        <v>0.112</v>
      </c>
      <c r="E1031" s="15">
        <v>0.16500000000000001</v>
      </c>
      <c r="F1031" s="15">
        <v>-9.1999999999999998E-2</v>
      </c>
      <c r="G1031" s="15">
        <v>0.13900000000000001</v>
      </c>
      <c r="H1031" s="15">
        <v>6.2E-2</v>
      </c>
      <c r="I1031" s="15">
        <v>0.123</v>
      </c>
      <c r="J1031" t="s">
        <v>412</v>
      </c>
      <c r="K1031" t="s">
        <v>493</v>
      </c>
    </row>
    <row r="1032" spans="1:11">
      <c r="A1032" t="s">
        <v>573</v>
      </c>
      <c r="B1032" t="s">
        <v>592</v>
      </c>
      <c r="C1032" t="s">
        <v>584</v>
      </c>
      <c r="D1032" s="15">
        <v>0.26500000000000001</v>
      </c>
      <c r="E1032" s="15">
        <v>-3.5000000000000003E-2</v>
      </c>
      <c r="F1032" s="15">
        <v>-7.0000000000000007E-2</v>
      </c>
      <c r="G1032" s="15">
        <v>0.115</v>
      </c>
      <c r="H1032" s="15">
        <v>5.2999999999999999E-2</v>
      </c>
      <c r="I1032" s="15">
        <v>0.123</v>
      </c>
      <c r="J1032" t="s">
        <v>412</v>
      </c>
      <c r="K1032" t="s">
        <v>579</v>
      </c>
    </row>
    <row r="1033" spans="1:11">
      <c r="A1033" t="s">
        <v>576</v>
      </c>
      <c r="B1033" t="s">
        <v>509</v>
      </c>
      <c r="C1033" t="s">
        <v>583</v>
      </c>
      <c r="D1033" s="15">
        <v>-0.109</v>
      </c>
      <c r="E1033" s="15">
        <v>-2.9000000000000001E-2</v>
      </c>
      <c r="F1033" s="15">
        <v>0.23200000000000001</v>
      </c>
      <c r="G1033" s="15">
        <v>-6.9000000000000006E-2</v>
      </c>
      <c r="H1033" s="15">
        <v>3.1E-2</v>
      </c>
      <c r="I1033" s="15">
        <v>0.123</v>
      </c>
      <c r="J1033" t="s">
        <v>412</v>
      </c>
      <c r="K1033" t="s">
        <v>510</v>
      </c>
    </row>
    <row r="1034" spans="1:11">
      <c r="A1034" t="s">
        <v>571</v>
      </c>
      <c r="B1034" t="s">
        <v>598</v>
      </c>
      <c r="C1034" t="s">
        <v>583</v>
      </c>
      <c r="D1034" s="15">
        <v>-0.152</v>
      </c>
      <c r="E1034" s="15">
        <v>0.17299999999999999</v>
      </c>
      <c r="F1034" s="15">
        <v>-4.2999999999999997E-2</v>
      </c>
      <c r="G1034" s="15">
        <v>0.01</v>
      </c>
      <c r="H1034" s="15">
        <v>-7.0000000000000001E-3</v>
      </c>
      <c r="I1034" s="15">
        <v>0.123</v>
      </c>
      <c r="J1034" t="s">
        <v>412</v>
      </c>
      <c r="K1034" t="s">
        <v>500</v>
      </c>
    </row>
    <row r="1035" spans="1:11">
      <c r="A1035" t="s">
        <v>576</v>
      </c>
      <c r="B1035" t="s">
        <v>574</v>
      </c>
      <c r="C1035" t="s">
        <v>477</v>
      </c>
      <c r="D1035" s="15">
        <v>2.9000000000000001E-2</v>
      </c>
      <c r="E1035" s="15">
        <v>0.109</v>
      </c>
      <c r="F1035" s="15">
        <v>-0.23100000000000001</v>
      </c>
      <c r="G1035" s="15">
        <v>6.9000000000000006E-2</v>
      </c>
      <c r="H1035" s="15">
        <v>-3.1E-2</v>
      </c>
      <c r="I1035" s="15">
        <v>0.123</v>
      </c>
      <c r="J1035" t="s">
        <v>412</v>
      </c>
      <c r="K1035" t="s">
        <v>493</v>
      </c>
    </row>
    <row r="1036" spans="1:11">
      <c r="A1036" t="s">
        <v>547</v>
      </c>
      <c r="B1036" t="s">
        <v>586</v>
      </c>
      <c r="C1036" t="s">
        <v>575</v>
      </c>
      <c r="D1036" s="15">
        <v>-6.8000000000000005E-2</v>
      </c>
      <c r="E1036" s="15">
        <v>-0.17299999999999999</v>
      </c>
      <c r="F1036" s="15">
        <v>0.128</v>
      </c>
      <c r="G1036" s="15">
        <v>-0.121</v>
      </c>
      <c r="H1036" s="15">
        <v>-3.7999999999999999E-2</v>
      </c>
      <c r="I1036" s="15">
        <v>0.123</v>
      </c>
      <c r="J1036" t="s">
        <v>412</v>
      </c>
      <c r="K1036" t="s">
        <v>510</v>
      </c>
    </row>
    <row r="1037" spans="1:11">
      <c r="A1037" t="s">
        <v>577</v>
      </c>
      <c r="B1037" t="s">
        <v>569</v>
      </c>
      <c r="C1037" t="s">
        <v>572</v>
      </c>
      <c r="D1037" s="15">
        <v>-0.14399999999999999</v>
      </c>
      <c r="E1037" s="15">
        <v>-0.157</v>
      </c>
      <c r="F1037" s="15">
        <v>6.7000000000000004E-2</v>
      </c>
      <c r="G1037" s="15">
        <v>-0.151</v>
      </c>
      <c r="H1037" s="15">
        <v>-7.8E-2</v>
      </c>
      <c r="I1037" s="15">
        <v>0.123</v>
      </c>
      <c r="J1037" t="s">
        <v>412</v>
      </c>
      <c r="K1037" t="s">
        <v>510</v>
      </c>
    </row>
    <row r="1038" spans="1:11">
      <c r="A1038" t="s">
        <v>571</v>
      </c>
      <c r="B1038" t="s">
        <v>569</v>
      </c>
      <c r="C1038" t="s">
        <v>591</v>
      </c>
      <c r="D1038" s="15">
        <v>6.6000000000000003E-2</v>
      </c>
      <c r="E1038" s="15">
        <v>-0.19600000000000001</v>
      </c>
      <c r="F1038" s="15">
        <v>-0.106</v>
      </c>
      <c r="G1038" s="15">
        <v>-6.5000000000000002E-2</v>
      </c>
      <c r="H1038" s="15">
        <v>-7.9000000000000001E-2</v>
      </c>
      <c r="I1038" s="15">
        <v>0.123</v>
      </c>
      <c r="J1038" t="s">
        <v>412</v>
      </c>
      <c r="K1038" t="s">
        <v>579</v>
      </c>
    </row>
    <row r="1039" spans="1:11">
      <c r="A1039" t="s">
        <v>486</v>
      </c>
      <c r="B1039" t="s">
        <v>550</v>
      </c>
      <c r="C1039" t="s">
        <v>594</v>
      </c>
      <c r="D1039" s="15">
        <v>-9.7000000000000003E-2</v>
      </c>
      <c r="E1039" s="15">
        <v>-0.222</v>
      </c>
      <c r="F1039" s="15">
        <v>4.9000000000000002E-2</v>
      </c>
      <c r="G1039" s="15">
        <v>-0.16</v>
      </c>
      <c r="H1039" s="15">
        <v>-0.09</v>
      </c>
      <c r="I1039" s="15">
        <v>0.123</v>
      </c>
      <c r="J1039" t="s">
        <v>412</v>
      </c>
      <c r="K1039" t="s">
        <v>510</v>
      </c>
    </row>
    <row r="1040" spans="1:11">
      <c r="A1040" t="s">
        <v>479</v>
      </c>
      <c r="B1040" t="s">
        <v>517</v>
      </c>
      <c r="C1040" t="s">
        <v>570</v>
      </c>
      <c r="D1040" s="15">
        <v>-0.26900000000000002</v>
      </c>
      <c r="E1040" s="15">
        <v>-7.3999999999999996E-2</v>
      </c>
      <c r="F1040" s="15">
        <v>2.8000000000000001E-2</v>
      </c>
      <c r="G1040" s="15">
        <v>-0.17100000000000001</v>
      </c>
      <c r="H1040" s="15">
        <v>-0.105</v>
      </c>
      <c r="I1040" s="15">
        <v>0.123</v>
      </c>
      <c r="J1040" t="s">
        <v>412</v>
      </c>
      <c r="K1040" t="s">
        <v>510</v>
      </c>
    </row>
    <row r="1041" spans="1:11">
      <c r="A1041" t="s">
        <v>486</v>
      </c>
      <c r="B1041" t="s">
        <v>597</v>
      </c>
      <c r="C1041" t="s">
        <v>584</v>
      </c>
      <c r="D1041" s="15">
        <v>-7.9000000000000001E-2</v>
      </c>
      <c r="E1041" s="15">
        <v>-8.9999999999999993E-3</v>
      </c>
      <c r="F1041" s="15">
        <v>-0.28299999999999997</v>
      </c>
      <c r="G1041" s="15">
        <v>-4.3999999999999997E-2</v>
      </c>
      <c r="H1041" s="15">
        <v>-0.123</v>
      </c>
      <c r="I1041" s="15">
        <v>0.123</v>
      </c>
      <c r="J1041" t="s">
        <v>412</v>
      </c>
      <c r="K1041" t="s">
        <v>589</v>
      </c>
    </row>
    <row r="1042" spans="1:11">
      <c r="A1042" t="s">
        <v>479</v>
      </c>
      <c r="B1042" t="s">
        <v>578</v>
      </c>
      <c r="C1042" t="s">
        <v>584</v>
      </c>
      <c r="D1042" s="15">
        <v>0.106</v>
      </c>
      <c r="E1042" s="15">
        <v>2.8000000000000001E-2</v>
      </c>
      <c r="F1042" s="15">
        <v>0.23100000000000001</v>
      </c>
      <c r="G1042" s="15">
        <v>6.7000000000000004E-2</v>
      </c>
      <c r="H1042" s="15">
        <v>0.122</v>
      </c>
      <c r="I1042" s="15">
        <v>0.122</v>
      </c>
      <c r="J1042" t="s">
        <v>412</v>
      </c>
      <c r="K1042" t="s">
        <v>551</v>
      </c>
    </row>
    <row r="1043" spans="1:11">
      <c r="A1043" t="s">
        <v>506</v>
      </c>
      <c r="B1043" t="s">
        <v>590</v>
      </c>
      <c r="C1043" t="s">
        <v>477</v>
      </c>
      <c r="D1043" s="15">
        <v>0.14399999999999999</v>
      </c>
      <c r="E1043" s="15">
        <v>1E-3</v>
      </c>
      <c r="F1043" s="15">
        <v>0.221</v>
      </c>
      <c r="G1043" s="15">
        <v>7.2999999999999995E-2</v>
      </c>
      <c r="H1043" s="15">
        <v>0.122</v>
      </c>
      <c r="I1043" s="15">
        <v>0.122</v>
      </c>
      <c r="J1043" t="s">
        <v>412</v>
      </c>
      <c r="K1043" t="s">
        <v>551</v>
      </c>
    </row>
    <row r="1044" spans="1:11">
      <c r="A1044" t="s">
        <v>577</v>
      </c>
      <c r="B1044" t="s">
        <v>586</v>
      </c>
      <c r="C1044" t="s">
        <v>593</v>
      </c>
      <c r="D1044" s="15">
        <v>3.7999999999999999E-2</v>
      </c>
      <c r="E1044" s="15">
        <v>0.217</v>
      </c>
      <c r="F1044" s="15">
        <v>0.112</v>
      </c>
      <c r="G1044" s="15">
        <v>0.127</v>
      </c>
      <c r="H1044" s="15">
        <v>0.122</v>
      </c>
      <c r="I1044" s="15">
        <v>0.122</v>
      </c>
      <c r="J1044" t="s">
        <v>412</v>
      </c>
      <c r="K1044" t="s">
        <v>551</v>
      </c>
    </row>
    <row r="1045" spans="1:11">
      <c r="A1045" t="s">
        <v>573</v>
      </c>
      <c r="B1045" t="s">
        <v>596</v>
      </c>
      <c r="C1045" t="s">
        <v>582</v>
      </c>
      <c r="D1045" s="15">
        <v>0.28599999999999998</v>
      </c>
      <c r="E1045" s="15">
        <v>0.02</v>
      </c>
      <c r="F1045" s="15">
        <v>-6.2E-2</v>
      </c>
      <c r="G1045" s="15">
        <v>0.153</v>
      </c>
      <c r="H1045" s="15">
        <v>8.1000000000000003E-2</v>
      </c>
      <c r="I1045" s="15">
        <v>0.122</v>
      </c>
      <c r="J1045" t="s">
        <v>412</v>
      </c>
      <c r="K1045" t="s">
        <v>493</v>
      </c>
    </row>
    <row r="1046" spans="1:11">
      <c r="A1046" t="s">
        <v>547</v>
      </c>
      <c r="B1046" t="s">
        <v>578</v>
      </c>
      <c r="C1046" t="s">
        <v>583</v>
      </c>
      <c r="D1046" s="15">
        <v>-0.03</v>
      </c>
      <c r="E1046" s="15">
        <v>-4.2999999999999997E-2</v>
      </c>
      <c r="F1046" s="15">
        <v>0.29499999999999998</v>
      </c>
      <c r="G1046" s="15">
        <v>-3.5999999999999997E-2</v>
      </c>
      <c r="H1046" s="15">
        <v>7.3999999999999996E-2</v>
      </c>
      <c r="I1046" s="15">
        <v>0.122</v>
      </c>
      <c r="J1046" t="s">
        <v>412</v>
      </c>
      <c r="K1046" t="s">
        <v>510</v>
      </c>
    </row>
    <row r="1047" spans="1:11">
      <c r="A1047" t="s">
        <v>479</v>
      </c>
      <c r="B1047" t="s">
        <v>517</v>
      </c>
      <c r="C1047" t="s">
        <v>591</v>
      </c>
      <c r="D1047" s="15">
        <v>9.4E-2</v>
      </c>
      <c r="E1047" s="15">
        <v>-7.3999999999999996E-2</v>
      </c>
      <c r="F1047" s="15">
        <v>0.19900000000000001</v>
      </c>
      <c r="G1047" s="15">
        <v>0.01</v>
      </c>
      <c r="H1047" s="15">
        <v>7.2999999999999995E-2</v>
      </c>
      <c r="I1047" s="15">
        <v>0.122</v>
      </c>
      <c r="J1047" t="s">
        <v>412</v>
      </c>
      <c r="K1047" t="s">
        <v>480</v>
      </c>
    </row>
    <row r="1048" spans="1:11">
      <c r="A1048" t="s">
        <v>547</v>
      </c>
      <c r="B1048" t="s">
        <v>581</v>
      </c>
      <c r="C1048" t="s">
        <v>593</v>
      </c>
      <c r="D1048" s="15">
        <v>3.5000000000000003E-2</v>
      </c>
      <c r="E1048" s="15">
        <v>0.23699999999999999</v>
      </c>
      <c r="F1048" s="15">
        <v>-9.4E-2</v>
      </c>
      <c r="G1048" s="15">
        <v>0.13600000000000001</v>
      </c>
      <c r="H1048" s="15">
        <v>5.8999999999999997E-2</v>
      </c>
      <c r="I1048" s="15">
        <v>0.122</v>
      </c>
      <c r="J1048" t="s">
        <v>412</v>
      </c>
      <c r="K1048" t="s">
        <v>493</v>
      </c>
    </row>
    <row r="1049" spans="1:11">
      <c r="A1049" t="s">
        <v>547</v>
      </c>
      <c r="B1049" t="s">
        <v>578</v>
      </c>
      <c r="C1049" t="s">
        <v>575</v>
      </c>
      <c r="D1049" s="15">
        <v>-6.8000000000000005E-2</v>
      </c>
      <c r="E1049" s="15">
        <v>-4.2999999999999997E-2</v>
      </c>
      <c r="F1049" s="15">
        <v>0.254</v>
      </c>
      <c r="G1049" s="15">
        <v>-5.5E-2</v>
      </c>
      <c r="H1049" s="15">
        <v>4.8000000000000001E-2</v>
      </c>
      <c r="I1049" s="15">
        <v>0.122</v>
      </c>
      <c r="J1049" t="s">
        <v>412</v>
      </c>
      <c r="K1049" t="s">
        <v>510</v>
      </c>
    </row>
    <row r="1050" spans="1:11">
      <c r="A1050" t="s">
        <v>506</v>
      </c>
      <c r="B1050" t="s">
        <v>587</v>
      </c>
      <c r="C1050" t="s">
        <v>477</v>
      </c>
      <c r="D1050" s="15">
        <v>0.14399999999999999</v>
      </c>
      <c r="E1050" s="15">
        <v>2.1000000000000001E-2</v>
      </c>
      <c r="F1050" s="15">
        <v>-0.20200000000000001</v>
      </c>
      <c r="G1050" s="15">
        <v>8.2000000000000003E-2</v>
      </c>
      <c r="H1050" s="15">
        <v>-1.2E-2</v>
      </c>
      <c r="I1050" s="15">
        <v>0.122</v>
      </c>
      <c r="J1050" t="s">
        <v>412</v>
      </c>
      <c r="K1050" t="s">
        <v>493</v>
      </c>
    </row>
    <row r="1051" spans="1:11">
      <c r="A1051" t="s">
        <v>506</v>
      </c>
      <c r="B1051" t="s">
        <v>505</v>
      </c>
      <c r="C1051" t="s">
        <v>584</v>
      </c>
      <c r="D1051" s="15">
        <v>0.11899999999999999</v>
      </c>
      <c r="E1051" s="15">
        <v>-6.5000000000000002E-2</v>
      </c>
      <c r="F1051" s="15">
        <v>-0.18099999999999999</v>
      </c>
      <c r="G1051" s="15">
        <v>2.7E-2</v>
      </c>
      <c r="H1051" s="15">
        <v>-4.2000000000000003E-2</v>
      </c>
      <c r="I1051" s="15">
        <v>0.122</v>
      </c>
      <c r="J1051" t="s">
        <v>412</v>
      </c>
      <c r="K1051" t="s">
        <v>579</v>
      </c>
    </row>
    <row r="1052" spans="1:11">
      <c r="A1052" t="s">
        <v>571</v>
      </c>
      <c r="B1052" t="s">
        <v>596</v>
      </c>
      <c r="C1052" t="s">
        <v>575</v>
      </c>
      <c r="D1052" s="15">
        <v>-0.16800000000000001</v>
      </c>
      <c r="E1052" s="15">
        <v>4.5999999999999999E-2</v>
      </c>
      <c r="F1052" s="15">
        <v>-0.151</v>
      </c>
      <c r="G1052" s="15">
        <v>-6.0999999999999999E-2</v>
      </c>
      <c r="H1052" s="15">
        <v>-9.0999999999999998E-2</v>
      </c>
      <c r="I1052" s="15">
        <v>0.122</v>
      </c>
      <c r="J1052" t="s">
        <v>412</v>
      </c>
      <c r="K1052" t="s">
        <v>500</v>
      </c>
    </row>
    <row r="1053" spans="1:11">
      <c r="A1053" t="s">
        <v>506</v>
      </c>
      <c r="B1053" t="s">
        <v>592</v>
      </c>
      <c r="C1053" t="s">
        <v>583</v>
      </c>
      <c r="D1053" s="15">
        <v>4.1000000000000002E-2</v>
      </c>
      <c r="E1053" s="15">
        <v>-0.30199999999999999</v>
      </c>
      <c r="F1053" s="15">
        <v>-2.3E-2</v>
      </c>
      <c r="G1053" s="15">
        <v>-0.13</v>
      </c>
      <c r="H1053" s="15">
        <v>-9.5000000000000001E-2</v>
      </c>
      <c r="I1053" s="15">
        <v>0.122</v>
      </c>
      <c r="J1053" t="s">
        <v>412</v>
      </c>
      <c r="K1053" t="s">
        <v>579</v>
      </c>
    </row>
    <row r="1054" spans="1:11">
      <c r="A1054" t="s">
        <v>571</v>
      </c>
      <c r="B1054" t="s">
        <v>505</v>
      </c>
      <c r="C1054" t="s">
        <v>570</v>
      </c>
      <c r="D1054" s="15">
        <v>-0.19700000000000001</v>
      </c>
      <c r="E1054" s="15">
        <v>-0.14000000000000001</v>
      </c>
      <c r="F1054" s="15">
        <v>2.9000000000000001E-2</v>
      </c>
      <c r="G1054" s="15">
        <v>-0.16900000000000001</v>
      </c>
      <c r="H1054" s="15">
        <v>-0.10299999999999999</v>
      </c>
      <c r="I1054" s="15">
        <v>0.122</v>
      </c>
      <c r="J1054" t="s">
        <v>412</v>
      </c>
      <c r="K1054" t="s">
        <v>510</v>
      </c>
    </row>
    <row r="1055" spans="1:11">
      <c r="A1055" t="s">
        <v>573</v>
      </c>
      <c r="B1055" t="s">
        <v>580</v>
      </c>
      <c r="C1055" t="s">
        <v>584</v>
      </c>
      <c r="D1055" s="15">
        <v>0.26500000000000001</v>
      </c>
      <c r="E1055" s="15">
        <v>4.7E-2</v>
      </c>
      <c r="F1055" s="15">
        <v>0.05</v>
      </c>
      <c r="G1055" s="15">
        <v>0.156</v>
      </c>
      <c r="H1055" s="15">
        <v>0.121</v>
      </c>
      <c r="I1055" s="15">
        <v>0.121</v>
      </c>
      <c r="J1055" t="s">
        <v>412</v>
      </c>
      <c r="K1055" t="s">
        <v>551</v>
      </c>
    </row>
    <row r="1056" spans="1:11">
      <c r="A1056" t="s">
        <v>573</v>
      </c>
      <c r="B1056" t="s">
        <v>578</v>
      </c>
      <c r="C1056" t="s">
        <v>585</v>
      </c>
      <c r="D1056" s="15">
        <v>2.5999999999999999E-2</v>
      </c>
      <c r="E1056" s="15">
        <v>4.8000000000000001E-2</v>
      </c>
      <c r="F1056" s="15">
        <v>0.28799999999999998</v>
      </c>
      <c r="G1056" s="15">
        <v>3.6999999999999998E-2</v>
      </c>
      <c r="H1056" s="15">
        <v>0.121</v>
      </c>
      <c r="I1056" s="15">
        <v>0.121</v>
      </c>
      <c r="J1056" t="s">
        <v>412</v>
      </c>
      <c r="K1056" t="s">
        <v>551</v>
      </c>
    </row>
    <row r="1057" spans="1:11">
      <c r="A1057" t="s">
        <v>571</v>
      </c>
      <c r="B1057" t="s">
        <v>580</v>
      </c>
      <c r="C1057" t="s">
        <v>582</v>
      </c>
      <c r="D1057" s="15">
        <v>9.1999999999999998E-2</v>
      </c>
      <c r="E1057" s="15">
        <v>0.26200000000000001</v>
      </c>
      <c r="F1057" s="15">
        <v>8.9999999999999993E-3</v>
      </c>
      <c r="G1057" s="15">
        <v>0.17699999999999999</v>
      </c>
      <c r="H1057" s="15">
        <v>0.121</v>
      </c>
      <c r="I1057" s="15">
        <v>0.121</v>
      </c>
      <c r="J1057" t="s">
        <v>412</v>
      </c>
      <c r="K1057" t="s">
        <v>551</v>
      </c>
    </row>
    <row r="1058" spans="1:11">
      <c r="A1058" t="s">
        <v>576</v>
      </c>
      <c r="B1058" t="s">
        <v>588</v>
      </c>
      <c r="C1058" t="s">
        <v>585</v>
      </c>
      <c r="D1058" s="15">
        <v>0.03</v>
      </c>
      <c r="E1058" s="15">
        <v>0.124</v>
      </c>
      <c r="F1058" s="15">
        <v>0.21</v>
      </c>
      <c r="G1058" s="15">
        <v>7.6999999999999999E-2</v>
      </c>
      <c r="H1058" s="15">
        <v>0.121</v>
      </c>
      <c r="I1058" s="15">
        <v>0.121</v>
      </c>
      <c r="J1058" t="s">
        <v>412</v>
      </c>
      <c r="K1058" t="s">
        <v>551</v>
      </c>
    </row>
    <row r="1059" spans="1:11">
      <c r="A1059" t="s">
        <v>479</v>
      </c>
      <c r="B1059" t="s">
        <v>509</v>
      </c>
      <c r="C1059" t="s">
        <v>583</v>
      </c>
      <c r="D1059" s="15">
        <v>-0.02</v>
      </c>
      <c r="E1059" s="15">
        <v>0.111</v>
      </c>
      <c r="F1059" s="15">
        <v>0.23200000000000001</v>
      </c>
      <c r="G1059" s="15">
        <v>4.4999999999999998E-2</v>
      </c>
      <c r="H1059" s="15">
        <v>0.107</v>
      </c>
      <c r="I1059" s="15">
        <v>0.121</v>
      </c>
      <c r="J1059" t="s">
        <v>412</v>
      </c>
      <c r="K1059" t="s">
        <v>487</v>
      </c>
    </row>
    <row r="1060" spans="1:11">
      <c r="A1060" t="s">
        <v>577</v>
      </c>
      <c r="B1060" t="s">
        <v>595</v>
      </c>
      <c r="C1060" t="s">
        <v>584</v>
      </c>
      <c r="D1060" s="15">
        <v>0.182</v>
      </c>
      <c r="E1060" s="15">
        <v>0.122</v>
      </c>
      <c r="F1060" s="15">
        <v>-5.8999999999999997E-2</v>
      </c>
      <c r="G1060" s="15">
        <v>0.152</v>
      </c>
      <c r="H1060" s="15">
        <v>8.2000000000000003E-2</v>
      </c>
      <c r="I1060" s="15">
        <v>0.121</v>
      </c>
      <c r="J1060" t="s">
        <v>412</v>
      </c>
      <c r="K1060" t="s">
        <v>493</v>
      </c>
    </row>
    <row r="1061" spans="1:11">
      <c r="A1061" t="s">
        <v>547</v>
      </c>
      <c r="B1061" t="s">
        <v>498</v>
      </c>
      <c r="C1061" t="s">
        <v>477</v>
      </c>
      <c r="D1061" s="15">
        <v>6.4000000000000001E-2</v>
      </c>
      <c r="E1061" s="15">
        <v>0.16500000000000001</v>
      </c>
      <c r="F1061" s="15">
        <v>-0.13400000000000001</v>
      </c>
      <c r="G1061" s="15">
        <v>0.115</v>
      </c>
      <c r="H1061" s="15">
        <v>3.2000000000000001E-2</v>
      </c>
      <c r="I1061" s="15">
        <v>0.121</v>
      </c>
      <c r="J1061" t="s">
        <v>412</v>
      </c>
      <c r="K1061" t="s">
        <v>493</v>
      </c>
    </row>
    <row r="1062" spans="1:11">
      <c r="A1062" t="s">
        <v>486</v>
      </c>
      <c r="B1062" t="s">
        <v>498</v>
      </c>
      <c r="C1062" t="s">
        <v>593</v>
      </c>
      <c r="D1062" s="15">
        <v>-8.6999999999999994E-2</v>
      </c>
      <c r="E1062" s="15">
        <v>0.20599999999999999</v>
      </c>
      <c r="F1062" s="15">
        <v>-7.0000000000000007E-2</v>
      </c>
      <c r="G1062" s="15">
        <v>0.06</v>
      </c>
      <c r="H1062" s="15">
        <v>1.6E-2</v>
      </c>
      <c r="I1062" s="15">
        <v>0.121</v>
      </c>
      <c r="J1062" t="s">
        <v>412</v>
      </c>
      <c r="K1062" t="s">
        <v>500</v>
      </c>
    </row>
    <row r="1063" spans="1:11">
      <c r="A1063" t="s">
        <v>576</v>
      </c>
      <c r="B1063" t="s">
        <v>592</v>
      </c>
      <c r="C1063" t="s">
        <v>575</v>
      </c>
      <c r="D1063" s="15">
        <v>-0.17100000000000001</v>
      </c>
      <c r="E1063" s="15">
        <v>7.9000000000000001E-2</v>
      </c>
      <c r="F1063" s="15">
        <v>0.112</v>
      </c>
      <c r="G1063" s="15">
        <v>-4.5999999999999999E-2</v>
      </c>
      <c r="H1063" s="15">
        <v>7.0000000000000001E-3</v>
      </c>
      <c r="I1063" s="15">
        <v>0.121</v>
      </c>
      <c r="J1063" t="s">
        <v>412</v>
      </c>
      <c r="K1063" t="s">
        <v>487</v>
      </c>
    </row>
    <row r="1064" spans="1:11">
      <c r="A1064" t="s">
        <v>573</v>
      </c>
      <c r="B1064" t="s">
        <v>505</v>
      </c>
      <c r="C1064" t="s">
        <v>585</v>
      </c>
      <c r="D1064" s="15">
        <v>2.5999999999999999E-2</v>
      </c>
      <c r="E1064" s="15">
        <v>-0.20300000000000001</v>
      </c>
      <c r="F1064" s="15">
        <v>0.13500000000000001</v>
      </c>
      <c r="G1064" s="15">
        <v>-8.7999999999999995E-2</v>
      </c>
      <c r="H1064" s="15">
        <v>-1.4E-2</v>
      </c>
      <c r="I1064" s="15">
        <v>0.121</v>
      </c>
      <c r="J1064" t="s">
        <v>412</v>
      </c>
      <c r="K1064" t="s">
        <v>480</v>
      </c>
    </row>
    <row r="1065" spans="1:11">
      <c r="A1065" t="s">
        <v>577</v>
      </c>
      <c r="B1065" t="s">
        <v>596</v>
      </c>
      <c r="C1065" t="s">
        <v>575</v>
      </c>
      <c r="D1065" s="15">
        <v>0.14199999999999999</v>
      </c>
      <c r="E1065" s="15">
        <v>-7.0000000000000007E-2</v>
      </c>
      <c r="F1065" s="15">
        <v>-0.151</v>
      </c>
      <c r="G1065" s="15">
        <v>3.5999999999999997E-2</v>
      </c>
      <c r="H1065" s="15">
        <v>-2.5999999999999999E-2</v>
      </c>
      <c r="I1065" s="15">
        <v>0.121</v>
      </c>
      <c r="J1065" t="s">
        <v>412</v>
      </c>
      <c r="K1065" t="s">
        <v>579</v>
      </c>
    </row>
    <row r="1066" spans="1:11">
      <c r="A1066" t="s">
        <v>576</v>
      </c>
      <c r="B1066" t="s">
        <v>587</v>
      </c>
      <c r="C1066" t="s">
        <v>593</v>
      </c>
      <c r="D1066" s="15">
        <v>-1.7000000000000001E-2</v>
      </c>
      <c r="E1066" s="15">
        <v>0.11700000000000001</v>
      </c>
      <c r="F1066" s="15">
        <v>-0.22800000000000001</v>
      </c>
      <c r="G1066" s="15">
        <v>0.05</v>
      </c>
      <c r="H1066" s="15">
        <v>-4.2999999999999997E-2</v>
      </c>
      <c r="I1066" s="15">
        <v>0.121</v>
      </c>
      <c r="J1066" t="s">
        <v>412</v>
      </c>
      <c r="K1066" t="s">
        <v>500</v>
      </c>
    </row>
    <row r="1067" spans="1:11">
      <c r="A1067" t="s">
        <v>571</v>
      </c>
      <c r="B1067" t="s">
        <v>505</v>
      </c>
      <c r="C1067" t="s">
        <v>582</v>
      </c>
      <c r="D1067" s="15">
        <v>9.1999999999999998E-2</v>
      </c>
      <c r="E1067" s="15">
        <v>-0.14000000000000001</v>
      </c>
      <c r="F1067" s="15">
        <v>-0.13200000000000001</v>
      </c>
      <c r="G1067" s="15">
        <v>-2.4E-2</v>
      </c>
      <c r="H1067" s="15">
        <v>-0.06</v>
      </c>
      <c r="I1067" s="15">
        <v>0.121</v>
      </c>
      <c r="J1067" t="s">
        <v>412</v>
      </c>
      <c r="K1067" t="s">
        <v>579</v>
      </c>
    </row>
    <row r="1068" spans="1:11">
      <c r="A1068" t="s">
        <v>576</v>
      </c>
      <c r="B1068" t="s">
        <v>478</v>
      </c>
      <c r="C1068" t="s">
        <v>582</v>
      </c>
      <c r="D1068" s="15">
        <v>7.6999999999999999E-2</v>
      </c>
      <c r="E1068" s="15">
        <v>-8.1000000000000003E-2</v>
      </c>
      <c r="F1068" s="15">
        <v>-0.20300000000000001</v>
      </c>
      <c r="G1068" s="15">
        <v>-2E-3</v>
      </c>
      <c r="H1068" s="15">
        <v>-6.9000000000000006E-2</v>
      </c>
      <c r="I1068" s="15">
        <v>0.121</v>
      </c>
      <c r="J1068" t="s">
        <v>412</v>
      </c>
      <c r="K1068" t="s">
        <v>579</v>
      </c>
    </row>
    <row r="1069" spans="1:11">
      <c r="A1069" t="s">
        <v>577</v>
      </c>
      <c r="B1069" t="s">
        <v>597</v>
      </c>
      <c r="C1069" t="s">
        <v>492</v>
      </c>
      <c r="D1069" s="15">
        <v>-0.28699999999999998</v>
      </c>
      <c r="E1069" s="15">
        <v>6.6000000000000003E-2</v>
      </c>
      <c r="F1069" s="15">
        <v>1.0999999999999999E-2</v>
      </c>
      <c r="G1069" s="15">
        <v>-0.11</v>
      </c>
      <c r="H1069" s="15">
        <v>-7.0000000000000007E-2</v>
      </c>
      <c r="I1069" s="15">
        <v>0.121</v>
      </c>
      <c r="J1069" t="s">
        <v>412</v>
      </c>
      <c r="K1069" t="s">
        <v>487</v>
      </c>
    </row>
    <row r="1070" spans="1:11">
      <c r="A1070" t="s">
        <v>486</v>
      </c>
      <c r="B1070" t="s">
        <v>505</v>
      </c>
      <c r="C1070" t="s">
        <v>570</v>
      </c>
      <c r="D1070" s="15">
        <v>-0.32400000000000001</v>
      </c>
      <c r="E1070" s="15">
        <v>8.9999999999999993E-3</v>
      </c>
      <c r="F1070" s="15">
        <v>2.9000000000000001E-2</v>
      </c>
      <c r="G1070" s="15">
        <v>-0.158</v>
      </c>
      <c r="H1070" s="15">
        <v>-9.5000000000000001E-2</v>
      </c>
      <c r="I1070" s="15">
        <v>0.121</v>
      </c>
      <c r="J1070" t="s">
        <v>412</v>
      </c>
      <c r="K1070" t="s">
        <v>487</v>
      </c>
    </row>
    <row r="1071" spans="1:11">
      <c r="A1071" t="s">
        <v>573</v>
      </c>
      <c r="B1071" t="s">
        <v>574</v>
      </c>
      <c r="C1071" t="s">
        <v>585</v>
      </c>
      <c r="D1071" s="15">
        <v>2.5999999999999999E-2</v>
      </c>
      <c r="E1071" s="15">
        <v>-0.124</v>
      </c>
      <c r="F1071" s="15">
        <v>-0.21299999999999999</v>
      </c>
      <c r="G1071" s="15">
        <v>-4.9000000000000002E-2</v>
      </c>
      <c r="H1071" s="15">
        <v>-0.104</v>
      </c>
      <c r="I1071" s="15">
        <v>0.121</v>
      </c>
      <c r="J1071" t="s">
        <v>412</v>
      </c>
      <c r="K1071" t="s">
        <v>579</v>
      </c>
    </row>
    <row r="1072" spans="1:11">
      <c r="A1072" t="s">
        <v>486</v>
      </c>
      <c r="B1072" t="s">
        <v>595</v>
      </c>
      <c r="C1072" t="s">
        <v>583</v>
      </c>
      <c r="D1072" s="15">
        <v>-0.16700000000000001</v>
      </c>
      <c r="E1072" s="15">
        <v>-1.6E-2</v>
      </c>
      <c r="F1072" s="15">
        <v>-0.18099999999999999</v>
      </c>
      <c r="G1072" s="15">
        <v>-9.1999999999999998E-2</v>
      </c>
      <c r="H1072" s="15">
        <v>-0.121</v>
      </c>
      <c r="I1072" s="15">
        <v>0.121</v>
      </c>
      <c r="J1072" t="s">
        <v>412</v>
      </c>
      <c r="K1072" t="s">
        <v>589</v>
      </c>
    </row>
    <row r="1073" spans="1:11">
      <c r="A1073" t="s">
        <v>573</v>
      </c>
      <c r="B1073" t="s">
        <v>509</v>
      </c>
      <c r="C1073" t="s">
        <v>492</v>
      </c>
      <c r="D1073" s="15">
        <v>-0.16400000000000001</v>
      </c>
      <c r="E1073" s="15">
        <v>-6.3E-2</v>
      </c>
      <c r="F1073" s="15">
        <v>-0.13500000000000001</v>
      </c>
      <c r="G1073" s="15">
        <v>-0.114</v>
      </c>
      <c r="H1073" s="15">
        <v>-0.121</v>
      </c>
      <c r="I1073" s="15">
        <v>0.121</v>
      </c>
      <c r="J1073" t="s">
        <v>412</v>
      </c>
      <c r="K1073" t="s">
        <v>589</v>
      </c>
    </row>
    <row r="1074" spans="1:11">
      <c r="A1074" t="s">
        <v>576</v>
      </c>
      <c r="B1074" t="s">
        <v>597</v>
      </c>
      <c r="C1074" t="s">
        <v>583</v>
      </c>
      <c r="D1074" s="15">
        <v>-0.109</v>
      </c>
      <c r="E1074" s="15">
        <v>-0.11700000000000001</v>
      </c>
      <c r="F1074" s="15">
        <v>-0.13600000000000001</v>
      </c>
      <c r="G1074" s="15">
        <v>-0.113</v>
      </c>
      <c r="H1074" s="15">
        <v>-0.121</v>
      </c>
      <c r="I1074" s="15">
        <v>0.121</v>
      </c>
      <c r="J1074" t="s">
        <v>412</v>
      </c>
      <c r="K1074" t="s">
        <v>589</v>
      </c>
    </row>
    <row r="1075" spans="1:11">
      <c r="A1075" t="s">
        <v>577</v>
      </c>
      <c r="B1075" t="s">
        <v>574</v>
      </c>
      <c r="C1075" t="s">
        <v>583</v>
      </c>
      <c r="D1075" s="15">
        <v>-0.09</v>
      </c>
      <c r="E1075" s="15">
        <v>-4.0000000000000001E-3</v>
      </c>
      <c r="F1075" s="15">
        <v>-0.26900000000000002</v>
      </c>
      <c r="G1075" s="15">
        <v>-4.7E-2</v>
      </c>
      <c r="H1075" s="15">
        <v>-0.121</v>
      </c>
      <c r="I1075" s="15">
        <v>0.121</v>
      </c>
      <c r="J1075" t="s">
        <v>412</v>
      </c>
      <c r="K1075" t="s">
        <v>589</v>
      </c>
    </row>
    <row r="1076" spans="1:11">
      <c r="A1076" t="s">
        <v>573</v>
      </c>
      <c r="B1076" t="s">
        <v>588</v>
      </c>
      <c r="C1076" t="s">
        <v>582</v>
      </c>
      <c r="D1076" s="15">
        <v>0.28599999999999998</v>
      </c>
      <c r="E1076" s="15">
        <v>4.9000000000000002E-2</v>
      </c>
      <c r="F1076" s="15">
        <v>2.5999999999999999E-2</v>
      </c>
      <c r="G1076" s="15">
        <v>0.16700000000000001</v>
      </c>
      <c r="H1076" s="15">
        <v>0.12</v>
      </c>
      <c r="I1076" s="15">
        <v>0.12</v>
      </c>
      <c r="J1076" t="s">
        <v>412</v>
      </c>
      <c r="K1076" t="s">
        <v>551</v>
      </c>
    </row>
    <row r="1077" spans="1:11">
      <c r="A1077" t="s">
        <v>576</v>
      </c>
      <c r="B1077" t="s">
        <v>581</v>
      </c>
      <c r="C1077" t="s">
        <v>582</v>
      </c>
      <c r="D1077" s="15">
        <v>7.6999999999999999E-2</v>
      </c>
      <c r="E1077" s="15">
        <v>0.18</v>
      </c>
      <c r="F1077" s="15">
        <v>0.10299999999999999</v>
      </c>
      <c r="G1077" s="15">
        <v>0.129</v>
      </c>
      <c r="H1077" s="15">
        <v>0.12</v>
      </c>
      <c r="I1077" s="15">
        <v>0.12</v>
      </c>
      <c r="J1077" t="s">
        <v>412</v>
      </c>
      <c r="K1077" t="s">
        <v>551</v>
      </c>
    </row>
    <row r="1078" spans="1:11">
      <c r="A1078" t="s">
        <v>577</v>
      </c>
      <c r="B1078" t="s">
        <v>550</v>
      </c>
      <c r="C1078" t="s">
        <v>593</v>
      </c>
      <c r="D1078" s="15">
        <v>3.7999999999999999E-2</v>
      </c>
      <c r="E1078" s="15">
        <v>-0.11600000000000001</v>
      </c>
      <c r="F1078" s="15">
        <v>0.20799999999999999</v>
      </c>
      <c r="G1078" s="15">
        <v>-3.9E-2</v>
      </c>
      <c r="H1078" s="15">
        <v>4.2999999999999997E-2</v>
      </c>
      <c r="I1078" s="15">
        <v>0.12</v>
      </c>
      <c r="J1078" t="s">
        <v>412</v>
      </c>
      <c r="K1078" t="s">
        <v>480</v>
      </c>
    </row>
    <row r="1079" spans="1:11">
      <c r="A1079" t="s">
        <v>573</v>
      </c>
      <c r="B1079" t="s">
        <v>478</v>
      </c>
      <c r="C1079" t="s">
        <v>591</v>
      </c>
      <c r="D1079" s="15">
        <v>0.123</v>
      </c>
      <c r="E1079" s="15">
        <v>-0.20399999999999999</v>
      </c>
      <c r="F1079" s="15">
        <v>3.4000000000000002E-2</v>
      </c>
      <c r="G1079" s="15">
        <v>-0.04</v>
      </c>
      <c r="H1079" s="15">
        <v>-1.4999999999999999E-2</v>
      </c>
      <c r="I1079" s="15">
        <v>0.12</v>
      </c>
      <c r="J1079" t="s">
        <v>412</v>
      </c>
      <c r="K1079" t="s">
        <v>480</v>
      </c>
    </row>
    <row r="1080" spans="1:11">
      <c r="A1080" t="s">
        <v>506</v>
      </c>
      <c r="B1080" t="s">
        <v>587</v>
      </c>
      <c r="C1080" t="s">
        <v>584</v>
      </c>
      <c r="D1080" s="15">
        <v>0.11899999999999999</v>
      </c>
      <c r="E1080" s="15">
        <v>2.1000000000000001E-2</v>
      </c>
      <c r="F1080" s="15">
        <v>-0.221</v>
      </c>
      <c r="G1080" s="15">
        <v>7.0000000000000007E-2</v>
      </c>
      <c r="H1080" s="15">
        <v>-2.7E-2</v>
      </c>
      <c r="I1080" s="15">
        <v>0.12</v>
      </c>
      <c r="J1080" t="s">
        <v>412</v>
      </c>
      <c r="K1080" t="s">
        <v>493</v>
      </c>
    </row>
    <row r="1081" spans="1:11">
      <c r="A1081" t="s">
        <v>479</v>
      </c>
      <c r="B1081" t="s">
        <v>586</v>
      </c>
      <c r="C1081" t="s">
        <v>492</v>
      </c>
      <c r="D1081" s="15">
        <v>5.8999999999999997E-2</v>
      </c>
      <c r="E1081" s="15">
        <v>-0.10100000000000001</v>
      </c>
      <c r="F1081" s="15">
        <v>-0.20100000000000001</v>
      </c>
      <c r="G1081" s="15">
        <v>-2.1000000000000001E-2</v>
      </c>
      <c r="H1081" s="15">
        <v>-8.1000000000000003E-2</v>
      </c>
      <c r="I1081" s="15">
        <v>0.12</v>
      </c>
      <c r="J1081" t="s">
        <v>412</v>
      </c>
      <c r="K1081" t="s">
        <v>579</v>
      </c>
    </row>
    <row r="1082" spans="1:11">
      <c r="A1082" t="s">
        <v>479</v>
      </c>
      <c r="B1082" t="s">
        <v>581</v>
      </c>
      <c r="C1082" t="s">
        <v>477</v>
      </c>
      <c r="D1082" s="15">
        <v>4.5999999999999999E-2</v>
      </c>
      <c r="E1082" s="15">
        <v>-7.8E-2</v>
      </c>
      <c r="F1082" s="15">
        <v>-0.23400000000000001</v>
      </c>
      <c r="G1082" s="15">
        <v>-1.6E-2</v>
      </c>
      <c r="H1082" s="15">
        <v>-8.8999999999999996E-2</v>
      </c>
      <c r="I1082" s="15">
        <v>0.12</v>
      </c>
      <c r="J1082" t="s">
        <v>412</v>
      </c>
      <c r="K1082" t="s">
        <v>579</v>
      </c>
    </row>
    <row r="1083" spans="1:11">
      <c r="A1083" t="s">
        <v>576</v>
      </c>
      <c r="B1083" t="s">
        <v>580</v>
      </c>
      <c r="C1083" t="s">
        <v>492</v>
      </c>
      <c r="D1083" s="15">
        <v>1.7999999999999999E-2</v>
      </c>
      <c r="E1083" s="15">
        <v>-0.09</v>
      </c>
      <c r="F1083" s="15">
        <v>-0.254</v>
      </c>
      <c r="G1083" s="15">
        <v>-3.5999999999999997E-2</v>
      </c>
      <c r="H1083" s="15">
        <v>-0.108</v>
      </c>
      <c r="I1083" s="15">
        <v>0.12</v>
      </c>
      <c r="J1083" t="s">
        <v>412</v>
      </c>
      <c r="K1083" t="s">
        <v>579</v>
      </c>
    </row>
    <row r="1084" spans="1:11">
      <c r="A1084" t="s">
        <v>577</v>
      </c>
      <c r="B1084" t="s">
        <v>578</v>
      </c>
      <c r="C1084" t="s">
        <v>594</v>
      </c>
      <c r="D1084" s="15">
        <v>6.6000000000000003E-2</v>
      </c>
      <c r="E1084" s="15">
        <v>0.23799999999999999</v>
      </c>
      <c r="F1084" s="15">
        <v>5.1999999999999998E-2</v>
      </c>
      <c r="G1084" s="15">
        <v>0.152</v>
      </c>
      <c r="H1084" s="15">
        <v>0.11899999999999999</v>
      </c>
      <c r="I1084" s="15">
        <v>0.11899999999999999</v>
      </c>
      <c r="J1084" t="s">
        <v>412</v>
      </c>
      <c r="K1084" t="s">
        <v>551</v>
      </c>
    </row>
    <row r="1085" spans="1:11">
      <c r="A1085" t="s">
        <v>576</v>
      </c>
      <c r="B1085" t="s">
        <v>587</v>
      </c>
      <c r="C1085" t="s">
        <v>572</v>
      </c>
      <c r="D1085" s="15">
        <v>-5.8999999999999997E-2</v>
      </c>
      <c r="E1085" s="15">
        <v>0.11700000000000001</v>
      </c>
      <c r="F1085" s="15">
        <v>0.182</v>
      </c>
      <c r="G1085" s="15">
        <v>2.9000000000000001E-2</v>
      </c>
      <c r="H1085" s="15">
        <v>0.08</v>
      </c>
      <c r="I1085" s="15">
        <v>0.11899999999999999</v>
      </c>
      <c r="J1085" t="s">
        <v>412</v>
      </c>
      <c r="K1085" t="s">
        <v>487</v>
      </c>
    </row>
    <row r="1086" spans="1:11">
      <c r="A1086" t="s">
        <v>486</v>
      </c>
      <c r="B1086" t="s">
        <v>498</v>
      </c>
      <c r="C1086" t="s">
        <v>594</v>
      </c>
      <c r="D1086" s="15">
        <v>-9.7000000000000003E-2</v>
      </c>
      <c r="E1086" s="15">
        <v>0.20599999999999999</v>
      </c>
      <c r="F1086" s="15">
        <v>5.3999999999999999E-2</v>
      </c>
      <c r="G1086" s="15">
        <v>5.3999999999999999E-2</v>
      </c>
      <c r="H1086" s="15">
        <v>5.3999999999999999E-2</v>
      </c>
      <c r="I1086" s="15">
        <v>0.11899999999999999</v>
      </c>
      <c r="J1086" t="s">
        <v>412</v>
      </c>
      <c r="K1086" t="s">
        <v>487</v>
      </c>
    </row>
    <row r="1087" spans="1:11">
      <c r="A1087" t="s">
        <v>506</v>
      </c>
      <c r="B1087" t="s">
        <v>517</v>
      </c>
      <c r="C1087" t="s">
        <v>593</v>
      </c>
      <c r="D1087" s="15">
        <v>-7.1999999999999995E-2</v>
      </c>
      <c r="E1087" s="15">
        <v>-6.5000000000000002E-2</v>
      </c>
      <c r="F1087" s="15">
        <v>0.221</v>
      </c>
      <c r="G1087" s="15">
        <v>-6.8000000000000005E-2</v>
      </c>
      <c r="H1087" s="15">
        <v>2.8000000000000001E-2</v>
      </c>
      <c r="I1087" s="15">
        <v>0.11899999999999999</v>
      </c>
      <c r="J1087" t="s">
        <v>412</v>
      </c>
      <c r="K1087" t="s">
        <v>510</v>
      </c>
    </row>
    <row r="1088" spans="1:11">
      <c r="A1088" t="s">
        <v>506</v>
      </c>
      <c r="B1088" t="s">
        <v>498</v>
      </c>
      <c r="C1088" t="s">
        <v>593</v>
      </c>
      <c r="D1088" s="15">
        <v>-7.1999999999999995E-2</v>
      </c>
      <c r="E1088" s="15">
        <v>0.215</v>
      </c>
      <c r="F1088" s="15">
        <v>-7.0000000000000007E-2</v>
      </c>
      <c r="G1088" s="15">
        <v>7.1999999999999995E-2</v>
      </c>
      <c r="H1088" s="15">
        <v>2.5000000000000001E-2</v>
      </c>
      <c r="I1088" s="15">
        <v>0.11899999999999999</v>
      </c>
      <c r="J1088" t="s">
        <v>412</v>
      </c>
      <c r="K1088" t="s">
        <v>500</v>
      </c>
    </row>
    <row r="1089" spans="1:11">
      <c r="A1089" t="s">
        <v>506</v>
      </c>
      <c r="B1089" t="s">
        <v>598</v>
      </c>
      <c r="C1089" t="s">
        <v>492</v>
      </c>
      <c r="D1089" s="15">
        <v>-0.17399999999999999</v>
      </c>
      <c r="E1089" s="15">
        <v>0.13</v>
      </c>
      <c r="F1089" s="15">
        <v>5.3999999999999999E-2</v>
      </c>
      <c r="G1089" s="15">
        <v>-2.1999999999999999E-2</v>
      </c>
      <c r="H1089" s="15">
        <v>4.0000000000000001E-3</v>
      </c>
      <c r="I1089" s="15">
        <v>0.11899999999999999</v>
      </c>
      <c r="J1089" t="s">
        <v>412</v>
      </c>
      <c r="K1089" t="s">
        <v>487</v>
      </c>
    </row>
    <row r="1090" spans="1:11">
      <c r="A1090" t="s">
        <v>506</v>
      </c>
      <c r="B1090" t="s">
        <v>550</v>
      </c>
      <c r="C1090" t="s">
        <v>583</v>
      </c>
      <c r="D1090" s="15">
        <v>4.1000000000000002E-2</v>
      </c>
      <c r="E1090" s="15">
        <v>-0.17299999999999999</v>
      </c>
      <c r="F1090" s="15">
        <v>0.14299999999999999</v>
      </c>
      <c r="G1090" s="15">
        <v>-6.6000000000000003E-2</v>
      </c>
      <c r="H1090" s="15">
        <v>3.0000000000000001E-3</v>
      </c>
      <c r="I1090" s="15">
        <v>0.11899999999999999</v>
      </c>
      <c r="J1090" t="s">
        <v>412</v>
      </c>
      <c r="K1090" t="s">
        <v>480</v>
      </c>
    </row>
    <row r="1091" spans="1:11">
      <c r="A1091" t="s">
        <v>486</v>
      </c>
      <c r="B1091" t="s">
        <v>580</v>
      </c>
      <c r="C1091" t="s">
        <v>591</v>
      </c>
      <c r="D1091" s="15">
        <v>-0.02</v>
      </c>
      <c r="E1091" s="15">
        <v>-0.25700000000000001</v>
      </c>
      <c r="F1091" s="15">
        <v>7.9000000000000001E-2</v>
      </c>
      <c r="G1091" s="15">
        <v>-0.13900000000000001</v>
      </c>
      <c r="H1091" s="15">
        <v>-6.6000000000000003E-2</v>
      </c>
      <c r="I1091" s="15">
        <v>0.11899999999999999</v>
      </c>
      <c r="J1091" t="s">
        <v>412</v>
      </c>
      <c r="K1091" t="s">
        <v>510</v>
      </c>
    </row>
    <row r="1092" spans="1:11">
      <c r="A1092" t="s">
        <v>576</v>
      </c>
      <c r="B1092" t="s">
        <v>596</v>
      </c>
      <c r="C1092" t="s">
        <v>570</v>
      </c>
      <c r="D1092" s="15">
        <v>-0.222</v>
      </c>
      <c r="E1092" s="15">
        <v>-6.0999999999999999E-2</v>
      </c>
      <c r="F1092" s="15">
        <v>-7.2999999999999995E-2</v>
      </c>
      <c r="G1092" s="15">
        <v>-0.14099999999999999</v>
      </c>
      <c r="H1092" s="15">
        <v>-0.11899999999999999</v>
      </c>
      <c r="I1092" s="15">
        <v>0.11899999999999999</v>
      </c>
      <c r="J1092" t="s">
        <v>412</v>
      </c>
      <c r="K1092" t="s">
        <v>589</v>
      </c>
    </row>
    <row r="1093" spans="1:11">
      <c r="A1093" t="s">
        <v>573</v>
      </c>
      <c r="B1093" t="s">
        <v>523</v>
      </c>
      <c r="C1093" t="s">
        <v>585</v>
      </c>
      <c r="D1093" s="15">
        <v>2.5999999999999999E-2</v>
      </c>
      <c r="E1093" s="15">
        <v>0.21199999999999999</v>
      </c>
      <c r="F1093" s="15">
        <v>0.115</v>
      </c>
      <c r="G1093" s="15">
        <v>0.11899999999999999</v>
      </c>
      <c r="H1093" s="15">
        <v>0.11799999999999999</v>
      </c>
      <c r="I1093" s="15">
        <v>0.11799999999999999</v>
      </c>
      <c r="J1093" t="s">
        <v>412</v>
      </c>
      <c r="K1093" t="s">
        <v>551</v>
      </c>
    </row>
    <row r="1094" spans="1:11">
      <c r="A1094" t="s">
        <v>573</v>
      </c>
      <c r="B1094" t="s">
        <v>509</v>
      </c>
      <c r="C1094" t="s">
        <v>591</v>
      </c>
      <c r="D1094" s="15">
        <v>0.123</v>
      </c>
      <c r="E1094" s="15">
        <v>-6.3E-2</v>
      </c>
      <c r="F1094" s="15">
        <v>0.16800000000000001</v>
      </c>
      <c r="G1094" s="15">
        <v>0.03</v>
      </c>
      <c r="H1094" s="15">
        <v>7.5999999999999998E-2</v>
      </c>
      <c r="I1094" s="15">
        <v>0.11799999999999999</v>
      </c>
      <c r="J1094" t="s">
        <v>412</v>
      </c>
      <c r="K1094" t="s">
        <v>480</v>
      </c>
    </row>
    <row r="1095" spans="1:11">
      <c r="A1095" t="s">
        <v>571</v>
      </c>
      <c r="B1095" t="s">
        <v>578</v>
      </c>
      <c r="C1095" t="s">
        <v>585</v>
      </c>
      <c r="D1095" s="15">
        <v>-1.2999999999999999E-2</v>
      </c>
      <c r="E1095" s="15">
        <v>-5.3999999999999999E-2</v>
      </c>
      <c r="F1095" s="15">
        <v>0.28799999999999998</v>
      </c>
      <c r="G1095" s="15">
        <v>-3.3000000000000002E-2</v>
      </c>
      <c r="H1095" s="15">
        <v>7.3999999999999996E-2</v>
      </c>
      <c r="I1095" s="15">
        <v>0.11799999999999999</v>
      </c>
      <c r="J1095" t="s">
        <v>412</v>
      </c>
      <c r="K1095" t="s">
        <v>510</v>
      </c>
    </row>
    <row r="1096" spans="1:11">
      <c r="A1096" t="s">
        <v>486</v>
      </c>
      <c r="B1096" t="s">
        <v>478</v>
      </c>
      <c r="C1096" t="s">
        <v>593</v>
      </c>
      <c r="D1096" s="15">
        <v>-8.6999999999999994E-2</v>
      </c>
      <c r="E1096" s="15">
        <v>0.104</v>
      </c>
      <c r="F1096" s="15">
        <v>0.16300000000000001</v>
      </c>
      <c r="G1096" s="15">
        <v>8.9999999999999993E-3</v>
      </c>
      <c r="H1096" s="15">
        <v>0.06</v>
      </c>
      <c r="I1096" s="15">
        <v>0.11799999999999999</v>
      </c>
      <c r="J1096" t="s">
        <v>412</v>
      </c>
      <c r="K1096" t="s">
        <v>487</v>
      </c>
    </row>
    <row r="1097" spans="1:11">
      <c r="A1097" t="s">
        <v>506</v>
      </c>
      <c r="B1097" t="s">
        <v>588</v>
      </c>
      <c r="C1097" t="s">
        <v>585</v>
      </c>
      <c r="D1097" s="15">
        <v>-5.6000000000000001E-2</v>
      </c>
      <c r="E1097" s="15">
        <v>-8.7999999999999995E-2</v>
      </c>
      <c r="F1097" s="15">
        <v>0.21</v>
      </c>
      <c r="G1097" s="15">
        <v>-7.1999999999999995E-2</v>
      </c>
      <c r="H1097" s="15">
        <v>2.1999999999999999E-2</v>
      </c>
      <c r="I1097" s="15">
        <v>0.11799999999999999</v>
      </c>
      <c r="J1097" t="s">
        <v>412</v>
      </c>
      <c r="K1097" t="s">
        <v>510</v>
      </c>
    </row>
    <row r="1098" spans="1:11">
      <c r="A1098" t="s">
        <v>571</v>
      </c>
      <c r="B1098" t="s">
        <v>586</v>
      </c>
      <c r="C1098" t="s">
        <v>575</v>
      </c>
      <c r="D1098" s="15">
        <v>-0.16800000000000001</v>
      </c>
      <c r="E1098" s="15">
        <v>5.6000000000000001E-2</v>
      </c>
      <c r="F1098" s="15">
        <v>0.128</v>
      </c>
      <c r="G1098" s="15">
        <v>-5.6000000000000001E-2</v>
      </c>
      <c r="H1098" s="15">
        <v>5.0000000000000001E-3</v>
      </c>
      <c r="I1098" s="15">
        <v>0.11799999999999999</v>
      </c>
      <c r="J1098" t="s">
        <v>412</v>
      </c>
      <c r="K1098" t="s">
        <v>487</v>
      </c>
    </row>
    <row r="1099" spans="1:11">
      <c r="A1099" t="s">
        <v>576</v>
      </c>
      <c r="B1099" t="s">
        <v>505</v>
      </c>
      <c r="C1099" t="s">
        <v>570</v>
      </c>
      <c r="D1099" s="15">
        <v>-0.222</v>
      </c>
      <c r="E1099" s="15">
        <v>0.104</v>
      </c>
      <c r="F1099" s="15">
        <v>2.9000000000000001E-2</v>
      </c>
      <c r="G1099" s="15">
        <v>-5.8999999999999997E-2</v>
      </c>
      <c r="H1099" s="15">
        <v>-0.03</v>
      </c>
      <c r="I1099" s="15">
        <v>0.11799999999999999</v>
      </c>
      <c r="J1099" t="s">
        <v>412</v>
      </c>
      <c r="K1099" t="s">
        <v>487</v>
      </c>
    </row>
    <row r="1100" spans="1:11">
      <c r="A1100" t="s">
        <v>479</v>
      </c>
      <c r="B1100" t="s">
        <v>523</v>
      </c>
      <c r="C1100" t="s">
        <v>570</v>
      </c>
      <c r="D1100" s="15">
        <v>-0.26900000000000002</v>
      </c>
      <c r="E1100" s="15">
        <v>0.06</v>
      </c>
      <c r="F1100" s="15">
        <v>-2.5000000000000001E-2</v>
      </c>
      <c r="G1100" s="15">
        <v>-0.104</v>
      </c>
      <c r="H1100" s="15">
        <v>-7.8E-2</v>
      </c>
      <c r="I1100" s="15">
        <v>0.11799999999999999</v>
      </c>
      <c r="J1100" t="s">
        <v>412</v>
      </c>
      <c r="K1100" t="s">
        <v>500</v>
      </c>
    </row>
    <row r="1101" spans="1:11">
      <c r="A1101" t="s">
        <v>576</v>
      </c>
      <c r="B1101" t="s">
        <v>596</v>
      </c>
      <c r="C1101" t="s">
        <v>477</v>
      </c>
      <c r="D1101" s="15">
        <v>2.9000000000000001E-2</v>
      </c>
      <c r="E1101" s="15">
        <v>-6.0999999999999999E-2</v>
      </c>
      <c r="F1101" s="15">
        <v>-0.26400000000000001</v>
      </c>
      <c r="G1101" s="15">
        <v>-1.6E-2</v>
      </c>
      <c r="H1101" s="15">
        <v>-9.9000000000000005E-2</v>
      </c>
      <c r="I1101" s="15">
        <v>0.11799999999999999</v>
      </c>
      <c r="J1101" t="s">
        <v>412</v>
      </c>
      <c r="K1101" t="s">
        <v>579</v>
      </c>
    </row>
    <row r="1102" spans="1:11">
      <c r="A1102" t="s">
        <v>479</v>
      </c>
      <c r="B1102" t="s">
        <v>574</v>
      </c>
      <c r="C1102" t="s">
        <v>583</v>
      </c>
      <c r="D1102" s="15">
        <v>-0.02</v>
      </c>
      <c r="E1102" s="15">
        <v>-6.6000000000000003E-2</v>
      </c>
      <c r="F1102" s="15">
        <v>-0.26900000000000002</v>
      </c>
      <c r="G1102" s="15">
        <v>-4.2999999999999997E-2</v>
      </c>
      <c r="H1102" s="15">
        <v>-0.11799999999999999</v>
      </c>
      <c r="I1102" s="15">
        <v>0.11799999999999999</v>
      </c>
      <c r="J1102" t="s">
        <v>412</v>
      </c>
      <c r="K1102" t="s">
        <v>589</v>
      </c>
    </row>
    <row r="1103" spans="1:11">
      <c r="A1103" t="s">
        <v>571</v>
      </c>
      <c r="B1103" t="s">
        <v>523</v>
      </c>
      <c r="C1103" t="s">
        <v>570</v>
      </c>
      <c r="D1103" s="15">
        <v>-0.19700000000000001</v>
      </c>
      <c r="E1103" s="15">
        <v>-0.13200000000000001</v>
      </c>
      <c r="F1103" s="15">
        <v>-2.5000000000000001E-2</v>
      </c>
      <c r="G1103" s="15">
        <v>-0.16500000000000001</v>
      </c>
      <c r="H1103" s="15">
        <v>-0.11799999999999999</v>
      </c>
      <c r="I1103" s="15">
        <v>0.11799999999999999</v>
      </c>
      <c r="J1103" t="s">
        <v>412</v>
      </c>
      <c r="K1103" t="s">
        <v>589</v>
      </c>
    </row>
    <row r="1104" spans="1:11">
      <c r="A1104" t="s">
        <v>576</v>
      </c>
      <c r="B1104" t="s">
        <v>598</v>
      </c>
      <c r="C1104" t="s">
        <v>583</v>
      </c>
      <c r="D1104" s="15">
        <v>-0.109</v>
      </c>
      <c r="E1104" s="15">
        <v>-0.20200000000000001</v>
      </c>
      <c r="F1104" s="15">
        <v>-4.2999999999999997E-2</v>
      </c>
      <c r="G1104" s="15">
        <v>-0.155</v>
      </c>
      <c r="H1104" s="15">
        <v>-0.11799999999999999</v>
      </c>
      <c r="I1104" s="15">
        <v>0.11799999999999999</v>
      </c>
      <c r="J1104" t="s">
        <v>412</v>
      </c>
      <c r="K1104" t="s">
        <v>589</v>
      </c>
    </row>
    <row r="1105" spans="1:11">
      <c r="A1105" t="s">
        <v>577</v>
      </c>
      <c r="B1105" t="s">
        <v>498</v>
      </c>
      <c r="C1105" t="s">
        <v>570</v>
      </c>
      <c r="D1105" s="15">
        <v>-8.8999999999999996E-2</v>
      </c>
      <c r="E1105" s="15">
        <v>-1.2E-2</v>
      </c>
      <c r="F1105" s="15">
        <v>-0.252</v>
      </c>
      <c r="G1105" s="15">
        <v>-5.0999999999999997E-2</v>
      </c>
      <c r="H1105" s="15">
        <v>-0.11799999999999999</v>
      </c>
      <c r="I1105" s="15">
        <v>0.11799999999999999</v>
      </c>
      <c r="J1105" t="s">
        <v>412</v>
      </c>
      <c r="K1105" t="s">
        <v>589</v>
      </c>
    </row>
    <row r="1106" spans="1:11">
      <c r="A1106" t="s">
        <v>506</v>
      </c>
      <c r="B1106" t="s">
        <v>498</v>
      </c>
      <c r="C1106" t="s">
        <v>594</v>
      </c>
      <c r="D1106" s="15">
        <v>8.2000000000000003E-2</v>
      </c>
      <c r="E1106" s="15">
        <v>0.215</v>
      </c>
      <c r="F1106" s="15">
        <v>5.3999999999999999E-2</v>
      </c>
      <c r="G1106" s="15">
        <v>0.14899999999999999</v>
      </c>
      <c r="H1106" s="15">
        <v>0.11700000000000001</v>
      </c>
      <c r="I1106" s="15">
        <v>0.11700000000000001</v>
      </c>
      <c r="J1106" t="s">
        <v>412</v>
      </c>
      <c r="K1106" t="s">
        <v>551</v>
      </c>
    </row>
    <row r="1107" spans="1:11">
      <c r="A1107" t="s">
        <v>577</v>
      </c>
      <c r="B1107" t="s">
        <v>517</v>
      </c>
      <c r="C1107" t="s">
        <v>591</v>
      </c>
      <c r="D1107" s="15">
        <v>-1.4E-2</v>
      </c>
      <c r="E1107" s="15">
        <v>0.13900000000000001</v>
      </c>
      <c r="F1107" s="15">
        <v>0.19900000000000001</v>
      </c>
      <c r="G1107" s="15">
        <v>6.2E-2</v>
      </c>
      <c r="H1107" s="15">
        <v>0.108</v>
      </c>
      <c r="I1107" s="15">
        <v>0.11700000000000001</v>
      </c>
      <c r="J1107" t="s">
        <v>412</v>
      </c>
      <c r="K1107" t="s">
        <v>487</v>
      </c>
    </row>
    <row r="1108" spans="1:11">
      <c r="A1108" t="s">
        <v>479</v>
      </c>
      <c r="B1108" t="s">
        <v>580</v>
      </c>
      <c r="C1108" t="s">
        <v>477</v>
      </c>
      <c r="D1108" s="15">
        <v>4.5999999999999999E-2</v>
      </c>
      <c r="E1108" s="15">
        <v>-1.9E-2</v>
      </c>
      <c r="F1108" s="15">
        <v>0.28399999999999997</v>
      </c>
      <c r="G1108" s="15">
        <v>1.2999999999999999E-2</v>
      </c>
      <c r="H1108" s="15">
        <v>0.104</v>
      </c>
      <c r="I1108" s="15">
        <v>0.11700000000000001</v>
      </c>
      <c r="J1108" t="s">
        <v>412</v>
      </c>
      <c r="K1108" t="s">
        <v>480</v>
      </c>
    </row>
    <row r="1109" spans="1:11">
      <c r="A1109" t="s">
        <v>573</v>
      </c>
      <c r="B1109" t="s">
        <v>578</v>
      </c>
      <c r="C1109" t="s">
        <v>575</v>
      </c>
      <c r="D1109" s="15">
        <v>-4.9000000000000002E-2</v>
      </c>
      <c r="E1109" s="15">
        <v>4.8000000000000001E-2</v>
      </c>
      <c r="F1109" s="15">
        <v>0.254</v>
      </c>
      <c r="G1109" s="15">
        <v>-1E-3</v>
      </c>
      <c r="H1109" s="15">
        <v>8.4000000000000005E-2</v>
      </c>
      <c r="I1109" s="15">
        <v>0.11700000000000001</v>
      </c>
      <c r="J1109" t="s">
        <v>412</v>
      </c>
      <c r="K1109" t="s">
        <v>487</v>
      </c>
    </row>
    <row r="1110" spans="1:11">
      <c r="A1110" t="s">
        <v>576</v>
      </c>
      <c r="B1110" t="s">
        <v>574</v>
      </c>
      <c r="C1110" t="s">
        <v>585</v>
      </c>
      <c r="D1110" s="15">
        <v>0.03</v>
      </c>
      <c r="E1110" s="15">
        <v>0.109</v>
      </c>
      <c r="F1110" s="15">
        <v>-0.21299999999999999</v>
      </c>
      <c r="G1110" s="15">
        <v>6.9000000000000006E-2</v>
      </c>
      <c r="H1110" s="15">
        <v>-2.5000000000000001E-2</v>
      </c>
      <c r="I1110" s="15">
        <v>0.11700000000000001</v>
      </c>
      <c r="J1110" t="s">
        <v>412</v>
      </c>
      <c r="K1110" t="s">
        <v>493</v>
      </c>
    </row>
    <row r="1111" spans="1:11">
      <c r="A1111" t="s">
        <v>479</v>
      </c>
      <c r="B1111" t="s">
        <v>509</v>
      </c>
      <c r="C1111" t="s">
        <v>575</v>
      </c>
      <c r="D1111" s="15">
        <v>-0.22500000000000001</v>
      </c>
      <c r="E1111" s="15">
        <v>0.111</v>
      </c>
      <c r="F1111" s="15">
        <v>-1.6E-2</v>
      </c>
      <c r="G1111" s="15">
        <v>-5.7000000000000002E-2</v>
      </c>
      <c r="H1111" s="15">
        <v>-4.2999999999999997E-2</v>
      </c>
      <c r="I1111" s="15">
        <v>0.11700000000000001</v>
      </c>
      <c r="J1111" t="s">
        <v>412</v>
      </c>
      <c r="K1111" t="s">
        <v>500</v>
      </c>
    </row>
    <row r="1112" spans="1:11">
      <c r="A1112" t="s">
        <v>577</v>
      </c>
      <c r="B1112" t="s">
        <v>597</v>
      </c>
      <c r="C1112" t="s">
        <v>593</v>
      </c>
      <c r="D1112" s="15">
        <v>3.7999999999999999E-2</v>
      </c>
      <c r="E1112" s="15">
        <v>6.6000000000000003E-2</v>
      </c>
      <c r="F1112" s="15">
        <v>-0.249</v>
      </c>
      <c r="G1112" s="15">
        <v>5.1999999999999998E-2</v>
      </c>
      <c r="H1112" s="15">
        <v>-4.8000000000000001E-2</v>
      </c>
      <c r="I1112" s="15">
        <v>0.11700000000000001</v>
      </c>
      <c r="J1112" t="s">
        <v>412</v>
      </c>
      <c r="K1112" t="s">
        <v>493</v>
      </c>
    </row>
    <row r="1113" spans="1:11">
      <c r="A1113" t="s">
        <v>486</v>
      </c>
      <c r="B1113" t="s">
        <v>505</v>
      </c>
      <c r="C1113" t="s">
        <v>477</v>
      </c>
      <c r="D1113" s="15">
        <v>-0.28399999999999997</v>
      </c>
      <c r="E1113" s="15">
        <v>8.9999999999999993E-3</v>
      </c>
      <c r="F1113" s="15">
        <v>5.8999999999999997E-2</v>
      </c>
      <c r="G1113" s="15">
        <v>-0.13700000000000001</v>
      </c>
      <c r="H1113" s="15">
        <v>-7.1999999999999995E-2</v>
      </c>
      <c r="I1113" s="15">
        <v>0.11700000000000001</v>
      </c>
      <c r="J1113" t="s">
        <v>412</v>
      </c>
      <c r="K1113" t="s">
        <v>487</v>
      </c>
    </row>
    <row r="1114" spans="1:11">
      <c r="A1114" t="s">
        <v>577</v>
      </c>
      <c r="B1114" t="s">
        <v>499</v>
      </c>
      <c r="C1114" t="s">
        <v>593</v>
      </c>
      <c r="D1114" s="15">
        <v>3.7999999999999999E-2</v>
      </c>
      <c r="E1114" s="15">
        <v>-1.2E-2</v>
      </c>
      <c r="F1114" s="15">
        <v>-0.3</v>
      </c>
      <c r="G1114" s="15">
        <v>1.2999999999999999E-2</v>
      </c>
      <c r="H1114" s="15">
        <v>-9.1999999999999998E-2</v>
      </c>
      <c r="I1114" s="15">
        <v>0.11700000000000001</v>
      </c>
      <c r="J1114" t="s">
        <v>412</v>
      </c>
      <c r="K1114" t="s">
        <v>579</v>
      </c>
    </row>
    <row r="1115" spans="1:11">
      <c r="A1115" t="s">
        <v>547</v>
      </c>
      <c r="B1115" t="s">
        <v>580</v>
      </c>
      <c r="C1115" t="s">
        <v>492</v>
      </c>
      <c r="D1115" s="15">
        <v>-6.6000000000000003E-2</v>
      </c>
      <c r="E1115" s="15">
        <v>3.2000000000000001E-2</v>
      </c>
      <c r="F1115" s="15">
        <v>-0.254</v>
      </c>
      <c r="G1115" s="15">
        <v>-1.7000000000000001E-2</v>
      </c>
      <c r="H1115" s="15">
        <v>-9.6000000000000002E-2</v>
      </c>
      <c r="I1115" s="15">
        <v>0.11700000000000001</v>
      </c>
      <c r="J1115" t="s">
        <v>412</v>
      </c>
      <c r="K1115" t="s">
        <v>500</v>
      </c>
    </row>
    <row r="1116" spans="1:11">
      <c r="A1116" t="s">
        <v>571</v>
      </c>
      <c r="B1116" t="s">
        <v>517</v>
      </c>
      <c r="C1116" t="s">
        <v>492</v>
      </c>
      <c r="D1116" s="15">
        <v>-6.5000000000000002E-2</v>
      </c>
      <c r="E1116" s="15">
        <v>1.7999999999999999E-2</v>
      </c>
      <c r="F1116" s="15">
        <v>-0.26700000000000002</v>
      </c>
      <c r="G1116" s="15">
        <v>-2.4E-2</v>
      </c>
      <c r="H1116" s="15">
        <v>-0.105</v>
      </c>
      <c r="I1116" s="15">
        <v>0.11700000000000001</v>
      </c>
      <c r="J1116" t="s">
        <v>412</v>
      </c>
      <c r="K1116" t="s">
        <v>500</v>
      </c>
    </row>
    <row r="1117" spans="1:11">
      <c r="A1117" t="s">
        <v>506</v>
      </c>
      <c r="B1117" t="s">
        <v>590</v>
      </c>
      <c r="C1117" t="s">
        <v>572</v>
      </c>
      <c r="D1117" s="15">
        <v>-0.11899999999999999</v>
      </c>
      <c r="E1117" s="15">
        <v>1E-3</v>
      </c>
      <c r="F1117" s="15">
        <v>-0.23</v>
      </c>
      <c r="G1117" s="15">
        <v>-5.8999999999999997E-2</v>
      </c>
      <c r="H1117" s="15">
        <v>-0.11600000000000001</v>
      </c>
      <c r="I1117" s="15">
        <v>0.11700000000000001</v>
      </c>
      <c r="J1117" t="s">
        <v>412</v>
      </c>
      <c r="K1117" t="s">
        <v>500</v>
      </c>
    </row>
    <row r="1118" spans="1:11">
      <c r="A1118" t="s">
        <v>577</v>
      </c>
      <c r="B1118" t="s">
        <v>598</v>
      </c>
      <c r="C1118" t="s">
        <v>570</v>
      </c>
      <c r="D1118" s="15">
        <v>-8.8999999999999996E-2</v>
      </c>
      <c r="E1118" s="15">
        <v>-0.188</v>
      </c>
      <c r="F1118" s="15">
        <v>-7.4999999999999997E-2</v>
      </c>
      <c r="G1118" s="15">
        <v>-0.13900000000000001</v>
      </c>
      <c r="H1118" s="15">
        <v>-0.11700000000000001</v>
      </c>
      <c r="I1118" s="15">
        <v>0.11700000000000001</v>
      </c>
      <c r="J1118" t="s">
        <v>412</v>
      </c>
      <c r="K1118" t="s">
        <v>589</v>
      </c>
    </row>
    <row r="1119" spans="1:11">
      <c r="A1119" t="s">
        <v>547</v>
      </c>
      <c r="B1119" t="s">
        <v>587</v>
      </c>
      <c r="C1119" t="s">
        <v>582</v>
      </c>
      <c r="D1119" s="15">
        <v>0.14299999999999999</v>
      </c>
      <c r="E1119" s="15">
        <v>0.13</v>
      </c>
      <c r="F1119" s="15">
        <v>7.2999999999999995E-2</v>
      </c>
      <c r="G1119" s="15">
        <v>0.13700000000000001</v>
      </c>
      <c r="H1119" s="15">
        <v>0.11600000000000001</v>
      </c>
      <c r="I1119" s="15">
        <v>0.11600000000000001</v>
      </c>
      <c r="J1119" t="s">
        <v>412</v>
      </c>
      <c r="K1119" t="s">
        <v>551</v>
      </c>
    </row>
    <row r="1120" spans="1:11">
      <c r="A1120" t="s">
        <v>571</v>
      </c>
      <c r="B1120" t="s">
        <v>590</v>
      </c>
      <c r="C1120" t="s">
        <v>582</v>
      </c>
      <c r="D1120" s="15">
        <v>9.1999999999999998E-2</v>
      </c>
      <c r="E1120" s="15">
        <v>6.2E-2</v>
      </c>
      <c r="F1120" s="15">
        <v>0.19500000000000001</v>
      </c>
      <c r="G1120" s="15">
        <v>7.6999999999999999E-2</v>
      </c>
      <c r="H1120" s="15">
        <v>0.11600000000000001</v>
      </c>
      <c r="I1120" s="15">
        <v>0.11600000000000001</v>
      </c>
      <c r="J1120" t="s">
        <v>412</v>
      </c>
      <c r="K1120" t="s">
        <v>551</v>
      </c>
    </row>
    <row r="1121" spans="1:11">
      <c r="A1121" t="s">
        <v>571</v>
      </c>
      <c r="B1121" t="s">
        <v>586</v>
      </c>
      <c r="C1121" t="s">
        <v>582</v>
      </c>
      <c r="D1121" s="15">
        <v>9.1999999999999998E-2</v>
      </c>
      <c r="E1121" s="15">
        <v>5.6000000000000001E-2</v>
      </c>
      <c r="F1121" s="15">
        <v>0.20100000000000001</v>
      </c>
      <c r="G1121" s="15">
        <v>7.3999999999999996E-2</v>
      </c>
      <c r="H1121" s="15">
        <v>0.11600000000000001</v>
      </c>
      <c r="I1121" s="15">
        <v>0.11600000000000001</v>
      </c>
      <c r="J1121" t="s">
        <v>412</v>
      </c>
      <c r="K1121" t="s">
        <v>551</v>
      </c>
    </row>
    <row r="1122" spans="1:11">
      <c r="A1122" t="s">
        <v>576</v>
      </c>
      <c r="B1122" t="s">
        <v>590</v>
      </c>
      <c r="C1122" t="s">
        <v>594</v>
      </c>
      <c r="D1122" s="15">
        <v>2.1000000000000001E-2</v>
      </c>
      <c r="E1122" s="15">
        <v>2.8000000000000001E-2</v>
      </c>
      <c r="F1122" s="15">
        <v>0.29899999999999999</v>
      </c>
      <c r="G1122" s="15">
        <v>2.5000000000000001E-2</v>
      </c>
      <c r="H1122" s="15">
        <v>0.11600000000000001</v>
      </c>
      <c r="I1122" s="15">
        <v>0.11600000000000001</v>
      </c>
      <c r="J1122" t="s">
        <v>412</v>
      </c>
      <c r="K1122" t="s">
        <v>551</v>
      </c>
    </row>
    <row r="1123" spans="1:11">
      <c r="A1123" t="s">
        <v>571</v>
      </c>
      <c r="B1123" t="s">
        <v>598</v>
      </c>
      <c r="C1123" t="s">
        <v>477</v>
      </c>
      <c r="D1123" s="15">
        <v>0.13300000000000001</v>
      </c>
      <c r="E1123" s="15">
        <v>0.17299999999999999</v>
      </c>
      <c r="F1123" s="15">
        <v>-4.2000000000000003E-2</v>
      </c>
      <c r="G1123" s="15">
        <v>0.153</v>
      </c>
      <c r="H1123" s="15">
        <v>8.7999999999999995E-2</v>
      </c>
      <c r="I1123" s="15">
        <v>0.11600000000000001</v>
      </c>
      <c r="J1123" t="s">
        <v>412</v>
      </c>
      <c r="K1123" t="s">
        <v>493</v>
      </c>
    </row>
    <row r="1124" spans="1:11">
      <c r="A1124" t="s">
        <v>573</v>
      </c>
      <c r="B1124" t="s">
        <v>598</v>
      </c>
      <c r="C1124" t="s">
        <v>582</v>
      </c>
      <c r="D1124" s="15">
        <v>0.28599999999999998</v>
      </c>
      <c r="E1124" s="15">
        <v>-2.3E-2</v>
      </c>
      <c r="F1124" s="15">
        <v>-4.1000000000000002E-2</v>
      </c>
      <c r="G1124" s="15">
        <v>0.13100000000000001</v>
      </c>
      <c r="H1124" s="15">
        <v>7.3999999999999996E-2</v>
      </c>
      <c r="I1124" s="15">
        <v>0.11600000000000001</v>
      </c>
      <c r="J1124" t="s">
        <v>412</v>
      </c>
      <c r="K1124" t="s">
        <v>579</v>
      </c>
    </row>
    <row r="1125" spans="1:11">
      <c r="A1125" t="s">
        <v>506</v>
      </c>
      <c r="B1125" t="s">
        <v>586</v>
      </c>
      <c r="C1125" t="s">
        <v>593</v>
      </c>
      <c r="D1125" s="15">
        <v>-7.1999999999999995E-2</v>
      </c>
      <c r="E1125" s="15">
        <v>0.16400000000000001</v>
      </c>
      <c r="F1125" s="15">
        <v>0.112</v>
      </c>
      <c r="G1125" s="15">
        <v>4.5999999999999999E-2</v>
      </c>
      <c r="H1125" s="15">
        <v>6.8000000000000005E-2</v>
      </c>
      <c r="I1125" s="15">
        <v>0.11600000000000001</v>
      </c>
      <c r="J1125" t="s">
        <v>412</v>
      </c>
      <c r="K1125" t="s">
        <v>487</v>
      </c>
    </row>
    <row r="1126" spans="1:11">
      <c r="A1126" t="s">
        <v>571</v>
      </c>
      <c r="B1126" t="s">
        <v>517</v>
      </c>
      <c r="C1126" t="s">
        <v>584</v>
      </c>
      <c r="D1126" s="15">
        <v>-0.108</v>
      </c>
      <c r="E1126" s="15">
        <v>1.7999999999999999E-2</v>
      </c>
      <c r="F1126" s="15">
        <v>0.224</v>
      </c>
      <c r="G1126" s="15">
        <v>-4.4999999999999998E-2</v>
      </c>
      <c r="H1126" s="15">
        <v>4.4999999999999998E-2</v>
      </c>
      <c r="I1126" s="15">
        <v>0.11600000000000001</v>
      </c>
      <c r="J1126" t="s">
        <v>412</v>
      </c>
      <c r="K1126" t="s">
        <v>487</v>
      </c>
    </row>
    <row r="1127" spans="1:11">
      <c r="A1127" t="s">
        <v>506</v>
      </c>
      <c r="B1127" t="s">
        <v>505</v>
      </c>
      <c r="C1127" t="s">
        <v>591</v>
      </c>
      <c r="D1127" s="15">
        <v>0.20899999999999999</v>
      </c>
      <c r="E1127" s="15">
        <v>-6.5000000000000002E-2</v>
      </c>
      <c r="F1127" s="15">
        <v>-7.2999999999999995E-2</v>
      </c>
      <c r="G1127" s="15">
        <v>7.1999999999999995E-2</v>
      </c>
      <c r="H1127" s="15">
        <v>2.4E-2</v>
      </c>
      <c r="I1127" s="15">
        <v>0.11600000000000001</v>
      </c>
      <c r="J1127" t="s">
        <v>412</v>
      </c>
      <c r="K1127" t="s">
        <v>579</v>
      </c>
    </row>
    <row r="1128" spans="1:11">
      <c r="A1128" t="s">
        <v>479</v>
      </c>
      <c r="B1128" t="s">
        <v>588</v>
      </c>
      <c r="C1128" t="s">
        <v>585</v>
      </c>
      <c r="D1128" s="15">
        <v>-0.123</v>
      </c>
      <c r="E1128" s="15">
        <v>-1.7000000000000001E-2</v>
      </c>
      <c r="F1128" s="15">
        <v>0.21</v>
      </c>
      <c r="G1128" s="15">
        <v>-7.0000000000000007E-2</v>
      </c>
      <c r="H1128" s="15">
        <v>2.3E-2</v>
      </c>
      <c r="I1128" s="15">
        <v>0.11600000000000001</v>
      </c>
      <c r="J1128" t="s">
        <v>412</v>
      </c>
      <c r="K1128" t="s">
        <v>510</v>
      </c>
    </row>
    <row r="1129" spans="1:11">
      <c r="A1129" t="s">
        <v>571</v>
      </c>
      <c r="B1129" t="s">
        <v>598</v>
      </c>
      <c r="C1129" t="s">
        <v>575</v>
      </c>
      <c r="D1129" s="15">
        <v>-0.16800000000000001</v>
      </c>
      <c r="E1129" s="15">
        <v>0.17299999999999999</v>
      </c>
      <c r="F1129" s="15">
        <v>7.0000000000000001E-3</v>
      </c>
      <c r="G1129" s="15">
        <v>2E-3</v>
      </c>
      <c r="H1129" s="15">
        <v>4.0000000000000001E-3</v>
      </c>
      <c r="I1129" s="15">
        <v>0.11600000000000001</v>
      </c>
      <c r="J1129" t="s">
        <v>412</v>
      </c>
      <c r="K1129" t="s">
        <v>487</v>
      </c>
    </row>
    <row r="1130" spans="1:11">
      <c r="A1130" t="s">
        <v>571</v>
      </c>
      <c r="B1130" t="s">
        <v>592</v>
      </c>
      <c r="C1130" t="s">
        <v>570</v>
      </c>
      <c r="D1130" s="15">
        <v>-0.19700000000000001</v>
      </c>
      <c r="E1130" s="15">
        <v>1.0999999999999999E-2</v>
      </c>
      <c r="F1130" s="15">
        <v>0.13900000000000001</v>
      </c>
      <c r="G1130" s="15">
        <v>-9.2999999999999999E-2</v>
      </c>
      <c r="H1130" s="15">
        <v>-1.6E-2</v>
      </c>
      <c r="I1130" s="15">
        <v>0.11600000000000001</v>
      </c>
      <c r="J1130" t="s">
        <v>412</v>
      </c>
      <c r="K1130" t="s">
        <v>487</v>
      </c>
    </row>
    <row r="1131" spans="1:11">
      <c r="A1131" t="s">
        <v>576</v>
      </c>
      <c r="B1131" t="s">
        <v>587</v>
      </c>
      <c r="C1131" t="s">
        <v>477</v>
      </c>
      <c r="D1131" s="15">
        <v>2.9000000000000001E-2</v>
      </c>
      <c r="E1131" s="15">
        <v>0.11700000000000001</v>
      </c>
      <c r="F1131" s="15">
        <v>-0.20200000000000001</v>
      </c>
      <c r="G1131" s="15">
        <v>7.2999999999999995E-2</v>
      </c>
      <c r="H1131" s="15">
        <v>-1.9E-2</v>
      </c>
      <c r="I1131" s="15">
        <v>0.11600000000000001</v>
      </c>
      <c r="J1131" t="s">
        <v>412</v>
      </c>
      <c r="K1131" t="s">
        <v>493</v>
      </c>
    </row>
    <row r="1132" spans="1:11">
      <c r="A1132" t="s">
        <v>577</v>
      </c>
      <c r="B1132" t="s">
        <v>550</v>
      </c>
      <c r="C1132" t="s">
        <v>583</v>
      </c>
      <c r="D1132" s="15">
        <v>-0.09</v>
      </c>
      <c r="E1132" s="15">
        <v>-0.11600000000000001</v>
      </c>
      <c r="F1132" s="15">
        <v>0.14299999999999999</v>
      </c>
      <c r="G1132" s="15">
        <v>-0.10299999999999999</v>
      </c>
      <c r="H1132" s="15">
        <v>-2.1000000000000001E-2</v>
      </c>
      <c r="I1132" s="15">
        <v>0.11600000000000001</v>
      </c>
      <c r="J1132" t="s">
        <v>412</v>
      </c>
      <c r="K1132" t="s">
        <v>510</v>
      </c>
    </row>
    <row r="1133" spans="1:11">
      <c r="A1133" t="s">
        <v>547</v>
      </c>
      <c r="B1133" t="s">
        <v>587</v>
      </c>
      <c r="C1133" t="s">
        <v>591</v>
      </c>
      <c r="D1133" s="15">
        <v>0.01</v>
      </c>
      <c r="E1133" s="15">
        <v>0.13</v>
      </c>
      <c r="F1133" s="15">
        <v>-0.20899999999999999</v>
      </c>
      <c r="G1133" s="15">
        <v>7.0000000000000007E-2</v>
      </c>
      <c r="H1133" s="15">
        <v>-2.3E-2</v>
      </c>
      <c r="I1133" s="15">
        <v>0.11600000000000001</v>
      </c>
      <c r="J1133" t="s">
        <v>412</v>
      </c>
      <c r="K1133" t="s">
        <v>493</v>
      </c>
    </row>
    <row r="1134" spans="1:11">
      <c r="A1134" t="s">
        <v>506</v>
      </c>
      <c r="B1134" t="s">
        <v>598</v>
      </c>
      <c r="C1134" t="s">
        <v>570</v>
      </c>
      <c r="D1134" s="15">
        <v>-0.14199999999999999</v>
      </c>
      <c r="E1134" s="15">
        <v>0.13</v>
      </c>
      <c r="F1134" s="15">
        <v>-7.4999999999999997E-2</v>
      </c>
      <c r="G1134" s="15">
        <v>-6.0000000000000001E-3</v>
      </c>
      <c r="H1134" s="15">
        <v>-2.9000000000000001E-2</v>
      </c>
      <c r="I1134" s="15">
        <v>0.11600000000000001</v>
      </c>
      <c r="J1134" t="s">
        <v>412</v>
      </c>
      <c r="K1134" t="s">
        <v>500</v>
      </c>
    </row>
    <row r="1135" spans="1:11">
      <c r="A1135" t="s">
        <v>486</v>
      </c>
      <c r="B1135" t="s">
        <v>578</v>
      </c>
      <c r="C1135" t="s">
        <v>594</v>
      </c>
      <c r="D1135" s="15">
        <v>-9.7000000000000003E-2</v>
      </c>
      <c r="E1135" s="15">
        <v>-0.2</v>
      </c>
      <c r="F1135" s="15">
        <v>5.1999999999999998E-2</v>
      </c>
      <c r="G1135" s="15">
        <v>-0.14899999999999999</v>
      </c>
      <c r="H1135" s="15">
        <v>-8.2000000000000003E-2</v>
      </c>
      <c r="I1135" s="15">
        <v>0.11600000000000001</v>
      </c>
      <c r="J1135" t="s">
        <v>412</v>
      </c>
      <c r="K1135" t="s">
        <v>510</v>
      </c>
    </row>
    <row r="1136" spans="1:11">
      <c r="A1136" t="s">
        <v>506</v>
      </c>
      <c r="B1136" t="s">
        <v>590</v>
      </c>
      <c r="C1136" t="s">
        <v>570</v>
      </c>
      <c r="D1136" s="15">
        <v>-0.14199999999999999</v>
      </c>
      <c r="E1136" s="15">
        <v>1E-3</v>
      </c>
      <c r="F1136" s="15">
        <v>-0.20599999999999999</v>
      </c>
      <c r="G1136" s="15">
        <v>-7.0000000000000007E-2</v>
      </c>
      <c r="H1136" s="15">
        <v>-0.115</v>
      </c>
      <c r="I1136" s="15">
        <v>0.11600000000000001</v>
      </c>
      <c r="J1136" t="s">
        <v>412</v>
      </c>
      <c r="K1136" t="s">
        <v>500</v>
      </c>
    </row>
    <row r="1137" spans="1:11">
      <c r="A1137" t="s">
        <v>576</v>
      </c>
      <c r="B1137" t="s">
        <v>598</v>
      </c>
      <c r="C1137" t="s">
        <v>591</v>
      </c>
      <c r="D1137" s="15">
        <v>-6.5000000000000002E-2</v>
      </c>
      <c r="E1137" s="15">
        <v>-0.20200000000000001</v>
      </c>
      <c r="F1137" s="15">
        <v>-8.2000000000000003E-2</v>
      </c>
      <c r="G1137" s="15">
        <v>-0.13300000000000001</v>
      </c>
      <c r="H1137" s="15">
        <v>-0.11600000000000001</v>
      </c>
      <c r="I1137" s="15">
        <v>0.11600000000000001</v>
      </c>
      <c r="J1137" t="s">
        <v>412</v>
      </c>
      <c r="K1137" t="s">
        <v>589</v>
      </c>
    </row>
    <row r="1138" spans="1:11">
      <c r="A1138" t="s">
        <v>577</v>
      </c>
      <c r="B1138" t="s">
        <v>499</v>
      </c>
      <c r="C1138" t="s">
        <v>570</v>
      </c>
      <c r="D1138" s="15">
        <v>-8.8999999999999996E-2</v>
      </c>
      <c r="E1138" s="15">
        <v>-1.2E-2</v>
      </c>
      <c r="F1138" s="15">
        <v>-0.246</v>
      </c>
      <c r="G1138" s="15">
        <v>-5.0999999999999997E-2</v>
      </c>
      <c r="H1138" s="15">
        <v>-0.11600000000000001</v>
      </c>
      <c r="I1138" s="15">
        <v>0.11600000000000001</v>
      </c>
      <c r="J1138" t="s">
        <v>412</v>
      </c>
      <c r="K1138" t="s">
        <v>589</v>
      </c>
    </row>
    <row r="1139" spans="1:11">
      <c r="A1139" t="s">
        <v>576</v>
      </c>
      <c r="B1139" t="s">
        <v>498</v>
      </c>
      <c r="C1139" t="s">
        <v>582</v>
      </c>
      <c r="D1139" s="15">
        <v>7.6999999999999999E-2</v>
      </c>
      <c r="E1139" s="15">
        <v>5.0999999999999997E-2</v>
      </c>
      <c r="F1139" s="15">
        <v>0.217</v>
      </c>
      <c r="G1139" s="15">
        <v>6.4000000000000001E-2</v>
      </c>
      <c r="H1139" s="15">
        <v>0.115</v>
      </c>
      <c r="I1139" s="15">
        <v>0.115</v>
      </c>
      <c r="J1139" t="s">
        <v>412</v>
      </c>
      <c r="K1139" t="s">
        <v>551</v>
      </c>
    </row>
    <row r="1140" spans="1:11">
      <c r="A1140" t="s">
        <v>573</v>
      </c>
      <c r="B1140" t="s">
        <v>592</v>
      </c>
      <c r="C1140" t="s">
        <v>570</v>
      </c>
      <c r="D1140" s="15">
        <v>-0.17100000000000001</v>
      </c>
      <c r="E1140" s="15">
        <v>-3.5000000000000003E-2</v>
      </c>
      <c r="F1140" s="15">
        <v>0.13900000000000001</v>
      </c>
      <c r="G1140" s="15">
        <v>-0.10299999999999999</v>
      </c>
      <c r="H1140" s="15">
        <v>-2.3E-2</v>
      </c>
      <c r="I1140" s="15">
        <v>0.115</v>
      </c>
      <c r="J1140" t="s">
        <v>412</v>
      </c>
      <c r="K1140" t="s">
        <v>510</v>
      </c>
    </row>
    <row r="1141" spans="1:11">
      <c r="A1141" t="s">
        <v>577</v>
      </c>
      <c r="B1141" t="s">
        <v>595</v>
      </c>
      <c r="C1141" t="s">
        <v>570</v>
      </c>
      <c r="D1141" s="15">
        <v>-8.8999999999999996E-2</v>
      </c>
      <c r="E1141" s="15">
        <v>0.122</v>
      </c>
      <c r="F1141" s="15">
        <v>-0.13500000000000001</v>
      </c>
      <c r="G1141" s="15">
        <v>1.7000000000000001E-2</v>
      </c>
      <c r="H1141" s="15">
        <v>-3.4000000000000002E-2</v>
      </c>
      <c r="I1141" s="15">
        <v>0.115</v>
      </c>
      <c r="J1141" t="s">
        <v>412</v>
      </c>
      <c r="K1141" t="s">
        <v>500</v>
      </c>
    </row>
    <row r="1142" spans="1:11">
      <c r="A1142" t="s">
        <v>571</v>
      </c>
      <c r="B1142" t="s">
        <v>523</v>
      </c>
      <c r="C1142" t="s">
        <v>584</v>
      </c>
      <c r="D1142" s="15">
        <v>-0.108</v>
      </c>
      <c r="E1142" s="15">
        <v>-0.13200000000000001</v>
      </c>
      <c r="F1142" s="15">
        <v>0.106</v>
      </c>
      <c r="G1142" s="15">
        <v>-0.12</v>
      </c>
      <c r="H1142" s="15">
        <v>-4.4999999999999998E-2</v>
      </c>
      <c r="I1142" s="15">
        <v>0.115</v>
      </c>
      <c r="J1142" t="s">
        <v>412</v>
      </c>
      <c r="K1142" t="s">
        <v>510</v>
      </c>
    </row>
    <row r="1143" spans="1:11">
      <c r="A1143" t="s">
        <v>571</v>
      </c>
      <c r="B1143" t="s">
        <v>578</v>
      </c>
      <c r="C1143" t="s">
        <v>570</v>
      </c>
      <c r="D1143" s="15">
        <v>-0.19700000000000001</v>
      </c>
      <c r="E1143" s="15">
        <v>-5.3999999999999999E-2</v>
      </c>
      <c r="F1143" s="15">
        <v>9.5000000000000001E-2</v>
      </c>
      <c r="G1143" s="15">
        <v>-0.126</v>
      </c>
      <c r="H1143" s="15">
        <v>-5.1999999999999998E-2</v>
      </c>
      <c r="I1143" s="15">
        <v>0.115</v>
      </c>
      <c r="J1143" t="s">
        <v>412</v>
      </c>
      <c r="K1143" t="s">
        <v>510</v>
      </c>
    </row>
    <row r="1144" spans="1:11">
      <c r="A1144" t="s">
        <v>506</v>
      </c>
      <c r="B1144" t="s">
        <v>574</v>
      </c>
      <c r="C1144" t="s">
        <v>583</v>
      </c>
      <c r="D1144" s="15">
        <v>4.1000000000000002E-2</v>
      </c>
      <c r="E1144" s="15">
        <v>3.5999999999999997E-2</v>
      </c>
      <c r="F1144" s="15">
        <v>-0.26900000000000002</v>
      </c>
      <c r="G1144" s="15">
        <v>3.9E-2</v>
      </c>
      <c r="H1144" s="15">
        <v>-6.4000000000000001E-2</v>
      </c>
      <c r="I1144" s="15">
        <v>0.115</v>
      </c>
      <c r="J1144" t="s">
        <v>412</v>
      </c>
      <c r="K1144" t="s">
        <v>493</v>
      </c>
    </row>
    <row r="1145" spans="1:11">
      <c r="A1145" t="s">
        <v>573</v>
      </c>
      <c r="B1145" t="s">
        <v>595</v>
      </c>
      <c r="C1145" t="s">
        <v>583</v>
      </c>
      <c r="D1145" s="15">
        <v>7.3999999999999996E-2</v>
      </c>
      <c r="E1145" s="15">
        <v>-9.0999999999999998E-2</v>
      </c>
      <c r="F1145" s="15">
        <v>-0.18099999999999999</v>
      </c>
      <c r="G1145" s="15">
        <v>-8.0000000000000002E-3</v>
      </c>
      <c r="H1145" s="15">
        <v>-6.6000000000000003E-2</v>
      </c>
      <c r="I1145" s="15">
        <v>0.115</v>
      </c>
      <c r="J1145" t="s">
        <v>412</v>
      </c>
      <c r="K1145" t="s">
        <v>579</v>
      </c>
    </row>
    <row r="1146" spans="1:11">
      <c r="A1146" t="s">
        <v>571</v>
      </c>
      <c r="B1146" t="s">
        <v>505</v>
      </c>
      <c r="C1146" t="s">
        <v>583</v>
      </c>
      <c r="D1146" s="15">
        <v>-0.152</v>
      </c>
      <c r="E1146" s="15">
        <v>-0.14000000000000001</v>
      </c>
      <c r="F1146" s="15">
        <v>5.1999999999999998E-2</v>
      </c>
      <c r="G1146" s="15">
        <v>-0.14599999999999999</v>
      </c>
      <c r="H1146" s="15">
        <v>-0.08</v>
      </c>
      <c r="I1146" s="15">
        <v>0.115</v>
      </c>
      <c r="J1146" t="s">
        <v>412</v>
      </c>
      <c r="K1146" t="s">
        <v>510</v>
      </c>
    </row>
    <row r="1147" spans="1:11">
      <c r="A1147" t="s">
        <v>506</v>
      </c>
      <c r="B1147" t="s">
        <v>478</v>
      </c>
      <c r="C1147" t="s">
        <v>572</v>
      </c>
      <c r="D1147" s="15">
        <v>-0.11899999999999999</v>
      </c>
      <c r="E1147" s="15">
        <v>-0.224</v>
      </c>
      <c r="F1147" s="15">
        <v>4.0000000000000001E-3</v>
      </c>
      <c r="G1147" s="15">
        <v>-0.17100000000000001</v>
      </c>
      <c r="H1147" s="15">
        <v>-0.113</v>
      </c>
      <c r="I1147" s="15">
        <v>0.115</v>
      </c>
      <c r="J1147" t="s">
        <v>412</v>
      </c>
      <c r="K1147" t="s">
        <v>510</v>
      </c>
    </row>
    <row r="1148" spans="1:11">
      <c r="A1148" t="s">
        <v>486</v>
      </c>
      <c r="B1148" t="s">
        <v>597</v>
      </c>
      <c r="C1148" t="s">
        <v>593</v>
      </c>
      <c r="D1148" s="15">
        <v>-8.6999999999999994E-2</v>
      </c>
      <c r="E1148" s="15">
        <v>-8.9999999999999993E-3</v>
      </c>
      <c r="F1148" s="15">
        <v>-0.249</v>
      </c>
      <c r="G1148" s="15">
        <v>-4.8000000000000001E-2</v>
      </c>
      <c r="H1148" s="15">
        <v>-0.115</v>
      </c>
      <c r="I1148" s="15">
        <v>0.115</v>
      </c>
      <c r="J1148" t="s">
        <v>412</v>
      </c>
      <c r="K1148" t="s">
        <v>589</v>
      </c>
    </row>
    <row r="1149" spans="1:11">
      <c r="A1149" t="s">
        <v>506</v>
      </c>
      <c r="B1149" t="s">
        <v>550</v>
      </c>
      <c r="C1149" t="s">
        <v>575</v>
      </c>
      <c r="D1149" s="15">
        <v>-0.14399999999999999</v>
      </c>
      <c r="E1149" s="15">
        <v>-0.17299999999999999</v>
      </c>
      <c r="F1149" s="15">
        <v>-2.8000000000000001E-2</v>
      </c>
      <c r="G1149" s="15">
        <v>-0.159</v>
      </c>
      <c r="H1149" s="15">
        <v>-0.115</v>
      </c>
      <c r="I1149" s="15">
        <v>0.115</v>
      </c>
      <c r="J1149" t="s">
        <v>412</v>
      </c>
      <c r="K1149" t="s">
        <v>589</v>
      </c>
    </row>
    <row r="1150" spans="1:11">
      <c r="A1150" t="s">
        <v>577</v>
      </c>
      <c r="B1150" t="s">
        <v>498</v>
      </c>
      <c r="C1150" t="s">
        <v>583</v>
      </c>
      <c r="D1150" s="15">
        <v>-0.09</v>
      </c>
      <c r="E1150" s="15">
        <v>-1.2E-2</v>
      </c>
      <c r="F1150" s="15">
        <v>-0.24199999999999999</v>
      </c>
      <c r="G1150" s="15">
        <v>-5.0999999999999997E-2</v>
      </c>
      <c r="H1150" s="15">
        <v>-0.115</v>
      </c>
      <c r="I1150" s="15">
        <v>0.115</v>
      </c>
      <c r="J1150" t="s">
        <v>412</v>
      </c>
      <c r="K1150" t="s">
        <v>589</v>
      </c>
    </row>
    <row r="1151" spans="1:11">
      <c r="A1151" t="s">
        <v>506</v>
      </c>
      <c r="B1151" t="s">
        <v>587</v>
      </c>
      <c r="C1151" t="s">
        <v>594</v>
      </c>
      <c r="D1151" s="15">
        <v>8.2000000000000003E-2</v>
      </c>
      <c r="E1151" s="15">
        <v>2.1000000000000001E-2</v>
      </c>
      <c r="F1151" s="15">
        <v>0.24</v>
      </c>
      <c r="G1151" s="15">
        <v>5.0999999999999997E-2</v>
      </c>
      <c r="H1151" s="15">
        <v>0.114</v>
      </c>
      <c r="I1151" s="15">
        <v>0.114</v>
      </c>
      <c r="J1151" t="s">
        <v>412</v>
      </c>
      <c r="K1151" t="s">
        <v>551</v>
      </c>
    </row>
    <row r="1152" spans="1:11">
      <c r="A1152" t="s">
        <v>547</v>
      </c>
      <c r="B1152" t="s">
        <v>588</v>
      </c>
      <c r="C1152" t="s">
        <v>591</v>
      </c>
      <c r="D1152" s="15">
        <v>0.01</v>
      </c>
      <c r="E1152" s="15">
        <v>0.20200000000000001</v>
      </c>
      <c r="F1152" s="15">
        <v>0.128</v>
      </c>
      <c r="G1152" s="15">
        <v>0.106</v>
      </c>
      <c r="H1152" s="15">
        <v>0.114</v>
      </c>
      <c r="I1152" s="15">
        <v>0.114</v>
      </c>
      <c r="J1152" t="s">
        <v>412</v>
      </c>
      <c r="K1152" t="s">
        <v>551</v>
      </c>
    </row>
    <row r="1153" spans="1:11">
      <c r="A1153" t="s">
        <v>573</v>
      </c>
      <c r="B1153" t="s">
        <v>580</v>
      </c>
      <c r="C1153" t="s">
        <v>582</v>
      </c>
      <c r="D1153" s="15">
        <v>0.28599999999999998</v>
      </c>
      <c r="E1153" s="15">
        <v>4.7E-2</v>
      </c>
      <c r="F1153" s="15">
        <v>8.9999999999999993E-3</v>
      </c>
      <c r="G1153" s="15">
        <v>0.16600000000000001</v>
      </c>
      <c r="H1153" s="15">
        <v>0.114</v>
      </c>
      <c r="I1153" s="15">
        <v>0.114</v>
      </c>
      <c r="J1153" t="s">
        <v>412</v>
      </c>
      <c r="K1153" t="s">
        <v>551</v>
      </c>
    </row>
    <row r="1154" spans="1:11">
      <c r="A1154" t="s">
        <v>479</v>
      </c>
      <c r="B1154" t="s">
        <v>578</v>
      </c>
      <c r="C1154" t="s">
        <v>583</v>
      </c>
      <c r="D1154" s="15">
        <v>-0.02</v>
      </c>
      <c r="E1154" s="15">
        <v>2.8000000000000001E-2</v>
      </c>
      <c r="F1154" s="15">
        <v>0.29499999999999998</v>
      </c>
      <c r="G1154" s="15">
        <v>4.0000000000000001E-3</v>
      </c>
      <c r="H1154" s="15">
        <v>0.10100000000000001</v>
      </c>
      <c r="I1154" s="15">
        <v>0.114</v>
      </c>
      <c r="J1154" t="s">
        <v>412</v>
      </c>
      <c r="K1154" t="s">
        <v>487</v>
      </c>
    </row>
    <row r="1155" spans="1:11">
      <c r="A1155" t="s">
        <v>573</v>
      </c>
      <c r="B1155" t="s">
        <v>588</v>
      </c>
      <c r="C1155" t="s">
        <v>575</v>
      </c>
      <c r="D1155" s="15">
        <v>-4.9000000000000002E-2</v>
      </c>
      <c r="E1155" s="15">
        <v>4.9000000000000002E-2</v>
      </c>
      <c r="F1155" s="15">
        <v>0.24299999999999999</v>
      </c>
      <c r="G1155" s="15">
        <v>0</v>
      </c>
      <c r="H1155" s="15">
        <v>8.1000000000000003E-2</v>
      </c>
      <c r="I1155" s="15">
        <v>0.114</v>
      </c>
      <c r="J1155" t="s">
        <v>412</v>
      </c>
      <c r="K1155" t="s">
        <v>487</v>
      </c>
    </row>
    <row r="1156" spans="1:11">
      <c r="A1156" t="s">
        <v>506</v>
      </c>
      <c r="B1156" t="s">
        <v>595</v>
      </c>
      <c r="C1156" t="s">
        <v>591</v>
      </c>
      <c r="D1156" s="15">
        <v>0.20899999999999999</v>
      </c>
      <c r="E1156" s="15">
        <v>-6.0999999999999999E-2</v>
      </c>
      <c r="F1156" s="15">
        <v>-7.1999999999999995E-2</v>
      </c>
      <c r="G1156" s="15">
        <v>7.3999999999999996E-2</v>
      </c>
      <c r="H1156" s="15">
        <v>2.5000000000000001E-2</v>
      </c>
      <c r="I1156" s="15">
        <v>0.114</v>
      </c>
      <c r="J1156" t="s">
        <v>412</v>
      </c>
      <c r="K1156" t="s">
        <v>579</v>
      </c>
    </row>
    <row r="1157" spans="1:11">
      <c r="A1157" t="s">
        <v>547</v>
      </c>
      <c r="B1157" t="s">
        <v>505</v>
      </c>
      <c r="C1157" t="s">
        <v>585</v>
      </c>
      <c r="D1157" s="15">
        <v>-7.1999999999999995E-2</v>
      </c>
      <c r="E1157" s="15">
        <v>-0.13600000000000001</v>
      </c>
      <c r="F1157" s="15">
        <v>0.13500000000000001</v>
      </c>
      <c r="G1157" s="15">
        <v>-0.104</v>
      </c>
      <c r="H1157" s="15">
        <v>-2.5000000000000001E-2</v>
      </c>
      <c r="I1157" s="15">
        <v>0.114</v>
      </c>
      <c r="J1157" t="s">
        <v>412</v>
      </c>
      <c r="K1157" t="s">
        <v>510</v>
      </c>
    </row>
    <row r="1158" spans="1:11">
      <c r="A1158" t="s">
        <v>506</v>
      </c>
      <c r="B1158" t="s">
        <v>581</v>
      </c>
      <c r="C1158" t="s">
        <v>584</v>
      </c>
      <c r="D1158" s="15">
        <v>0.11899999999999999</v>
      </c>
      <c r="E1158" s="15">
        <v>-0.03</v>
      </c>
      <c r="F1158" s="15">
        <v>-0.193</v>
      </c>
      <c r="G1158" s="15">
        <v>4.4999999999999998E-2</v>
      </c>
      <c r="H1158" s="15">
        <v>-3.4000000000000002E-2</v>
      </c>
      <c r="I1158" s="15">
        <v>0.114</v>
      </c>
      <c r="J1158" t="s">
        <v>412</v>
      </c>
      <c r="K1158" t="s">
        <v>579</v>
      </c>
    </row>
    <row r="1159" spans="1:11">
      <c r="A1159" t="s">
        <v>571</v>
      </c>
      <c r="B1159" t="s">
        <v>498</v>
      </c>
      <c r="C1159" t="s">
        <v>585</v>
      </c>
      <c r="D1159" s="15">
        <v>-1.2999999999999999E-2</v>
      </c>
      <c r="E1159" s="15">
        <v>0.11</v>
      </c>
      <c r="F1159" s="15">
        <v>-0.221</v>
      </c>
      <c r="G1159" s="15">
        <v>4.9000000000000002E-2</v>
      </c>
      <c r="H1159" s="15">
        <v>-4.1000000000000002E-2</v>
      </c>
      <c r="I1159" s="15">
        <v>0.114</v>
      </c>
      <c r="J1159" t="s">
        <v>412</v>
      </c>
      <c r="K1159" t="s">
        <v>500</v>
      </c>
    </row>
    <row r="1160" spans="1:11">
      <c r="A1160" t="s">
        <v>486</v>
      </c>
      <c r="B1160" t="s">
        <v>550</v>
      </c>
      <c r="C1160" t="s">
        <v>591</v>
      </c>
      <c r="D1160" s="15">
        <v>-0.02</v>
      </c>
      <c r="E1160" s="15">
        <v>-0.222</v>
      </c>
      <c r="F1160" s="15">
        <v>9.9000000000000005E-2</v>
      </c>
      <c r="G1160" s="15">
        <v>-0.121</v>
      </c>
      <c r="H1160" s="15">
        <v>-4.8000000000000001E-2</v>
      </c>
      <c r="I1160" s="15">
        <v>0.114</v>
      </c>
      <c r="J1160" t="s">
        <v>412</v>
      </c>
      <c r="K1160" t="s">
        <v>510</v>
      </c>
    </row>
    <row r="1161" spans="1:11">
      <c r="A1161" t="s">
        <v>479</v>
      </c>
      <c r="B1161" t="s">
        <v>574</v>
      </c>
      <c r="C1161" t="s">
        <v>477</v>
      </c>
      <c r="D1161" s="15">
        <v>4.5999999999999999E-2</v>
      </c>
      <c r="E1161" s="15">
        <v>-6.6000000000000003E-2</v>
      </c>
      <c r="F1161" s="15">
        <v>-0.23100000000000001</v>
      </c>
      <c r="G1161" s="15">
        <v>-0.01</v>
      </c>
      <c r="H1161" s="15">
        <v>-8.4000000000000005E-2</v>
      </c>
      <c r="I1161" s="15">
        <v>0.114</v>
      </c>
      <c r="J1161" t="s">
        <v>412</v>
      </c>
      <c r="K1161" t="s">
        <v>579</v>
      </c>
    </row>
    <row r="1162" spans="1:11">
      <c r="A1162" t="s">
        <v>486</v>
      </c>
      <c r="B1162" t="s">
        <v>595</v>
      </c>
      <c r="C1162" t="s">
        <v>477</v>
      </c>
      <c r="D1162" s="15">
        <v>-0.28399999999999997</v>
      </c>
      <c r="E1162" s="15">
        <v>-1.6E-2</v>
      </c>
      <c r="F1162" s="15">
        <v>4.2999999999999997E-2</v>
      </c>
      <c r="G1162" s="15">
        <v>-0.15</v>
      </c>
      <c r="H1162" s="15">
        <v>-8.5999999999999993E-2</v>
      </c>
      <c r="I1162" s="15">
        <v>0.114</v>
      </c>
      <c r="J1162" t="s">
        <v>412</v>
      </c>
      <c r="K1162" t="s">
        <v>510</v>
      </c>
    </row>
    <row r="1163" spans="1:11">
      <c r="A1163" t="s">
        <v>577</v>
      </c>
      <c r="B1163" t="s">
        <v>598</v>
      </c>
      <c r="C1163" t="s">
        <v>593</v>
      </c>
      <c r="D1163" s="15">
        <v>3.7999999999999999E-2</v>
      </c>
      <c r="E1163" s="15">
        <v>-0.188</v>
      </c>
      <c r="F1163" s="15">
        <v>-0.115</v>
      </c>
      <c r="G1163" s="15">
        <v>-7.4999999999999997E-2</v>
      </c>
      <c r="H1163" s="15">
        <v>-8.8999999999999996E-2</v>
      </c>
      <c r="I1163" s="15">
        <v>0.114</v>
      </c>
      <c r="J1163" t="s">
        <v>412</v>
      </c>
      <c r="K1163" t="s">
        <v>579</v>
      </c>
    </row>
    <row r="1164" spans="1:11">
      <c r="A1164" t="s">
        <v>573</v>
      </c>
      <c r="B1164" t="s">
        <v>597</v>
      </c>
      <c r="C1164" t="s">
        <v>593</v>
      </c>
      <c r="D1164" s="15">
        <v>2.8000000000000001E-2</v>
      </c>
      <c r="E1164" s="15">
        <v>-6.4000000000000001E-2</v>
      </c>
      <c r="F1164" s="15">
        <v>-0.249</v>
      </c>
      <c r="G1164" s="15">
        <v>-1.7999999999999999E-2</v>
      </c>
      <c r="H1164" s="15">
        <v>-9.5000000000000001E-2</v>
      </c>
      <c r="I1164" s="15">
        <v>0.114</v>
      </c>
      <c r="J1164" t="s">
        <v>412</v>
      </c>
      <c r="K1164" t="s">
        <v>579</v>
      </c>
    </row>
    <row r="1165" spans="1:11">
      <c r="A1165" t="s">
        <v>506</v>
      </c>
      <c r="B1165" t="s">
        <v>580</v>
      </c>
      <c r="C1165" t="s">
        <v>591</v>
      </c>
      <c r="D1165" s="15">
        <v>0.20899999999999999</v>
      </c>
      <c r="E1165" s="15">
        <v>5.0999999999999997E-2</v>
      </c>
      <c r="F1165" s="15">
        <v>7.9000000000000001E-2</v>
      </c>
      <c r="G1165" s="15">
        <v>0.13</v>
      </c>
      <c r="H1165" s="15">
        <v>0.113</v>
      </c>
      <c r="I1165" s="15">
        <v>0.113</v>
      </c>
      <c r="J1165" t="s">
        <v>412</v>
      </c>
      <c r="K1165" t="s">
        <v>551</v>
      </c>
    </row>
    <row r="1166" spans="1:11">
      <c r="A1166" t="s">
        <v>547</v>
      </c>
      <c r="B1166" t="s">
        <v>517</v>
      </c>
      <c r="C1166" t="s">
        <v>584</v>
      </c>
      <c r="D1166" s="15">
        <v>0.112</v>
      </c>
      <c r="E1166" s="15">
        <v>-3.0000000000000001E-3</v>
      </c>
      <c r="F1166" s="15">
        <v>0.224</v>
      </c>
      <c r="G1166" s="15">
        <v>5.5E-2</v>
      </c>
      <c r="H1166" s="15">
        <v>0.111</v>
      </c>
      <c r="I1166" s="15">
        <v>0.113</v>
      </c>
      <c r="J1166" t="s">
        <v>412</v>
      </c>
      <c r="K1166" t="s">
        <v>480</v>
      </c>
    </row>
    <row r="1167" spans="1:11">
      <c r="A1167" t="s">
        <v>577</v>
      </c>
      <c r="B1167" t="s">
        <v>574</v>
      </c>
      <c r="C1167" t="s">
        <v>582</v>
      </c>
      <c r="D1167" s="15">
        <v>0.31900000000000001</v>
      </c>
      <c r="E1167" s="15">
        <v>-4.0000000000000001E-3</v>
      </c>
      <c r="F1167" s="15">
        <v>1.4999999999999999E-2</v>
      </c>
      <c r="G1167" s="15">
        <v>0.157</v>
      </c>
      <c r="H1167" s="15">
        <v>0.11</v>
      </c>
      <c r="I1167" s="15">
        <v>0.113</v>
      </c>
      <c r="J1167" t="s">
        <v>412</v>
      </c>
      <c r="K1167" t="s">
        <v>480</v>
      </c>
    </row>
    <row r="1168" spans="1:11">
      <c r="A1168" t="s">
        <v>571</v>
      </c>
      <c r="B1168" t="s">
        <v>517</v>
      </c>
      <c r="C1168" t="s">
        <v>593</v>
      </c>
      <c r="D1168" s="15">
        <v>-0.10100000000000001</v>
      </c>
      <c r="E1168" s="15">
        <v>1.7999999999999999E-2</v>
      </c>
      <c r="F1168" s="15">
        <v>0.221</v>
      </c>
      <c r="G1168" s="15">
        <v>-4.2000000000000003E-2</v>
      </c>
      <c r="H1168" s="15">
        <v>4.5999999999999999E-2</v>
      </c>
      <c r="I1168" s="15">
        <v>0.113</v>
      </c>
      <c r="J1168" t="s">
        <v>412</v>
      </c>
      <c r="K1168" t="s">
        <v>487</v>
      </c>
    </row>
    <row r="1169" spans="1:11">
      <c r="A1169" t="s">
        <v>547</v>
      </c>
      <c r="B1169" t="s">
        <v>581</v>
      </c>
      <c r="C1169" t="s">
        <v>594</v>
      </c>
      <c r="D1169" s="15">
        <v>-6.0000000000000001E-3</v>
      </c>
      <c r="E1169" s="15">
        <v>0.23699999999999999</v>
      </c>
      <c r="F1169" s="15">
        <v>-9.5000000000000001E-2</v>
      </c>
      <c r="G1169" s="15">
        <v>0.115</v>
      </c>
      <c r="H1169" s="15">
        <v>4.4999999999999998E-2</v>
      </c>
      <c r="I1169" s="15">
        <v>0.113</v>
      </c>
      <c r="J1169" t="s">
        <v>412</v>
      </c>
      <c r="K1169" t="s">
        <v>500</v>
      </c>
    </row>
    <row r="1170" spans="1:11">
      <c r="A1170" t="s">
        <v>576</v>
      </c>
      <c r="B1170" t="s">
        <v>578</v>
      </c>
      <c r="C1170" t="s">
        <v>593</v>
      </c>
      <c r="D1170" s="15">
        <v>-1.7000000000000001E-2</v>
      </c>
      <c r="E1170" s="15">
        <v>-0.14499999999999999</v>
      </c>
      <c r="F1170" s="15">
        <v>0.17599999999999999</v>
      </c>
      <c r="G1170" s="15">
        <v>-8.1000000000000003E-2</v>
      </c>
      <c r="H1170" s="15">
        <v>4.0000000000000001E-3</v>
      </c>
      <c r="I1170" s="15">
        <v>0.113</v>
      </c>
      <c r="J1170" t="s">
        <v>412</v>
      </c>
      <c r="K1170" t="s">
        <v>510</v>
      </c>
    </row>
    <row r="1171" spans="1:11">
      <c r="A1171" t="s">
        <v>486</v>
      </c>
      <c r="B1171" t="s">
        <v>588</v>
      </c>
      <c r="C1171" t="s">
        <v>593</v>
      </c>
      <c r="D1171" s="15">
        <v>-8.6999999999999994E-2</v>
      </c>
      <c r="E1171" s="15">
        <v>-8.4000000000000005E-2</v>
      </c>
      <c r="F1171" s="15">
        <v>0.16800000000000001</v>
      </c>
      <c r="G1171" s="15">
        <v>-8.5000000000000006E-2</v>
      </c>
      <c r="H1171" s="15">
        <v>-1E-3</v>
      </c>
      <c r="I1171" s="15">
        <v>0.113</v>
      </c>
      <c r="J1171" t="s">
        <v>412</v>
      </c>
      <c r="K1171" t="s">
        <v>510</v>
      </c>
    </row>
    <row r="1172" spans="1:11">
      <c r="A1172" t="s">
        <v>486</v>
      </c>
      <c r="B1172" t="s">
        <v>590</v>
      </c>
      <c r="C1172" t="s">
        <v>584</v>
      </c>
      <c r="D1172" s="15">
        <v>-7.9000000000000001E-2</v>
      </c>
      <c r="E1172" s="15">
        <v>-0.106</v>
      </c>
      <c r="F1172" s="15">
        <v>0.155</v>
      </c>
      <c r="G1172" s="15">
        <v>-9.1999999999999998E-2</v>
      </c>
      <c r="H1172" s="15">
        <v>-0.01</v>
      </c>
      <c r="I1172" s="15">
        <v>0.113</v>
      </c>
      <c r="J1172" t="s">
        <v>412</v>
      </c>
      <c r="K1172" t="s">
        <v>510</v>
      </c>
    </row>
    <row r="1173" spans="1:11">
      <c r="A1173" t="s">
        <v>576</v>
      </c>
      <c r="B1173" t="s">
        <v>580</v>
      </c>
      <c r="C1173" t="s">
        <v>575</v>
      </c>
      <c r="D1173" s="15">
        <v>-0.17100000000000001</v>
      </c>
      <c r="E1173" s="15">
        <v>-0.09</v>
      </c>
      <c r="F1173" s="15">
        <v>0.08</v>
      </c>
      <c r="G1173" s="15">
        <v>-0.13</v>
      </c>
      <c r="H1173" s="15">
        <v>-0.06</v>
      </c>
      <c r="I1173" s="15">
        <v>0.113</v>
      </c>
      <c r="J1173" t="s">
        <v>412</v>
      </c>
      <c r="K1173" t="s">
        <v>510</v>
      </c>
    </row>
    <row r="1174" spans="1:11">
      <c r="A1174" t="s">
        <v>479</v>
      </c>
      <c r="B1174" t="s">
        <v>498</v>
      </c>
      <c r="C1174" t="s">
        <v>583</v>
      </c>
      <c r="D1174" s="15">
        <v>-0.02</v>
      </c>
      <c r="E1174" s="15">
        <v>7.6999999999999999E-2</v>
      </c>
      <c r="F1174" s="15">
        <v>-0.24199999999999999</v>
      </c>
      <c r="G1174" s="15">
        <v>2.9000000000000001E-2</v>
      </c>
      <c r="H1174" s="15">
        <v>-6.0999999999999999E-2</v>
      </c>
      <c r="I1174" s="15">
        <v>0.113</v>
      </c>
      <c r="J1174" t="s">
        <v>412</v>
      </c>
      <c r="K1174" t="s">
        <v>500</v>
      </c>
    </row>
    <row r="1175" spans="1:11">
      <c r="A1175" t="s">
        <v>577</v>
      </c>
      <c r="B1175" t="s">
        <v>590</v>
      </c>
      <c r="C1175" t="s">
        <v>570</v>
      </c>
      <c r="D1175" s="15">
        <v>-8.8999999999999996E-2</v>
      </c>
      <c r="E1175" s="15">
        <v>4.4999999999999998E-2</v>
      </c>
      <c r="F1175" s="15">
        <v>-0.20599999999999999</v>
      </c>
      <c r="G1175" s="15">
        <v>-2.1999999999999999E-2</v>
      </c>
      <c r="H1175" s="15">
        <v>-8.3000000000000004E-2</v>
      </c>
      <c r="I1175" s="15">
        <v>0.113</v>
      </c>
      <c r="J1175" t="s">
        <v>412</v>
      </c>
      <c r="K1175" t="s">
        <v>500</v>
      </c>
    </row>
    <row r="1176" spans="1:11">
      <c r="A1176" t="s">
        <v>547</v>
      </c>
      <c r="B1176" t="s">
        <v>499</v>
      </c>
      <c r="C1176" t="s">
        <v>591</v>
      </c>
      <c r="D1176" s="15">
        <v>0.01</v>
      </c>
      <c r="E1176" s="15">
        <v>-7.0999999999999994E-2</v>
      </c>
      <c r="F1176" s="15">
        <v>-0.25700000000000001</v>
      </c>
      <c r="G1176" s="15">
        <v>-0.03</v>
      </c>
      <c r="H1176" s="15">
        <v>-0.106</v>
      </c>
      <c r="I1176" s="15">
        <v>0.113</v>
      </c>
      <c r="J1176" t="s">
        <v>412</v>
      </c>
      <c r="K1176" t="s">
        <v>579</v>
      </c>
    </row>
    <row r="1177" spans="1:11">
      <c r="A1177" t="s">
        <v>506</v>
      </c>
      <c r="B1177" t="s">
        <v>595</v>
      </c>
      <c r="C1177" t="s">
        <v>570</v>
      </c>
      <c r="D1177" s="15">
        <v>-0.14199999999999999</v>
      </c>
      <c r="E1177" s="15">
        <v>-6.0999999999999999E-2</v>
      </c>
      <c r="F1177" s="15">
        <v>-0.13500000000000001</v>
      </c>
      <c r="G1177" s="15">
        <v>-0.10100000000000001</v>
      </c>
      <c r="H1177" s="15">
        <v>-0.113</v>
      </c>
      <c r="I1177" s="15">
        <v>0.113</v>
      </c>
      <c r="J1177" t="s">
        <v>412</v>
      </c>
      <c r="K1177" t="s">
        <v>589</v>
      </c>
    </row>
    <row r="1178" spans="1:11">
      <c r="A1178" t="s">
        <v>479</v>
      </c>
      <c r="B1178" t="s">
        <v>523</v>
      </c>
      <c r="C1178" t="s">
        <v>591</v>
      </c>
      <c r="D1178" s="15">
        <v>9.4E-2</v>
      </c>
      <c r="E1178" s="15">
        <v>0.06</v>
      </c>
      <c r="F1178" s="15">
        <v>0.184</v>
      </c>
      <c r="G1178" s="15">
        <v>7.6999999999999999E-2</v>
      </c>
      <c r="H1178" s="15">
        <v>0.112</v>
      </c>
      <c r="I1178" s="15">
        <v>0.112</v>
      </c>
      <c r="J1178" t="s">
        <v>412</v>
      </c>
      <c r="K1178" t="s">
        <v>551</v>
      </c>
    </row>
    <row r="1179" spans="1:11">
      <c r="A1179" t="s">
        <v>573</v>
      </c>
      <c r="B1179" t="s">
        <v>590</v>
      </c>
      <c r="C1179" t="s">
        <v>593</v>
      </c>
      <c r="D1179" s="15">
        <v>2.8000000000000001E-2</v>
      </c>
      <c r="E1179" s="15">
        <v>0.23</v>
      </c>
      <c r="F1179" s="15">
        <v>7.9000000000000001E-2</v>
      </c>
      <c r="G1179" s="15">
        <v>0.129</v>
      </c>
      <c r="H1179" s="15">
        <v>0.112</v>
      </c>
      <c r="I1179" s="15">
        <v>0.112</v>
      </c>
      <c r="J1179" t="s">
        <v>412</v>
      </c>
      <c r="K1179" t="s">
        <v>551</v>
      </c>
    </row>
    <row r="1180" spans="1:11">
      <c r="A1180" t="s">
        <v>577</v>
      </c>
      <c r="B1180" t="s">
        <v>580</v>
      </c>
      <c r="C1180" t="s">
        <v>582</v>
      </c>
      <c r="D1180" s="15">
        <v>0.31900000000000001</v>
      </c>
      <c r="E1180" s="15">
        <v>0.01</v>
      </c>
      <c r="F1180" s="15">
        <v>8.9999999999999993E-3</v>
      </c>
      <c r="G1180" s="15">
        <v>0.16400000000000001</v>
      </c>
      <c r="H1180" s="15">
        <v>0.112</v>
      </c>
      <c r="I1180" s="15">
        <v>0.112</v>
      </c>
      <c r="J1180" t="s">
        <v>412</v>
      </c>
      <c r="K1180" t="s">
        <v>551</v>
      </c>
    </row>
    <row r="1181" spans="1:11">
      <c r="A1181" t="s">
        <v>577</v>
      </c>
      <c r="B1181" t="s">
        <v>597</v>
      </c>
      <c r="C1181" t="s">
        <v>477</v>
      </c>
      <c r="D1181" s="15">
        <v>0.246</v>
      </c>
      <c r="E1181" s="15">
        <v>6.6000000000000003E-2</v>
      </c>
      <c r="F1181" s="15">
        <v>-2.3E-2</v>
      </c>
      <c r="G1181" s="15">
        <v>0.156</v>
      </c>
      <c r="H1181" s="15">
        <v>9.6000000000000002E-2</v>
      </c>
      <c r="I1181" s="15">
        <v>0.112</v>
      </c>
      <c r="J1181" t="s">
        <v>412</v>
      </c>
      <c r="K1181" t="s">
        <v>493</v>
      </c>
    </row>
    <row r="1182" spans="1:11">
      <c r="A1182" t="s">
        <v>576</v>
      </c>
      <c r="B1182" t="s">
        <v>478</v>
      </c>
      <c r="C1182" t="s">
        <v>585</v>
      </c>
      <c r="D1182" s="15">
        <v>0.03</v>
      </c>
      <c r="E1182" s="15">
        <v>-8.1000000000000003E-2</v>
      </c>
      <c r="F1182" s="15">
        <v>0.22600000000000001</v>
      </c>
      <c r="G1182" s="15">
        <v>-2.5000000000000001E-2</v>
      </c>
      <c r="H1182" s="15">
        <v>5.8000000000000003E-2</v>
      </c>
      <c r="I1182" s="15">
        <v>0.112</v>
      </c>
      <c r="J1182" t="s">
        <v>412</v>
      </c>
      <c r="K1182" t="s">
        <v>480</v>
      </c>
    </row>
    <row r="1183" spans="1:11">
      <c r="A1183" t="s">
        <v>576</v>
      </c>
      <c r="B1183" t="s">
        <v>523</v>
      </c>
      <c r="C1183" t="s">
        <v>584</v>
      </c>
      <c r="D1183" s="15">
        <v>-0.1</v>
      </c>
      <c r="E1183" s="15">
        <v>0.129</v>
      </c>
      <c r="F1183" s="15">
        <v>0.106</v>
      </c>
      <c r="G1183" s="15">
        <v>1.4999999999999999E-2</v>
      </c>
      <c r="H1183" s="15">
        <v>4.4999999999999998E-2</v>
      </c>
      <c r="I1183" s="15">
        <v>0.112</v>
      </c>
      <c r="J1183" t="s">
        <v>412</v>
      </c>
      <c r="K1183" t="s">
        <v>487</v>
      </c>
    </row>
    <row r="1184" spans="1:11">
      <c r="A1184" t="s">
        <v>577</v>
      </c>
      <c r="B1184" t="s">
        <v>598</v>
      </c>
      <c r="C1184" t="s">
        <v>575</v>
      </c>
      <c r="D1184" s="15">
        <v>0.14199999999999999</v>
      </c>
      <c r="E1184" s="15">
        <v>-0.188</v>
      </c>
      <c r="F1184" s="15">
        <v>7.0000000000000001E-3</v>
      </c>
      <c r="G1184" s="15">
        <v>-2.3E-2</v>
      </c>
      <c r="H1184" s="15">
        <v>-1.2999999999999999E-2</v>
      </c>
      <c r="I1184" s="15">
        <v>0.112</v>
      </c>
      <c r="J1184" t="s">
        <v>412</v>
      </c>
      <c r="K1184" t="s">
        <v>480</v>
      </c>
    </row>
    <row r="1185" spans="1:11">
      <c r="A1185" t="s">
        <v>576</v>
      </c>
      <c r="B1185" t="s">
        <v>598</v>
      </c>
      <c r="C1185" t="s">
        <v>585</v>
      </c>
      <c r="D1185" s="15">
        <v>0.03</v>
      </c>
      <c r="E1185" s="15">
        <v>-0.20200000000000001</v>
      </c>
      <c r="F1185" s="15">
        <v>0.104</v>
      </c>
      <c r="G1185" s="15">
        <v>-8.5999999999999993E-2</v>
      </c>
      <c r="H1185" s="15">
        <v>-2.1999999999999999E-2</v>
      </c>
      <c r="I1185" s="15">
        <v>0.112</v>
      </c>
      <c r="J1185" t="s">
        <v>412</v>
      </c>
      <c r="K1185" t="s">
        <v>480</v>
      </c>
    </row>
    <row r="1186" spans="1:11">
      <c r="A1186" t="s">
        <v>571</v>
      </c>
      <c r="B1186" t="s">
        <v>597</v>
      </c>
      <c r="C1186" t="s">
        <v>583</v>
      </c>
      <c r="D1186" s="15">
        <v>-0.152</v>
      </c>
      <c r="E1186" s="15">
        <v>4.7E-2</v>
      </c>
      <c r="F1186" s="15">
        <v>-0.13600000000000001</v>
      </c>
      <c r="G1186" s="15">
        <v>-5.2999999999999999E-2</v>
      </c>
      <c r="H1186" s="15">
        <v>-0.08</v>
      </c>
      <c r="I1186" s="15">
        <v>0.112</v>
      </c>
      <c r="J1186" t="s">
        <v>412</v>
      </c>
      <c r="K1186" t="s">
        <v>500</v>
      </c>
    </row>
    <row r="1187" spans="1:11">
      <c r="A1187" t="s">
        <v>573</v>
      </c>
      <c r="B1187" t="s">
        <v>595</v>
      </c>
      <c r="C1187" t="s">
        <v>572</v>
      </c>
      <c r="D1187" s="15">
        <v>-0.20799999999999999</v>
      </c>
      <c r="E1187" s="15">
        <v>-9.0999999999999998E-2</v>
      </c>
      <c r="F1187" s="15">
        <v>3.7999999999999999E-2</v>
      </c>
      <c r="G1187" s="15">
        <v>-0.15</v>
      </c>
      <c r="H1187" s="15">
        <v>-8.6999999999999994E-2</v>
      </c>
      <c r="I1187" s="15">
        <v>0.112</v>
      </c>
      <c r="J1187" t="s">
        <v>412</v>
      </c>
      <c r="K1187" t="s">
        <v>510</v>
      </c>
    </row>
    <row r="1188" spans="1:11">
      <c r="A1188" t="s">
        <v>486</v>
      </c>
      <c r="B1188" t="s">
        <v>523</v>
      </c>
      <c r="C1188" t="s">
        <v>594</v>
      </c>
      <c r="D1188" s="15">
        <v>-9.7000000000000003E-2</v>
      </c>
      <c r="E1188" s="15">
        <v>-0.21099999999999999</v>
      </c>
      <c r="F1188" s="15">
        <v>2.8000000000000001E-2</v>
      </c>
      <c r="G1188" s="15">
        <v>-0.154</v>
      </c>
      <c r="H1188" s="15">
        <v>-9.2999999999999999E-2</v>
      </c>
      <c r="I1188" s="15">
        <v>0.112</v>
      </c>
      <c r="J1188" t="s">
        <v>412</v>
      </c>
      <c r="K1188" t="s">
        <v>510</v>
      </c>
    </row>
    <row r="1189" spans="1:11">
      <c r="A1189" t="s">
        <v>547</v>
      </c>
      <c r="B1189" t="s">
        <v>517</v>
      </c>
      <c r="C1189" t="s">
        <v>492</v>
      </c>
      <c r="D1189" s="15">
        <v>-6.6000000000000003E-2</v>
      </c>
      <c r="E1189" s="15">
        <v>-3.0000000000000001E-3</v>
      </c>
      <c r="F1189" s="15">
        <v>-0.26700000000000002</v>
      </c>
      <c r="G1189" s="15">
        <v>-3.5000000000000003E-2</v>
      </c>
      <c r="H1189" s="15">
        <v>-0.112</v>
      </c>
      <c r="I1189" s="15">
        <v>0.112</v>
      </c>
      <c r="J1189" t="s">
        <v>412</v>
      </c>
      <c r="K1189" t="s">
        <v>589</v>
      </c>
    </row>
    <row r="1190" spans="1:11">
      <c r="A1190" t="s">
        <v>573</v>
      </c>
      <c r="B1190" t="s">
        <v>523</v>
      </c>
      <c r="C1190" t="s">
        <v>583</v>
      </c>
      <c r="D1190" s="15">
        <v>7.3999999999999996E-2</v>
      </c>
      <c r="E1190" s="15">
        <v>0.21199999999999999</v>
      </c>
      <c r="F1190" s="15">
        <v>4.5999999999999999E-2</v>
      </c>
      <c r="G1190" s="15">
        <v>0.14299999999999999</v>
      </c>
      <c r="H1190" s="15">
        <v>0.111</v>
      </c>
      <c r="I1190" s="15">
        <v>0.111</v>
      </c>
      <c r="J1190" t="s">
        <v>412</v>
      </c>
      <c r="K1190" t="s">
        <v>551</v>
      </c>
    </row>
    <row r="1191" spans="1:11">
      <c r="A1191" t="s">
        <v>479</v>
      </c>
      <c r="B1191" t="s">
        <v>587</v>
      </c>
      <c r="C1191" t="s">
        <v>594</v>
      </c>
      <c r="D1191" s="15">
        <v>8.5000000000000006E-2</v>
      </c>
      <c r="E1191" s="15">
        <v>-7.0000000000000001E-3</v>
      </c>
      <c r="F1191" s="15">
        <v>0.24</v>
      </c>
      <c r="G1191" s="15">
        <v>3.9E-2</v>
      </c>
      <c r="H1191" s="15">
        <v>0.106</v>
      </c>
      <c r="I1191" s="15">
        <v>0.111</v>
      </c>
      <c r="J1191" t="s">
        <v>412</v>
      </c>
      <c r="K1191" t="s">
        <v>480</v>
      </c>
    </row>
    <row r="1192" spans="1:11">
      <c r="A1192" t="s">
        <v>479</v>
      </c>
      <c r="B1192" t="s">
        <v>596</v>
      </c>
      <c r="C1192" t="s">
        <v>593</v>
      </c>
      <c r="D1192" s="15">
        <v>-8.0000000000000002E-3</v>
      </c>
      <c r="E1192" s="15">
        <v>0.28599999999999998</v>
      </c>
      <c r="F1192" s="15">
        <v>-0.04</v>
      </c>
      <c r="G1192" s="15">
        <v>0.13900000000000001</v>
      </c>
      <c r="H1192" s="15">
        <v>7.9000000000000001E-2</v>
      </c>
      <c r="I1192" s="15">
        <v>0.111</v>
      </c>
      <c r="J1192" t="s">
        <v>412</v>
      </c>
      <c r="K1192" t="s">
        <v>500</v>
      </c>
    </row>
    <row r="1193" spans="1:11">
      <c r="A1193" t="s">
        <v>571</v>
      </c>
      <c r="B1193" t="s">
        <v>550</v>
      </c>
      <c r="C1193" t="s">
        <v>593</v>
      </c>
      <c r="D1193" s="15">
        <v>-0.10100000000000001</v>
      </c>
      <c r="E1193" s="15">
        <v>-2.5000000000000001E-2</v>
      </c>
      <c r="F1193" s="15">
        <v>0.20799999999999999</v>
      </c>
      <c r="G1193" s="15">
        <v>-6.3E-2</v>
      </c>
      <c r="H1193" s="15">
        <v>2.7E-2</v>
      </c>
      <c r="I1193" s="15">
        <v>0.111</v>
      </c>
      <c r="J1193" t="s">
        <v>412</v>
      </c>
      <c r="K1193" t="s">
        <v>510</v>
      </c>
    </row>
    <row r="1194" spans="1:11">
      <c r="A1194" t="s">
        <v>571</v>
      </c>
      <c r="B1194" t="s">
        <v>505</v>
      </c>
      <c r="C1194" t="s">
        <v>477</v>
      </c>
      <c r="D1194" s="15">
        <v>0.13300000000000001</v>
      </c>
      <c r="E1194" s="15">
        <v>-0.14000000000000001</v>
      </c>
      <c r="F1194" s="15">
        <v>5.8999999999999997E-2</v>
      </c>
      <c r="G1194" s="15">
        <v>-3.0000000000000001E-3</v>
      </c>
      <c r="H1194" s="15">
        <v>1.7000000000000001E-2</v>
      </c>
      <c r="I1194" s="15">
        <v>0.111</v>
      </c>
      <c r="J1194" t="s">
        <v>412</v>
      </c>
      <c r="K1194" t="s">
        <v>480</v>
      </c>
    </row>
    <row r="1195" spans="1:11">
      <c r="A1195" t="s">
        <v>486</v>
      </c>
      <c r="B1195" t="s">
        <v>581</v>
      </c>
      <c r="C1195" t="s">
        <v>594</v>
      </c>
      <c r="D1195" s="15">
        <v>-9.7000000000000003E-2</v>
      </c>
      <c r="E1195" s="15">
        <v>0.14199999999999999</v>
      </c>
      <c r="F1195" s="15">
        <v>-9.5000000000000001E-2</v>
      </c>
      <c r="G1195" s="15">
        <v>2.1999999999999999E-2</v>
      </c>
      <c r="H1195" s="15">
        <v>-1.7000000000000001E-2</v>
      </c>
      <c r="I1195" s="15">
        <v>0.111</v>
      </c>
      <c r="J1195" t="s">
        <v>412</v>
      </c>
      <c r="K1195" t="s">
        <v>500</v>
      </c>
    </row>
    <row r="1196" spans="1:11">
      <c r="A1196" t="s">
        <v>576</v>
      </c>
      <c r="B1196" t="s">
        <v>586</v>
      </c>
      <c r="C1196" t="s">
        <v>575</v>
      </c>
      <c r="D1196" s="15">
        <v>-0.17100000000000001</v>
      </c>
      <c r="E1196" s="15">
        <v>-3.2000000000000001E-2</v>
      </c>
      <c r="F1196" s="15">
        <v>0.128</v>
      </c>
      <c r="G1196" s="15">
        <v>-0.10199999999999999</v>
      </c>
      <c r="H1196" s="15">
        <v>-2.5000000000000001E-2</v>
      </c>
      <c r="I1196" s="15">
        <v>0.111</v>
      </c>
      <c r="J1196" t="s">
        <v>412</v>
      </c>
      <c r="K1196" t="s">
        <v>510</v>
      </c>
    </row>
    <row r="1197" spans="1:11">
      <c r="A1197" t="s">
        <v>506</v>
      </c>
      <c r="B1197" t="s">
        <v>517</v>
      </c>
      <c r="C1197" t="s">
        <v>575</v>
      </c>
      <c r="D1197" s="15">
        <v>-0.14399999999999999</v>
      </c>
      <c r="E1197" s="15">
        <v>-6.5000000000000002E-2</v>
      </c>
      <c r="F1197" s="15">
        <v>0.123</v>
      </c>
      <c r="G1197" s="15">
        <v>-0.104</v>
      </c>
      <c r="H1197" s="15">
        <v>-2.9000000000000001E-2</v>
      </c>
      <c r="I1197" s="15">
        <v>0.111</v>
      </c>
      <c r="J1197" t="s">
        <v>412</v>
      </c>
      <c r="K1197" t="s">
        <v>510</v>
      </c>
    </row>
    <row r="1198" spans="1:11">
      <c r="A1198" t="s">
        <v>479</v>
      </c>
      <c r="B1198" t="s">
        <v>587</v>
      </c>
      <c r="C1198" t="s">
        <v>584</v>
      </c>
      <c r="D1198" s="15">
        <v>0.106</v>
      </c>
      <c r="E1198" s="15">
        <v>-7.0000000000000001E-3</v>
      </c>
      <c r="F1198" s="15">
        <v>-0.221</v>
      </c>
      <c r="G1198" s="15">
        <v>0.05</v>
      </c>
      <c r="H1198" s="15">
        <v>-4.1000000000000002E-2</v>
      </c>
      <c r="I1198" s="15">
        <v>0.111</v>
      </c>
      <c r="J1198" t="s">
        <v>412</v>
      </c>
      <c r="K1198" t="s">
        <v>579</v>
      </c>
    </row>
    <row r="1199" spans="1:11">
      <c r="A1199" t="s">
        <v>479</v>
      </c>
      <c r="B1199" t="s">
        <v>592</v>
      </c>
      <c r="C1199" t="s">
        <v>591</v>
      </c>
      <c r="D1199" s="15">
        <v>9.4E-2</v>
      </c>
      <c r="E1199" s="15">
        <v>-0.109</v>
      </c>
      <c r="F1199" s="15">
        <v>-0.13</v>
      </c>
      <c r="G1199" s="15">
        <v>-8.0000000000000002E-3</v>
      </c>
      <c r="H1199" s="15">
        <v>-4.9000000000000002E-2</v>
      </c>
      <c r="I1199" s="15">
        <v>0.111</v>
      </c>
      <c r="J1199" t="s">
        <v>412</v>
      </c>
      <c r="K1199" t="s">
        <v>579</v>
      </c>
    </row>
    <row r="1200" spans="1:11">
      <c r="A1200" t="s">
        <v>479</v>
      </c>
      <c r="B1200" t="s">
        <v>580</v>
      </c>
      <c r="C1200" t="s">
        <v>492</v>
      </c>
      <c r="D1200" s="15">
        <v>5.8999999999999997E-2</v>
      </c>
      <c r="E1200" s="15">
        <v>-1.9E-2</v>
      </c>
      <c r="F1200" s="15">
        <v>-0.254</v>
      </c>
      <c r="G1200" s="15">
        <v>0.02</v>
      </c>
      <c r="H1200" s="15">
        <v>-7.0999999999999994E-2</v>
      </c>
      <c r="I1200" s="15">
        <v>0.111</v>
      </c>
      <c r="J1200" t="s">
        <v>412</v>
      </c>
      <c r="K1200" t="s">
        <v>579</v>
      </c>
    </row>
    <row r="1201" spans="1:11">
      <c r="A1201" t="s">
        <v>486</v>
      </c>
      <c r="B1201" t="s">
        <v>598</v>
      </c>
      <c r="C1201" t="s">
        <v>477</v>
      </c>
      <c r="D1201" s="15">
        <v>-0.28399999999999997</v>
      </c>
      <c r="E1201" s="15">
        <v>-7.0000000000000001E-3</v>
      </c>
      <c r="F1201" s="15">
        <v>-4.2000000000000003E-2</v>
      </c>
      <c r="G1201" s="15">
        <v>-0.14499999999999999</v>
      </c>
      <c r="H1201" s="15">
        <v>-0.111</v>
      </c>
      <c r="I1201" s="15">
        <v>0.111</v>
      </c>
      <c r="J1201" t="s">
        <v>412</v>
      </c>
      <c r="K1201" t="s">
        <v>589</v>
      </c>
    </row>
    <row r="1202" spans="1:11">
      <c r="A1202" t="s">
        <v>479</v>
      </c>
      <c r="B1202" t="s">
        <v>517</v>
      </c>
      <c r="C1202" t="s">
        <v>572</v>
      </c>
      <c r="D1202" s="15">
        <v>-6.8000000000000005E-2</v>
      </c>
      <c r="E1202" s="15">
        <v>-7.3999999999999996E-2</v>
      </c>
      <c r="F1202" s="15">
        <v>-0.191</v>
      </c>
      <c r="G1202" s="15">
        <v>-7.0999999999999994E-2</v>
      </c>
      <c r="H1202" s="15">
        <v>-0.111</v>
      </c>
      <c r="I1202" s="15">
        <v>0.111</v>
      </c>
      <c r="J1202" t="s">
        <v>412</v>
      </c>
      <c r="K1202" t="s">
        <v>589</v>
      </c>
    </row>
    <row r="1203" spans="1:11">
      <c r="A1203" t="s">
        <v>479</v>
      </c>
      <c r="B1203" t="s">
        <v>580</v>
      </c>
      <c r="C1203" t="s">
        <v>572</v>
      </c>
      <c r="D1203" s="15">
        <v>-6.8000000000000005E-2</v>
      </c>
      <c r="E1203" s="15">
        <v>-1.9E-2</v>
      </c>
      <c r="F1203" s="15">
        <v>-0.245</v>
      </c>
      <c r="G1203" s="15">
        <v>-4.2999999999999997E-2</v>
      </c>
      <c r="H1203" s="15">
        <v>-0.111</v>
      </c>
      <c r="I1203" s="15">
        <v>0.111</v>
      </c>
      <c r="J1203" t="s">
        <v>412</v>
      </c>
      <c r="K1203" t="s">
        <v>589</v>
      </c>
    </row>
    <row r="1204" spans="1:11">
      <c r="A1204" t="s">
        <v>506</v>
      </c>
      <c r="B1204" t="s">
        <v>550</v>
      </c>
      <c r="C1204" t="s">
        <v>570</v>
      </c>
      <c r="D1204" s="15">
        <v>-0.14199999999999999</v>
      </c>
      <c r="E1204" s="15">
        <v>-0.17299999999999999</v>
      </c>
      <c r="F1204" s="15">
        <v>-1.9E-2</v>
      </c>
      <c r="G1204" s="15">
        <v>-0.158</v>
      </c>
      <c r="H1204" s="15">
        <v>-0.111</v>
      </c>
      <c r="I1204" s="15">
        <v>0.111</v>
      </c>
      <c r="J1204" t="s">
        <v>412</v>
      </c>
      <c r="K1204" t="s">
        <v>589</v>
      </c>
    </row>
    <row r="1205" spans="1:11">
      <c r="A1205" t="s">
        <v>576</v>
      </c>
      <c r="B1205" t="s">
        <v>595</v>
      </c>
      <c r="C1205" t="s">
        <v>583</v>
      </c>
      <c r="D1205" s="15">
        <v>-0.109</v>
      </c>
      <c r="E1205" s="15">
        <v>-4.2000000000000003E-2</v>
      </c>
      <c r="F1205" s="15">
        <v>-0.18099999999999999</v>
      </c>
      <c r="G1205" s="15">
        <v>-7.5999999999999998E-2</v>
      </c>
      <c r="H1205" s="15">
        <v>-0.111</v>
      </c>
      <c r="I1205" s="15">
        <v>0.111</v>
      </c>
      <c r="J1205" t="s">
        <v>412</v>
      </c>
      <c r="K1205" t="s">
        <v>589</v>
      </c>
    </row>
    <row r="1206" spans="1:11">
      <c r="A1206" t="s">
        <v>576</v>
      </c>
      <c r="B1206" t="s">
        <v>598</v>
      </c>
      <c r="C1206" t="s">
        <v>593</v>
      </c>
      <c r="D1206" s="15">
        <v>-1.7000000000000001E-2</v>
      </c>
      <c r="E1206" s="15">
        <v>-0.20200000000000001</v>
      </c>
      <c r="F1206" s="15">
        <v>-0.115</v>
      </c>
      <c r="G1206" s="15">
        <v>-0.109</v>
      </c>
      <c r="H1206" s="15">
        <v>-0.111</v>
      </c>
      <c r="I1206" s="15">
        <v>0.111</v>
      </c>
      <c r="J1206" t="s">
        <v>412</v>
      </c>
      <c r="K1206" t="s">
        <v>589</v>
      </c>
    </row>
    <row r="1207" spans="1:11">
      <c r="A1207" t="s">
        <v>577</v>
      </c>
      <c r="B1207" t="s">
        <v>588</v>
      </c>
      <c r="C1207" t="s">
        <v>585</v>
      </c>
      <c r="D1207" s="15">
        <v>-6.0000000000000001E-3</v>
      </c>
      <c r="E1207" s="15">
        <v>0.114</v>
      </c>
      <c r="F1207" s="15">
        <v>0.21</v>
      </c>
      <c r="G1207" s="15">
        <v>5.3999999999999999E-2</v>
      </c>
      <c r="H1207" s="15">
        <v>0.106</v>
      </c>
      <c r="I1207" s="15">
        <v>0.11</v>
      </c>
      <c r="J1207" t="s">
        <v>412</v>
      </c>
      <c r="K1207" t="s">
        <v>487</v>
      </c>
    </row>
    <row r="1208" spans="1:11">
      <c r="A1208" t="s">
        <v>547</v>
      </c>
      <c r="B1208" t="s">
        <v>588</v>
      </c>
      <c r="C1208" t="s">
        <v>572</v>
      </c>
      <c r="D1208" s="15">
        <v>5.0000000000000001E-3</v>
      </c>
      <c r="E1208" s="15">
        <v>0.20200000000000001</v>
      </c>
      <c r="F1208" s="15">
        <v>-0.124</v>
      </c>
      <c r="G1208" s="15">
        <v>0.10299999999999999</v>
      </c>
      <c r="H1208" s="15">
        <v>2.8000000000000001E-2</v>
      </c>
      <c r="I1208" s="15">
        <v>0.11</v>
      </c>
      <c r="J1208" t="s">
        <v>412</v>
      </c>
      <c r="K1208" t="s">
        <v>493</v>
      </c>
    </row>
    <row r="1209" spans="1:11">
      <c r="A1209" t="s">
        <v>486</v>
      </c>
      <c r="B1209" t="s">
        <v>509</v>
      </c>
      <c r="C1209" t="s">
        <v>582</v>
      </c>
      <c r="D1209" s="15">
        <v>-0.129</v>
      </c>
      <c r="E1209" s="15">
        <v>-5.0000000000000001E-3</v>
      </c>
      <c r="F1209" s="15">
        <v>0.19600000000000001</v>
      </c>
      <c r="G1209" s="15">
        <v>-6.7000000000000004E-2</v>
      </c>
      <c r="H1209" s="15">
        <v>0.02</v>
      </c>
      <c r="I1209" s="15">
        <v>0.11</v>
      </c>
      <c r="J1209" t="s">
        <v>412</v>
      </c>
      <c r="K1209" t="s">
        <v>510</v>
      </c>
    </row>
    <row r="1210" spans="1:11">
      <c r="A1210" t="s">
        <v>571</v>
      </c>
      <c r="B1210" t="s">
        <v>578</v>
      </c>
      <c r="C1210" t="s">
        <v>593</v>
      </c>
      <c r="D1210" s="15">
        <v>-0.10100000000000001</v>
      </c>
      <c r="E1210" s="15">
        <v>-5.3999999999999999E-2</v>
      </c>
      <c r="F1210" s="15">
        <v>0.17599999999999999</v>
      </c>
      <c r="G1210" s="15">
        <v>-7.6999999999999999E-2</v>
      </c>
      <c r="H1210" s="15">
        <v>7.0000000000000001E-3</v>
      </c>
      <c r="I1210" s="15">
        <v>0.11</v>
      </c>
      <c r="J1210" t="s">
        <v>412</v>
      </c>
      <c r="K1210" t="s">
        <v>510</v>
      </c>
    </row>
    <row r="1211" spans="1:11">
      <c r="A1211" t="s">
        <v>573</v>
      </c>
      <c r="B1211" t="s">
        <v>505</v>
      </c>
      <c r="C1211" t="s">
        <v>583</v>
      </c>
      <c r="D1211" s="15">
        <v>7.3999999999999996E-2</v>
      </c>
      <c r="E1211" s="15">
        <v>-0.20300000000000001</v>
      </c>
      <c r="F1211" s="15">
        <v>5.1999999999999998E-2</v>
      </c>
      <c r="G1211" s="15">
        <v>-6.4000000000000001E-2</v>
      </c>
      <c r="H1211" s="15">
        <v>-2.5999999999999999E-2</v>
      </c>
      <c r="I1211" s="15">
        <v>0.11</v>
      </c>
      <c r="J1211" t="s">
        <v>412</v>
      </c>
      <c r="K1211" t="s">
        <v>480</v>
      </c>
    </row>
    <row r="1212" spans="1:11">
      <c r="A1212" t="s">
        <v>479</v>
      </c>
      <c r="B1212" t="s">
        <v>505</v>
      </c>
      <c r="C1212" t="s">
        <v>594</v>
      </c>
      <c r="D1212" s="15">
        <v>8.5000000000000006E-2</v>
      </c>
      <c r="E1212" s="15">
        <v>-0.14699999999999999</v>
      </c>
      <c r="F1212" s="15">
        <v>-9.8000000000000004E-2</v>
      </c>
      <c r="G1212" s="15">
        <v>-3.1E-2</v>
      </c>
      <c r="H1212" s="15">
        <v>-5.2999999999999999E-2</v>
      </c>
      <c r="I1212" s="15">
        <v>0.11</v>
      </c>
      <c r="J1212" t="s">
        <v>412</v>
      </c>
      <c r="K1212" t="s">
        <v>579</v>
      </c>
    </row>
    <row r="1213" spans="1:11">
      <c r="A1213" t="s">
        <v>571</v>
      </c>
      <c r="B1213" t="s">
        <v>574</v>
      </c>
      <c r="C1213" t="s">
        <v>591</v>
      </c>
      <c r="D1213" s="15">
        <v>6.6000000000000003E-2</v>
      </c>
      <c r="E1213" s="15">
        <v>-4.4999999999999998E-2</v>
      </c>
      <c r="F1213" s="15">
        <v>-0.218</v>
      </c>
      <c r="G1213" s="15">
        <v>1.0999999999999999E-2</v>
      </c>
      <c r="H1213" s="15">
        <v>-6.6000000000000003E-2</v>
      </c>
      <c r="I1213" s="15">
        <v>0.11</v>
      </c>
      <c r="J1213" t="s">
        <v>412</v>
      </c>
      <c r="K1213" t="s">
        <v>579</v>
      </c>
    </row>
    <row r="1214" spans="1:11">
      <c r="A1214" t="s">
        <v>571</v>
      </c>
      <c r="B1214" t="s">
        <v>523</v>
      </c>
      <c r="C1214" t="s">
        <v>583</v>
      </c>
      <c r="D1214" s="15">
        <v>-0.152</v>
      </c>
      <c r="E1214" s="15">
        <v>-0.13200000000000001</v>
      </c>
      <c r="F1214" s="15">
        <v>4.5999999999999999E-2</v>
      </c>
      <c r="G1214" s="15">
        <v>-0.14199999999999999</v>
      </c>
      <c r="H1214" s="15">
        <v>-0.08</v>
      </c>
      <c r="I1214" s="15">
        <v>0.11</v>
      </c>
      <c r="J1214" t="s">
        <v>412</v>
      </c>
      <c r="K1214" t="s">
        <v>510</v>
      </c>
    </row>
    <row r="1215" spans="1:11">
      <c r="A1215" t="s">
        <v>577</v>
      </c>
      <c r="B1215" t="s">
        <v>505</v>
      </c>
      <c r="C1215" t="s">
        <v>492</v>
      </c>
      <c r="D1215" s="15">
        <v>-0.28699999999999998</v>
      </c>
      <c r="E1215" s="15">
        <v>1.2E-2</v>
      </c>
      <c r="F1215" s="15">
        <v>-0.03</v>
      </c>
      <c r="G1215" s="15">
        <v>-0.13800000000000001</v>
      </c>
      <c r="H1215" s="15">
        <v>-0.10199999999999999</v>
      </c>
      <c r="I1215" s="15">
        <v>0.11</v>
      </c>
      <c r="J1215" t="s">
        <v>412</v>
      </c>
      <c r="K1215" t="s">
        <v>500</v>
      </c>
    </row>
    <row r="1216" spans="1:11">
      <c r="A1216" t="s">
        <v>506</v>
      </c>
      <c r="B1216" t="s">
        <v>588</v>
      </c>
      <c r="C1216" t="s">
        <v>572</v>
      </c>
      <c r="D1216" s="15">
        <v>-0.11899999999999999</v>
      </c>
      <c r="E1216" s="15">
        <v>-8.7999999999999995E-2</v>
      </c>
      <c r="F1216" s="15">
        <v>-0.124</v>
      </c>
      <c r="G1216" s="15">
        <v>-0.104</v>
      </c>
      <c r="H1216" s="15">
        <v>-0.11</v>
      </c>
      <c r="I1216" s="15">
        <v>0.11</v>
      </c>
      <c r="J1216" t="s">
        <v>412</v>
      </c>
      <c r="K1216" t="s">
        <v>589</v>
      </c>
    </row>
    <row r="1217" spans="1:11">
      <c r="A1217" t="s">
        <v>571</v>
      </c>
      <c r="B1217" t="s">
        <v>586</v>
      </c>
      <c r="C1217" t="s">
        <v>477</v>
      </c>
      <c r="D1217" s="15">
        <v>0.13300000000000001</v>
      </c>
      <c r="E1217" s="15">
        <v>5.6000000000000001E-2</v>
      </c>
      <c r="F1217" s="15">
        <v>0.13600000000000001</v>
      </c>
      <c r="G1217" s="15">
        <v>9.5000000000000001E-2</v>
      </c>
      <c r="H1217" s="15">
        <v>0.109</v>
      </c>
      <c r="I1217" s="15">
        <v>0.109</v>
      </c>
      <c r="J1217" t="s">
        <v>412</v>
      </c>
      <c r="K1217" t="s">
        <v>551</v>
      </c>
    </row>
    <row r="1218" spans="1:11">
      <c r="A1218" t="s">
        <v>577</v>
      </c>
      <c r="B1218" t="s">
        <v>523</v>
      </c>
      <c r="C1218" t="s">
        <v>583</v>
      </c>
      <c r="D1218" s="15">
        <v>-0.09</v>
      </c>
      <c r="E1218" s="15">
        <v>0.191</v>
      </c>
      <c r="F1218" s="15">
        <v>4.5999999999999999E-2</v>
      </c>
      <c r="G1218" s="15">
        <v>0.05</v>
      </c>
      <c r="H1218" s="15">
        <v>4.9000000000000002E-2</v>
      </c>
      <c r="I1218" s="15">
        <v>0.109</v>
      </c>
      <c r="J1218" t="s">
        <v>412</v>
      </c>
      <c r="K1218" t="s">
        <v>487</v>
      </c>
    </row>
    <row r="1219" spans="1:11">
      <c r="A1219" t="s">
        <v>576</v>
      </c>
      <c r="B1219" t="s">
        <v>517</v>
      </c>
      <c r="C1219" t="s">
        <v>584</v>
      </c>
      <c r="D1219" s="15">
        <v>-0.1</v>
      </c>
      <c r="E1219" s="15">
        <v>5.0000000000000001E-3</v>
      </c>
      <c r="F1219" s="15">
        <v>0.224</v>
      </c>
      <c r="G1219" s="15">
        <v>-4.7E-2</v>
      </c>
      <c r="H1219" s="15">
        <v>4.2999999999999997E-2</v>
      </c>
      <c r="I1219" s="15">
        <v>0.109</v>
      </c>
      <c r="J1219" t="s">
        <v>412</v>
      </c>
      <c r="K1219" t="s">
        <v>487</v>
      </c>
    </row>
    <row r="1220" spans="1:11">
      <c r="A1220" t="s">
        <v>506</v>
      </c>
      <c r="B1220" t="s">
        <v>588</v>
      </c>
      <c r="C1220" t="s">
        <v>593</v>
      </c>
      <c r="D1220" s="15">
        <v>-7.1999999999999995E-2</v>
      </c>
      <c r="E1220" s="15">
        <v>-8.7999999999999995E-2</v>
      </c>
      <c r="F1220" s="15">
        <v>0.16800000000000001</v>
      </c>
      <c r="G1220" s="15">
        <v>-0.08</v>
      </c>
      <c r="H1220" s="15">
        <v>3.0000000000000001E-3</v>
      </c>
      <c r="I1220" s="15">
        <v>0.109</v>
      </c>
      <c r="J1220" t="s">
        <v>412</v>
      </c>
      <c r="K1220" t="s">
        <v>510</v>
      </c>
    </row>
    <row r="1221" spans="1:11">
      <c r="A1221" t="s">
        <v>486</v>
      </c>
      <c r="B1221" t="s">
        <v>517</v>
      </c>
      <c r="C1221" t="s">
        <v>583</v>
      </c>
      <c r="D1221" s="15">
        <v>-0.16700000000000001</v>
      </c>
      <c r="E1221" s="15">
        <v>9.2999999999999999E-2</v>
      </c>
      <c r="F1221" s="15">
        <v>6.8000000000000005E-2</v>
      </c>
      <c r="G1221" s="15">
        <v>-3.6999999999999998E-2</v>
      </c>
      <c r="H1221" s="15">
        <v>-2E-3</v>
      </c>
      <c r="I1221" s="15">
        <v>0.109</v>
      </c>
      <c r="J1221" t="s">
        <v>412</v>
      </c>
      <c r="K1221" t="s">
        <v>487</v>
      </c>
    </row>
    <row r="1222" spans="1:11">
      <c r="A1222" t="s">
        <v>576</v>
      </c>
      <c r="B1222" t="s">
        <v>509</v>
      </c>
      <c r="C1222" t="s">
        <v>570</v>
      </c>
      <c r="D1222" s="15">
        <v>-0.222</v>
      </c>
      <c r="E1222" s="15">
        <v>-2.9000000000000001E-2</v>
      </c>
      <c r="F1222" s="15">
        <v>7.6999999999999999E-2</v>
      </c>
      <c r="G1222" s="15">
        <v>-0.125</v>
      </c>
      <c r="H1222" s="15">
        <v>-5.8000000000000003E-2</v>
      </c>
      <c r="I1222" s="15">
        <v>0.109</v>
      </c>
      <c r="J1222" t="s">
        <v>412</v>
      </c>
      <c r="K1222" t="s">
        <v>510</v>
      </c>
    </row>
    <row r="1223" spans="1:11">
      <c r="A1223" t="s">
        <v>571</v>
      </c>
      <c r="B1223" t="s">
        <v>590</v>
      </c>
      <c r="C1223" t="s">
        <v>492</v>
      </c>
      <c r="D1223" s="15">
        <v>-6.5000000000000002E-2</v>
      </c>
      <c r="E1223" s="15">
        <v>6.2E-2</v>
      </c>
      <c r="F1223" s="15">
        <v>-0.19900000000000001</v>
      </c>
      <c r="G1223" s="15">
        <v>-2E-3</v>
      </c>
      <c r="H1223" s="15">
        <v>-6.8000000000000005E-2</v>
      </c>
      <c r="I1223" s="15">
        <v>0.109</v>
      </c>
      <c r="J1223" t="s">
        <v>412</v>
      </c>
      <c r="K1223" t="s">
        <v>500</v>
      </c>
    </row>
    <row r="1224" spans="1:11">
      <c r="A1224" t="s">
        <v>576</v>
      </c>
      <c r="B1224" t="s">
        <v>580</v>
      </c>
      <c r="C1224" t="s">
        <v>570</v>
      </c>
      <c r="D1224" s="15">
        <v>-0.222</v>
      </c>
      <c r="E1224" s="15">
        <v>-0.09</v>
      </c>
      <c r="F1224" s="15">
        <v>1.6E-2</v>
      </c>
      <c r="G1224" s="15">
        <v>-0.156</v>
      </c>
      <c r="H1224" s="15">
        <v>-9.9000000000000005E-2</v>
      </c>
      <c r="I1224" s="15">
        <v>0.109</v>
      </c>
      <c r="J1224" t="s">
        <v>412</v>
      </c>
      <c r="K1224" t="s">
        <v>510</v>
      </c>
    </row>
    <row r="1225" spans="1:11">
      <c r="A1225" t="s">
        <v>506</v>
      </c>
      <c r="B1225" t="s">
        <v>581</v>
      </c>
      <c r="C1225" t="s">
        <v>570</v>
      </c>
      <c r="D1225" s="15">
        <v>-0.14199999999999999</v>
      </c>
      <c r="E1225" s="15">
        <v>-0.03</v>
      </c>
      <c r="F1225" s="15">
        <v>-0.155</v>
      </c>
      <c r="G1225" s="15">
        <v>-8.5999999999999993E-2</v>
      </c>
      <c r="H1225" s="15">
        <v>-0.109</v>
      </c>
      <c r="I1225" s="15">
        <v>0.109</v>
      </c>
      <c r="J1225" t="s">
        <v>412</v>
      </c>
      <c r="K1225" t="s">
        <v>589</v>
      </c>
    </row>
    <row r="1226" spans="1:11">
      <c r="A1226" t="s">
        <v>547</v>
      </c>
      <c r="B1226" t="s">
        <v>595</v>
      </c>
      <c r="C1226" t="s">
        <v>570</v>
      </c>
      <c r="D1226" s="15">
        <v>-0.14799999999999999</v>
      </c>
      <c r="E1226" s="15">
        <v>-4.3999999999999997E-2</v>
      </c>
      <c r="F1226" s="15">
        <v>-0.13500000000000001</v>
      </c>
      <c r="G1226" s="15">
        <v>-9.6000000000000002E-2</v>
      </c>
      <c r="H1226" s="15">
        <v>-0.109</v>
      </c>
      <c r="I1226" s="15">
        <v>0.109</v>
      </c>
      <c r="J1226" t="s">
        <v>412</v>
      </c>
      <c r="K1226" t="s">
        <v>589</v>
      </c>
    </row>
    <row r="1227" spans="1:11">
      <c r="A1227" t="s">
        <v>571</v>
      </c>
      <c r="B1227" t="s">
        <v>478</v>
      </c>
      <c r="C1227" t="s">
        <v>594</v>
      </c>
      <c r="D1227" s="15">
        <v>-8.0000000000000002E-3</v>
      </c>
      <c r="E1227" s="15">
        <v>-0.216</v>
      </c>
      <c r="F1227" s="15">
        <v>-0.10299999999999999</v>
      </c>
      <c r="G1227" s="15">
        <v>-0.112</v>
      </c>
      <c r="H1227" s="15">
        <v>-0.109</v>
      </c>
      <c r="I1227" s="15">
        <v>0.109</v>
      </c>
      <c r="J1227" t="s">
        <v>412</v>
      </c>
      <c r="K1227" t="s">
        <v>589</v>
      </c>
    </row>
    <row r="1228" spans="1:11">
      <c r="A1228" t="s">
        <v>573</v>
      </c>
      <c r="B1228" t="s">
        <v>498</v>
      </c>
      <c r="C1228" t="s">
        <v>594</v>
      </c>
      <c r="D1228" s="15">
        <v>0.13700000000000001</v>
      </c>
      <c r="E1228" s="15">
        <v>0.13100000000000001</v>
      </c>
      <c r="F1228" s="15">
        <v>5.3999999999999999E-2</v>
      </c>
      <c r="G1228" s="15">
        <v>0.13400000000000001</v>
      </c>
      <c r="H1228" s="15">
        <v>0.108</v>
      </c>
      <c r="I1228" s="15">
        <v>0.108</v>
      </c>
      <c r="J1228" t="s">
        <v>412</v>
      </c>
      <c r="K1228" t="s">
        <v>551</v>
      </c>
    </row>
    <row r="1229" spans="1:11">
      <c r="A1229" t="s">
        <v>573</v>
      </c>
      <c r="B1229" t="s">
        <v>517</v>
      </c>
      <c r="C1229" t="s">
        <v>593</v>
      </c>
      <c r="D1229" s="15">
        <v>2.8000000000000001E-2</v>
      </c>
      <c r="E1229" s="15">
        <v>7.4999999999999997E-2</v>
      </c>
      <c r="F1229" s="15">
        <v>0.221</v>
      </c>
      <c r="G1229" s="15">
        <v>5.0999999999999997E-2</v>
      </c>
      <c r="H1229" s="15">
        <v>0.108</v>
      </c>
      <c r="I1229" s="15">
        <v>0.108</v>
      </c>
      <c r="J1229" t="s">
        <v>412</v>
      </c>
      <c r="K1229" t="s">
        <v>551</v>
      </c>
    </row>
    <row r="1230" spans="1:11">
      <c r="A1230" t="s">
        <v>547</v>
      </c>
      <c r="B1230" t="s">
        <v>517</v>
      </c>
      <c r="C1230" t="s">
        <v>477</v>
      </c>
      <c r="D1230" s="15">
        <v>6.4000000000000001E-2</v>
      </c>
      <c r="E1230" s="15">
        <v>-3.0000000000000001E-3</v>
      </c>
      <c r="F1230" s="15">
        <v>0.25800000000000001</v>
      </c>
      <c r="G1230" s="15">
        <v>3.1E-2</v>
      </c>
      <c r="H1230" s="15">
        <v>0.106</v>
      </c>
      <c r="I1230" s="15">
        <v>0.108</v>
      </c>
      <c r="J1230" t="s">
        <v>412</v>
      </c>
      <c r="K1230" t="s">
        <v>480</v>
      </c>
    </row>
    <row r="1231" spans="1:11">
      <c r="A1231" t="s">
        <v>577</v>
      </c>
      <c r="B1231" t="s">
        <v>592</v>
      </c>
      <c r="C1231" t="s">
        <v>575</v>
      </c>
      <c r="D1231" s="15">
        <v>0.14199999999999999</v>
      </c>
      <c r="E1231" s="15">
        <v>-6.9000000000000006E-2</v>
      </c>
      <c r="F1231" s="15">
        <v>0.112</v>
      </c>
      <c r="G1231" s="15">
        <v>3.6999999999999998E-2</v>
      </c>
      <c r="H1231" s="15">
        <v>6.2E-2</v>
      </c>
      <c r="I1231" s="15">
        <v>0.108</v>
      </c>
      <c r="J1231" t="s">
        <v>412</v>
      </c>
      <c r="K1231" t="s">
        <v>480</v>
      </c>
    </row>
    <row r="1232" spans="1:11">
      <c r="A1232" t="s">
        <v>576</v>
      </c>
      <c r="B1232" t="s">
        <v>569</v>
      </c>
      <c r="C1232" t="s">
        <v>593</v>
      </c>
      <c r="D1232" s="15">
        <v>-1.7000000000000001E-2</v>
      </c>
      <c r="E1232" s="15">
        <v>-5.3999999999999999E-2</v>
      </c>
      <c r="F1232" s="15">
        <v>0.253</v>
      </c>
      <c r="G1232" s="15">
        <v>-3.5999999999999997E-2</v>
      </c>
      <c r="H1232" s="15">
        <v>6.0999999999999999E-2</v>
      </c>
      <c r="I1232" s="15">
        <v>0.108</v>
      </c>
      <c r="J1232" t="s">
        <v>412</v>
      </c>
      <c r="K1232" t="s">
        <v>510</v>
      </c>
    </row>
    <row r="1233" spans="1:11">
      <c r="A1233" t="s">
        <v>486</v>
      </c>
      <c r="B1233" t="s">
        <v>596</v>
      </c>
      <c r="C1233" t="s">
        <v>584</v>
      </c>
      <c r="D1233" s="15">
        <v>-7.9000000000000001E-2</v>
      </c>
      <c r="E1233" s="15">
        <v>-1E-3</v>
      </c>
      <c r="F1233" s="15">
        <v>0.245</v>
      </c>
      <c r="G1233" s="15">
        <v>-0.04</v>
      </c>
      <c r="H1233" s="15">
        <v>5.5E-2</v>
      </c>
      <c r="I1233" s="15">
        <v>0.108</v>
      </c>
      <c r="J1233" t="s">
        <v>412</v>
      </c>
      <c r="K1233" t="s">
        <v>510</v>
      </c>
    </row>
    <row r="1234" spans="1:11">
      <c r="A1234" t="s">
        <v>479</v>
      </c>
      <c r="B1234" t="s">
        <v>586</v>
      </c>
      <c r="C1234" t="s">
        <v>584</v>
      </c>
      <c r="D1234" s="15">
        <v>0.106</v>
      </c>
      <c r="E1234" s="15">
        <v>-0.10100000000000001</v>
      </c>
      <c r="F1234" s="15">
        <v>0.11700000000000001</v>
      </c>
      <c r="G1234" s="15">
        <v>2E-3</v>
      </c>
      <c r="H1234" s="15">
        <v>4.1000000000000002E-2</v>
      </c>
      <c r="I1234" s="15">
        <v>0.108</v>
      </c>
      <c r="J1234" t="s">
        <v>412</v>
      </c>
      <c r="K1234" t="s">
        <v>480</v>
      </c>
    </row>
    <row r="1235" spans="1:11">
      <c r="A1235" t="s">
        <v>571</v>
      </c>
      <c r="B1235" t="s">
        <v>590</v>
      </c>
      <c r="C1235" t="s">
        <v>584</v>
      </c>
      <c r="D1235" s="15">
        <v>-0.108</v>
      </c>
      <c r="E1235" s="15">
        <v>6.2E-2</v>
      </c>
      <c r="F1235" s="15">
        <v>0.155</v>
      </c>
      <c r="G1235" s="15">
        <v>-2.3E-2</v>
      </c>
      <c r="H1235" s="15">
        <v>3.5999999999999997E-2</v>
      </c>
      <c r="I1235" s="15">
        <v>0.108</v>
      </c>
      <c r="J1235" t="s">
        <v>412</v>
      </c>
      <c r="K1235" t="s">
        <v>487</v>
      </c>
    </row>
    <row r="1236" spans="1:11">
      <c r="A1236" t="s">
        <v>479</v>
      </c>
      <c r="B1236" t="s">
        <v>590</v>
      </c>
      <c r="C1236" t="s">
        <v>585</v>
      </c>
      <c r="D1236" s="15">
        <v>-0.123</v>
      </c>
      <c r="E1236" s="15">
        <v>0.17899999999999999</v>
      </c>
      <c r="F1236" s="15">
        <v>2.3E-2</v>
      </c>
      <c r="G1236" s="15">
        <v>2.8000000000000001E-2</v>
      </c>
      <c r="H1236" s="15">
        <v>2.5999999999999999E-2</v>
      </c>
      <c r="I1236" s="15">
        <v>0.108</v>
      </c>
      <c r="J1236" t="s">
        <v>412</v>
      </c>
      <c r="K1236" t="s">
        <v>487</v>
      </c>
    </row>
    <row r="1237" spans="1:11">
      <c r="A1237" t="s">
        <v>576</v>
      </c>
      <c r="B1237" t="s">
        <v>578</v>
      </c>
      <c r="C1237" t="s">
        <v>582</v>
      </c>
      <c r="D1237" s="15">
        <v>7.6999999999999999E-2</v>
      </c>
      <c r="E1237" s="15">
        <v>-0.14499999999999999</v>
      </c>
      <c r="F1237" s="15">
        <v>0.1</v>
      </c>
      <c r="G1237" s="15">
        <v>-3.4000000000000002E-2</v>
      </c>
      <c r="H1237" s="15">
        <v>1.0999999999999999E-2</v>
      </c>
      <c r="I1237" s="15">
        <v>0.108</v>
      </c>
      <c r="J1237" t="s">
        <v>412</v>
      </c>
      <c r="K1237" t="s">
        <v>480</v>
      </c>
    </row>
    <row r="1238" spans="1:11">
      <c r="A1238" t="s">
        <v>479</v>
      </c>
      <c r="B1238" t="s">
        <v>574</v>
      </c>
      <c r="C1238" t="s">
        <v>594</v>
      </c>
      <c r="D1238" s="15">
        <v>8.5000000000000006E-2</v>
      </c>
      <c r="E1238" s="15">
        <v>-6.6000000000000003E-2</v>
      </c>
      <c r="F1238" s="15">
        <v>-0.17299999999999999</v>
      </c>
      <c r="G1238" s="15">
        <v>0.01</v>
      </c>
      <c r="H1238" s="15">
        <v>-5.0999999999999997E-2</v>
      </c>
      <c r="I1238" s="15">
        <v>0.108</v>
      </c>
      <c r="J1238" t="s">
        <v>412</v>
      </c>
      <c r="K1238" t="s">
        <v>579</v>
      </c>
    </row>
    <row r="1239" spans="1:11">
      <c r="A1239" t="s">
        <v>479</v>
      </c>
      <c r="B1239" t="s">
        <v>580</v>
      </c>
      <c r="C1239" t="s">
        <v>575</v>
      </c>
      <c r="D1239" s="15">
        <v>-0.22500000000000001</v>
      </c>
      <c r="E1239" s="15">
        <v>-1.9E-2</v>
      </c>
      <c r="F1239" s="15">
        <v>0.08</v>
      </c>
      <c r="G1239" s="15">
        <v>-0.122</v>
      </c>
      <c r="H1239" s="15">
        <v>-5.5E-2</v>
      </c>
      <c r="I1239" s="15">
        <v>0.108</v>
      </c>
      <c r="J1239" t="s">
        <v>412</v>
      </c>
      <c r="K1239" t="s">
        <v>510</v>
      </c>
    </row>
    <row r="1240" spans="1:11">
      <c r="A1240" t="s">
        <v>571</v>
      </c>
      <c r="B1240" t="s">
        <v>499</v>
      </c>
      <c r="C1240" t="s">
        <v>591</v>
      </c>
      <c r="D1240" s="15">
        <v>6.6000000000000003E-2</v>
      </c>
      <c r="E1240" s="15">
        <v>-1E-3</v>
      </c>
      <c r="F1240" s="15">
        <v>-0.25700000000000001</v>
      </c>
      <c r="G1240" s="15">
        <v>3.3000000000000002E-2</v>
      </c>
      <c r="H1240" s="15">
        <v>-6.4000000000000001E-2</v>
      </c>
      <c r="I1240" s="15">
        <v>0.108</v>
      </c>
      <c r="J1240" t="s">
        <v>412</v>
      </c>
      <c r="K1240" t="s">
        <v>579</v>
      </c>
    </row>
    <row r="1241" spans="1:11">
      <c r="A1241" t="s">
        <v>571</v>
      </c>
      <c r="B1241" t="s">
        <v>586</v>
      </c>
      <c r="C1241" t="s">
        <v>492</v>
      </c>
      <c r="D1241" s="15">
        <v>-6.5000000000000002E-2</v>
      </c>
      <c r="E1241" s="15">
        <v>5.6000000000000001E-2</v>
      </c>
      <c r="F1241" s="15">
        <v>-0.20100000000000001</v>
      </c>
      <c r="G1241" s="15">
        <v>-5.0000000000000001E-3</v>
      </c>
      <c r="H1241" s="15">
        <v>-7.0000000000000007E-2</v>
      </c>
      <c r="I1241" s="15">
        <v>0.108</v>
      </c>
      <c r="J1241" t="s">
        <v>412</v>
      </c>
      <c r="K1241" t="s">
        <v>500</v>
      </c>
    </row>
    <row r="1242" spans="1:11">
      <c r="A1242" t="s">
        <v>479</v>
      </c>
      <c r="B1242" t="s">
        <v>592</v>
      </c>
      <c r="C1242" t="s">
        <v>582</v>
      </c>
      <c r="D1242" s="15">
        <v>-0.127</v>
      </c>
      <c r="E1242" s="15">
        <v>-0.109</v>
      </c>
      <c r="F1242" s="15">
        <v>-8.5999999999999993E-2</v>
      </c>
      <c r="G1242" s="15">
        <v>-0.11799999999999999</v>
      </c>
      <c r="H1242" s="15">
        <v>-0.108</v>
      </c>
      <c r="I1242" s="15">
        <v>0.108</v>
      </c>
      <c r="J1242" t="s">
        <v>412</v>
      </c>
      <c r="K1242" t="s">
        <v>589</v>
      </c>
    </row>
    <row r="1243" spans="1:11">
      <c r="A1243" t="s">
        <v>547</v>
      </c>
      <c r="B1243" t="s">
        <v>574</v>
      </c>
      <c r="C1243" t="s">
        <v>583</v>
      </c>
      <c r="D1243" s="15">
        <v>-0.03</v>
      </c>
      <c r="E1243" s="15">
        <v>-2.4E-2</v>
      </c>
      <c r="F1243" s="15">
        <v>-0.26900000000000002</v>
      </c>
      <c r="G1243" s="15">
        <v>-2.7E-2</v>
      </c>
      <c r="H1243" s="15">
        <v>-0.108</v>
      </c>
      <c r="I1243" s="15">
        <v>0.108</v>
      </c>
      <c r="J1243" t="s">
        <v>412</v>
      </c>
      <c r="K1243" t="s">
        <v>589</v>
      </c>
    </row>
    <row r="1244" spans="1:11">
      <c r="A1244" t="s">
        <v>577</v>
      </c>
      <c r="B1244" t="s">
        <v>588</v>
      </c>
      <c r="C1244" t="s">
        <v>593</v>
      </c>
      <c r="D1244" s="15">
        <v>3.7999999999999999E-2</v>
      </c>
      <c r="E1244" s="15">
        <v>0.114</v>
      </c>
      <c r="F1244" s="15">
        <v>0.16800000000000001</v>
      </c>
      <c r="G1244" s="15">
        <v>7.5999999999999998E-2</v>
      </c>
      <c r="H1244" s="15">
        <v>0.107</v>
      </c>
      <c r="I1244" s="15">
        <v>0.107</v>
      </c>
      <c r="J1244" t="s">
        <v>412</v>
      </c>
      <c r="K1244" t="s">
        <v>551</v>
      </c>
    </row>
    <row r="1245" spans="1:11">
      <c r="A1245" t="s">
        <v>479</v>
      </c>
      <c r="B1245" t="s">
        <v>596</v>
      </c>
      <c r="C1245" t="s">
        <v>583</v>
      </c>
      <c r="D1245" s="15">
        <v>-0.02</v>
      </c>
      <c r="E1245" s="15">
        <v>0.28599999999999998</v>
      </c>
      <c r="F1245" s="15">
        <v>1.4999999999999999E-2</v>
      </c>
      <c r="G1245" s="15">
        <v>0.13300000000000001</v>
      </c>
      <c r="H1245" s="15">
        <v>9.2999999999999999E-2</v>
      </c>
      <c r="I1245" s="15">
        <v>0.107</v>
      </c>
      <c r="J1245" t="s">
        <v>412</v>
      </c>
      <c r="K1245" t="s">
        <v>487</v>
      </c>
    </row>
    <row r="1246" spans="1:11">
      <c r="A1246" t="s">
        <v>506</v>
      </c>
      <c r="B1246" t="s">
        <v>499</v>
      </c>
      <c r="C1246" t="s">
        <v>594</v>
      </c>
      <c r="D1246" s="15">
        <v>8.2000000000000003E-2</v>
      </c>
      <c r="E1246" s="15">
        <v>0.184</v>
      </c>
      <c r="F1246" s="15">
        <v>-5.6000000000000001E-2</v>
      </c>
      <c r="G1246" s="15">
        <v>0.13300000000000001</v>
      </c>
      <c r="H1246" s="15">
        <v>7.0000000000000007E-2</v>
      </c>
      <c r="I1246" s="15">
        <v>0.107</v>
      </c>
      <c r="J1246" t="s">
        <v>412</v>
      </c>
      <c r="K1246" t="s">
        <v>493</v>
      </c>
    </row>
    <row r="1247" spans="1:11">
      <c r="A1247" t="s">
        <v>506</v>
      </c>
      <c r="B1247" t="s">
        <v>597</v>
      </c>
      <c r="C1247" t="s">
        <v>591</v>
      </c>
      <c r="D1247" s="15">
        <v>0.20899999999999999</v>
      </c>
      <c r="E1247" s="15">
        <v>5.0999999999999997E-2</v>
      </c>
      <c r="F1247" s="15">
        <v>-6.2E-2</v>
      </c>
      <c r="G1247" s="15">
        <v>0.13</v>
      </c>
      <c r="H1247" s="15">
        <v>6.6000000000000003E-2</v>
      </c>
      <c r="I1247" s="15">
        <v>0.107</v>
      </c>
      <c r="J1247" t="s">
        <v>412</v>
      </c>
      <c r="K1247" t="s">
        <v>493</v>
      </c>
    </row>
    <row r="1248" spans="1:11">
      <c r="A1248" t="s">
        <v>571</v>
      </c>
      <c r="B1248" t="s">
        <v>598</v>
      </c>
      <c r="C1248" t="s">
        <v>591</v>
      </c>
      <c r="D1248" s="15">
        <v>6.6000000000000003E-2</v>
      </c>
      <c r="E1248" s="15">
        <v>0.17299999999999999</v>
      </c>
      <c r="F1248" s="15">
        <v>-8.2000000000000003E-2</v>
      </c>
      <c r="G1248" s="15">
        <v>0.12</v>
      </c>
      <c r="H1248" s="15">
        <v>5.1999999999999998E-2</v>
      </c>
      <c r="I1248" s="15">
        <v>0.107</v>
      </c>
      <c r="J1248" t="s">
        <v>412</v>
      </c>
      <c r="K1248" t="s">
        <v>493</v>
      </c>
    </row>
    <row r="1249" spans="1:11">
      <c r="A1249" t="s">
        <v>506</v>
      </c>
      <c r="B1249" t="s">
        <v>587</v>
      </c>
      <c r="C1249" t="s">
        <v>572</v>
      </c>
      <c r="D1249" s="15">
        <v>-0.11899999999999999</v>
      </c>
      <c r="E1249" s="15">
        <v>2.1000000000000001E-2</v>
      </c>
      <c r="F1249" s="15">
        <v>0.182</v>
      </c>
      <c r="G1249" s="15">
        <v>-4.9000000000000002E-2</v>
      </c>
      <c r="H1249" s="15">
        <v>2.8000000000000001E-2</v>
      </c>
      <c r="I1249" s="15">
        <v>0.107</v>
      </c>
      <c r="J1249" t="s">
        <v>412</v>
      </c>
      <c r="K1249" t="s">
        <v>487</v>
      </c>
    </row>
    <row r="1250" spans="1:11">
      <c r="A1250" t="s">
        <v>577</v>
      </c>
      <c r="B1250" t="s">
        <v>592</v>
      </c>
      <c r="C1250" t="s">
        <v>584</v>
      </c>
      <c r="D1250" s="15">
        <v>0.182</v>
      </c>
      <c r="E1250" s="15">
        <v>-6.9000000000000006E-2</v>
      </c>
      <c r="F1250" s="15">
        <v>-7.0000000000000007E-2</v>
      </c>
      <c r="G1250" s="15">
        <v>5.7000000000000002E-2</v>
      </c>
      <c r="H1250" s="15">
        <v>1.4999999999999999E-2</v>
      </c>
      <c r="I1250" s="15">
        <v>0.107</v>
      </c>
      <c r="J1250" t="s">
        <v>412</v>
      </c>
      <c r="K1250" t="s">
        <v>579</v>
      </c>
    </row>
    <row r="1251" spans="1:11">
      <c r="A1251" t="s">
        <v>547</v>
      </c>
      <c r="B1251" t="s">
        <v>592</v>
      </c>
      <c r="C1251" t="s">
        <v>570</v>
      </c>
      <c r="D1251" s="15">
        <v>-0.14799999999999999</v>
      </c>
      <c r="E1251" s="15">
        <v>3.5000000000000003E-2</v>
      </c>
      <c r="F1251" s="15">
        <v>0.13900000000000001</v>
      </c>
      <c r="G1251" s="15">
        <v>-5.7000000000000002E-2</v>
      </c>
      <c r="H1251" s="15">
        <v>8.9999999999999993E-3</v>
      </c>
      <c r="I1251" s="15">
        <v>0.107</v>
      </c>
      <c r="J1251" t="s">
        <v>412</v>
      </c>
      <c r="K1251" t="s">
        <v>487</v>
      </c>
    </row>
    <row r="1252" spans="1:11">
      <c r="A1252" t="s">
        <v>486</v>
      </c>
      <c r="B1252" t="s">
        <v>581</v>
      </c>
      <c r="C1252" t="s">
        <v>583</v>
      </c>
      <c r="D1252" s="15">
        <v>-0.16700000000000001</v>
      </c>
      <c r="E1252" s="15">
        <v>0.14199999999999999</v>
      </c>
      <c r="F1252" s="15">
        <v>1.0999999999999999E-2</v>
      </c>
      <c r="G1252" s="15">
        <v>-1.2999999999999999E-2</v>
      </c>
      <c r="H1252" s="15">
        <v>-5.0000000000000001E-3</v>
      </c>
      <c r="I1252" s="15">
        <v>0.107</v>
      </c>
      <c r="J1252" t="s">
        <v>412</v>
      </c>
      <c r="K1252" t="s">
        <v>487</v>
      </c>
    </row>
    <row r="1253" spans="1:11">
      <c r="A1253" t="s">
        <v>547</v>
      </c>
      <c r="B1253" t="s">
        <v>586</v>
      </c>
      <c r="C1253" t="s">
        <v>593</v>
      </c>
      <c r="D1253" s="15">
        <v>3.5000000000000003E-2</v>
      </c>
      <c r="E1253" s="15">
        <v>-0.17299999999999999</v>
      </c>
      <c r="F1253" s="15">
        <v>0.112</v>
      </c>
      <c r="G1253" s="15">
        <v>-6.9000000000000006E-2</v>
      </c>
      <c r="H1253" s="15">
        <v>-8.9999999999999993E-3</v>
      </c>
      <c r="I1253" s="15">
        <v>0.107</v>
      </c>
      <c r="J1253" t="s">
        <v>412</v>
      </c>
      <c r="K1253" t="s">
        <v>480</v>
      </c>
    </row>
    <row r="1254" spans="1:11">
      <c r="A1254" t="s">
        <v>571</v>
      </c>
      <c r="B1254" t="s">
        <v>550</v>
      </c>
      <c r="C1254" t="s">
        <v>583</v>
      </c>
      <c r="D1254" s="15">
        <v>-0.152</v>
      </c>
      <c r="E1254" s="15">
        <v>-2.5000000000000001E-2</v>
      </c>
      <c r="F1254" s="15">
        <v>0.14299999999999999</v>
      </c>
      <c r="G1254" s="15">
        <v>-8.8999999999999996E-2</v>
      </c>
      <c r="H1254" s="15">
        <v>-1.2E-2</v>
      </c>
      <c r="I1254" s="15">
        <v>0.107</v>
      </c>
      <c r="J1254" t="s">
        <v>412</v>
      </c>
      <c r="K1254" t="s">
        <v>510</v>
      </c>
    </row>
    <row r="1255" spans="1:11">
      <c r="A1255" t="s">
        <v>486</v>
      </c>
      <c r="B1255" t="s">
        <v>581</v>
      </c>
      <c r="C1255" t="s">
        <v>593</v>
      </c>
      <c r="D1255" s="15">
        <v>-8.6999999999999994E-2</v>
      </c>
      <c r="E1255" s="15">
        <v>0.14199999999999999</v>
      </c>
      <c r="F1255" s="15">
        <v>-9.4E-2</v>
      </c>
      <c r="G1255" s="15">
        <v>2.8000000000000001E-2</v>
      </c>
      <c r="H1255" s="15">
        <v>-1.2999999999999999E-2</v>
      </c>
      <c r="I1255" s="15">
        <v>0.107</v>
      </c>
      <c r="J1255" t="s">
        <v>412</v>
      </c>
      <c r="K1255" t="s">
        <v>500</v>
      </c>
    </row>
    <row r="1256" spans="1:11">
      <c r="A1256" t="s">
        <v>479</v>
      </c>
      <c r="B1256" t="s">
        <v>509</v>
      </c>
      <c r="C1256" t="s">
        <v>572</v>
      </c>
      <c r="D1256" s="15">
        <v>-6.8000000000000005E-2</v>
      </c>
      <c r="E1256" s="15">
        <v>0.111</v>
      </c>
      <c r="F1256" s="15">
        <v>-0.14199999999999999</v>
      </c>
      <c r="G1256" s="15">
        <v>2.1000000000000001E-2</v>
      </c>
      <c r="H1256" s="15">
        <v>-3.3000000000000002E-2</v>
      </c>
      <c r="I1256" s="15">
        <v>0.107</v>
      </c>
      <c r="J1256" t="s">
        <v>412</v>
      </c>
      <c r="K1256" t="s">
        <v>500</v>
      </c>
    </row>
    <row r="1257" spans="1:11">
      <c r="A1257" t="s">
        <v>486</v>
      </c>
      <c r="B1257" t="s">
        <v>587</v>
      </c>
      <c r="C1257" t="s">
        <v>591</v>
      </c>
      <c r="D1257" s="15">
        <v>-0.02</v>
      </c>
      <c r="E1257" s="15">
        <v>9.0999999999999998E-2</v>
      </c>
      <c r="F1257" s="15">
        <v>-0.20899999999999999</v>
      </c>
      <c r="G1257" s="15">
        <v>3.5999999999999997E-2</v>
      </c>
      <c r="H1257" s="15">
        <v>-4.5999999999999999E-2</v>
      </c>
      <c r="I1257" s="15">
        <v>0.107</v>
      </c>
      <c r="J1257" t="s">
        <v>412</v>
      </c>
      <c r="K1257" t="s">
        <v>500</v>
      </c>
    </row>
    <row r="1258" spans="1:11">
      <c r="A1258" t="s">
        <v>571</v>
      </c>
      <c r="B1258" t="s">
        <v>550</v>
      </c>
      <c r="C1258" t="s">
        <v>582</v>
      </c>
      <c r="D1258" s="15">
        <v>9.1999999999999998E-2</v>
      </c>
      <c r="E1258" s="15">
        <v>-2.5000000000000001E-2</v>
      </c>
      <c r="F1258" s="15">
        <v>-0.20499999999999999</v>
      </c>
      <c r="G1258" s="15">
        <v>3.3000000000000002E-2</v>
      </c>
      <c r="H1258" s="15">
        <v>-4.5999999999999999E-2</v>
      </c>
      <c r="I1258" s="15">
        <v>0.107</v>
      </c>
      <c r="J1258" t="s">
        <v>412</v>
      </c>
      <c r="K1258" t="s">
        <v>579</v>
      </c>
    </row>
    <row r="1259" spans="1:11">
      <c r="A1259" t="s">
        <v>576</v>
      </c>
      <c r="B1259" t="s">
        <v>598</v>
      </c>
      <c r="C1259" t="s">
        <v>582</v>
      </c>
      <c r="D1259" s="15">
        <v>7.6999999999999999E-2</v>
      </c>
      <c r="E1259" s="15">
        <v>-0.20200000000000001</v>
      </c>
      <c r="F1259" s="15">
        <v>-4.1000000000000002E-2</v>
      </c>
      <c r="G1259" s="15">
        <v>-6.2E-2</v>
      </c>
      <c r="H1259" s="15">
        <v>-5.5E-2</v>
      </c>
      <c r="I1259" s="15">
        <v>0.107</v>
      </c>
      <c r="J1259" t="s">
        <v>412</v>
      </c>
      <c r="K1259" t="s">
        <v>579</v>
      </c>
    </row>
    <row r="1260" spans="1:11">
      <c r="A1260" t="s">
        <v>479</v>
      </c>
      <c r="B1260" t="s">
        <v>597</v>
      </c>
      <c r="C1260" t="s">
        <v>492</v>
      </c>
      <c r="D1260" s="15">
        <v>5.8999999999999997E-2</v>
      </c>
      <c r="E1260" s="15">
        <v>-0.251</v>
      </c>
      <c r="F1260" s="15">
        <v>1.0999999999999999E-2</v>
      </c>
      <c r="G1260" s="15">
        <v>-9.6000000000000002E-2</v>
      </c>
      <c r="H1260" s="15">
        <v>-0.06</v>
      </c>
      <c r="I1260" s="15">
        <v>0.107</v>
      </c>
      <c r="J1260" t="s">
        <v>412</v>
      </c>
      <c r="K1260" t="s">
        <v>480</v>
      </c>
    </row>
    <row r="1261" spans="1:11">
      <c r="A1261" t="s">
        <v>479</v>
      </c>
      <c r="B1261" t="s">
        <v>597</v>
      </c>
      <c r="C1261" t="s">
        <v>477</v>
      </c>
      <c r="D1261" s="15">
        <v>4.5999999999999999E-2</v>
      </c>
      <c r="E1261" s="15">
        <v>-0.251</v>
      </c>
      <c r="F1261" s="15">
        <v>-2.3E-2</v>
      </c>
      <c r="G1261" s="15">
        <v>-0.10199999999999999</v>
      </c>
      <c r="H1261" s="15">
        <v>-7.5999999999999998E-2</v>
      </c>
      <c r="I1261" s="15">
        <v>0.107</v>
      </c>
      <c r="J1261" t="s">
        <v>412</v>
      </c>
      <c r="K1261" t="s">
        <v>579</v>
      </c>
    </row>
    <row r="1262" spans="1:11">
      <c r="A1262" t="s">
        <v>506</v>
      </c>
      <c r="B1262" t="s">
        <v>587</v>
      </c>
      <c r="C1262" t="s">
        <v>593</v>
      </c>
      <c r="D1262" s="15">
        <v>-7.1999999999999995E-2</v>
      </c>
      <c r="E1262" s="15">
        <v>2.1000000000000001E-2</v>
      </c>
      <c r="F1262" s="15">
        <v>-0.22800000000000001</v>
      </c>
      <c r="G1262" s="15">
        <v>-2.5999999999999999E-2</v>
      </c>
      <c r="H1262" s="15">
        <v>-9.2999999999999999E-2</v>
      </c>
      <c r="I1262" s="15">
        <v>0.107</v>
      </c>
      <c r="J1262" t="s">
        <v>412</v>
      </c>
      <c r="K1262" t="s">
        <v>500</v>
      </c>
    </row>
    <row r="1263" spans="1:11">
      <c r="A1263" t="s">
        <v>571</v>
      </c>
      <c r="B1263" t="s">
        <v>509</v>
      </c>
      <c r="C1263" t="s">
        <v>572</v>
      </c>
      <c r="D1263" s="15">
        <v>-0.16300000000000001</v>
      </c>
      <c r="E1263" s="15">
        <v>-1.6E-2</v>
      </c>
      <c r="F1263" s="15">
        <v>-0.14199999999999999</v>
      </c>
      <c r="G1263" s="15">
        <v>-0.09</v>
      </c>
      <c r="H1263" s="15">
        <v>-0.107</v>
      </c>
      <c r="I1263" s="15">
        <v>0.107</v>
      </c>
      <c r="J1263" t="s">
        <v>412</v>
      </c>
      <c r="K1263" t="s">
        <v>589</v>
      </c>
    </row>
    <row r="1264" spans="1:11">
      <c r="A1264" t="s">
        <v>577</v>
      </c>
      <c r="B1264" t="s">
        <v>598</v>
      </c>
      <c r="C1264" t="s">
        <v>583</v>
      </c>
      <c r="D1264" s="15">
        <v>-0.09</v>
      </c>
      <c r="E1264" s="15">
        <v>-0.188</v>
      </c>
      <c r="F1264" s="15">
        <v>-4.2999999999999997E-2</v>
      </c>
      <c r="G1264" s="15">
        <v>-0.13900000000000001</v>
      </c>
      <c r="H1264" s="15">
        <v>-0.107</v>
      </c>
      <c r="I1264" s="15">
        <v>0.107</v>
      </c>
      <c r="J1264" t="s">
        <v>412</v>
      </c>
      <c r="K1264" t="s">
        <v>589</v>
      </c>
    </row>
    <row r="1265" spans="1:11">
      <c r="A1265" t="s">
        <v>547</v>
      </c>
      <c r="B1265" t="s">
        <v>587</v>
      </c>
      <c r="C1265" t="s">
        <v>572</v>
      </c>
      <c r="D1265" s="15">
        <v>5.0000000000000001E-3</v>
      </c>
      <c r="E1265" s="15">
        <v>0.13</v>
      </c>
      <c r="F1265" s="15">
        <v>0.182</v>
      </c>
      <c r="G1265" s="15">
        <v>6.7000000000000004E-2</v>
      </c>
      <c r="H1265" s="15">
        <v>0.106</v>
      </c>
      <c r="I1265" s="15">
        <v>0.106</v>
      </c>
      <c r="J1265" t="s">
        <v>412</v>
      </c>
      <c r="K1265" t="s">
        <v>551</v>
      </c>
    </row>
    <row r="1266" spans="1:11">
      <c r="A1266" t="s">
        <v>577</v>
      </c>
      <c r="B1266" t="s">
        <v>505</v>
      </c>
      <c r="C1266" t="s">
        <v>477</v>
      </c>
      <c r="D1266" s="15">
        <v>0.246</v>
      </c>
      <c r="E1266" s="15">
        <v>1.2E-2</v>
      </c>
      <c r="F1266" s="15">
        <v>5.8999999999999997E-2</v>
      </c>
      <c r="G1266" s="15">
        <v>0.129</v>
      </c>
      <c r="H1266" s="15">
        <v>0.106</v>
      </c>
      <c r="I1266" s="15">
        <v>0.106</v>
      </c>
      <c r="J1266" t="s">
        <v>412</v>
      </c>
      <c r="K1266" t="s">
        <v>551</v>
      </c>
    </row>
    <row r="1267" spans="1:11">
      <c r="A1267" t="s">
        <v>506</v>
      </c>
      <c r="B1267" t="s">
        <v>598</v>
      </c>
      <c r="C1267" t="s">
        <v>477</v>
      </c>
      <c r="D1267" s="15">
        <v>0.14399999999999999</v>
      </c>
      <c r="E1267" s="15">
        <v>0.13</v>
      </c>
      <c r="F1267" s="15">
        <v>-4.2000000000000003E-2</v>
      </c>
      <c r="G1267" s="15">
        <v>0.13700000000000001</v>
      </c>
      <c r="H1267" s="15">
        <v>7.6999999999999999E-2</v>
      </c>
      <c r="I1267" s="15">
        <v>0.106</v>
      </c>
      <c r="J1267" t="s">
        <v>412</v>
      </c>
      <c r="K1267" t="s">
        <v>493</v>
      </c>
    </row>
    <row r="1268" spans="1:11">
      <c r="A1268" t="s">
        <v>577</v>
      </c>
      <c r="B1268" t="s">
        <v>478</v>
      </c>
      <c r="C1268" t="s">
        <v>584</v>
      </c>
      <c r="D1268" s="15">
        <v>0.182</v>
      </c>
      <c r="E1268" s="15">
        <v>-5.3999999999999999E-2</v>
      </c>
      <c r="F1268" s="15">
        <v>8.1000000000000003E-2</v>
      </c>
      <c r="G1268" s="15">
        <v>6.4000000000000001E-2</v>
      </c>
      <c r="H1268" s="15">
        <v>7.0000000000000007E-2</v>
      </c>
      <c r="I1268" s="15">
        <v>0.106</v>
      </c>
      <c r="J1268" t="s">
        <v>412</v>
      </c>
      <c r="K1268" t="s">
        <v>480</v>
      </c>
    </row>
    <row r="1269" spans="1:11">
      <c r="A1269" t="s">
        <v>576</v>
      </c>
      <c r="B1269" t="s">
        <v>588</v>
      </c>
      <c r="C1269" t="s">
        <v>591</v>
      </c>
      <c r="D1269" s="15">
        <v>-6.5000000000000002E-2</v>
      </c>
      <c r="E1269" s="15">
        <v>0.124</v>
      </c>
      <c r="F1269" s="15">
        <v>0.128</v>
      </c>
      <c r="G1269" s="15">
        <v>2.9000000000000001E-2</v>
      </c>
      <c r="H1269" s="15">
        <v>6.2E-2</v>
      </c>
      <c r="I1269" s="15">
        <v>0.106</v>
      </c>
      <c r="J1269" t="s">
        <v>412</v>
      </c>
      <c r="K1269" t="s">
        <v>487</v>
      </c>
    </row>
    <row r="1270" spans="1:11">
      <c r="A1270" t="s">
        <v>506</v>
      </c>
      <c r="B1270" t="s">
        <v>598</v>
      </c>
      <c r="C1270" t="s">
        <v>593</v>
      </c>
      <c r="D1270" s="15">
        <v>-7.1999999999999995E-2</v>
      </c>
      <c r="E1270" s="15">
        <v>0.13</v>
      </c>
      <c r="F1270" s="15">
        <v>-0.115</v>
      </c>
      <c r="G1270" s="15">
        <v>2.9000000000000001E-2</v>
      </c>
      <c r="H1270" s="15">
        <v>-1.9E-2</v>
      </c>
      <c r="I1270" s="15">
        <v>0.106</v>
      </c>
      <c r="J1270" t="s">
        <v>412</v>
      </c>
      <c r="K1270" t="s">
        <v>500</v>
      </c>
    </row>
    <row r="1271" spans="1:11">
      <c r="A1271" t="s">
        <v>571</v>
      </c>
      <c r="B1271" t="s">
        <v>478</v>
      </c>
      <c r="C1271" t="s">
        <v>591</v>
      </c>
      <c r="D1271" s="15">
        <v>6.6000000000000003E-2</v>
      </c>
      <c r="E1271" s="15">
        <v>-0.216</v>
      </c>
      <c r="F1271" s="15">
        <v>3.4000000000000002E-2</v>
      </c>
      <c r="G1271" s="15">
        <v>-7.4999999999999997E-2</v>
      </c>
      <c r="H1271" s="15">
        <v>-3.9E-2</v>
      </c>
      <c r="I1271" s="15">
        <v>0.106</v>
      </c>
      <c r="J1271" t="s">
        <v>412</v>
      </c>
      <c r="K1271" t="s">
        <v>480</v>
      </c>
    </row>
    <row r="1272" spans="1:11">
      <c r="A1272" t="s">
        <v>547</v>
      </c>
      <c r="B1272" t="s">
        <v>574</v>
      </c>
      <c r="C1272" t="s">
        <v>477</v>
      </c>
      <c r="D1272" s="15">
        <v>6.4000000000000001E-2</v>
      </c>
      <c r="E1272" s="15">
        <v>-2.4E-2</v>
      </c>
      <c r="F1272" s="15">
        <v>-0.23100000000000001</v>
      </c>
      <c r="G1272" s="15">
        <v>0.02</v>
      </c>
      <c r="H1272" s="15">
        <v>-6.4000000000000001E-2</v>
      </c>
      <c r="I1272" s="15">
        <v>0.106</v>
      </c>
      <c r="J1272" t="s">
        <v>412</v>
      </c>
      <c r="K1272" t="s">
        <v>579</v>
      </c>
    </row>
    <row r="1273" spans="1:11">
      <c r="A1273" t="s">
        <v>571</v>
      </c>
      <c r="B1273" t="s">
        <v>569</v>
      </c>
      <c r="C1273" t="s">
        <v>492</v>
      </c>
      <c r="D1273" s="15">
        <v>-6.5000000000000002E-2</v>
      </c>
      <c r="E1273" s="15">
        <v>-0.19600000000000001</v>
      </c>
      <c r="F1273" s="15">
        <v>5.7000000000000002E-2</v>
      </c>
      <c r="G1273" s="15">
        <v>-0.13100000000000001</v>
      </c>
      <c r="H1273" s="15">
        <v>-6.8000000000000005E-2</v>
      </c>
      <c r="I1273" s="15">
        <v>0.106</v>
      </c>
      <c r="J1273" t="s">
        <v>412</v>
      </c>
      <c r="K1273" t="s">
        <v>510</v>
      </c>
    </row>
    <row r="1274" spans="1:11">
      <c r="A1274" t="s">
        <v>479</v>
      </c>
      <c r="B1274" t="s">
        <v>588</v>
      </c>
      <c r="C1274" t="s">
        <v>570</v>
      </c>
      <c r="D1274" s="15">
        <v>-0.26900000000000002</v>
      </c>
      <c r="E1274" s="15">
        <v>-1.7000000000000001E-2</v>
      </c>
      <c r="F1274" s="15">
        <v>3.4000000000000002E-2</v>
      </c>
      <c r="G1274" s="15">
        <v>-0.14299999999999999</v>
      </c>
      <c r="H1274" s="15">
        <v>-8.4000000000000005E-2</v>
      </c>
      <c r="I1274" s="15">
        <v>0.106</v>
      </c>
      <c r="J1274" t="s">
        <v>412</v>
      </c>
      <c r="K1274" t="s">
        <v>510</v>
      </c>
    </row>
    <row r="1275" spans="1:11">
      <c r="A1275" t="s">
        <v>576</v>
      </c>
      <c r="B1275" t="s">
        <v>590</v>
      </c>
      <c r="C1275" t="s">
        <v>572</v>
      </c>
      <c r="D1275" s="15">
        <v>-5.8999999999999997E-2</v>
      </c>
      <c r="E1275" s="15">
        <v>2.8000000000000001E-2</v>
      </c>
      <c r="F1275" s="15">
        <v>-0.23</v>
      </c>
      <c r="G1275" s="15">
        <v>-1.4999999999999999E-2</v>
      </c>
      <c r="H1275" s="15">
        <v>-8.6999999999999994E-2</v>
      </c>
      <c r="I1275" s="15">
        <v>0.106</v>
      </c>
      <c r="J1275" t="s">
        <v>412</v>
      </c>
      <c r="K1275" t="s">
        <v>500</v>
      </c>
    </row>
    <row r="1276" spans="1:11">
      <c r="A1276" t="s">
        <v>486</v>
      </c>
      <c r="B1276" t="s">
        <v>523</v>
      </c>
      <c r="C1276" t="s">
        <v>593</v>
      </c>
      <c r="D1276" s="15">
        <v>-8.6999999999999994E-2</v>
      </c>
      <c r="E1276" s="15">
        <v>-0.21099999999999999</v>
      </c>
      <c r="F1276" s="15">
        <v>0.02</v>
      </c>
      <c r="G1276" s="15">
        <v>-0.14899999999999999</v>
      </c>
      <c r="H1276" s="15">
        <v>-9.2999999999999999E-2</v>
      </c>
      <c r="I1276" s="15">
        <v>0.106</v>
      </c>
      <c r="J1276" t="s">
        <v>412</v>
      </c>
      <c r="K1276" t="s">
        <v>510</v>
      </c>
    </row>
    <row r="1277" spans="1:11">
      <c r="A1277" t="s">
        <v>571</v>
      </c>
      <c r="B1277" t="s">
        <v>505</v>
      </c>
      <c r="C1277" t="s">
        <v>575</v>
      </c>
      <c r="D1277" s="15">
        <v>-0.16800000000000001</v>
      </c>
      <c r="E1277" s="15">
        <v>-0.14000000000000001</v>
      </c>
      <c r="F1277" s="15">
        <v>8.0000000000000002E-3</v>
      </c>
      <c r="G1277" s="15">
        <v>-0.154</v>
      </c>
      <c r="H1277" s="15">
        <v>-0.1</v>
      </c>
      <c r="I1277" s="15">
        <v>0.106</v>
      </c>
      <c r="J1277" t="s">
        <v>412</v>
      </c>
      <c r="K1277" t="s">
        <v>510</v>
      </c>
    </row>
    <row r="1278" spans="1:11">
      <c r="A1278" t="s">
        <v>547</v>
      </c>
      <c r="B1278" t="s">
        <v>509</v>
      </c>
      <c r="C1278" t="s">
        <v>584</v>
      </c>
      <c r="D1278" s="15">
        <v>0.112</v>
      </c>
      <c r="E1278" s="15">
        <v>4.5999999999999999E-2</v>
      </c>
      <c r="F1278" s="15">
        <v>0.157</v>
      </c>
      <c r="G1278" s="15">
        <v>7.9000000000000001E-2</v>
      </c>
      <c r="H1278" s="15">
        <v>0.105</v>
      </c>
      <c r="I1278" s="15">
        <v>0.105</v>
      </c>
      <c r="J1278" t="s">
        <v>412</v>
      </c>
      <c r="K1278" t="s">
        <v>551</v>
      </c>
    </row>
    <row r="1279" spans="1:11">
      <c r="A1279" t="s">
        <v>479</v>
      </c>
      <c r="B1279" t="s">
        <v>587</v>
      </c>
      <c r="C1279" t="s">
        <v>492</v>
      </c>
      <c r="D1279" s="15">
        <v>5.8999999999999997E-2</v>
      </c>
      <c r="E1279" s="15">
        <v>-7.0000000000000001E-3</v>
      </c>
      <c r="F1279" s="15">
        <v>0.25</v>
      </c>
      <c r="G1279" s="15">
        <v>2.5999999999999999E-2</v>
      </c>
      <c r="H1279" s="15">
        <v>0.10100000000000001</v>
      </c>
      <c r="I1279" s="15">
        <v>0.105</v>
      </c>
      <c r="J1279" t="s">
        <v>412</v>
      </c>
      <c r="K1279" t="s">
        <v>480</v>
      </c>
    </row>
    <row r="1280" spans="1:11">
      <c r="A1280" t="s">
        <v>571</v>
      </c>
      <c r="B1280" t="s">
        <v>498</v>
      </c>
      <c r="C1280" t="s">
        <v>492</v>
      </c>
      <c r="D1280" s="15">
        <v>-6.5000000000000002E-2</v>
      </c>
      <c r="E1280" s="15">
        <v>0.11</v>
      </c>
      <c r="F1280" s="15">
        <v>0.14099999999999999</v>
      </c>
      <c r="G1280" s="15">
        <v>2.1999999999999999E-2</v>
      </c>
      <c r="H1280" s="15">
        <v>6.2E-2</v>
      </c>
      <c r="I1280" s="15">
        <v>0.105</v>
      </c>
      <c r="J1280" t="s">
        <v>412</v>
      </c>
      <c r="K1280" t="s">
        <v>487</v>
      </c>
    </row>
    <row r="1281" spans="1:11">
      <c r="A1281" t="s">
        <v>573</v>
      </c>
      <c r="B1281" t="s">
        <v>578</v>
      </c>
      <c r="C1281" t="s">
        <v>570</v>
      </c>
      <c r="D1281" s="15">
        <v>-0.17100000000000001</v>
      </c>
      <c r="E1281" s="15">
        <v>4.8000000000000001E-2</v>
      </c>
      <c r="F1281" s="15">
        <v>9.5000000000000001E-2</v>
      </c>
      <c r="G1281" s="15">
        <v>-6.2E-2</v>
      </c>
      <c r="H1281" s="15">
        <v>-8.9999999999999993E-3</v>
      </c>
      <c r="I1281" s="15">
        <v>0.105</v>
      </c>
      <c r="J1281" t="s">
        <v>412</v>
      </c>
      <c r="K1281" t="s">
        <v>487</v>
      </c>
    </row>
    <row r="1282" spans="1:11">
      <c r="A1282" t="s">
        <v>486</v>
      </c>
      <c r="B1282" t="s">
        <v>588</v>
      </c>
      <c r="C1282" t="s">
        <v>583</v>
      </c>
      <c r="D1282" s="15">
        <v>-0.16700000000000001</v>
      </c>
      <c r="E1282" s="15">
        <v>-8.4000000000000005E-2</v>
      </c>
      <c r="F1282" s="15">
        <v>6.5000000000000002E-2</v>
      </c>
      <c r="G1282" s="15">
        <v>-0.126</v>
      </c>
      <c r="H1282" s="15">
        <v>-6.2E-2</v>
      </c>
      <c r="I1282" s="15">
        <v>0.105</v>
      </c>
      <c r="J1282" t="s">
        <v>412</v>
      </c>
      <c r="K1282" t="s">
        <v>510</v>
      </c>
    </row>
    <row r="1283" spans="1:11">
      <c r="A1283" t="s">
        <v>506</v>
      </c>
      <c r="B1283" t="s">
        <v>587</v>
      </c>
      <c r="C1283" t="s">
        <v>583</v>
      </c>
      <c r="D1283" s="15">
        <v>4.1000000000000002E-2</v>
      </c>
      <c r="E1283" s="15">
        <v>2.1000000000000001E-2</v>
      </c>
      <c r="F1283" s="15">
        <v>-0.254</v>
      </c>
      <c r="G1283" s="15">
        <v>3.1E-2</v>
      </c>
      <c r="H1283" s="15">
        <v>-6.4000000000000001E-2</v>
      </c>
      <c r="I1283" s="15">
        <v>0.105</v>
      </c>
      <c r="J1283" t="s">
        <v>412</v>
      </c>
      <c r="K1283" t="s">
        <v>493</v>
      </c>
    </row>
    <row r="1284" spans="1:11">
      <c r="A1284" t="s">
        <v>571</v>
      </c>
      <c r="B1284" t="s">
        <v>596</v>
      </c>
      <c r="C1284" t="s">
        <v>570</v>
      </c>
      <c r="D1284" s="15">
        <v>-0.19700000000000001</v>
      </c>
      <c r="E1284" s="15">
        <v>4.5999999999999999E-2</v>
      </c>
      <c r="F1284" s="15">
        <v>-7.2999999999999995E-2</v>
      </c>
      <c r="G1284" s="15">
        <v>-7.5999999999999998E-2</v>
      </c>
      <c r="H1284" s="15">
        <v>-7.4999999999999997E-2</v>
      </c>
      <c r="I1284" s="15">
        <v>0.105</v>
      </c>
      <c r="J1284" t="s">
        <v>412</v>
      </c>
      <c r="K1284" t="s">
        <v>500</v>
      </c>
    </row>
    <row r="1285" spans="1:11">
      <c r="A1285" t="s">
        <v>547</v>
      </c>
      <c r="B1285" t="s">
        <v>505</v>
      </c>
      <c r="C1285" t="s">
        <v>570</v>
      </c>
      <c r="D1285" s="15">
        <v>-0.14799999999999999</v>
      </c>
      <c r="E1285" s="15">
        <v>-0.13600000000000001</v>
      </c>
      <c r="F1285" s="15">
        <v>2.9000000000000001E-2</v>
      </c>
      <c r="G1285" s="15">
        <v>-0.14199999999999999</v>
      </c>
      <c r="H1285" s="15">
        <v>-8.5000000000000006E-2</v>
      </c>
      <c r="I1285" s="15">
        <v>0.105</v>
      </c>
      <c r="J1285" t="s">
        <v>412</v>
      </c>
      <c r="K1285" t="s">
        <v>510</v>
      </c>
    </row>
    <row r="1286" spans="1:11">
      <c r="A1286" t="s">
        <v>486</v>
      </c>
      <c r="B1286" t="s">
        <v>597</v>
      </c>
      <c r="C1286" t="s">
        <v>477</v>
      </c>
      <c r="D1286" s="15">
        <v>-0.28399999999999997</v>
      </c>
      <c r="E1286" s="15">
        <v>-8.9999999999999993E-3</v>
      </c>
      <c r="F1286" s="15">
        <v>-2.3E-2</v>
      </c>
      <c r="G1286" s="15">
        <v>-0.14599999999999999</v>
      </c>
      <c r="H1286" s="15">
        <v>-0.105</v>
      </c>
      <c r="I1286" s="15">
        <v>0.105</v>
      </c>
      <c r="J1286" t="s">
        <v>412</v>
      </c>
      <c r="K1286" t="s">
        <v>589</v>
      </c>
    </row>
    <row r="1287" spans="1:11">
      <c r="A1287" t="s">
        <v>547</v>
      </c>
      <c r="B1287" t="s">
        <v>581</v>
      </c>
      <c r="C1287" t="s">
        <v>591</v>
      </c>
      <c r="D1287" s="15">
        <v>0.01</v>
      </c>
      <c r="E1287" s="15">
        <v>0.23699999999999999</v>
      </c>
      <c r="F1287" s="15">
        <v>6.5000000000000002E-2</v>
      </c>
      <c r="G1287" s="15">
        <v>0.124</v>
      </c>
      <c r="H1287" s="15">
        <v>0.104</v>
      </c>
      <c r="I1287" s="15">
        <v>0.104</v>
      </c>
      <c r="J1287" t="s">
        <v>412</v>
      </c>
      <c r="K1287" t="s">
        <v>551</v>
      </c>
    </row>
    <row r="1288" spans="1:11">
      <c r="A1288" t="s">
        <v>577</v>
      </c>
      <c r="B1288" t="s">
        <v>523</v>
      </c>
      <c r="C1288" t="s">
        <v>585</v>
      </c>
      <c r="D1288" s="15">
        <v>-6.0000000000000001E-3</v>
      </c>
      <c r="E1288" s="15">
        <v>0.191</v>
      </c>
      <c r="F1288" s="15">
        <v>0.115</v>
      </c>
      <c r="G1288" s="15">
        <v>9.2999999999999999E-2</v>
      </c>
      <c r="H1288" s="15">
        <v>0.1</v>
      </c>
      <c r="I1288" s="15">
        <v>0.104</v>
      </c>
      <c r="J1288" t="s">
        <v>412</v>
      </c>
      <c r="K1288" t="s">
        <v>487</v>
      </c>
    </row>
    <row r="1289" spans="1:11">
      <c r="A1289" t="s">
        <v>486</v>
      </c>
      <c r="B1289" t="s">
        <v>517</v>
      </c>
      <c r="C1289" t="s">
        <v>591</v>
      </c>
      <c r="D1289" s="15">
        <v>-0.02</v>
      </c>
      <c r="E1289" s="15">
        <v>9.2999999999999999E-2</v>
      </c>
      <c r="F1289" s="15">
        <v>0.19900000000000001</v>
      </c>
      <c r="G1289" s="15">
        <v>3.5999999999999997E-2</v>
      </c>
      <c r="H1289" s="15">
        <v>0.09</v>
      </c>
      <c r="I1289" s="15">
        <v>0.104</v>
      </c>
      <c r="J1289" t="s">
        <v>412</v>
      </c>
      <c r="K1289" t="s">
        <v>487</v>
      </c>
    </row>
    <row r="1290" spans="1:11">
      <c r="A1290" t="s">
        <v>576</v>
      </c>
      <c r="B1290" t="s">
        <v>505</v>
      </c>
      <c r="C1290" t="s">
        <v>582</v>
      </c>
      <c r="D1290" s="15">
        <v>7.6999999999999999E-2</v>
      </c>
      <c r="E1290" s="15">
        <v>0.104</v>
      </c>
      <c r="F1290" s="15">
        <v>-0.13200000000000001</v>
      </c>
      <c r="G1290" s="15">
        <v>0.09</v>
      </c>
      <c r="H1290" s="15">
        <v>1.6E-2</v>
      </c>
      <c r="I1290" s="15">
        <v>0.104</v>
      </c>
      <c r="J1290" t="s">
        <v>412</v>
      </c>
      <c r="K1290" t="s">
        <v>493</v>
      </c>
    </row>
    <row r="1291" spans="1:11">
      <c r="A1291" t="s">
        <v>479</v>
      </c>
      <c r="B1291" t="s">
        <v>505</v>
      </c>
      <c r="C1291" t="s">
        <v>591</v>
      </c>
      <c r="D1291" s="15">
        <v>9.4E-2</v>
      </c>
      <c r="E1291" s="15">
        <v>-0.14699999999999999</v>
      </c>
      <c r="F1291" s="15">
        <v>-7.2999999999999995E-2</v>
      </c>
      <c r="G1291" s="15">
        <v>-2.5999999999999999E-2</v>
      </c>
      <c r="H1291" s="15">
        <v>-4.2000000000000003E-2</v>
      </c>
      <c r="I1291" s="15">
        <v>0.104</v>
      </c>
      <c r="J1291" t="s">
        <v>412</v>
      </c>
      <c r="K1291" t="s">
        <v>579</v>
      </c>
    </row>
    <row r="1292" spans="1:11">
      <c r="A1292" t="s">
        <v>573</v>
      </c>
      <c r="B1292" t="s">
        <v>509</v>
      </c>
      <c r="C1292" t="s">
        <v>570</v>
      </c>
      <c r="D1292" s="15">
        <v>-0.17100000000000001</v>
      </c>
      <c r="E1292" s="15">
        <v>-6.3E-2</v>
      </c>
      <c r="F1292" s="15">
        <v>7.6999999999999999E-2</v>
      </c>
      <c r="G1292" s="15">
        <v>-0.11700000000000001</v>
      </c>
      <c r="H1292" s="15">
        <v>-5.1999999999999998E-2</v>
      </c>
      <c r="I1292" s="15">
        <v>0.104</v>
      </c>
      <c r="J1292" t="s">
        <v>412</v>
      </c>
      <c r="K1292" t="s">
        <v>510</v>
      </c>
    </row>
    <row r="1293" spans="1:11">
      <c r="A1293" t="s">
        <v>576</v>
      </c>
      <c r="B1293" t="s">
        <v>550</v>
      </c>
      <c r="C1293" t="s">
        <v>582</v>
      </c>
      <c r="D1293" s="15">
        <v>7.6999999999999999E-2</v>
      </c>
      <c r="E1293" s="15">
        <v>-0.03</v>
      </c>
      <c r="F1293" s="15">
        <v>-0.20499999999999999</v>
      </c>
      <c r="G1293" s="15">
        <v>2.3E-2</v>
      </c>
      <c r="H1293" s="15">
        <v>-5.2999999999999999E-2</v>
      </c>
      <c r="I1293" s="15">
        <v>0.104</v>
      </c>
      <c r="J1293" t="s">
        <v>412</v>
      </c>
      <c r="K1293" t="s">
        <v>579</v>
      </c>
    </row>
    <row r="1294" spans="1:11">
      <c r="A1294" t="s">
        <v>571</v>
      </c>
      <c r="B1294" t="s">
        <v>590</v>
      </c>
      <c r="C1294" t="s">
        <v>583</v>
      </c>
      <c r="D1294" s="15">
        <v>-0.152</v>
      </c>
      <c r="E1294" s="15">
        <v>6.2E-2</v>
      </c>
      <c r="F1294" s="15">
        <v>-9.9000000000000005E-2</v>
      </c>
      <c r="G1294" s="15">
        <v>-4.4999999999999998E-2</v>
      </c>
      <c r="H1294" s="15">
        <v>-6.3E-2</v>
      </c>
      <c r="I1294" s="15">
        <v>0.104</v>
      </c>
      <c r="J1294" t="s">
        <v>412</v>
      </c>
      <c r="K1294" t="s">
        <v>500</v>
      </c>
    </row>
    <row r="1295" spans="1:11">
      <c r="A1295" t="s">
        <v>547</v>
      </c>
      <c r="B1295" t="s">
        <v>523</v>
      </c>
      <c r="C1295" t="s">
        <v>572</v>
      </c>
      <c r="D1295" s="15">
        <v>5.0000000000000001E-3</v>
      </c>
      <c r="E1295" s="15">
        <v>-3.6999999999999998E-2</v>
      </c>
      <c r="F1295" s="15">
        <v>-0.26900000000000002</v>
      </c>
      <c r="G1295" s="15">
        <v>-1.6E-2</v>
      </c>
      <c r="H1295" s="15">
        <v>-0.10100000000000001</v>
      </c>
      <c r="I1295" s="15">
        <v>0.104</v>
      </c>
      <c r="J1295" t="s">
        <v>412</v>
      </c>
      <c r="K1295" t="s">
        <v>579</v>
      </c>
    </row>
    <row r="1296" spans="1:11">
      <c r="A1296" t="s">
        <v>486</v>
      </c>
      <c r="B1296" t="s">
        <v>597</v>
      </c>
      <c r="C1296" t="s">
        <v>583</v>
      </c>
      <c r="D1296" s="15">
        <v>-0.16700000000000001</v>
      </c>
      <c r="E1296" s="15">
        <v>-8.9999999999999993E-3</v>
      </c>
      <c r="F1296" s="15">
        <v>-0.13600000000000001</v>
      </c>
      <c r="G1296" s="15">
        <v>-8.7999999999999995E-2</v>
      </c>
      <c r="H1296" s="15">
        <v>-0.104</v>
      </c>
      <c r="I1296" s="15">
        <v>0.104</v>
      </c>
      <c r="J1296" t="s">
        <v>412</v>
      </c>
      <c r="K1296" t="s">
        <v>589</v>
      </c>
    </row>
    <row r="1297" spans="1:11">
      <c r="A1297" t="s">
        <v>571</v>
      </c>
      <c r="B1297" t="s">
        <v>505</v>
      </c>
      <c r="C1297" t="s">
        <v>572</v>
      </c>
      <c r="D1297" s="15">
        <v>-0.16300000000000001</v>
      </c>
      <c r="E1297" s="15">
        <v>-0.14000000000000001</v>
      </c>
      <c r="F1297" s="15">
        <v>-7.0000000000000001E-3</v>
      </c>
      <c r="G1297" s="15">
        <v>-0.152</v>
      </c>
      <c r="H1297" s="15">
        <v>-0.104</v>
      </c>
      <c r="I1297" s="15">
        <v>0.104</v>
      </c>
      <c r="J1297" t="s">
        <v>412</v>
      </c>
      <c r="K1297" t="s">
        <v>589</v>
      </c>
    </row>
    <row r="1298" spans="1:11">
      <c r="A1298" t="s">
        <v>576</v>
      </c>
      <c r="B1298" t="s">
        <v>588</v>
      </c>
      <c r="C1298" t="s">
        <v>593</v>
      </c>
      <c r="D1298" s="15">
        <v>-1.7000000000000001E-2</v>
      </c>
      <c r="E1298" s="15">
        <v>0.124</v>
      </c>
      <c r="F1298" s="15">
        <v>0.16800000000000001</v>
      </c>
      <c r="G1298" s="15">
        <v>5.3999999999999999E-2</v>
      </c>
      <c r="H1298" s="15">
        <v>9.1999999999999998E-2</v>
      </c>
      <c r="I1298" s="15">
        <v>0.10299999999999999</v>
      </c>
      <c r="J1298" t="s">
        <v>412</v>
      </c>
      <c r="K1298" t="s">
        <v>487</v>
      </c>
    </row>
    <row r="1299" spans="1:11">
      <c r="A1299" t="s">
        <v>547</v>
      </c>
      <c r="B1299" t="s">
        <v>509</v>
      </c>
      <c r="C1299" t="s">
        <v>583</v>
      </c>
      <c r="D1299" s="15">
        <v>-0.03</v>
      </c>
      <c r="E1299" s="15">
        <v>4.5999999999999999E-2</v>
      </c>
      <c r="F1299" s="15">
        <v>0.23200000000000001</v>
      </c>
      <c r="G1299" s="15">
        <v>8.0000000000000002E-3</v>
      </c>
      <c r="H1299" s="15">
        <v>8.2000000000000003E-2</v>
      </c>
      <c r="I1299" s="15">
        <v>0.10299999999999999</v>
      </c>
      <c r="J1299" t="s">
        <v>412</v>
      </c>
      <c r="K1299" t="s">
        <v>487</v>
      </c>
    </row>
    <row r="1300" spans="1:11">
      <c r="A1300" t="s">
        <v>576</v>
      </c>
      <c r="B1300" t="s">
        <v>586</v>
      </c>
      <c r="C1300" t="s">
        <v>582</v>
      </c>
      <c r="D1300" s="15">
        <v>7.6999999999999999E-2</v>
      </c>
      <c r="E1300" s="15">
        <v>-3.2000000000000001E-2</v>
      </c>
      <c r="F1300" s="15">
        <v>0.20100000000000001</v>
      </c>
      <c r="G1300" s="15">
        <v>2.3E-2</v>
      </c>
      <c r="H1300" s="15">
        <v>8.2000000000000003E-2</v>
      </c>
      <c r="I1300" s="15">
        <v>0.10299999999999999</v>
      </c>
      <c r="J1300" t="s">
        <v>412</v>
      </c>
      <c r="K1300" t="s">
        <v>480</v>
      </c>
    </row>
    <row r="1301" spans="1:11">
      <c r="A1301" t="s">
        <v>576</v>
      </c>
      <c r="B1301" t="s">
        <v>581</v>
      </c>
      <c r="C1301" t="s">
        <v>591</v>
      </c>
      <c r="D1301" s="15">
        <v>-6.5000000000000002E-2</v>
      </c>
      <c r="E1301" s="15">
        <v>0.18</v>
      </c>
      <c r="F1301" s="15">
        <v>6.5000000000000002E-2</v>
      </c>
      <c r="G1301" s="15">
        <v>5.7000000000000002E-2</v>
      </c>
      <c r="H1301" s="15">
        <v>0.06</v>
      </c>
      <c r="I1301" s="15">
        <v>0.10299999999999999</v>
      </c>
      <c r="J1301" t="s">
        <v>412</v>
      </c>
      <c r="K1301" t="s">
        <v>487</v>
      </c>
    </row>
    <row r="1302" spans="1:11">
      <c r="A1302" t="s">
        <v>571</v>
      </c>
      <c r="B1302" t="s">
        <v>586</v>
      </c>
      <c r="C1302" t="s">
        <v>583</v>
      </c>
      <c r="D1302" s="15">
        <v>-0.152</v>
      </c>
      <c r="E1302" s="15">
        <v>5.6000000000000001E-2</v>
      </c>
      <c r="F1302" s="15">
        <v>0.1</v>
      </c>
      <c r="G1302" s="15">
        <v>-4.8000000000000001E-2</v>
      </c>
      <c r="H1302" s="15">
        <v>2E-3</v>
      </c>
      <c r="I1302" s="15">
        <v>0.10299999999999999</v>
      </c>
      <c r="J1302" t="s">
        <v>412</v>
      </c>
      <c r="K1302" t="s">
        <v>487</v>
      </c>
    </row>
    <row r="1303" spans="1:11">
      <c r="A1303" t="s">
        <v>571</v>
      </c>
      <c r="B1303" t="s">
        <v>517</v>
      </c>
      <c r="C1303" t="s">
        <v>575</v>
      </c>
      <c r="D1303" s="15">
        <v>-0.16800000000000001</v>
      </c>
      <c r="E1303" s="15">
        <v>1.7999999999999999E-2</v>
      </c>
      <c r="F1303" s="15">
        <v>0.123</v>
      </c>
      <c r="G1303" s="15">
        <v>-7.4999999999999997E-2</v>
      </c>
      <c r="H1303" s="15">
        <v>-8.9999999999999993E-3</v>
      </c>
      <c r="I1303" s="15">
        <v>0.10299999999999999</v>
      </c>
      <c r="J1303" t="s">
        <v>412</v>
      </c>
      <c r="K1303" t="s">
        <v>487</v>
      </c>
    </row>
    <row r="1304" spans="1:11">
      <c r="A1304" t="s">
        <v>486</v>
      </c>
      <c r="B1304" t="s">
        <v>592</v>
      </c>
      <c r="C1304" t="s">
        <v>593</v>
      </c>
      <c r="D1304" s="15">
        <v>-8.6999999999999994E-2</v>
      </c>
      <c r="E1304" s="15">
        <v>-9.1999999999999998E-2</v>
      </c>
      <c r="F1304" s="15">
        <v>0.13100000000000001</v>
      </c>
      <c r="G1304" s="15">
        <v>-8.8999999999999996E-2</v>
      </c>
      <c r="H1304" s="15">
        <v>-1.6E-2</v>
      </c>
      <c r="I1304" s="15">
        <v>0.10299999999999999</v>
      </c>
      <c r="J1304" t="s">
        <v>412</v>
      </c>
      <c r="K1304" t="s">
        <v>510</v>
      </c>
    </row>
    <row r="1305" spans="1:11">
      <c r="A1305" t="s">
        <v>571</v>
      </c>
      <c r="B1305" t="s">
        <v>498</v>
      </c>
      <c r="C1305" t="s">
        <v>584</v>
      </c>
      <c r="D1305" s="15">
        <v>-0.108</v>
      </c>
      <c r="E1305" s="15">
        <v>0.11</v>
      </c>
      <c r="F1305" s="15">
        <v>-9.1999999999999998E-2</v>
      </c>
      <c r="G1305" s="15">
        <v>1E-3</v>
      </c>
      <c r="H1305" s="15">
        <v>-0.03</v>
      </c>
      <c r="I1305" s="15">
        <v>0.10299999999999999</v>
      </c>
      <c r="J1305" t="s">
        <v>412</v>
      </c>
      <c r="K1305" t="s">
        <v>500</v>
      </c>
    </row>
    <row r="1306" spans="1:11">
      <c r="A1306" t="s">
        <v>573</v>
      </c>
      <c r="B1306" t="s">
        <v>478</v>
      </c>
      <c r="C1306" t="s">
        <v>583</v>
      </c>
      <c r="D1306" s="15">
        <v>7.3999999999999996E-2</v>
      </c>
      <c r="E1306" s="15">
        <v>-0.20399999999999999</v>
      </c>
      <c r="F1306" s="15">
        <v>3.1E-2</v>
      </c>
      <c r="G1306" s="15">
        <v>-6.5000000000000002E-2</v>
      </c>
      <c r="H1306" s="15">
        <v>-3.3000000000000002E-2</v>
      </c>
      <c r="I1306" s="15">
        <v>0.10299999999999999</v>
      </c>
      <c r="J1306" t="s">
        <v>412</v>
      </c>
      <c r="K1306" t="s">
        <v>480</v>
      </c>
    </row>
    <row r="1307" spans="1:11">
      <c r="A1307" t="s">
        <v>479</v>
      </c>
      <c r="B1307" t="s">
        <v>581</v>
      </c>
      <c r="C1307" t="s">
        <v>582</v>
      </c>
      <c r="D1307" s="15">
        <v>-0.127</v>
      </c>
      <c r="E1307" s="15">
        <v>-7.8E-2</v>
      </c>
      <c r="F1307" s="15">
        <v>0.10299999999999999</v>
      </c>
      <c r="G1307" s="15">
        <v>-0.10299999999999999</v>
      </c>
      <c r="H1307" s="15">
        <v>-3.4000000000000002E-2</v>
      </c>
      <c r="I1307" s="15">
        <v>0.10299999999999999</v>
      </c>
      <c r="J1307" t="s">
        <v>412</v>
      </c>
      <c r="K1307" t="s">
        <v>510</v>
      </c>
    </row>
    <row r="1308" spans="1:11">
      <c r="A1308" t="s">
        <v>479</v>
      </c>
      <c r="B1308" t="s">
        <v>587</v>
      </c>
      <c r="C1308" t="s">
        <v>591</v>
      </c>
      <c r="D1308" s="15">
        <v>9.4E-2</v>
      </c>
      <c r="E1308" s="15">
        <v>-7.0000000000000001E-3</v>
      </c>
      <c r="F1308" s="15">
        <v>-0.20899999999999999</v>
      </c>
      <c r="G1308" s="15">
        <v>4.2999999999999997E-2</v>
      </c>
      <c r="H1308" s="15">
        <v>-4.1000000000000002E-2</v>
      </c>
      <c r="I1308" s="15">
        <v>0.10299999999999999</v>
      </c>
      <c r="J1308" t="s">
        <v>412</v>
      </c>
      <c r="K1308" t="s">
        <v>579</v>
      </c>
    </row>
    <row r="1309" spans="1:11">
      <c r="A1309" t="s">
        <v>479</v>
      </c>
      <c r="B1309" t="s">
        <v>598</v>
      </c>
      <c r="C1309" t="s">
        <v>575</v>
      </c>
      <c r="D1309" s="15">
        <v>-0.22500000000000001</v>
      </c>
      <c r="E1309" s="15">
        <v>-7.9000000000000001E-2</v>
      </c>
      <c r="F1309" s="15">
        <v>7.0000000000000001E-3</v>
      </c>
      <c r="G1309" s="15">
        <v>-0.152</v>
      </c>
      <c r="H1309" s="15">
        <v>-9.9000000000000005E-2</v>
      </c>
      <c r="I1309" s="15">
        <v>0.10299999999999999</v>
      </c>
      <c r="J1309" t="s">
        <v>412</v>
      </c>
      <c r="K1309" t="s">
        <v>510</v>
      </c>
    </row>
    <row r="1310" spans="1:11">
      <c r="A1310" t="s">
        <v>547</v>
      </c>
      <c r="B1310" t="s">
        <v>574</v>
      </c>
      <c r="C1310" t="s">
        <v>585</v>
      </c>
      <c r="D1310" s="15">
        <v>-7.1999999999999995E-2</v>
      </c>
      <c r="E1310" s="15">
        <v>-2.4E-2</v>
      </c>
      <c r="F1310" s="15">
        <v>-0.21299999999999999</v>
      </c>
      <c r="G1310" s="15">
        <v>-4.8000000000000001E-2</v>
      </c>
      <c r="H1310" s="15">
        <v>-0.10299999999999999</v>
      </c>
      <c r="I1310" s="15">
        <v>0.10299999999999999</v>
      </c>
      <c r="J1310" t="s">
        <v>412</v>
      </c>
      <c r="K1310" t="s">
        <v>589</v>
      </c>
    </row>
    <row r="1311" spans="1:11">
      <c r="A1311" t="s">
        <v>506</v>
      </c>
      <c r="B1311" t="s">
        <v>586</v>
      </c>
      <c r="C1311" t="s">
        <v>583</v>
      </c>
      <c r="D1311" s="15">
        <v>4.1000000000000002E-2</v>
      </c>
      <c r="E1311" s="15">
        <v>0.16400000000000001</v>
      </c>
      <c r="F1311" s="15">
        <v>0.1</v>
      </c>
      <c r="G1311" s="15">
        <v>0.10199999999999999</v>
      </c>
      <c r="H1311" s="15">
        <v>0.10199999999999999</v>
      </c>
      <c r="I1311" s="15">
        <v>0.10199999999999999</v>
      </c>
      <c r="J1311" t="s">
        <v>412</v>
      </c>
      <c r="K1311" t="s">
        <v>551</v>
      </c>
    </row>
    <row r="1312" spans="1:11">
      <c r="A1312" t="s">
        <v>547</v>
      </c>
      <c r="B1312" t="s">
        <v>498</v>
      </c>
      <c r="C1312" t="s">
        <v>572</v>
      </c>
      <c r="D1312" s="15">
        <v>5.0000000000000001E-3</v>
      </c>
      <c r="E1312" s="15">
        <v>0.16500000000000001</v>
      </c>
      <c r="F1312" s="15">
        <v>0.13500000000000001</v>
      </c>
      <c r="G1312" s="15">
        <v>8.5000000000000006E-2</v>
      </c>
      <c r="H1312" s="15">
        <v>0.10199999999999999</v>
      </c>
      <c r="I1312" s="15">
        <v>0.10199999999999999</v>
      </c>
      <c r="J1312" t="s">
        <v>412</v>
      </c>
      <c r="K1312" t="s">
        <v>551</v>
      </c>
    </row>
    <row r="1313" spans="1:11">
      <c r="A1313" t="s">
        <v>571</v>
      </c>
      <c r="B1313" t="s">
        <v>598</v>
      </c>
      <c r="C1313" t="s">
        <v>582</v>
      </c>
      <c r="D1313" s="15">
        <v>9.1999999999999998E-2</v>
      </c>
      <c r="E1313" s="15">
        <v>0.17299999999999999</v>
      </c>
      <c r="F1313" s="15">
        <v>-4.1000000000000002E-2</v>
      </c>
      <c r="G1313" s="15">
        <v>0.13200000000000001</v>
      </c>
      <c r="H1313" s="15">
        <v>7.4999999999999997E-2</v>
      </c>
      <c r="I1313" s="15">
        <v>0.10199999999999999</v>
      </c>
      <c r="J1313" t="s">
        <v>412</v>
      </c>
      <c r="K1313" t="s">
        <v>493</v>
      </c>
    </row>
    <row r="1314" spans="1:11">
      <c r="A1314" t="s">
        <v>573</v>
      </c>
      <c r="B1314" t="s">
        <v>581</v>
      </c>
      <c r="C1314" t="s">
        <v>594</v>
      </c>
      <c r="D1314" s="15">
        <v>0.13700000000000001</v>
      </c>
      <c r="E1314" s="15">
        <v>7.3999999999999996E-2</v>
      </c>
      <c r="F1314" s="15">
        <v>-9.5000000000000001E-2</v>
      </c>
      <c r="G1314" s="15">
        <v>0.106</v>
      </c>
      <c r="H1314" s="15">
        <v>3.9E-2</v>
      </c>
      <c r="I1314" s="15">
        <v>0.10199999999999999</v>
      </c>
      <c r="J1314" t="s">
        <v>412</v>
      </c>
      <c r="K1314" t="s">
        <v>493</v>
      </c>
    </row>
    <row r="1315" spans="1:11">
      <c r="A1315" t="s">
        <v>577</v>
      </c>
      <c r="B1315" t="s">
        <v>523</v>
      </c>
      <c r="C1315" t="s">
        <v>570</v>
      </c>
      <c r="D1315" s="15">
        <v>-8.8999999999999996E-2</v>
      </c>
      <c r="E1315" s="15">
        <v>0.191</v>
      </c>
      <c r="F1315" s="15">
        <v>-2.5000000000000001E-2</v>
      </c>
      <c r="G1315" s="15">
        <v>5.0999999999999997E-2</v>
      </c>
      <c r="H1315" s="15">
        <v>2.5999999999999999E-2</v>
      </c>
      <c r="I1315" s="15">
        <v>0.10199999999999999</v>
      </c>
      <c r="J1315" t="s">
        <v>412</v>
      </c>
      <c r="K1315" t="s">
        <v>500</v>
      </c>
    </row>
    <row r="1316" spans="1:11">
      <c r="A1316" t="s">
        <v>479</v>
      </c>
      <c r="B1316" t="s">
        <v>509</v>
      </c>
      <c r="C1316" t="s">
        <v>492</v>
      </c>
      <c r="D1316" s="15">
        <v>5.8999999999999997E-2</v>
      </c>
      <c r="E1316" s="15">
        <v>0.111</v>
      </c>
      <c r="F1316" s="15">
        <v>-0.13500000000000001</v>
      </c>
      <c r="G1316" s="15">
        <v>8.5000000000000006E-2</v>
      </c>
      <c r="H1316" s="15">
        <v>1.2E-2</v>
      </c>
      <c r="I1316" s="15">
        <v>0.10199999999999999</v>
      </c>
      <c r="J1316" t="s">
        <v>412</v>
      </c>
      <c r="K1316" t="s">
        <v>493</v>
      </c>
    </row>
    <row r="1317" spans="1:11">
      <c r="A1317" t="s">
        <v>573</v>
      </c>
      <c r="B1317" t="s">
        <v>596</v>
      </c>
      <c r="C1317" t="s">
        <v>591</v>
      </c>
      <c r="D1317" s="15">
        <v>0.123</v>
      </c>
      <c r="E1317" s="15">
        <v>0.02</v>
      </c>
      <c r="F1317" s="15">
        <v>-0.16300000000000001</v>
      </c>
      <c r="G1317" s="15">
        <v>7.1999999999999995E-2</v>
      </c>
      <c r="H1317" s="15">
        <v>-7.0000000000000001E-3</v>
      </c>
      <c r="I1317" s="15">
        <v>0.10199999999999999</v>
      </c>
      <c r="J1317" t="s">
        <v>412</v>
      </c>
      <c r="K1317" t="s">
        <v>493</v>
      </c>
    </row>
    <row r="1318" spans="1:11">
      <c r="A1318" t="s">
        <v>576</v>
      </c>
      <c r="B1318" t="s">
        <v>588</v>
      </c>
      <c r="C1318" t="s">
        <v>572</v>
      </c>
      <c r="D1318" s="15">
        <v>-5.8999999999999997E-2</v>
      </c>
      <c r="E1318" s="15">
        <v>0.124</v>
      </c>
      <c r="F1318" s="15">
        <v>-0.124</v>
      </c>
      <c r="G1318" s="15">
        <v>3.2000000000000001E-2</v>
      </c>
      <c r="H1318" s="15">
        <v>-0.02</v>
      </c>
      <c r="I1318" s="15">
        <v>0.10199999999999999</v>
      </c>
      <c r="J1318" t="s">
        <v>412</v>
      </c>
      <c r="K1318" t="s">
        <v>500</v>
      </c>
    </row>
    <row r="1319" spans="1:11">
      <c r="A1319" t="s">
        <v>479</v>
      </c>
      <c r="B1319" t="s">
        <v>598</v>
      </c>
      <c r="C1319" t="s">
        <v>585</v>
      </c>
      <c r="D1319" s="15">
        <v>-0.123</v>
      </c>
      <c r="E1319" s="15">
        <v>-7.9000000000000001E-2</v>
      </c>
      <c r="F1319" s="15">
        <v>0.104</v>
      </c>
      <c r="G1319" s="15">
        <v>-0.10100000000000001</v>
      </c>
      <c r="H1319" s="15">
        <v>-3.2000000000000001E-2</v>
      </c>
      <c r="I1319" s="15">
        <v>0.10199999999999999</v>
      </c>
      <c r="J1319" t="s">
        <v>412</v>
      </c>
      <c r="K1319" t="s">
        <v>510</v>
      </c>
    </row>
    <row r="1320" spans="1:11">
      <c r="A1320" t="s">
        <v>576</v>
      </c>
      <c r="B1320" t="s">
        <v>598</v>
      </c>
      <c r="C1320" t="s">
        <v>572</v>
      </c>
      <c r="D1320" s="15">
        <v>-5.8999999999999997E-2</v>
      </c>
      <c r="E1320" s="15">
        <v>-0.20200000000000001</v>
      </c>
      <c r="F1320" s="15">
        <v>4.5999999999999999E-2</v>
      </c>
      <c r="G1320" s="15">
        <v>-0.13100000000000001</v>
      </c>
      <c r="H1320" s="15">
        <v>-7.1999999999999995E-2</v>
      </c>
      <c r="I1320" s="15">
        <v>0.10199999999999999</v>
      </c>
      <c r="J1320" t="s">
        <v>412</v>
      </c>
      <c r="K1320" t="s">
        <v>510</v>
      </c>
    </row>
    <row r="1321" spans="1:11">
      <c r="A1321" t="s">
        <v>506</v>
      </c>
      <c r="B1321" t="s">
        <v>574</v>
      </c>
      <c r="C1321" t="s">
        <v>585</v>
      </c>
      <c r="D1321" s="15">
        <v>-5.6000000000000001E-2</v>
      </c>
      <c r="E1321" s="15">
        <v>3.5999999999999997E-2</v>
      </c>
      <c r="F1321" s="15">
        <v>-0.21299999999999999</v>
      </c>
      <c r="G1321" s="15">
        <v>-0.01</v>
      </c>
      <c r="H1321" s="15">
        <v>-7.8E-2</v>
      </c>
      <c r="I1321" s="15">
        <v>0.10199999999999999</v>
      </c>
      <c r="J1321" t="s">
        <v>412</v>
      </c>
      <c r="K1321" t="s">
        <v>500</v>
      </c>
    </row>
    <row r="1322" spans="1:11">
      <c r="A1322" t="s">
        <v>486</v>
      </c>
      <c r="B1322" t="s">
        <v>592</v>
      </c>
      <c r="C1322" t="s">
        <v>582</v>
      </c>
      <c r="D1322" s="15">
        <v>-0.129</v>
      </c>
      <c r="E1322" s="15">
        <v>-9.1999999999999998E-2</v>
      </c>
      <c r="F1322" s="15">
        <v>-8.5999999999999993E-2</v>
      </c>
      <c r="G1322" s="15">
        <v>-0.11</v>
      </c>
      <c r="H1322" s="15">
        <v>-0.10199999999999999</v>
      </c>
      <c r="I1322" s="15">
        <v>0.10199999999999999</v>
      </c>
      <c r="J1322" t="s">
        <v>412</v>
      </c>
      <c r="K1322" t="s">
        <v>589</v>
      </c>
    </row>
    <row r="1323" spans="1:11">
      <c r="A1323" t="s">
        <v>571</v>
      </c>
      <c r="B1323" t="s">
        <v>588</v>
      </c>
      <c r="C1323" t="s">
        <v>572</v>
      </c>
      <c r="D1323" s="15">
        <v>-0.16300000000000001</v>
      </c>
      <c r="E1323" s="15">
        <v>-1.9E-2</v>
      </c>
      <c r="F1323" s="15">
        <v>-0.124</v>
      </c>
      <c r="G1323" s="15">
        <v>-9.0999999999999998E-2</v>
      </c>
      <c r="H1323" s="15">
        <v>-0.10199999999999999</v>
      </c>
      <c r="I1323" s="15">
        <v>0.10199999999999999</v>
      </c>
      <c r="J1323" t="s">
        <v>412</v>
      </c>
      <c r="K1323" t="s">
        <v>589</v>
      </c>
    </row>
    <row r="1324" spans="1:11">
      <c r="A1324" t="s">
        <v>576</v>
      </c>
      <c r="B1324" t="s">
        <v>598</v>
      </c>
      <c r="C1324" t="s">
        <v>584</v>
      </c>
      <c r="D1324" s="15">
        <v>-0.1</v>
      </c>
      <c r="E1324" s="15">
        <v>-0.20200000000000001</v>
      </c>
      <c r="F1324" s="15">
        <v>-4.0000000000000001E-3</v>
      </c>
      <c r="G1324" s="15">
        <v>-0.151</v>
      </c>
      <c r="H1324" s="15">
        <v>-0.10199999999999999</v>
      </c>
      <c r="I1324" s="15">
        <v>0.10199999999999999</v>
      </c>
      <c r="J1324" t="s">
        <v>412</v>
      </c>
      <c r="K1324" t="s">
        <v>589</v>
      </c>
    </row>
    <row r="1325" spans="1:11">
      <c r="A1325" t="s">
        <v>571</v>
      </c>
      <c r="B1325" t="s">
        <v>509</v>
      </c>
      <c r="C1325" t="s">
        <v>582</v>
      </c>
      <c r="D1325" s="15">
        <v>9.1999999999999998E-2</v>
      </c>
      <c r="E1325" s="15">
        <v>-1.6E-2</v>
      </c>
      <c r="F1325" s="15">
        <v>0.19600000000000001</v>
      </c>
      <c r="G1325" s="15">
        <v>3.7999999999999999E-2</v>
      </c>
      <c r="H1325" s="15">
        <v>9.0999999999999998E-2</v>
      </c>
      <c r="I1325" s="15">
        <v>0.10100000000000001</v>
      </c>
      <c r="J1325" t="s">
        <v>412</v>
      </c>
      <c r="K1325" t="s">
        <v>480</v>
      </c>
    </row>
    <row r="1326" spans="1:11">
      <c r="A1326" t="s">
        <v>506</v>
      </c>
      <c r="B1326" t="s">
        <v>581</v>
      </c>
      <c r="C1326" t="s">
        <v>591</v>
      </c>
      <c r="D1326" s="15">
        <v>0.20899999999999999</v>
      </c>
      <c r="E1326" s="15">
        <v>-0.03</v>
      </c>
      <c r="F1326" s="15">
        <v>6.5000000000000002E-2</v>
      </c>
      <c r="G1326" s="15">
        <v>0.09</v>
      </c>
      <c r="H1326" s="15">
        <v>8.1000000000000003E-2</v>
      </c>
      <c r="I1326" s="15">
        <v>0.10100000000000001</v>
      </c>
      <c r="J1326" t="s">
        <v>412</v>
      </c>
      <c r="K1326" t="s">
        <v>480</v>
      </c>
    </row>
    <row r="1327" spans="1:11">
      <c r="A1327" t="s">
        <v>576</v>
      </c>
      <c r="B1327" t="s">
        <v>509</v>
      </c>
      <c r="C1327" t="s">
        <v>582</v>
      </c>
      <c r="D1327" s="15">
        <v>7.6999999999999999E-2</v>
      </c>
      <c r="E1327" s="15">
        <v>-2.9000000000000001E-2</v>
      </c>
      <c r="F1327" s="15">
        <v>0.19600000000000001</v>
      </c>
      <c r="G1327" s="15">
        <v>2.4E-2</v>
      </c>
      <c r="H1327" s="15">
        <v>8.1000000000000003E-2</v>
      </c>
      <c r="I1327" s="15">
        <v>0.10100000000000001</v>
      </c>
      <c r="J1327" t="s">
        <v>412</v>
      </c>
      <c r="K1327" t="s">
        <v>480</v>
      </c>
    </row>
    <row r="1328" spans="1:11">
      <c r="A1328" t="s">
        <v>479</v>
      </c>
      <c r="B1328" t="s">
        <v>517</v>
      </c>
      <c r="C1328" t="s">
        <v>593</v>
      </c>
      <c r="D1328" s="15">
        <v>-8.0000000000000002E-3</v>
      </c>
      <c r="E1328" s="15">
        <v>-7.3999999999999996E-2</v>
      </c>
      <c r="F1328" s="15">
        <v>0.221</v>
      </c>
      <c r="G1328" s="15">
        <v>-4.1000000000000002E-2</v>
      </c>
      <c r="H1328" s="15">
        <v>4.5999999999999999E-2</v>
      </c>
      <c r="I1328" s="15">
        <v>0.10100000000000001</v>
      </c>
      <c r="J1328" t="s">
        <v>412</v>
      </c>
      <c r="K1328" t="s">
        <v>510</v>
      </c>
    </row>
    <row r="1329" spans="1:11">
      <c r="A1329" t="s">
        <v>547</v>
      </c>
      <c r="B1329" t="s">
        <v>523</v>
      </c>
      <c r="C1329" t="s">
        <v>575</v>
      </c>
      <c r="D1329" s="15">
        <v>-6.8000000000000005E-2</v>
      </c>
      <c r="E1329" s="15">
        <v>-3.6999999999999998E-2</v>
      </c>
      <c r="F1329" s="15">
        <v>0.19600000000000001</v>
      </c>
      <c r="G1329" s="15">
        <v>-5.2999999999999999E-2</v>
      </c>
      <c r="H1329" s="15">
        <v>0.03</v>
      </c>
      <c r="I1329" s="15">
        <v>0.10100000000000001</v>
      </c>
      <c r="J1329" t="s">
        <v>412</v>
      </c>
      <c r="K1329" t="s">
        <v>510</v>
      </c>
    </row>
    <row r="1330" spans="1:11">
      <c r="A1330" t="s">
        <v>506</v>
      </c>
      <c r="B1330" t="s">
        <v>578</v>
      </c>
      <c r="C1330" t="s">
        <v>593</v>
      </c>
      <c r="D1330" s="15">
        <v>-7.1999999999999995E-2</v>
      </c>
      <c r="E1330" s="15">
        <v>-5.6000000000000001E-2</v>
      </c>
      <c r="F1330" s="15">
        <v>0.17599999999999999</v>
      </c>
      <c r="G1330" s="15">
        <v>-6.4000000000000001E-2</v>
      </c>
      <c r="H1330" s="15">
        <v>1.6E-2</v>
      </c>
      <c r="I1330" s="15">
        <v>0.10100000000000001</v>
      </c>
      <c r="J1330" t="s">
        <v>412</v>
      </c>
      <c r="K1330" t="s">
        <v>510</v>
      </c>
    </row>
    <row r="1331" spans="1:11">
      <c r="A1331" t="s">
        <v>577</v>
      </c>
      <c r="B1331" t="s">
        <v>595</v>
      </c>
      <c r="C1331" t="s">
        <v>572</v>
      </c>
      <c r="D1331" s="15">
        <v>-0.14399999999999999</v>
      </c>
      <c r="E1331" s="15">
        <v>0.122</v>
      </c>
      <c r="F1331" s="15">
        <v>3.7999999999999999E-2</v>
      </c>
      <c r="G1331" s="15">
        <v>-1.0999999999999999E-2</v>
      </c>
      <c r="H1331" s="15">
        <v>5.0000000000000001E-3</v>
      </c>
      <c r="I1331" s="15">
        <v>0.10100000000000001</v>
      </c>
      <c r="J1331" t="s">
        <v>412</v>
      </c>
      <c r="K1331" t="s">
        <v>487</v>
      </c>
    </row>
    <row r="1332" spans="1:11">
      <c r="A1332" t="s">
        <v>486</v>
      </c>
      <c r="B1332" t="s">
        <v>478</v>
      </c>
      <c r="C1332" t="s">
        <v>583</v>
      </c>
      <c r="D1332" s="15">
        <v>-0.16700000000000001</v>
      </c>
      <c r="E1332" s="15">
        <v>0.104</v>
      </c>
      <c r="F1332" s="15">
        <v>3.1E-2</v>
      </c>
      <c r="G1332" s="15">
        <v>-3.2000000000000001E-2</v>
      </c>
      <c r="H1332" s="15">
        <v>-1.0999999999999999E-2</v>
      </c>
      <c r="I1332" s="15">
        <v>0.10100000000000001</v>
      </c>
      <c r="J1332" t="s">
        <v>412</v>
      </c>
      <c r="K1332" t="s">
        <v>487</v>
      </c>
    </row>
    <row r="1333" spans="1:11">
      <c r="A1333" t="s">
        <v>506</v>
      </c>
      <c r="B1333" t="s">
        <v>550</v>
      </c>
      <c r="C1333" t="s">
        <v>594</v>
      </c>
      <c r="D1333" s="15">
        <v>8.2000000000000003E-2</v>
      </c>
      <c r="E1333" s="15">
        <v>-0.17299999999999999</v>
      </c>
      <c r="F1333" s="15">
        <v>4.9000000000000002E-2</v>
      </c>
      <c r="G1333" s="15">
        <v>-4.5999999999999999E-2</v>
      </c>
      <c r="H1333" s="15">
        <v>-1.4E-2</v>
      </c>
      <c r="I1333" s="15">
        <v>0.10100000000000001</v>
      </c>
      <c r="J1333" t="s">
        <v>412</v>
      </c>
      <c r="K1333" t="s">
        <v>480</v>
      </c>
    </row>
    <row r="1334" spans="1:11">
      <c r="A1334" t="s">
        <v>576</v>
      </c>
      <c r="B1334" t="s">
        <v>574</v>
      </c>
      <c r="C1334" t="s">
        <v>594</v>
      </c>
      <c r="D1334" s="15">
        <v>2.1000000000000001E-2</v>
      </c>
      <c r="E1334" s="15">
        <v>0.109</v>
      </c>
      <c r="F1334" s="15">
        <v>-0.17299999999999999</v>
      </c>
      <c r="G1334" s="15">
        <v>6.5000000000000002E-2</v>
      </c>
      <c r="H1334" s="15">
        <v>-1.4E-2</v>
      </c>
      <c r="I1334" s="15">
        <v>0.10100000000000001</v>
      </c>
      <c r="J1334" t="s">
        <v>412</v>
      </c>
      <c r="K1334" t="s">
        <v>493</v>
      </c>
    </row>
    <row r="1335" spans="1:11">
      <c r="A1335" t="s">
        <v>577</v>
      </c>
      <c r="B1335" t="s">
        <v>598</v>
      </c>
      <c r="C1335" t="s">
        <v>594</v>
      </c>
      <c r="D1335" s="15">
        <v>6.6000000000000003E-2</v>
      </c>
      <c r="E1335" s="15">
        <v>-0.188</v>
      </c>
      <c r="F1335" s="15">
        <v>4.9000000000000002E-2</v>
      </c>
      <c r="G1335" s="15">
        <v>-6.0999999999999999E-2</v>
      </c>
      <c r="H1335" s="15">
        <v>-2.5000000000000001E-2</v>
      </c>
      <c r="I1335" s="15">
        <v>0.10100000000000001</v>
      </c>
      <c r="J1335" t="s">
        <v>412</v>
      </c>
      <c r="K1335" t="s">
        <v>480</v>
      </c>
    </row>
    <row r="1336" spans="1:11">
      <c r="A1336" t="s">
        <v>486</v>
      </c>
      <c r="B1336" t="s">
        <v>478</v>
      </c>
      <c r="C1336" t="s">
        <v>594</v>
      </c>
      <c r="D1336" s="15">
        <v>-9.7000000000000003E-2</v>
      </c>
      <c r="E1336" s="15">
        <v>0.104</v>
      </c>
      <c r="F1336" s="15">
        <v>-0.10299999999999999</v>
      </c>
      <c r="G1336" s="15">
        <v>3.0000000000000001E-3</v>
      </c>
      <c r="H1336" s="15">
        <v>-3.2000000000000001E-2</v>
      </c>
      <c r="I1336" s="15">
        <v>0.10100000000000001</v>
      </c>
      <c r="J1336" t="s">
        <v>412</v>
      </c>
      <c r="K1336" t="s">
        <v>500</v>
      </c>
    </row>
    <row r="1337" spans="1:11">
      <c r="A1337" t="s">
        <v>547</v>
      </c>
      <c r="B1337" t="s">
        <v>586</v>
      </c>
      <c r="C1337" t="s">
        <v>583</v>
      </c>
      <c r="D1337" s="15">
        <v>-0.03</v>
      </c>
      <c r="E1337" s="15">
        <v>-0.17299999999999999</v>
      </c>
      <c r="F1337" s="15">
        <v>0.1</v>
      </c>
      <c r="G1337" s="15">
        <v>-0.10199999999999999</v>
      </c>
      <c r="H1337" s="15">
        <v>-3.4000000000000002E-2</v>
      </c>
      <c r="I1337" s="15">
        <v>0.10100000000000001</v>
      </c>
      <c r="J1337" t="s">
        <v>412</v>
      </c>
      <c r="K1337" t="s">
        <v>510</v>
      </c>
    </row>
    <row r="1338" spans="1:11">
      <c r="A1338" t="s">
        <v>486</v>
      </c>
      <c r="B1338" t="s">
        <v>586</v>
      </c>
      <c r="C1338" t="s">
        <v>594</v>
      </c>
      <c r="D1338" s="15">
        <v>-9.7000000000000003E-2</v>
      </c>
      <c r="E1338" s="15">
        <v>-0.189</v>
      </c>
      <c r="F1338" s="15">
        <v>1.7999999999999999E-2</v>
      </c>
      <c r="G1338" s="15">
        <v>-0.14299999999999999</v>
      </c>
      <c r="H1338" s="15">
        <v>-0.09</v>
      </c>
      <c r="I1338" s="15">
        <v>0.10100000000000001</v>
      </c>
      <c r="J1338" t="s">
        <v>412</v>
      </c>
      <c r="K1338" t="s">
        <v>510</v>
      </c>
    </row>
    <row r="1339" spans="1:11">
      <c r="A1339" t="s">
        <v>479</v>
      </c>
      <c r="B1339" t="s">
        <v>580</v>
      </c>
      <c r="C1339" t="s">
        <v>570</v>
      </c>
      <c r="D1339" s="15">
        <v>-0.26900000000000002</v>
      </c>
      <c r="E1339" s="15">
        <v>-1.9E-2</v>
      </c>
      <c r="F1339" s="15">
        <v>1.6E-2</v>
      </c>
      <c r="G1339" s="15">
        <v>-0.14399999999999999</v>
      </c>
      <c r="H1339" s="15">
        <v>-9.0999999999999998E-2</v>
      </c>
      <c r="I1339" s="15">
        <v>0.10100000000000001</v>
      </c>
      <c r="J1339" t="s">
        <v>412</v>
      </c>
      <c r="K1339" t="s">
        <v>510</v>
      </c>
    </row>
    <row r="1340" spans="1:11">
      <c r="A1340" t="s">
        <v>577</v>
      </c>
      <c r="B1340" t="s">
        <v>499</v>
      </c>
      <c r="C1340" t="s">
        <v>585</v>
      </c>
      <c r="D1340" s="15">
        <v>-6.0000000000000001E-3</v>
      </c>
      <c r="E1340" s="15">
        <v>-1.2E-2</v>
      </c>
      <c r="F1340" s="15">
        <v>-0.28599999999999998</v>
      </c>
      <c r="G1340" s="15">
        <v>-8.9999999999999993E-3</v>
      </c>
      <c r="H1340" s="15">
        <v>-0.10100000000000001</v>
      </c>
      <c r="I1340" s="15">
        <v>0.10100000000000001</v>
      </c>
      <c r="J1340" t="s">
        <v>412</v>
      </c>
      <c r="K1340" t="s">
        <v>589</v>
      </c>
    </row>
    <row r="1341" spans="1:11">
      <c r="A1341" t="s">
        <v>573</v>
      </c>
      <c r="B1341" t="s">
        <v>588</v>
      </c>
      <c r="C1341" t="s">
        <v>591</v>
      </c>
      <c r="D1341" s="15">
        <v>0.123</v>
      </c>
      <c r="E1341" s="15">
        <v>4.9000000000000002E-2</v>
      </c>
      <c r="F1341" s="15">
        <v>0.128</v>
      </c>
      <c r="G1341" s="15">
        <v>8.5999999999999993E-2</v>
      </c>
      <c r="H1341" s="15">
        <v>0.1</v>
      </c>
      <c r="I1341" s="15">
        <v>0.1</v>
      </c>
      <c r="J1341" t="s">
        <v>412</v>
      </c>
      <c r="K1341" t="s">
        <v>551</v>
      </c>
    </row>
    <row r="1342" spans="1:11">
      <c r="A1342" t="s">
        <v>576</v>
      </c>
      <c r="B1342" t="s">
        <v>590</v>
      </c>
      <c r="C1342" t="s">
        <v>582</v>
      </c>
      <c r="D1342" s="15">
        <v>7.6999999999999999E-2</v>
      </c>
      <c r="E1342" s="15">
        <v>2.8000000000000001E-2</v>
      </c>
      <c r="F1342" s="15">
        <v>0.19500000000000001</v>
      </c>
      <c r="G1342" s="15">
        <v>5.2999999999999999E-2</v>
      </c>
      <c r="H1342" s="15">
        <v>0.1</v>
      </c>
      <c r="I1342" s="15">
        <v>0.1</v>
      </c>
      <c r="J1342" t="s">
        <v>412</v>
      </c>
      <c r="K1342" t="s">
        <v>551</v>
      </c>
    </row>
    <row r="1343" spans="1:11">
      <c r="A1343" t="s">
        <v>577</v>
      </c>
      <c r="B1343" t="s">
        <v>586</v>
      </c>
      <c r="C1343" t="s">
        <v>594</v>
      </c>
      <c r="D1343" s="15">
        <v>6.6000000000000003E-2</v>
      </c>
      <c r="E1343" s="15">
        <v>0.217</v>
      </c>
      <c r="F1343" s="15">
        <v>1.7999999999999999E-2</v>
      </c>
      <c r="G1343" s="15">
        <v>0.14099999999999999</v>
      </c>
      <c r="H1343" s="15">
        <v>0.1</v>
      </c>
      <c r="I1343" s="15">
        <v>0.1</v>
      </c>
      <c r="J1343" t="s">
        <v>412</v>
      </c>
      <c r="K1343" t="s">
        <v>551</v>
      </c>
    </row>
    <row r="1344" spans="1:11">
      <c r="A1344" t="s">
        <v>576</v>
      </c>
      <c r="B1344" t="s">
        <v>581</v>
      </c>
      <c r="C1344" t="s">
        <v>583</v>
      </c>
      <c r="D1344" s="15">
        <v>-0.109</v>
      </c>
      <c r="E1344" s="15">
        <v>0.18</v>
      </c>
      <c r="F1344" s="15">
        <v>1.0999999999999999E-2</v>
      </c>
      <c r="G1344" s="15">
        <v>3.5000000000000003E-2</v>
      </c>
      <c r="H1344" s="15">
        <v>2.7E-2</v>
      </c>
      <c r="I1344" s="15">
        <v>0.1</v>
      </c>
      <c r="J1344" t="s">
        <v>412</v>
      </c>
      <c r="K1344" t="s">
        <v>487</v>
      </c>
    </row>
    <row r="1345" spans="1:11">
      <c r="A1345" t="s">
        <v>576</v>
      </c>
      <c r="B1345" t="s">
        <v>517</v>
      </c>
      <c r="C1345" t="s">
        <v>575</v>
      </c>
      <c r="D1345" s="15">
        <v>-0.17100000000000001</v>
      </c>
      <c r="E1345" s="15">
        <v>5.0000000000000001E-3</v>
      </c>
      <c r="F1345" s="15">
        <v>0.123</v>
      </c>
      <c r="G1345" s="15">
        <v>-8.3000000000000004E-2</v>
      </c>
      <c r="H1345" s="15">
        <v>-1.4E-2</v>
      </c>
      <c r="I1345" s="15">
        <v>0.1</v>
      </c>
      <c r="J1345" t="s">
        <v>412</v>
      </c>
      <c r="K1345" t="s">
        <v>487</v>
      </c>
    </row>
    <row r="1346" spans="1:11">
      <c r="A1346" t="s">
        <v>576</v>
      </c>
      <c r="B1346" t="s">
        <v>498</v>
      </c>
      <c r="C1346" t="s">
        <v>585</v>
      </c>
      <c r="D1346" s="15">
        <v>0.03</v>
      </c>
      <c r="E1346" s="15">
        <v>5.0999999999999997E-2</v>
      </c>
      <c r="F1346" s="15">
        <v>-0.221</v>
      </c>
      <c r="G1346" s="15">
        <v>0.04</v>
      </c>
      <c r="H1346" s="15">
        <v>-4.7E-2</v>
      </c>
      <c r="I1346" s="15">
        <v>0.1</v>
      </c>
      <c r="J1346" t="s">
        <v>412</v>
      </c>
      <c r="K1346" t="s">
        <v>493</v>
      </c>
    </row>
    <row r="1347" spans="1:11">
      <c r="A1347" t="s">
        <v>571</v>
      </c>
      <c r="B1347" t="s">
        <v>597</v>
      </c>
      <c r="C1347" t="s">
        <v>570</v>
      </c>
      <c r="D1347" s="15">
        <v>-0.19700000000000001</v>
      </c>
      <c r="E1347" s="15">
        <v>4.7E-2</v>
      </c>
      <c r="F1347" s="15">
        <v>-5.6000000000000001E-2</v>
      </c>
      <c r="G1347" s="15">
        <v>-7.4999999999999997E-2</v>
      </c>
      <c r="H1347" s="15">
        <v>-6.9000000000000006E-2</v>
      </c>
      <c r="I1347" s="15">
        <v>0.1</v>
      </c>
      <c r="J1347" t="s">
        <v>412</v>
      </c>
      <c r="K1347" t="s">
        <v>500</v>
      </c>
    </row>
    <row r="1348" spans="1:11">
      <c r="A1348" t="s">
        <v>506</v>
      </c>
      <c r="B1348" t="s">
        <v>596</v>
      </c>
      <c r="C1348" t="s">
        <v>575</v>
      </c>
      <c r="D1348" s="15">
        <v>-0.14399999999999999</v>
      </c>
      <c r="E1348" s="15">
        <v>-6.0000000000000001E-3</v>
      </c>
      <c r="F1348" s="15">
        <v>-0.151</v>
      </c>
      <c r="G1348" s="15">
        <v>-7.4999999999999997E-2</v>
      </c>
      <c r="H1348" s="15">
        <v>-0.1</v>
      </c>
      <c r="I1348" s="15">
        <v>0.1</v>
      </c>
      <c r="J1348" t="s">
        <v>412</v>
      </c>
      <c r="K1348" t="s">
        <v>589</v>
      </c>
    </row>
    <row r="1349" spans="1:11">
      <c r="A1349" t="s">
        <v>571</v>
      </c>
      <c r="B1349" t="s">
        <v>499</v>
      </c>
      <c r="C1349" t="s">
        <v>585</v>
      </c>
      <c r="D1349" s="15">
        <v>-1.2999999999999999E-2</v>
      </c>
      <c r="E1349" s="15">
        <v>-1E-3</v>
      </c>
      <c r="F1349" s="15">
        <v>-0.28599999999999998</v>
      </c>
      <c r="G1349" s="15">
        <v>-7.0000000000000001E-3</v>
      </c>
      <c r="H1349" s="15">
        <v>-0.1</v>
      </c>
      <c r="I1349" s="15">
        <v>0.1</v>
      </c>
      <c r="J1349" t="s">
        <v>412</v>
      </c>
      <c r="K1349" t="s">
        <v>589</v>
      </c>
    </row>
    <row r="1350" spans="1:11">
      <c r="A1350" t="s">
        <v>576</v>
      </c>
      <c r="B1350" t="s">
        <v>586</v>
      </c>
      <c r="C1350" t="s">
        <v>572</v>
      </c>
      <c r="D1350" s="15">
        <v>-5.8999999999999997E-2</v>
      </c>
      <c r="E1350" s="15">
        <v>-3.2000000000000001E-2</v>
      </c>
      <c r="F1350" s="15">
        <v>-0.20799999999999999</v>
      </c>
      <c r="G1350" s="15">
        <v>-4.5999999999999999E-2</v>
      </c>
      <c r="H1350" s="15">
        <v>-0.1</v>
      </c>
      <c r="I1350" s="15">
        <v>0.1</v>
      </c>
      <c r="J1350" t="s">
        <v>412</v>
      </c>
      <c r="K1350" t="s">
        <v>589</v>
      </c>
    </row>
    <row r="1351" spans="1:11">
      <c r="A1351" t="s">
        <v>547</v>
      </c>
      <c r="B1351" t="s">
        <v>588</v>
      </c>
      <c r="C1351" t="s">
        <v>583</v>
      </c>
      <c r="D1351" s="15">
        <v>-0.03</v>
      </c>
      <c r="E1351" s="15">
        <v>0.20200000000000001</v>
      </c>
      <c r="F1351" s="15">
        <v>6.5000000000000002E-2</v>
      </c>
      <c r="G1351" s="15">
        <v>8.5999999999999993E-2</v>
      </c>
      <c r="H1351" s="15">
        <v>7.9000000000000001E-2</v>
      </c>
      <c r="I1351" s="15">
        <v>9.9000000000000005E-2</v>
      </c>
      <c r="J1351" t="s">
        <v>412</v>
      </c>
      <c r="K1351" t="s">
        <v>487</v>
      </c>
    </row>
    <row r="1352" spans="1:11">
      <c r="A1352" t="s">
        <v>577</v>
      </c>
      <c r="B1352" t="s">
        <v>517</v>
      </c>
      <c r="C1352" t="s">
        <v>583</v>
      </c>
      <c r="D1352" s="15">
        <v>-0.09</v>
      </c>
      <c r="E1352" s="15">
        <v>0.13900000000000001</v>
      </c>
      <c r="F1352" s="15">
        <v>6.8000000000000005E-2</v>
      </c>
      <c r="G1352" s="15">
        <v>2.4E-2</v>
      </c>
      <c r="H1352" s="15">
        <v>3.9E-2</v>
      </c>
      <c r="I1352" s="15">
        <v>9.9000000000000005E-2</v>
      </c>
      <c r="J1352" t="s">
        <v>412</v>
      </c>
      <c r="K1352" t="s">
        <v>487</v>
      </c>
    </row>
    <row r="1353" spans="1:11">
      <c r="A1353" t="s">
        <v>576</v>
      </c>
      <c r="B1353" t="s">
        <v>581</v>
      </c>
      <c r="C1353" t="s">
        <v>594</v>
      </c>
      <c r="D1353" s="15">
        <v>2.1000000000000001E-2</v>
      </c>
      <c r="E1353" s="15">
        <v>0.18</v>
      </c>
      <c r="F1353" s="15">
        <v>-9.5000000000000001E-2</v>
      </c>
      <c r="G1353" s="15">
        <v>0.1</v>
      </c>
      <c r="H1353" s="15">
        <v>3.5000000000000003E-2</v>
      </c>
      <c r="I1353" s="15">
        <v>9.9000000000000005E-2</v>
      </c>
      <c r="J1353" t="s">
        <v>412</v>
      </c>
      <c r="K1353" t="s">
        <v>493</v>
      </c>
    </row>
    <row r="1354" spans="1:11">
      <c r="A1354" t="s">
        <v>576</v>
      </c>
      <c r="B1354" t="s">
        <v>588</v>
      </c>
      <c r="C1354" t="s">
        <v>583</v>
      </c>
      <c r="D1354" s="15">
        <v>-0.109</v>
      </c>
      <c r="E1354" s="15">
        <v>0.124</v>
      </c>
      <c r="F1354" s="15">
        <v>6.5000000000000002E-2</v>
      </c>
      <c r="G1354" s="15">
        <v>7.0000000000000001E-3</v>
      </c>
      <c r="H1354" s="15">
        <v>2.7E-2</v>
      </c>
      <c r="I1354" s="15">
        <v>9.9000000000000005E-2</v>
      </c>
      <c r="J1354" t="s">
        <v>412</v>
      </c>
      <c r="K1354" t="s">
        <v>487</v>
      </c>
    </row>
    <row r="1355" spans="1:11">
      <c r="A1355" t="s">
        <v>479</v>
      </c>
      <c r="B1355" t="s">
        <v>590</v>
      </c>
      <c r="C1355" t="s">
        <v>583</v>
      </c>
      <c r="D1355" s="15">
        <v>-0.02</v>
      </c>
      <c r="E1355" s="15">
        <v>0.17899999999999999</v>
      </c>
      <c r="F1355" s="15">
        <v>-9.9000000000000005E-2</v>
      </c>
      <c r="G1355" s="15">
        <v>7.9000000000000001E-2</v>
      </c>
      <c r="H1355" s="15">
        <v>0.02</v>
      </c>
      <c r="I1355" s="15">
        <v>9.9000000000000005E-2</v>
      </c>
      <c r="J1355" t="s">
        <v>412</v>
      </c>
      <c r="K1355" t="s">
        <v>500</v>
      </c>
    </row>
    <row r="1356" spans="1:11">
      <c r="A1356" t="s">
        <v>479</v>
      </c>
      <c r="B1356" t="s">
        <v>523</v>
      </c>
      <c r="C1356" t="s">
        <v>585</v>
      </c>
      <c r="D1356" s="15">
        <v>-0.123</v>
      </c>
      <c r="E1356" s="15">
        <v>0.06</v>
      </c>
      <c r="F1356" s="15">
        <v>0.115</v>
      </c>
      <c r="G1356" s="15">
        <v>-3.2000000000000001E-2</v>
      </c>
      <c r="H1356" s="15">
        <v>1.7000000000000001E-2</v>
      </c>
      <c r="I1356" s="15">
        <v>9.9000000000000005E-2</v>
      </c>
      <c r="J1356" t="s">
        <v>412</v>
      </c>
      <c r="K1356" t="s">
        <v>487</v>
      </c>
    </row>
    <row r="1357" spans="1:11">
      <c r="A1357" t="s">
        <v>577</v>
      </c>
      <c r="B1357" t="s">
        <v>592</v>
      </c>
      <c r="C1357" t="s">
        <v>570</v>
      </c>
      <c r="D1357" s="15">
        <v>-8.8999999999999996E-2</v>
      </c>
      <c r="E1357" s="15">
        <v>-6.9000000000000006E-2</v>
      </c>
      <c r="F1357" s="15">
        <v>0.13900000000000001</v>
      </c>
      <c r="G1357" s="15">
        <v>-7.9000000000000001E-2</v>
      </c>
      <c r="H1357" s="15">
        <v>-6.0000000000000001E-3</v>
      </c>
      <c r="I1357" s="15">
        <v>9.9000000000000005E-2</v>
      </c>
      <c r="J1357" t="s">
        <v>412</v>
      </c>
      <c r="K1357" t="s">
        <v>510</v>
      </c>
    </row>
    <row r="1358" spans="1:11">
      <c r="A1358" t="s">
        <v>577</v>
      </c>
      <c r="B1358" t="s">
        <v>598</v>
      </c>
      <c r="C1358" t="s">
        <v>585</v>
      </c>
      <c r="D1358" s="15">
        <v>-6.0000000000000001E-3</v>
      </c>
      <c r="E1358" s="15">
        <v>-0.188</v>
      </c>
      <c r="F1358" s="15">
        <v>0.104</v>
      </c>
      <c r="G1358" s="15">
        <v>-9.7000000000000003E-2</v>
      </c>
      <c r="H1358" s="15">
        <v>-0.03</v>
      </c>
      <c r="I1358" s="15">
        <v>9.9000000000000005E-2</v>
      </c>
      <c r="J1358" t="s">
        <v>412</v>
      </c>
      <c r="K1358" t="s">
        <v>510</v>
      </c>
    </row>
    <row r="1359" spans="1:11">
      <c r="A1359" t="s">
        <v>506</v>
      </c>
      <c r="B1359" t="s">
        <v>478</v>
      </c>
      <c r="C1359" t="s">
        <v>583</v>
      </c>
      <c r="D1359" s="15">
        <v>4.1000000000000002E-2</v>
      </c>
      <c r="E1359" s="15">
        <v>-0.224</v>
      </c>
      <c r="F1359" s="15">
        <v>3.1E-2</v>
      </c>
      <c r="G1359" s="15">
        <v>-9.0999999999999998E-2</v>
      </c>
      <c r="H1359" s="15">
        <v>-0.05</v>
      </c>
      <c r="I1359" s="15">
        <v>9.9000000000000005E-2</v>
      </c>
      <c r="J1359" t="s">
        <v>412</v>
      </c>
      <c r="K1359" t="s">
        <v>480</v>
      </c>
    </row>
    <row r="1360" spans="1:11">
      <c r="A1360" t="s">
        <v>577</v>
      </c>
      <c r="B1360" t="s">
        <v>569</v>
      </c>
      <c r="C1360" t="s">
        <v>594</v>
      </c>
      <c r="D1360" s="15">
        <v>6.6000000000000003E-2</v>
      </c>
      <c r="E1360" s="15">
        <v>-0.157</v>
      </c>
      <c r="F1360" s="15">
        <v>-7.3999999999999996E-2</v>
      </c>
      <c r="G1360" s="15">
        <v>-4.5999999999999999E-2</v>
      </c>
      <c r="H1360" s="15">
        <v>-5.5E-2</v>
      </c>
      <c r="I1360" s="15">
        <v>9.9000000000000005E-2</v>
      </c>
      <c r="J1360" t="s">
        <v>412</v>
      </c>
      <c r="K1360" t="s">
        <v>579</v>
      </c>
    </row>
    <row r="1361" spans="1:11">
      <c r="A1361" t="s">
        <v>506</v>
      </c>
      <c r="B1361" t="s">
        <v>569</v>
      </c>
      <c r="C1361" t="s">
        <v>585</v>
      </c>
      <c r="D1361" s="15">
        <v>-5.6000000000000001E-2</v>
      </c>
      <c r="E1361" s="15">
        <v>-0.22700000000000001</v>
      </c>
      <c r="F1361" s="15">
        <v>1.4E-2</v>
      </c>
      <c r="G1361" s="15">
        <v>-0.14099999999999999</v>
      </c>
      <c r="H1361" s="15">
        <v>-0.09</v>
      </c>
      <c r="I1361" s="15">
        <v>9.9000000000000005E-2</v>
      </c>
      <c r="J1361" t="s">
        <v>412</v>
      </c>
      <c r="K1361" t="s">
        <v>510</v>
      </c>
    </row>
    <row r="1362" spans="1:11">
      <c r="A1362" t="s">
        <v>506</v>
      </c>
      <c r="B1362" t="s">
        <v>598</v>
      </c>
      <c r="C1362" t="s">
        <v>572</v>
      </c>
      <c r="D1362" s="15">
        <v>-0.11899999999999999</v>
      </c>
      <c r="E1362" s="15">
        <v>0.13</v>
      </c>
      <c r="F1362" s="15">
        <v>4.5999999999999999E-2</v>
      </c>
      <c r="G1362" s="15">
        <v>6.0000000000000001E-3</v>
      </c>
      <c r="H1362" s="15">
        <v>1.9E-2</v>
      </c>
      <c r="I1362" s="15">
        <v>9.8000000000000004E-2</v>
      </c>
      <c r="J1362" t="s">
        <v>412</v>
      </c>
      <c r="K1362" t="s">
        <v>487</v>
      </c>
    </row>
    <row r="1363" spans="1:11">
      <c r="A1363" t="s">
        <v>486</v>
      </c>
      <c r="B1363" t="s">
        <v>587</v>
      </c>
      <c r="C1363" t="s">
        <v>582</v>
      </c>
      <c r="D1363" s="15">
        <v>-0.129</v>
      </c>
      <c r="E1363" s="15">
        <v>9.0999999999999998E-2</v>
      </c>
      <c r="F1363" s="15">
        <v>7.2999999999999995E-2</v>
      </c>
      <c r="G1363" s="15">
        <v>-1.9E-2</v>
      </c>
      <c r="H1363" s="15">
        <v>1.2E-2</v>
      </c>
      <c r="I1363" s="15">
        <v>9.8000000000000004E-2</v>
      </c>
      <c r="J1363" t="s">
        <v>412</v>
      </c>
      <c r="K1363" t="s">
        <v>487</v>
      </c>
    </row>
    <row r="1364" spans="1:11">
      <c r="A1364" t="s">
        <v>547</v>
      </c>
      <c r="B1364" t="s">
        <v>590</v>
      </c>
      <c r="C1364" t="s">
        <v>583</v>
      </c>
      <c r="D1364" s="15">
        <v>-0.03</v>
      </c>
      <c r="E1364" s="15">
        <v>0.16600000000000001</v>
      </c>
      <c r="F1364" s="15">
        <v>-9.9000000000000005E-2</v>
      </c>
      <c r="G1364" s="15">
        <v>6.8000000000000005E-2</v>
      </c>
      <c r="H1364" s="15">
        <v>1.2E-2</v>
      </c>
      <c r="I1364" s="15">
        <v>9.8000000000000004E-2</v>
      </c>
      <c r="J1364" t="s">
        <v>412</v>
      </c>
      <c r="K1364" t="s">
        <v>500</v>
      </c>
    </row>
    <row r="1365" spans="1:11">
      <c r="A1365" t="s">
        <v>573</v>
      </c>
      <c r="B1365" t="s">
        <v>581</v>
      </c>
      <c r="C1365" t="s">
        <v>585</v>
      </c>
      <c r="D1365" s="15">
        <v>2.5999999999999999E-2</v>
      </c>
      <c r="E1365" s="15">
        <v>7.3999999999999996E-2</v>
      </c>
      <c r="F1365" s="15">
        <v>-0.193</v>
      </c>
      <c r="G1365" s="15">
        <v>0.05</v>
      </c>
      <c r="H1365" s="15">
        <v>-3.1E-2</v>
      </c>
      <c r="I1365" s="15">
        <v>9.8000000000000004E-2</v>
      </c>
      <c r="J1365" t="s">
        <v>412</v>
      </c>
      <c r="K1365" t="s">
        <v>493</v>
      </c>
    </row>
    <row r="1366" spans="1:11">
      <c r="A1366" t="s">
        <v>506</v>
      </c>
      <c r="B1366" t="s">
        <v>578</v>
      </c>
      <c r="C1366" t="s">
        <v>570</v>
      </c>
      <c r="D1366" s="15">
        <v>-0.14199999999999999</v>
      </c>
      <c r="E1366" s="15">
        <v>-5.6000000000000001E-2</v>
      </c>
      <c r="F1366" s="15">
        <v>9.5000000000000001E-2</v>
      </c>
      <c r="G1366" s="15">
        <v>-9.9000000000000005E-2</v>
      </c>
      <c r="H1366" s="15">
        <v>-3.4000000000000002E-2</v>
      </c>
      <c r="I1366" s="15">
        <v>9.8000000000000004E-2</v>
      </c>
      <c r="J1366" t="s">
        <v>412</v>
      </c>
      <c r="K1366" t="s">
        <v>510</v>
      </c>
    </row>
    <row r="1367" spans="1:11">
      <c r="A1367" t="s">
        <v>547</v>
      </c>
      <c r="B1367" t="s">
        <v>586</v>
      </c>
      <c r="C1367" t="s">
        <v>585</v>
      </c>
      <c r="D1367" s="15">
        <v>-7.1999999999999995E-2</v>
      </c>
      <c r="E1367" s="15">
        <v>-0.17299999999999999</v>
      </c>
      <c r="F1367" s="15">
        <v>4.9000000000000002E-2</v>
      </c>
      <c r="G1367" s="15">
        <v>-0.123</v>
      </c>
      <c r="H1367" s="15">
        <v>-6.6000000000000003E-2</v>
      </c>
      <c r="I1367" s="15">
        <v>9.8000000000000004E-2</v>
      </c>
      <c r="J1367" t="s">
        <v>412</v>
      </c>
      <c r="K1367" t="s">
        <v>510</v>
      </c>
    </row>
    <row r="1368" spans="1:11">
      <c r="A1368" t="s">
        <v>547</v>
      </c>
      <c r="B1368" t="s">
        <v>597</v>
      </c>
      <c r="C1368" t="s">
        <v>593</v>
      </c>
      <c r="D1368" s="15">
        <v>3.5000000000000003E-2</v>
      </c>
      <c r="E1368" s="15">
        <v>-1.0999999999999999E-2</v>
      </c>
      <c r="F1368" s="15">
        <v>-0.249</v>
      </c>
      <c r="G1368" s="15">
        <v>1.2E-2</v>
      </c>
      <c r="H1368" s="15">
        <v>-7.4999999999999997E-2</v>
      </c>
      <c r="I1368" s="15">
        <v>9.8000000000000004E-2</v>
      </c>
      <c r="J1368" t="s">
        <v>412</v>
      </c>
      <c r="K1368" t="s">
        <v>579</v>
      </c>
    </row>
    <row r="1369" spans="1:11">
      <c r="A1369" t="s">
        <v>486</v>
      </c>
      <c r="B1369" t="s">
        <v>596</v>
      </c>
      <c r="C1369" t="s">
        <v>585</v>
      </c>
      <c r="D1369" s="15">
        <v>-0.27</v>
      </c>
      <c r="E1369" s="15">
        <v>-1E-3</v>
      </c>
      <c r="F1369" s="15">
        <v>-2.1000000000000001E-2</v>
      </c>
      <c r="G1369" s="15">
        <v>-0.13600000000000001</v>
      </c>
      <c r="H1369" s="15">
        <v>-9.8000000000000004E-2</v>
      </c>
      <c r="I1369" s="15">
        <v>9.8000000000000004E-2</v>
      </c>
      <c r="J1369" t="s">
        <v>412</v>
      </c>
      <c r="K1369" t="s">
        <v>589</v>
      </c>
    </row>
    <row r="1370" spans="1:11">
      <c r="A1370" t="s">
        <v>576</v>
      </c>
      <c r="B1370" t="s">
        <v>597</v>
      </c>
      <c r="C1370" t="s">
        <v>575</v>
      </c>
      <c r="D1370" s="15">
        <v>-0.17100000000000001</v>
      </c>
      <c r="E1370" s="15">
        <v>-0.11700000000000001</v>
      </c>
      <c r="F1370" s="15">
        <v>-6.0000000000000001E-3</v>
      </c>
      <c r="G1370" s="15">
        <v>-0.14399999999999999</v>
      </c>
      <c r="H1370" s="15">
        <v>-9.8000000000000004E-2</v>
      </c>
      <c r="I1370" s="15">
        <v>9.8000000000000004E-2</v>
      </c>
      <c r="J1370" t="s">
        <v>412</v>
      </c>
      <c r="K1370" t="s">
        <v>589</v>
      </c>
    </row>
    <row r="1371" spans="1:11">
      <c r="A1371" t="s">
        <v>573</v>
      </c>
      <c r="B1371" t="s">
        <v>517</v>
      </c>
      <c r="C1371" t="s">
        <v>594</v>
      </c>
      <c r="D1371" s="15">
        <v>0.13700000000000001</v>
      </c>
      <c r="E1371" s="15">
        <v>7.4999999999999997E-2</v>
      </c>
      <c r="F1371" s="15">
        <v>0.08</v>
      </c>
      <c r="G1371" s="15">
        <v>0.106</v>
      </c>
      <c r="H1371" s="15">
        <v>9.7000000000000003E-2</v>
      </c>
      <c r="I1371" s="15">
        <v>9.7000000000000003E-2</v>
      </c>
      <c r="J1371" t="s">
        <v>412</v>
      </c>
      <c r="K1371" t="s">
        <v>551</v>
      </c>
    </row>
    <row r="1372" spans="1:11">
      <c r="A1372" t="s">
        <v>576</v>
      </c>
      <c r="B1372" t="s">
        <v>517</v>
      </c>
      <c r="C1372" t="s">
        <v>477</v>
      </c>
      <c r="D1372" s="15">
        <v>2.9000000000000001E-2</v>
      </c>
      <c r="E1372" s="15">
        <v>5.0000000000000001E-3</v>
      </c>
      <c r="F1372" s="15">
        <v>0.25800000000000001</v>
      </c>
      <c r="G1372" s="15">
        <v>1.7000000000000001E-2</v>
      </c>
      <c r="H1372" s="15">
        <v>9.7000000000000003E-2</v>
      </c>
      <c r="I1372" s="15">
        <v>9.7000000000000003E-2</v>
      </c>
      <c r="J1372" t="s">
        <v>412</v>
      </c>
      <c r="K1372" t="s">
        <v>551</v>
      </c>
    </row>
    <row r="1373" spans="1:11">
      <c r="A1373" t="s">
        <v>571</v>
      </c>
      <c r="B1373" t="s">
        <v>598</v>
      </c>
      <c r="C1373" t="s">
        <v>585</v>
      </c>
      <c r="D1373" s="15">
        <v>-1.2999999999999999E-2</v>
      </c>
      <c r="E1373" s="15">
        <v>0.17299999999999999</v>
      </c>
      <c r="F1373" s="15">
        <v>0.104</v>
      </c>
      <c r="G1373" s="15">
        <v>0.08</v>
      </c>
      <c r="H1373" s="15">
        <v>8.7999999999999995E-2</v>
      </c>
      <c r="I1373" s="15">
        <v>9.7000000000000003E-2</v>
      </c>
      <c r="J1373" t="s">
        <v>412</v>
      </c>
      <c r="K1373" t="s">
        <v>487</v>
      </c>
    </row>
    <row r="1374" spans="1:11">
      <c r="A1374" t="s">
        <v>479</v>
      </c>
      <c r="B1374" t="s">
        <v>590</v>
      </c>
      <c r="C1374" t="s">
        <v>591</v>
      </c>
      <c r="D1374" s="15">
        <v>9.4E-2</v>
      </c>
      <c r="E1374" s="15">
        <v>0.17899999999999999</v>
      </c>
      <c r="F1374" s="15">
        <v>-1.9E-2</v>
      </c>
      <c r="G1374" s="15">
        <v>0.13600000000000001</v>
      </c>
      <c r="H1374" s="15">
        <v>8.5000000000000006E-2</v>
      </c>
      <c r="I1374" s="15">
        <v>9.7000000000000003E-2</v>
      </c>
      <c r="J1374" t="s">
        <v>412</v>
      </c>
      <c r="K1374" t="s">
        <v>493</v>
      </c>
    </row>
    <row r="1375" spans="1:11">
      <c r="A1375" t="s">
        <v>573</v>
      </c>
      <c r="B1375" t="s">
        <v>598</v>
      </c>
      <c r="C1375" t="s">
        <v>584</v>
      </c>
      <c r="D1375" s="15">
        <v>0.26500000000000001</v>
      </c>
      <c r="E1375" s="15">
        <v>-2.3E-2</v>
      </c>
      <c r="F1375" s="15">
        <v>-4.0000000000000001E-3</v>
      </c>
      <c r="G1375" s="15">
        <v>0.121</v>
      </c>
      <c r="H1375" s="15">
        <v>7.9000000000000001E-2</v>
      </c>
      <c r="I1375" s="15">
        <v>9.7000000000000003E-2</v>
      </c>
      <c r="J1375" t="s">
        <v>412</v>
      </c>
      <c r="K1375" t="s">
        <v>579</v>
      </c>
    </row>
    <row r="1376" spans="1:11">
      <c r="A1376" t="s">
        <v>573</v>
      </c>
      <c r="B1376" t="s">
        <v>590</v>
      </c>
      <c r="C1376" t="s">
        <v>575</v>
      </c>
      <c r="D1376" s="15">
        <v>-4.9000000000000002E-2</v>
      </c>
      <c r="E1376" s="15">
        <v>0.23</v>
      </c>
      <c r="F1376" s="15">
        <v>1.2999999999999999E-2</v>
      </c>
      <c r="G1376" s="15">
        <v>9.0999999999999998E-2</v>
      </c>
      <c r="H1376" s="15">
        <v>6.5000000000000002E-2</v>
      </c>
      <c r="I1376" s="15">
        <v>9.7000000000000003E-2</v>
      </c>
      <c r="J1376" t="s">
        <v>412</v>
      </c>
      <c r="K1376" t="s">
        <v>487</v>
      </c>
    </row>
    <row r="1377" spans="1:11">
      <c r="A1377" t="s">
        <v>506</v>
      </c>
      <c r="B1377" t="s">
        <v>598</v>
      </c>
      <c r="C1377" t="s">
        <v>585</v>
      </c>
      <c r="D1377" s="15">
        <v>-5.6000000000000001E-2</v>
      </c>
      <c r="E1377" s="15">
        <v>0.13</v>
      </c>
      <c r="F1377" s="15">
        <v>0.104</v>
      </c>
      <c r="G1377" s="15">
        <v>3.6999999999999998E-2</v>
      </c>
      <c r="H1377" s="15">
        <v>5.8999999999999997E-2</v>
      </c>
      <c r="I1377" s="15">
        <v>9.7000000000000003E-2</v>
      </c>
      <c r="J1377" t="s">
        <v>412</v>
      </c>
      <c r="K1377" t="s">
        <v>487</v>
      </c>
    </row>
    <row r="1378" spans="1:11">
      <c r="A1378" t="s">
        <v>573</v>
      </c>
      <c r="B1378" t="s">
        <v>509</v>
      </c>
      <c r="C1378" t="s">
        <v>477</v>
      </c>
      <c r="D1378" s="15">
        <v>0.14599999999999999</v>
      </c>
      <c r="E1378" s="15">
        <v>-6.3E-2</v>
      </c>
      <c r="F1378" s="15">
        <v>8.2000000000000003E-2</v>
      </c>
      <c r="G1378" s="15">
        <v>4.1000000000000002E-2</v>
      </c>
      <c r="H1378" s="15">
        <v>5.5E-2</v>
      </c>
      <c r="I1378" s="15">
        <v>9.7000000000000003E-2</v>
      </c>
      <c r="J1378" t="s">
        <v>412</v>
      </c>
      <c r="K1378" t="s">
        <v>480</v>
      </c>
    </row>
    <row r="1379" spans="1:11">
      <c r="A1379" t="s">
        <v>571</v>
      </c>
      <c r="B1379" t="s">
        <v>598</v>
      </c>
      <c r="C1379" t="s">
        <v>492</v>
      </c>
      <c r="D1379" s="15">
        <v>-6.5000000000000002E-2</v>
      </c>
      <c r="E1379" s="15">
        <v>0.17299999999999999</v>
      </c>
      <c r="F1379" s="15">
        <v>5.3999999999999999E-2</v>
      </c>
      <c r="G1379" s="15">
        <v>5.3999999999999999E-2</v>
      </c>
      <c r="H1379" s="15">
        <v>5.3999999999999999E-2</v>
      </c>
      <c r="I1379" s="15">
        <v>9.7000000000000003E-2</v>
      </c>
      <c r="J1379" t="s">
        <v>412</v>
      </c>
      <c r="K1379" t="s">
        <v>487</v>
      </c>
    </row>
    <row r="1380" spans="1:11">
      <c r="A1380" t="s">
        <v>547</v>
      </c>
      <c r="B1380" t="s">
        <v>478</v>
      </c>
      <c r="C1380" t="s">
        <v>593</v>
      </c>
      <c r="D1380" s="15">
        <v>3.5000000000000003E-2</v>
      </c>
      <c r="E1380" s="15">
        <v>-9.4E-2</v>
      </c>
      <c r="F1380" s="15">
        <v>0.16300000000000001</v>
      </c>
      <c r="G1380" s="15">
        <v>-2.9000000000000001E-2</v>
      </c>
      <c r="H1380" s="15">
        <v>3.5000000000000003E-2</v>
      </c>
      <c r="I1380" s="15">
        <v>9.7000000000000003E-2</v>
      </c>
      <c r="J1380" t="s">
        <v>412</v>
      </c>
      <c r="K1380" t="s">
        <v>480</v>
      </c>
    </row>
    <row r="1381" spans="1:11">
      <c r="A1381" t="s">
        <v>576</v>
      </c>
      <c r="B1381" t="s">
        <v>581</v>
      </c>
      <c r="C1381" t="s">
        <v>593</v>
      </c>
      <c r="D1381" s="15">
        <v>-1.7000000000000001E-2</v>
      </c>
      <c r="E1381" s="15">
        <v>0.18</v>
      </c>
      <c r="F1381" s="15">
        <v>-9.4E-2</v>
      </c>
      <c r="G1381" s="15">
        <v>8.1000000000000003E-2</v>
      </c>
      <c r="H1381" s="15">
        <v>2.3E-2</v>
      </c>
      <c r="I1381" s="15">
        <v>9.7000000000000003E-2</v>
      </c>
      <c r="J1381" t="s">
        <v>412</v>
      </c>
      <c r="K1381" t="s">
        <v>500</v>
      </c>
    </row>
    <row r="1382" spans="1:11">
      <c r="A1382" t="s">
        <v>577</v>
      </c>
      <c r="B1382" t="s">
        <v>498</v>
      </c>
      <c r="C1382" t="s">
        <v>572</v>
      </c>
      <c r="D1382" s="15">
        <v>-0.14399999999999999</v>
      </c>
      <c r="E1382" s="15">
        <v>-1.2E-2</v>
      </c>
      <c r="F1382" s="15">
        <v>0.13500000000000001</v>
      </c>
      <c r="G1382" s="15">
        <v>-7.8E-2</v>
      </c>
      <c r="H1382" s="15">
        <v>-7.0000000000000001E-3</v>
      </c>
      <c r="I1382" s="15">
        <v>9.7000000000000003E-2</v>
      </c>
      <c r="J1382" t="s">
        <v>412</v>
      </c>
      <c r="K1382" t="s">
        <v>510</v>
      </c>
    </row>
    <row r="1383" spans="1:11">
      <c r="A1383" t="s">
        <v>571</v>
      </c>
      <c r="B1383" t="s">
        <v>592</v>
      </c>
      <c r="C1383" t="s">
        <v>575</v>
      </c>
      <c r="D1383" s="15">
        <v>-0.16800000000000001</v>
      </c>
      <c r="E1383" s="15">
        <v>1.0999999999999999E-2</v>
      </c>
      <c r="F1383" s="15">
        <v>0.112</v>
      </c>
      <c r="G1383" s="15">
        <v>-7.8E-2</v>
      </c>
      <c r="H1383" s="15">
        <v>-1.4999999999999999E-2</v>
      </c>
      <c r="I1383" s="15">
        <v>9.7000000000000003E-2</v>
      </c>
      <c r="J1383" t="s">
        <v>412</v>
      </c>
      <c r="K1383" t="s">
        <v>487</v>
      </c>
    </row>
    <row r="1384" spans="1:11">
      <c r="A1384" t="s">
        <v>506</v>
      </c>
      <c r="B1384" t="s">
        <v>574</v>
      </c>
      <c r="C1384" t="s">
        <v>594</v>
      </c>
      <c r="D1384" s="15">
        <v>8.2000000000000003E-2</v>
      </c>
      <c r="E1384" s="15">
        <v>3.5999999999999997E-2</v>
      </c>
      <c r="F1384" s="15">
        <v>-0.17299999999999999</v>
      </c>
      <c r="G1384" s="15">
        <v>5.8999999999999997E-2</v>
      </c>
      <c r="H1384" s="15">
        <v>-1.7999999999999999E-2</v>
      </c>
      <c r="I1384" s="15">
        <v>9.7000000000000003E-2</v>
      </c>
      <c r="J1384" t="s">
        <v>412</v>
      </c>
      <c r="K1384" t="s">
        <v>493</v>
      </c>
    </row>
    <row r="1385" spans="1:11">
      <c r="A1385" t="s">
        <v>571</v>
      </c>
      <c r="B1385" t="s">
        <v>509</v>
      </c>
      <c r="C1385" t="s">
        <v>570</v>
      </c>
      <c r="D1385" s="15">
        <v>-0.19700000000000001</v>
      </c>
      <c r="E1385" s="15">
        <v>-1.6E-2</v>
      </c>
      <c r="F1385" s="15">
        <v>7.6999999999999999E-2</v>
      </c>
      <c r="G1385" s="15">
        <v>-0.107</v>
      </c>
      <c r="H1385" s="15">
        <v>-4.4999999999999998E-2</v>
      </c>
      <c r="I1385" s="15">
        <v>9.7000000000000003E-2</v>
      </c>
      <c r="J1385" t="s">
        <v>412</v>
      </c>
      <c r="K1385" t="s">
        <v>510</v>
      </c>
    </row>
    <row r="1386" spans="1:11">
      <c r="A1386" t="s">
        <v>577</v>
      </c>
      <c r="B1386" t="s">
        <v>597</v>
      </c>
      <c r="C1386" t="s">
        <v>583</v>
      </c>
      <c r="D1386" s="15">
        <v>-0.09</v>
      </c>
      <c r="E1386" s="15">
        <v>6.6000000000000003E-2</v>
      </c>
      <c r="F1386" s="15">
        <v>-0.13600000000000001</v>
      </c>
      <c r="G1386" s="15">
        <v>-1.2E-2</v>
      </c>
      <c r="H1386" s="15">
        <v>-5.2999999999999999E-2</v>
      </c>
      <c r="I1386" s="15">
        <v>9.7000000000000003E-2</v>
      </c>
      <c r="J1386" t="s">
        <v>412</v>
      </c>
      <c r="K1386" t="s">
        <v>500</v>
      </c>
    </row>
    <row r="1387" spans="1:11">
      <c r="A1387" t="s">
        <v>576</v>
      </c>
      <c r="B1387" t="s">
        <v>517</v>
      </c>
      <c r="C1387" t="s">
        <v>492</v>
      </c>
      <c r="D1387" s="15">
        <v>1.7999999999999999E-2</v>
      </c>
      <c r="E1387" s="15">
        <v>5.0000000000000001E-3</v>
      </c>
      <c r="F1387" s="15">
        <v>-0.26700000000000002</v>
      </c>
      <c r="G1387" s="15">
        <v>1.0999999999999999E-2</v>
      </c>
      <c r="H1387" s="15">
        <v>-8.1000000000000003E-2</v>
      </c>
      <c r="I1387" s="15">
        <v>9.7000000000000003E-2</v>
      </c>
      <c r="J1387" t="s">
        <v>412</v>
      </c>
      <c r="K1387" t="s">
        <v>493</v>
      </c>
    </row>
    <row r="1388" spans="1:11">
      <c r="A1388" t="s">
        <v>573</v>
      </c>
      <c r="B1388" t="s">
        <v>597</v>
      </c>
      <c r="C1388" t="s">
        <v>570</v>
      </c>
      <c r="D1388" s="15">
        <v>-0.17100000000000001</v>
      </c>
      <c r="E1388" s="15">
        <v>-6.4000000000000001E-2</v>
      </c>
      <c r="F1388" s="15">
        <v>-5.6000000000000001E-2</v>
      </c>
      <c r="G1388" s="15">
        <v>-0.11799999999999999</v>
      </c>
      <c r="H1388" s="15">
        <v>-9.7000000000000003E-2</v>
      </c>
      <c r="I1388" s="15">
        <v>9.7000000000000003E-2</v>
      </c>
      <c r="J1388" t="s">
        <v>412</v>
      </c>
      <c r="K1388" t="s">
        <v>589</v>
      </c>
    </row>
    <row r="1389" spans="1:11">
      <c r="A1389" t="s">
        <v>571</v>
      </c>
      <c r="B1389" t="s">
        <v>580</v>
      </c>
      <c r="C1389" t="s">
        <v>594</v>
      </c>
      <c r="D1389" s="15">
        <v>-8.0000000000000002E-3</v>
      </c>
      <c r="E1389" s="15">
        <v>0.26200000000000001</v>
      </c>
      <c r="F1389" s="15">
        <v>-1.7000000000000001E-2</v>
      </c>
      <c r="G1389" s="15">
        <v>0.127</v>
      </c>
      <c r="H1389" s="15">
        <v>7.9000000000000001E-2</v>
      </c>
      <c r="I1389" s="15">
        <v>9.6000000000000002E-2</v>
      </c>
      <c r="J1389" t="s">
        <v>412</v>
      </c>
      <c r="K1389" t="s">
        <v>500</v>
      </c>
    </row>
    <row r="1390" spans="1:11">
      <c r="A1390" t="s">
        <v>547</v>
      </c>
      <c r="B1390" t="s">
        <v>478</v>
      </c>
      <c r="C1390" t="s">
        <v>584</v>
      </c>
      <c r="D1390" s="15">
        <v>0.112</v>
      </c>
      <c r="E1390" s="15">
        <v>-9.4E-2</v>
      </c>
      <c r="F1390" s="15">
        <v>8.1000000000000003E-2</v>
      </c>
      <c r="G1390" s="15">
        <v>8.9999999999999993E-3</v>
      </c>
      <c r="H1390" s="15">
        <v>3.3000000000000002E-2</v>
      </c>
      <c r="I1390" s="15">
        <v>9.6000000000000002E-2</v>
      </c>
      <c r="J1390" t="s">
        <v>412</v>
      </c>
      <c r="K1390" t="s">
        <v>480</v>
      </c>
    </row>
    <row r="1391" spans="1:11">
      <c r="A1391" t="s">
        <v>571</v>
      </c>
      <c r="B1391" t="s">
        <v>588</v>
      </c>
      <c r="C1391" t="s">
        <v>593</v>
      </c>
      <c r="D1391" s="15">
        <v>-0.10100000000000001</v>
      </c>
      <c r="E1391" s="15">
        <v>-1.9E-2</v>
      </c>
      <c r="F1391" s="15">
        <v>0.16800000000000001</v>
      </c>
      <c r="G1391" s="15">
        <v>-0.06</v>
      </c>
      <c r="H1391" s="15">
        <v>1.6E-2</v>
      </c>
      <c r="I1391" s="15">
        <v>9.6000000000000002E-2</v>
      </c>
      <c r="J1391" t="s">
        <v>412</v>
      </c>
      <c r="K1391" t="s">
        <v>510</v>
      </c>
    </row>
    <row r="1392" spans="1:11">
      <c r="A1392" t="s">
        <v>571</v>
      </c>
      <c r="B1392" t="s">
        <v>505</v>
      </c>
      <c r="C1392" t="s">
        <v>585</v>
      </c>
      <c r="D1392" s="15">
        <v>-1.2999999999999999E-2</v>
      </c>
      <c r="E1392" s="15">
        <v>-0.14000000000000001</v>
      </c>
      <c r="F1392" s="15">
        <v>0.13500000000000001</v>
      </c>
      <c r="G1392" s="15">
        <v>-7.5999999999999998E-2</v>
      </c>
      <c r="H1392" s="15">
        <v>-6.0000000000000001E-3</v>
      </c>
      <c r="I1392" s="15">
        <v>9.6000000000000002E-2</v>
      </c>
      <c r="J1392" t="s">
        <v>412</v>
      </c>
      <c r="K1392" t="s">
        <v>510</v>
      </c>
    </row>
    <row r="1393" spans="1:11">
      <c r="A1393" t="s">
        <v>573</v>
      </c>
      <c r="B1393" t="s">
        <v>592</v>
      </c>
      <c r="C1393" t="s">
        <v>591</v>
      </c>
      <c r="D1393" s="15">
        <v>0.123</v>
      </c>
      <c r="E1393" s="15">
        <v>-3.5000000000000003E-2</v>
      </c>
      <c r="F1393" s="15">
        <v>-0.13</v>
      </c>
      <c r="G1393" s="15">
        <v>4.3999999999999997E-2</v>
      </c>
      <c r="H1393" s="15">
        <v>-1.4E-2</v>
      </c>
      <c r="I1393" s="15">
        <v>9.6000000000000002E-2</v>
      </c>
      <c r="J1393" t="s">
        <v>412</v>
      </c>
      <c r="K1393" t="s">
        <v>579</v>
      </c>
    </row>
    <row r="1394" spans="1:11">
      <c r="A1394" t="s">
        <v>486</v>
      </c>
      <c r="B1394" t="s">
        <v>509</v>
      </c>
      <c r="C1394" t="s">
        <v>585</v>
      </c>
      <c r="D1394" s="15">
        <v>-0.27</v>
      </c>
      <c r="E1394" s="15">
        <v>-5.0000000000000001E-3</v>
      </c>
      <c r="F1394" s="15">
        <v>1.2999999999999999E-2</v>
      </c>
      <c r="G1394" s="15">
        <v>-0.13800000000000001</v>
      </c>
      <c r="H1394" s="15">
        <v>-8.6999999999999994E-2</v>
      </c>
      <c r="I1394" s="15">
        <v>9.6000000000000002E-2</v>
      </c>
      <c r="J1394" t="s">
        <v>412</v>
      </c>
      <c r="K1394" t="s">
        <v>510</v>
      </c>
    </row>
    <row r="1395" spans="1:11">
      <c r="A1395" t="s">
        <v>576</v>
      </c>
      <c r="B1395" t="s">
        <v>596</v>
      </c>
      <c r="C1395" t="s">
        <v>591</v>
      </c>
      <c r="D1395" s="15">
        <v>-6.5000000000000002E-2</v>
      </c>
      <c r="E1395" s="15">
        <v>-6.0999999999999999E-2</v>
      </c>
      <c r="F1395" s="15">
        <v>-0.16300000000000001</v>
      </c>
      <c r="G1395" s="15">
        <v>-6.3E-2</v>
      </c>
      <c r="H1395" s="15">
        <v>-9.6000000000000002E-2</v>
      </c>
      <c r="I1395" s="15">
        <v>9.6000000000000002E-2</v>
      </c>
      <c r="J1395" t="s">
        <v>412</v>
      </c>
      <c r="K1395" t="s">
        <v>589</v>
      </c>
    </row>
    <row r="1396" spans="1:11">
      <c r="A1396" t="s">
        <v>577</v>
      </c>
      <c r="B1396" t="s">
        <v>581</v>
      </c>
      <c r="C1396" t="s">
        <v>570</v>
      </c>
      <c r="D1396" s="15">
        <v>-8.8999999999999996E-2</v>
      </c>
      <c r="E1396" s="15">
        <v>-4.5999999999999999E-2</v>
      </c>
      <c r="F1396" s="15">
        <v>-0.155</v>
      </c>
      <c r="G1396" s="15">
        <v>-6.7000000000000004E-2</v>
      </c>
      <c r="H1396" s="15">
        <v>-9.6000000000000002E-2</v>
      </c>
      <c r="I1396" s="15">
        <v>9.6000000000000002E-2</v>
      </c>
      <c r="J1396" t="s">
        <v>412</v>
      </c>
      <c r="K1396" t="s">
        <v>589</v>
      </c>
    </row>
    <row r="1397" spans="1:11">
      <c r="A1397" t="s">
        <v>573</v>
      </c>
      <c r="B1397" t="s">
        <v>588</v>
      </c>
      <c r="C1397" t="s">
        <v>585</v>
      </c>
      <c r="D1397" s="15">
        <v>2.5999999999999999E-2</v>
      </c>
      <c r="E1397" s="15">
        <v>4.9000000000000002E-2</v>
      </c>
      <c r="F1397" s="15">
        <v>0.21</v>
      </c>
      <c r="G1397" s="15">
        <v>3.7999999999999999E-2</v>
      </c>
      <c r="H1397" s="15">
        <v>9.5000000000000001E-2</v>
      </c>
      <c r="I1397" s="15">
        <v>9.5000000000000001E-2</v>
      </c>
      <c r="J1397" t="s">
        <v>412</v>
      </c>
      <c r="K1397" t="s">
        <v>551</v>
      </c>
    </row>
    <row r="1398" spans="1:11">
      <c r="A1398" t="s">
        <v>577</v>
      </c>
      <c r="B1398" t="s">
        <v>523</v>
      </c>
      <c r="C1398" t="s">
        <v>594</v>
      </c>
      <c r="D1398" s="15">
        <v>6.6000000000000003E-2</v>
      </c>
      <c r="E1398" s="15">
        <v>0.191</v>
      </c>
      <c r="F1398" s="15">
        <v>2.8000000000000001E-2</v>
      </c>
      <c r="G1398" s="15">
        <v>0.128</v>
      </c>
      <c r="H1398" s="15">
        <v>9.5000000000000001E-2</v>
      </c>
      <c r="I1398" s="15">
        <v>9.5000000000000001E-2</v>
      </c>
      <c r="J1398" t="s">
        <v>412</v>
      </c>
      <c r="K1398" t="s">
        <v>551</v>
      </c>
    </row>
    <row r="1399" spans="1:11">
      <c r="A1399" t="s">
        <v>577</v>
      </c>
      <c r="B1399" t="s">
        <v>517</v>
      </c>
      <c r="C1399" t="s">
        <v>594</v>
      </c>
      <c r="D1399" s="15">
        <v>6.6000000000000003E-2</v>
      </c>
      <c r="E1399" s="15">
        <v>0.13900000000000001</v>
      </c>
      <c r="F1399" s="15">
        <v>0.08</v>
      </c>
      <c r="G1399" s="15">
        <v>0.10199999999999999</v>
      </c>
      <c r="H1399" s="15">
        <v>9.5000000000000001E-2</v>
      </c>
      <c r="I1399" s="15">
        <v>9.5000000000000001E-2</v>
      </c>
      <c r="J1399" t="s">
        <v>412</v>
      </c>
      <c r="K1399" t="s">
        <v>551</v>
      </c>
    </row>
    <row r="1400" spans="1:11">
      <c r="A1400" t="s">
        <v>577</v>
      </c>
      <c r="B1400" t="s">
        <v>509</v>
      </c>
      <c r="C1400" t="s">
        <v>591</v>
      </c>
      <c r="D1400" s="15">
        <v>-1.4E-2</v>
      </c>
      <c r="E1400" s="15">
        <v>0.104</v>
      </c>
      <c r="F1400" s="15">
        <v>0.16800000000000001</v>
      </c>
      <c r="G1400" s="15">
        <v>4.4999999999999998E-2</v>
      </c>
      <c r="H1400" s="15">
        <v>8.5999999999999993E-2</v>
      </c>
      <c r="I1400" s="15">
        <v>9.5000000000000001E-2</v>
      </c>
      <c r="J1400" t="s">
        <v>412</v>
      </c>
      <c r="K1400" t="s">
        <v>487</v>
      </c>
    </row>
    <row r="1401" spans="1:11">
      <c r="A1401" t="s">
        <v>547</v>
      </c>
      <c r="B1401" t="s">
        <v>578</v>
      </c>
      <c r="C1401" t="s">
        <v>582</v>
      </c>
      <c r="D1401" s="15">
        <v>0.14299999999999999</v>
      </c>
      <c r="E1401" s="15">
        <v>-4.2999999999999997E-2</v>
      </c>
      <c r="F1401" s="15">
        <v>0.1</v>
      </c>
      <c r="G1401" s="15">
        <v>0.05</v>
      </c>
      <c r="H1401" s="15">
        <v>6.7000000000000004E-2</v>
      </c>
      <c r="I1401" s="15">
        <v>9.5000000000000001E-2</v>
      </c>
      <c r="J1401" t="s">
        <v>412</v>
      </c>
      <c r="K1401" t="s">
        <v>480</v>
      </c>
    </row>
    <row r="1402" spans="1:11">
      <c r="A1402" t="s">
        <v>577</v>
      </c>
      <c r="B1402" t="s">
        <v>478</v>
      </c>
      <c r="C1402" t="s">
        <v>585</v>
      </c>
      <c r="D1402" s="15">
        <v>-6.0000000000000001E-3</v>
      </c>
      <c r="E1402" s="15">
        <v>-5.3999999999999999E-2</v>
      </c>
      <c r="F1402" s="15">
        <v>0.22600000000000001</v>
      </c>
      <c r="G1402" s="15">
        <v>-0.03</v>
      </c>
      <c r="H1402" s="15">
        <v>5.5E-2</v>
      </c>
      <c r="I1402" s="15">
        <v>9.5000000000000001E-2</v>
      </c>
      <c r="J1402" t="s">
        <v>412</v>
      </c>
      <c r="K1402" t="s">
        <v>510</v>
      </c>
    </row>
    <row r="1403" spans="1:11">
      <c r="A1403" t="s">
        <v>573</v>
      </c>
      <c r="B1403" t="s">
        <v>595</v>
      </c>
      <c r="C1403" t="s">
        <v>594</v>
      </c>
      <c r="D1403" s="15">
        <v>0.13700000000000001</v>
      </c>
      <c r="E1403" s="15">
        <v>-9.0999999999999998E-2</v>
      </c>
      <c r="F1403" s="15">
        <v>5.5E-2</v>
      </c>
      <c r="G1403" s="15">
        <v>2.3E-2</v>
      </c>
      <c r="H1403" s="15">
        <v>3.4000000000000002E-2</v>
      </c>
      <c r="I1403" s="15">
        <v>9.5000000000000001E-2</v>
      </c>
      <c r="J1403" t="s">
        <v>412</v>
      </c>
      <c r="K1403" t="s">
        <v>480</v>
      </c>
    </row>
    <row r="1404" spans="1:11">
      <c r="A1404" t="s">
        <v>479</v>
      </c>
      <c r="B1404" t="s">
        <v>586</v>
      </c>
      <c r="C1404" t="s">
        <v>477</v>
      </c>
      <c r="D1404" s="15">
        <v>4.5999999999999999E-2</v>
      </c>
      <c r="E1404" s="15">
        <v>-0.10100000000000001</v>
      </c>
      <c r="F1404" s="15">
        <v>0.13600000000000001</v>
      </c>
      <c r="G1404" s="15">
        <v>-2.8000000000000001E-2</v>
      </c>
      <c r="H1404" s="15">
        <v>2.7E-2</v>
      </c>
      <c r="I1404" s="15">
        <v>9.5000000000000001E-2</v>
      </c>
      <c r="J1404" t="s">
        <v>412</v>
      </c>
      <c r="K1404" t="s">
        <v>480</v>
      </c>
    </row>
    <row r="1405" spans="1:11">
      <c r="A1405" t="s">
        <v>577</v>
      </c>
      <c r="B1405" t="s">
        <v>498</v>
      </c>
      <c r="C1405" t="s">
        <v>584</v>
      </c>
      <c r="D1405" s="15">
        <v>0.182</v>
      </c>
      <c r="E1405" s="15">
        <v>-1.2E-2</v>
      </c>
      <c r="F1405" s="15">
        <v>-9.1999999999999998E-2</v>
      </c>
      <c r="G1405" s="15">
        <v>8.5000000000000006E-2</v>
      </c>
      <c r="H1405" s="15">
        <v>2.5999999999999999E-2</v>
      </c>
      <c r="I1405" s="15">
        <v>9.5000000000000001E-2</v>
      </c>
      <c r="J1405" t="s">
        <v>412</v>
      </c>
      <c r="K1405" t="s">
        <v>579</v>
      </c>
    </row>
    <row r="1406" spans="1:11">
      <c r="A1406" t="s">
        <v>576</v>
      </c>
      <c r="B1406" t="s">
        <v>523</v>
      </c>
      <c r="C1406" t="s">
        <v>583</v>
      </c>
      <c r="D1406" s="15">
        <v>-0.109</v>
      </c>
      <c r="E1406" s="15">
        <v>0.129</v>
      </c>
      <c r="F1406" s="15">
        <v>4.5999999999999999E-2</v>
      </c>
      <c r="G1406" s="15">
        <v>0.01</v>
      </c>
      <c r="H1406" s="15">
        <v>2.1999999999999999E-2</v>
      </c>
      <c r="I1406" s="15">
        <v>9.5000000000000001E-2</v>
      </c>
      <c r="J1406" t="s">
        <v>412</v>
      </c>
      <c r="K1406" t="s">
        <v>487</v>
      </c>
    </row>
    <row r="1407" spans="1:11">
      <c r="A1407" t="s">
        <v>571</v>
      </c>
      <c r="B1407" t="s">
        <v>598</v>
      </c>
      <c r="C1407" t="s">
        <v>584</v>
      </c>
      <c r="D1407" s="15">
        <v>-0.108</v>
      </c>
      <c r="E1407" s="15">
        <v>0.17299999999999999</v>
      </c>
      <c r="F1407" s="15">
        <v>-4.0000000000000001E-3</v>
      </c>
      <c r="G1407" s="15">
        <v>3.3000000000000002E-2</v>
      </c>
      <c r="H1407" s="15">
        <v>0.02</v>
      </c>
      <c r="I1407" s="15">
        <v>9.5000000000000001E-2</v>
      </c>
      <c r="J1407" t="s">
        <v>412</v>
      </c>
      <c r="K1407" t="s">
        <v>500</v>
      </c>
    </row>
    <row r="1408" spans="1:11">
      <c r="A1408" t="s">
        <v>577</v>
      </c>
      <c r="B1408" t="s">
        <v>595</v>
      </c>
      <c r="C1408" t="s">
        <v>593</v>
      </c>
      <c r="D1408" s="15">
        <v>3.7999999999999999E-2</v>
      </c>
      <c r="E1408" s="15">
        <v>0.122</v>
      </c>
      <c r="F1408" s="15">
        <v>-0.124</v>
      </c>
      <c r="G1408" s="15">
        <v>0.08</v>
      </c>
      <c r="H1408" s="15">
        <v>1.2E-2</v>
      </c>
      <c r="I1408" s="15">
        <v>9.5000000000000001E-2</v>
      </c>
      <c r="J1408" t="s">
        <v>412</v>
      </c>
      <c r="K1408" t="s">
        <v>493</v>
      </c>
    </row>
    <row r="1409" spans="1:11">
      <c r="A1409" t="s">
        <v>576</v>
      </c>
      <c r="B1409" t="s">
        <v>509</v>
      </c>
      <c r="C1409" t="s">
        <v>584</v>
      </c>
      <c r="D1409" s="15">
        <v>-0.1</v>
      </c>
      <c r="E1409" s="15">
        <v>-2.9000000000000001E-2</v>
      </c>
      <c r="F1409" s="15">
        <v>0.157</v>
      </c>
      <c r="G1409" s="15">
        <v>-6.4000000000000001E-2</v>
      </c>
      <c r="H1409" s="15">
        <v>0.01</v>
      </c>
      <c r="I1409" s="15">
        <v>9.5000000000000001E-2</v>
      </c>
      <c r="J1409" t="s">
        <v>412</v>
      </c>
      <c r="K1409" t="s">
        <v>510</v>
      </c>
    </row>
    <row r="1410" spans="1:11">
      <c r="A1410" t="s">
        <v>577</v>
      </c>
      <c r="B1410" t="s">
        <v>550</v>
      </c>
      <c r="C1410" t="s">
        <v>575</v>
      </c>
      <c r="D1410" s="15">
        <v>0.14199999999999999</v>
      </c>
      <c r="E1410" s="15">
        <v>-0.11600000000000001</v>
      </c>
      <c r="F1410" s="15">
        <v>-2.8000000000000001E-2</v>
      </c>
      <c r="G1410" s="15">
        <v>1.2999999999999999E-2</v>
      </c>
      <c r="H1410" s="15">
        <v>-1E-3</v>
      </c>
      <c r="I1410" s="15">
        <v>9.5000000000000001E-2</v>
      </c>
      <c r="J1410" t="s">
        <v>412</v>
      </c>
      <c r="K1410" t="s">
        <v>579</v>
      </c>
    </row>
    <row r="1411" spans="1:11">
      <c r="A1411" t="s">
        <v>573</v>
      </c>
      <c r="B1411" t="s">
        <v>595</v>
      </c>
      <c r="C1411" t="s">
        <v>591</v>
      </c>
      <c r="D1411" s="15">
        <v>0.123</v>
      </c>
      <c r="E1411" s="15">
        <v>-9.0999999999999998E-2</v>
      </c>
      <c r="F1411" s="15">
        <v>-7.1999999999999995E-2</v>
      </c>
      <c r="G1411" s="15">
        <v>1.6E-2</v>
      </c>
      <c r="H1411" s="15">
        <v>-1.2999999999999999E-2</v>
      </c>
      <c r="I1411" s="15">
        <v>9.5000000000000001E-2</v>
      </c>
      <c r="J1411" t="s">
        <v>412</v>
      </c>
      <c r="K1411" t="s">
        <v>579</v>
      </c>
    </row>
    <row r="1412" spans="1:11">
      <c r="A1412" t="s">
        <v>479</v>
      </c>
      <c r="B1412" t="s">
        <v>592</v>
      </c>
      <c r="C1412" t="s">
        <v>584</v>
      </c>
      <c r="D1412" s="15">
        <v>0.106</v>
      </c>
      <c r="E1412" s="15">
        <v>-0.109</v>
      </c>
      <c r="F1412" s="15">
        <v>-7.0000000000000007E-2</v>
      </c>
      <c r="G1412" s="15">
        <v>-2E-3</v>
      </c>
      <c r="H1412" s="15">
        <v>-2.4E-2</v>
      </c>
      <c r="I1412" s="15">
        <v>9.5000000000000001E-2</v>
      </c>
      <c r="J1412" t="s">
        <v>412</v>
      </c>
      <c r="K1412" t="s">
        <v>579</v>
      </c>
    </row>
    <row r="1413" spans="1:11">
      <c r="A1413" t="s">
        <v>547</v>
      </c>
      <c r="B1413" t="s">
        <v>578</v>
      </c>
      <c r="C1413" t="s">
        <v>570</v>
      </c>
      <c r="D1413" s="15">
        <v>-0.14799999999999999</v>
      </c>
      <c r="E1413" s="15">
        <v>-4.2999999999999997E-2</v>
      </c>
      <c r="F1413" s="15">
        <v>9.5000000000000001E-2</v>
      </c>
      <c r="G1413" s="15">
        <v>-9.5000000000000001E-2</v>
      </c>
      <c r="H1413" s="15">
        <v>-3.2000000000000001E-2</v>
      </c>
      <c r="I1413" s="15">
        <v>9.5000000000000001E-2</v>
      </c>
      <c r="J1413" t="s">
        <v>412</v>
      </c>
      <c r="K1413" t="s">
        <v>510</v>
      </c>
    </row>
    <row r="1414" spans="1:11">
      <c r="A1414" t="s">
        <v>573</v>
      </c>
      <c r="B1414" t="s">
        <v>596</v>
      </c>
      <c r="C1414" t="s">
        <v>572</v>
      </c>
      <c r="D1414" s="15">
        <v>-0.20799999999999999</v>
      </c>
      <c r="E1414" s="15">
        <v>0.02</v>
      </c>
      <c r="F1414" s="15">
        <v>-5.6000000000000001E-2</v>
      </c>
      <c r="G1414" s="15">
        <v>-9.4E-2</v>
      </c>
      <c r="H1414" s="15">
        <v>-8.1000000000000003E-2</v>
      </c>
      <c r="I1414" s="15">
        <v>9.5000000000000001E-2</v>
      </c>
      <c r="J1414" t="s">
        <v>412</v>
      </c>
      <c r="K1414" t="s">
        <v>500</v>
      </c>
    </row>
    <row r="1415" spans="1:11">
      <c r="A1415" t="s">
        <v>576</v>
      </c>
      <c r="B1415" t="s">
        <v>550</v>
      </c>
      <c r="C1415" t="s">
        <v>572</v>
      </c>
      <c r="D1415" s="15">
        <v>-5.8999999999999997E-2</v>
      </c>
      <c r="E1415" s="15">
        <v>-0.03</v>
      </c>
      <c r="F1415" s="15">
        <v>-0.19400000000000001</v>
      </c>
      <c r="G1415" s="15">
        <v>-4.4999999999999998E-2</v>
      </c>
      <c r="H1415" s="15">
        <v>-9.5000000000000001E-2</v>
      </c>
      <c r="I1415" s="15">
        <v>9.5000000000000001E-2</v>
      </c>
      <c r="J1415" t="s">
        <v>412</v>
      </c>
      <c r="K1415" t="s">
        <v>589</v>
      </c>
    </row>
    <row r="1416" spans="1:11">
      <c r="A1416" t="s">
        <v>577</v>
      </c>
      <c r="B1416" t="s">
        <v>598</v>
      </c>
      <c r="C1416" t="s">
        <v>591</v>
      </c>
      <c r="D1416" s="15">
        <v>-1.4E-2</v>
      </c>
      <c r="E1416" s="15">
        <v>-0.188</v>
      </c>
      <c r="F1416" s="15">
        <v>-8.2000000000000003E-2</v>
      </c>
      <c r="G1416" s="15">
        <v>-0.10100000000000001</v>
      </c>
      <c r="H1416" s="15">
        <v>-9.5000000000000001E-2</v>
      </c>
      <c r="I1416" s="15">
        <v>9.5000000000000001E-2</v>
      </c>
      <c r="J1416" t="s">
        <v>412</v>
      </c>
      <c r="K1416" t="s">
        <v>589</v>
      </c>
    </row>
    <row r="1417" spans="1:11">
      <c r="A1417" t="s">
        <v>547</v>
      </c>
      <c r="B1417" t="s">
        <v>590</v>
      </c>
      <c r="C1417" t="s">
        <v>593</v>
      </c>
      <c r="D1417" s="15">
        <v>3.5000000000000003E-2</v>
      </c>
      <c r="E1417" s="15">
        <v>0.16600000000000001</v>
      </c>
      <c r="F1417" s="15">
        <v>7.9000000000000001E-2</v>
      </c>
      <c r="G1417" s="15">
        <v>0.10100000000000001</v>
      </c>
      <c r="H1417" s="15">
        <v>9.4E-2</v>
      </c>
      <c r="I1417" s="15">
        <v>9.4E-2</v>
      </c>
      <c r="J1417" t="s">
        <v>412</v>
      </c>
      <c r="K1417" t="s">
        <v>551</v>
      </c>
    </row>
    <row r="1418" spans="1:11">
      <c r="A1418" t="s">
        <v>571</v>
      </c>
      <c r="B1418" t="s">
        <v>517</v>
      </c>
      <c r="C1418" t="s">
        <v>591</v>
      </c>
      <c r="D1418" s="15">
        <v>6.6000000000000003E-2</v>
      </c>
      <c r="E1418" s="15">
        <v>1.7999999999999999E-2</v>
      </c>
      <c r="F1418" s="15">
        <v>0.19900000000000001</v>
      </c>
      <c r="G1418" s="15">
        <v>4.2000000000000003E-2</v>
      </c>
      <c r="H1418" s="15">
        <v>9.4E-2</v>
      </c>
      <c r="I1418" s="15">
        <v>9.4E-2</v>
      </c>
      <c r="J1418" t="s">
        <v>412</v>
      </c>
      <c r="K1418" t="s">
        <v>551</v>
      </c>
    </row>
    <row r="1419" spans="1:11">
      <c r="A1419" t="s">
        <v>576</v>
      </c>
      <c r="B1419" t="s">
        <v>590</v>
      </c>
      <c r="C1419" t="s">
        <v>584</v>
      </c>
      <c r="D1419" s="15">
        <v>-0.1</v>
      </c>
      <c r="E1419" s="15">
        <v>2.8000000000000001E-2</v>
      </c>
      <c r="F1419" s="15">
        <v>0.155</v>
      </c>
      <c r="G1419" s="15">
        <v>-3.5999999999999997E-2</v>
      </c>
      <c r="H1419" s="15">
        <v>2.8000000000000001E-2</v>
      </c>
      <c r="I1419" s="15">
        <v>9.4E-2</v>
      </c>
      <c r="J1419" t="s">
        <v>412</v>
      </c>
      <c r="K1419" t="s">
        <v>487</v>
      </c>
    </row>
    <row r="1420" spans="1:11">
      <c r="A1420" t="s">
        <v>571</v>
      </c>
      <c r="B1420" t="s">
        <v>586</v>
      </c>
      <c r="C1420" t="s">
        <v>584</v>
      </c>
      <c r="D1420" s="15">
        <v>-0.108</v>
      </c>
      <c r="E1420" s="15">
        <v>5.6000000000000001E-2</v>
      </c>
      <c r="F1420" s="15">
        <v>0.11700000000000001</v>
      </c>
      <c r="G1420" s="15">
        <v>-2.5999999999999999E-2</v>
      </c>
      <c r="H1420" s="15">
        <v>2.1999999999999999E-2</v>
      </c>
      <c r="I1420" s="15">
        <v>9.4E-2</v>
      </c>
      <c r="J1420" t="s">
        <v>412</v>
      </c>
      <c r="K1420" t="s">
        <v>487</v>
      </c>
    </row>
    <row r="1421" spans="1:11">
      <c r="A1421" t="s">
        <v>571</v>
      </c>
      <c r="B1421" t="s">
        <v>509</v>
      </c>
      <c r="C1421" t="s">
        <v>584</v>
      </c>
      <c r="D1421" s="15">
        <v>-0.108</v>
      </c>
      <c r="E1421" s="15">
        <v>-1.6E-2</v>
      </c>
      <c r="F1421" s="15">
        <v>0.157</v>
      </c>
      <c r="G1421" s="15">
        <v>-6.2E-2</v>
      </c>
      <c r="H1421" s="15">
        <v>1.0999999999999999E-2</v>
      </c>
      <c r="I1421" s="15">
        <v>9.4E-2</v>
      </c>
      <c r="J1421" t="s">
        <v>412</v>
      </c>
      <c r="K1421" t="s">
        <v>510</v>
      </c>
    </row>
    <row r="1422" spans="1:11">
      <c r="A1422" t="s">
        <v>576</v>
      </c>
      <c r="B1422" t="s">
        <v>550</v>
      </c>
      <c r="C1422" t="s">
        <v>583</v>
      </c>
      <c r="D1422" s="15">
        <v>-0.109</v>
      </c>
      <c r="E1422" s="15">
        <v>-0.03</v>
      </c>
      <c r="F1422" s="15">
        <v>0.14299999999999999</v>
      </c>
      <c r="G1422" s="15">
        <v>-7.0000000000000007E-2</v>
      </c>
      <c r="H1422" s="15">
        <v>1E-3</v>
      </c>
      <c r="I1422" s="15">
        <v>9.4E-2</v>
      </c>
      <c r="J1422" t="s">
        <v>412</v>
      </c>
      <c r="K1422" t="s">
        <v>510</v>
      </c>
    </row>
    <row r="1423" spans="1:11">
      <c r="A1423" t="s">
        <v>573</v>
      </c>
      <c r="B1423" t="s">
        <v>499</v>
      </c>
      <c r="C1423" t="s">
        <v>594</v>
      </c>
      <c r="D1423" s="15">
        <v>0.13700000000000001</v>
      </c>
      <c r="E1423" s="15">
        <v>-8.8999999999999996E-2</v>
      </c>
      <c r="F1423" s="15">
        <v>-5.6000000000000001E-2</v>
      </c>
      <c r="G1423" s="15">
        <v>2.4E-2</v>
      </c>
      <c r="H1423" s="15">
        <v>-2E-3</v>
      </c>
      <c r="I1423" s="15">
        <v>9.4E-2</v>
      </c>
      <c r="J1423" t="s">
        <v>412</v>
      </c>
      <c r="K1423" t="s">
        <v>579</v>
      </c>
    </row>
    <row r="1424" spans="1:11">
      <c r="A1424" t="s">
        <v>506</v>
      </c>
      <c r="B1424" t="s">
        <v>598</v>
      </c>
      <c r="C1424" t="s">
        <v>575</v>
      </c>
      <c r="D1424" s="15">
        <v>-0.14399999999999999</v>
      </c>
      <c r="E1424" s="15">
        <v>0.13</v>
      </c>
      <c r="F1424" s="15">
        <v>7.0000000000000001E-3</v>
      </c>
      <c r="G1424" s="15">
        <v>-7.0000000000000001E-3</v>
      </c>
      <c r="H1424" s="15">
        <v>-3.0000000000000001E-3</v>
      </c>
      <c r="I1424" s="15">
        <v>9.4E-2</v>
      </c>
      <c r="J1424" t="s">
        <v>412</v>
      </c>
      <c r="K1424" t="s">
        <v>487</v>
      </c>
    </row>
    <row r="1425" spans="1:11">
      <c r="A1425" t="s">
        <v>573</v>
      </c>
      <c r="B1425" t="s">
        <v>586</v>
      </c>
      <c r="C1425" t="s">
        <v>575</v>
      </c>
      <c r="D1425" s="15">
        <v>-4.9000000000000002E-2</v>
      </c>
      <c r="E1425" s="15">
        <v>-0.10299999999999999</v>
      </c>
      <c r="F1425" s="15">
        <v>0.128</v>
      </c>
      <c r="G1425" s="15">
        <v>-7.5999999999999998E-2</v>
      </c>
      <c r="H1425" s="15">
        <v>-8.0000000000000002E-3</v>
      </c>
      <c r="I1425" s="15">
        <v>9.4E-2</v>
      </c>
      <c r="J1425" t="s">
        <v>412</v>
      </c>
      <c r="K1425" t="s">
        <v>510</v>
      </c>
    </row>
    <row r="1426" spans="1:11">
      <c r="A1426" t="s">
        <v>576</v>
      </c>
      <c r="B1426" t="s">
        <v>505</v>
      </c>
      <c r="C1426" t="s">
        <v>575</v>
      </c>
      <c r="D1426" s="15">
        <v>-0.17100000000000001</v>
      </c>
      <c r="E1426" s="15">
        <v>0.104</v>
      </c>
      <c r="F1426" s="15">
        <v>8.0000000000000002E-3</v>
      </c>
      <c r="G1426" s="15">
        <v>-3.4000000000000002E-2</v>
      </c>
      <c r="H1426" s="15">
        <v>-0.02</v>
      </c>
      <c r="I1426" s="15">
        <v>9.4E-2</v>
      </c>
      <c r="J1426" t="s">
        <v>412</v>
      </c>
      <c r="K1426" t="s">
        <v>487</v>
      </c>
    </row>
    <row r="1427" spans="1:11">
      <c r="A1427" t="s">
        <v>506</v>
      </c>
      <c r="B1427" t="s">
        <v>595</v>
      </c>
      <c r="C1427" t="s">
        <v>583</v>
      </c>
      <c r="D1427" s="15">
        <v>4.1000000000000002E-2</v>
      </c>
      <c r="E1427" s="15">
        <v>-6.0999999999999999E-2</v>
      </c>
      <c r="F1427" s="15">
        <v>-0.18099999999999999</v>
      </c>
      <c r="G1427" s="15">
        <v>-0.01</v>
      </c>
      <c r="H1427" s="15">
        <v>-6.7000000000000004E-2</v>
      </c>
      <c r="I1427" s="15">
        <v>9.4E-2</v>
      </c>
      <c r="J1427" t="s">
        <v>412</v>
      </c>
      <c r="K1427" t="s">
        <v>579</v>
      </c>
    </row>
    <row r="1428" spans="1:11">
      <c r="A1428" t="s">
        <v>547</v>
      </c>
      <c r="B1428" t="s">
        <v>580</v>
      </c>
      <c r="C1428" t="s">
        <v>572</v>
      </c>
      <c r="D1428" s="15">
        <v>5.0000000000000001E-3</v>
      </c>
      <c r="E1428" s="15">
        <v>3.2000000000000001E-2</v>
      </c>
      <c r="F1428" s="15">
        <v>-0.245</v>
      </c>
      <c r="G1428" s="15">
        <v>1.7999999999999999E-2</v>
      </c>
      <c r="H1428" s="15">
        <v>-6.9000000000000006E-2</v>
      </c>
      <c r="I1428" s="15">
        <v>9.4E-2</v>
      </c>
      <c r="J1428" t="s">
        <v>412</v>
      </c>
      <c r="K1428" t="s">
        <v>493</v>
      </c>
    </row>
    <row r="1429" spans="1:11">
      <c r="A1429" t="s">
        <v>486</v>
      </c>
      <c r="B1429" t="s">
        <v>597</v>
      </c>
      <c r="C1429" t="s">
        <v>585</v>
      </c>
      <c r="D1429" s="15">
        <v>-0.27</v>
      </c>
      <c r="E1429" s="15">
        <v>-8.9999999999999993E-3</v>
      </c>
      <c r="F1429" s="15">
        <v>-3.0000000000000001E-3</v>
      </c>
      <c r="G1429" s="15">
        <v>-0.14000000000000001</v>
      </c>
      <c r="H1429" s="15">
        <v>-9.4E-2</v>
      </c>
      <c r="I1429" s="15">
        <v>9.4E-2</v>
      </c>
      <c r="J1429" t="s">
        <v>412</v>
      </c>
      <c r="K1429" t="s">
        <v>589</v>
      </c>
    </row>
    <row r="1430" spans="1:11">
      <c r="A1430" t="s">
        <v>486</v>
      </c>
      <c r="B1430" t="s">
        <v>592</v>
      </c>
      <c r="C1430" t="s">
        <v>583</v>
      </c>
      <c r="D1430" s="15">
        <v>-0.16700000000000001</v>
      </c>
      <c r="E1430" s="15">
        <v>-9.1999999999999998E-2</v>
      </c>
      <c r="F1430" s="15">
        <v>-2.3E-2</v>
      </c>
      <c r="G1430" s="15">
        <v>-0.13</v>
      </c>
      <c r="H1430" s="15">
        <v>-9.4E-2</v>
      </c>
      <c r="I1430" s="15">
        <v>9.4E-2</v>
      </c>
      <c r="J1430" t="s">
        <v>412</v>
      </c>
      <c r="K1430" t="s">
        <v>589</v>
      </c>
    </row>
    <row r="1431" spans="1:11">
      <c r="A1431" t="s">
        <v>479</v>
      </c>
      <c r="B1431" t="s">
        <v>587</v>
      </c>
      <c r="C1431" t="s">
        <v>583</v>
      </c>
      <c r="D1431" s="15">
        <v>-0.02</v>
      </c>
      <c r="E1431" s="15">
        <v>-7.0000000000000001E-3</v>
      </c>
      <c r="F1431" s="15">
        <v>-0.254</v>
      </c>
      <c r="G1431" s="15">
        <v>-1.4E-2</v>
      </c>
      <c r="H1431" s="15">
        <v>-9.4E-2</v>
      </c>
      <c r="I1431" s="15">
        <v>9.4E-2</v>
      </c>
      <c r="J1431" t="s">
        <v>412</v>
      </c>
      <c r="K1431" t="s">
        <v>589</v>
      </c>
    </row>
    <row r="1432" spans="1:11">
      <c r="A1432" t="s">
        <v>577</v>
      </c>
      <c r="B1432" t="s">
        <v>499</v>
      </c>
      <c r="C1432" t="s">
        <v>591</v>
      </c>
      <c r="D1432" s="15">
        <v>-1.4E-2</v>
      </c>
      <c r="E1432" s="15">
        <v>-1.2E-2</v>
      </c>
      <c r="F1432" s="15">
        <v>-0.25700000000000001</v>
      </c>
      <c r="G1432" s="15">
        <v>-1.2999999999999999E-2</v>
      </c>
      <c r="H1432" s="15">
        <v>-9.4E-2</v>
      </c>
      <c r="I1432" s="15">
        <v>9.4E-2</v>
      </c>
      <c r="J1432" t="s">
        <v>412</v>
      </c>
      <c r="K1432" t="s">
        <v>589</v>
      </c>
    </row>
    <row r="1433" spans="1:11">
      <c r="A1433" t="s">
        <v>506</v>
      </c>
      <c r="B1433" t="s">
        <v>523</v>
      </c>
      <c r="C1433" t="s">
        <v>584</v>
      </c>
      <c r="D1433" s="15">
        <v>0.11899999999999999</v>
      </c>
      <c r="E1433" s="15">
        <v>5.2999999999999999E-2</v>
      </c>
      <c r="F1433" s="15">
        <v>0.106</v>
      </c>
      <c r="G1433" s="15">
        <v>8.5999999999999993E-2</v>
      </c>
      <c r="H1433" s="15">
        <v>9.2999999999999999E-2</v>
      </c>
      <c r="I1433" s="15">
        <v>9.2999999999999999E-2</v>
      </c>
      <c r="J1433" t="s">
        <v>412</v>
      </c>
      <c r="K1433" t="s">
        <v>551</v>
      </c>
    </row>
    <row r="1434" spans="1:11">
      <c r="A1434" t="s">
        <v>573</v>
      </c>
      <c r="B1434" t="s">
        <v>590</v>
      </c>
      <c r="C1434" t="s">
        <v>585</v>
      </c>
      <c r="D1434" s="15">
        <v>2.5999999999999999E-2</v>
      </c>
      <c r="E1434" s="15">
        <v>0.23</v>
      </c>
      <c r="F1434" s="15">
        <v>2.3E-2</v>
      </c>
      <c r="G1434" s="15">
        <v>0.128</v>
      </c>
      <c r="H1434" s="15">
        <v>9.2999999999999999E-2</v>
      </c>
      <c r="I1434" s="15">
        <v>9.2999999999999999E-2</v>
      </c>
      <c r="J1434" t="s">
        <v>412</v>
      </c>
      <c r="K1434" t="s">
        <v>551</v>
      </c>
    </row>
    <row r="1435" spans="1:11">
      <c r="A1435" t="s">
        <v>576</v>
      </c>
      <c r="B1435" t="s">
        <v>590</v>
      </c>
      <c r="C1435" t="s">
        <v>477</v>
      </c>
      <c r="D1435" s="15">
        <v>2.9000000000000001E-2</v>
      </c>
      <c r="E1435" s="15">
        <v>2.8000000000000001E-2</v>
      </c>
      <c r="F1435" s="15">
        <v>0.221</v>
      </c>
      <c r="G1435" s="15">
        <v>2.9000000000000001E-2</v>
      </c>
      <c r="H1435" s="15">
        <v>9.2999999999999999E-2</v>
      </c>
      <c r="I1435" s="15">
        <v>9.2999999999999999E-2</v>
      </c>
      <c r="J1435" t="s">
        <v>412</v>
      </c>
      <c r="K1435" t="s">
        <v>551</v>
      </c>
    </row>
    <row r="1436" spans="1:11">
      <c r="A1436" t="s">
        <v>547</v>
      </c>
      <c r="B1436" t="s">
        <v>581</v>
      </c>
      <c r="C1436" t="s">
        <v>583</v>
      </c>
      <c r="D1436" s="15">
        <v>-0.03</v>
      </c>
      <c r="E1436" s="15">
        <v>0.23699999999999999</v>
      </c>
      <c r="F1436" s="15">
        <v>1.0999999999999999E-2</v>
      </c>
      <c r="G1436" s="15">
        <v>0.10299999999999999</v>
      </c>
      <c r="H1436" s="15">
        <v>7.2999999999999995E-2</v>
      </c>
      <c r="I1436" s="15">
        <v>9.2999999999999999E-2</v>
      </c>
      <c r="J1436" t="s">
        <v>412</v>
      </c>
      <c r="K1436" t="s">
        <v>487</v>
      </c>
    </row>
    <row r="1437" spans="1:11">
      <c r="A1437" t="s">
        <v>479</v>
      </c>
      <c r="B1437" t="s">
        <v>498</v>
      </c>
      <c r="C1437" t="s">
        <v>572</v>
      </c>
      <c r="D1437" s="15">
        <v>-6.8000000000000005E-2</v>
      </c>
      <c r="E1437" s="15">
        <v>7.6999999999999999E-2</v>
      </c>
      <c r="F1437" s="15">
        <v>0.13500000000000001</v>
      </c>
      <c r="G1437" s="15">
        <v>5.0000000000000001E-3</v>
      </c>
      <c r="H1437" s="15">
        <v>4.8000000000000001E-2</v>
      </c>
      <c r="I1437" s="15">
        <v>9.2999999999999999E-2</v>
      </c>
      <c r="J1437" t="s">
        <v>412</v>
      </c>
      <c r="K1437" t="s">
        <v>487</v>
      </c>
    </row>
    <row r="1438" spans="1:11">
      <c r="A1438" t="s">
        <v>573</v>
      </c>
      <c r="B1438" t="s">
        <v>595</v>
      </c>
      <c r="C1438" t="s">
        <v>477</v>
      </c>
      <c r="D1438" s="15">
        <v>0.14599999999999999</v>
      </c>
      <c r="E1438" s="15">
        <v>-9.0999999999999998E-2</v>
      </c>
      <c r="F1438" s="15">
        <v>4.2999999999999997E-2</v>
      </c>
      <c r="G1438" s="15">
        <v>2.8000000000000001E-2</v>
      </c>
      <c r="H1438" s="15">
        <v>3.3000000000000002E-2</v>
      </c>
      <c r="I1438" s="15">
        <v>9.2999999999999999E-2</v>
      </c>
      <c r="J1438" t="s">
        <v>412</v>
      </c>
      <c r="K1438" t="s">
        <v>480</v>
      </c>
    </row>
    <row r="1439" spans="1:11">
      <c r="A1439" t="s">
        <v>573</v>
      </c>
      <c r="B1439" t="s">
        <v>586</v>
      </c>
      <c r="C1439" t="s">
        <v>583</v>
      </c>
      <c r="D1439" s="15">
        <v>7.3999999999999996E-2</v>
      </c>
      <c r="E1439" s="15">
        <v>-0.10299999999999999</v>
      </c>
      <c r="F1439" s="15">
        <v>0.1</v>
      </c>
      <c r="G1439" s="15">
        <v>-1.4999999999999999E-2</v>
      </c>
      <c r="H1439" s="15">
        <v>2.4E-2</v>
      </c>
      <c r="I1439" s="15">
        <v>9.2999999999999999E-2</v>
      </c>
      <c r="J1439" t="s">
        <v>412</v>
      </c>
      <c r="K1439" t="s">
        <v>480</v>
      </c>
    </row>
    <row r="1440" spans="1:11">
      <c r="A1440" t="s">
        <v>486</v>
      </c>
      <c r="B1440" t="s">
        <v>517</v>
      </c>
      <c r="C1440" t="s">
        <v>582</v>
      </c>
      <c r="D1440" s="15">
        <v>-0.129</v>
      </c>
      <c r="E1440" s="15">
        <v>9.2999999999999999E-2</v>
      </c>
      <c r="F1440" s="15">
        <v>5.8000000000000003E-2</v>
      </c>
      <c r="G1440" s="15">
        <v>-1.7999999999999999E-2</v>
      </c>
      <c r="H1440" s="15">
        <v>7.0000000000000001E-3</v>
      </c>
      <c r="I1440" s="15">
        <v>9.2999999999999999E-2</v>
      </c>
      <c r="J1440" t="s">
        <v>412</v>
      </c>
      <c r="K1440" t="s">
        <v>487</v>
      </c>
    </row>
    <row r="1441" spans="1:11">
      <c r="A1441" t="s">
        <v>571</v>
      </c>
      <c r="B1441" t="s">
        <v>498</v>
      </c>
      <c r="C1441" t="s">
        <v>593</v>
      </c>
      <c r="D1441" s="15">
        <v>-0.10100000000000001</v>
      </c>
      <c r="E1441" s="15">
        <v>0.11</v>
      </c>
      <c r="F1441" s="15">
        <v>-7.0000000000000007E-2</v>
      </c>
      <c r="G1441" s="15">
        <v>5.0000000000000001E-3</v>
      </c>
      <c r="H1441" s="15">
        <v>-0.02</v>
      </c>
      <c r="I1441" s="15">
        <v>9.2999999999999999E-2</v>
      </c>
      <c r="J1441" t="s">
        <v>412</v>
      </c>
      <c r="K1441" t="s">
        <v>500</v>
      </c>
    </row>
    <row r="1442" spans="1:11">
      <c r="A1442" t="s">
        <v>571</v>
      </c>
      <c r="B1442" t="s">
        <v>505</v>
      </c>
      <c r="C1442" t="s">
        <v>591</v>
      </c>
      <c r="D1442" s="15">
        <v>6.6000000000000003E-2</v>
      </c>
      <c r="E1442" s="15">
        <v>-0.14000000000000001</v>
      </c>
      <c r="F1442" s="15">
        <v>-7.2999999999999995E-2</v>
      </c>
      <c r="G1442" s="15">
        <v>-3.6999999999999998E-2</v>
      </c>
      <c r="H1442" s="15">
        <v>-4.9000000000000002E-2</v>
      </c>
      <c r="I1442" s="15">
        <v>9.2999999999999999E-2</v>
      </c>
      <c r="J1442" t="s">
        <v>412</v>
      </c>
      <c r="K1442" t="s">
        <v>579</v>
      </c>
    </row>
    <row r="1443" spans="1:11">
      <c r="A1443" t="s">
        <v>506</v>
      </c>
      <c r="B1443" t="s">
        <v>581</v>
      </c>
      <c r="C1443" t="s">
        <v>585</v>
      </c>
      <c r="D1443" s="15">
        <v>-5.6000000000000001E-2</v>
      </c>
      <c r="E1443" s="15">
        <v>-0.03</v>
      </c>
      <c r="F1443" s="15">
        <v>-0.193</v>
      </c>
      <c r="G1443" s="15">
        <v>-4.2999999999999997E-2</v>
      </c>
      <c r="H1443" s="15">
        <v>-9.2999999999999999E-2</v>
      </c>
      <c r="I1443" s="15">
        <v>9.2999999999999999E-2</v>
      </c>
      <c r="J1443" t="s">
        <v>412</v>
      </c>
      <c r="K1443" t="s">
        <v>589</v>
      </c>
    </row>
    <row r="1444" spans="1:11">
      <c r="A1444" t="s">
        <v>571</v>
      </c>
      <c r="B1444" t="s">
        <v>505</v>
      </c>
      <c r="C1444" t="s">
        <v>593</v>
      </c>
      <c r="D1444" s="15">
        <v>-0.10100000000000001</v>
      </c>
      <c r="E1444" s="15">
        <v>-0.14000000000000001</v>
      </c>
      <c r="F1444" s="15">
        <v>-3.7999999999999999E-2</v>
      </c>
      <c r="G1444" s="15">
        <v>-0.12</v>
      </c>
      <c r="H1444" s="15">
        <v>-9.2999999999999999E-2</v>
      </c>
      <c r="I1444" s="15">
        <v>9.2999999999999999E-2</v>
      </c>
      <c r="J1444" t="s">
        <v>412</v>
      </c>
      <c r="K1444" t="s">
        <v>589</v>
      </c>
    </row>
    <row r="1445" spans="1:11">
      <c r="A1445" t="s">
        <v>479</v>
      </c>
      <c r="B1445" t="s">
        <v>498</v>
      </c>
      <c r="C1445" t="s">
        <v>492</v>
      </c>
      <c r="D1445" s="15">
        <v>5.8999999999999997E-2</v>
      </c>
      <c r="E1445" s="15">
        <v>7.6999999999999999E-2</v>
      </c>
      <c r="F1445" s="15">
        <v>0.14099999999999999</v>
      </c>
      <c r="G1445" s="15">
        <v>6.8000000000000005E-2</v>
      </c>
      <c r="H1445" s="15">
        <v>9.1999999999999998E-2</v>
      </c>
      <c r="I1445" s="15">
        <v>9.1999999999999998E-2</v>
      </c>
      <c r="J1445" t="s">
        <v>412</v>
      </c>
      <c r="K1445" t="s">
        <v>551</v>
      </c>
    </row>
    <row r="1446" spans="1:11">
      <c r="A1446" t="s">
        <v>506</v>
      </c>
      <c r="B1446" t="s">
        <v>590</v>
      </c>
      <c r="C1446" t="s">
        <v>584</v>
      </c>
      <c r="D1446" s="15">
        <v>0.11899999999999999</v>
      </c>
      <c r="E1446" s="15">
        <v>1E-3</v>
      </c>
      <c r="F1446" s="15">
        <v>0.155</v>
      </c>
      <c r="G1446" s="15">
        <v>0.06</v>
      </c>
      <c r="H1446" s="15">
        <v>9.1999999999999998E-2</v>
      </c>
      <c r="I1446" s="15">
        <v>9.1999999999999998E-2</v>
      </c>
      <c r="J1446" t="s">
        <v>412</v>
      </c>
      <c r="K1446" t="s">
        <v>551</v>
      </c>
    </row>
    <row r="1447" spans="1:11">
      <c r="A1447" t="s">
        <v>573</v>
      </c>
      <c r="B1447" t="s">
        <v>550</v>
      </c>
      <c r="C1447" t="s">
        <v>575</v>
      </c>
      <c r="D1447" s="15">
        <v>-4.9000000000000002E-2</v>
      </c>
      <c r="E1447" s="15">
        <v>0.19800000000000001</v>
      </c>
      <c r="F1447" s="15">
        <v>-2.8000000000000001E-2</v>
      </c>
      <c r="G1447" s="15">
        <v>7.4999999999999997E-2</v>
      </c>
      <c r="H1447" s="15">
        <v>4.1000000000000002E-2</v>
      </c>
      <c r="I1447" s="15">
        <v>9.1999999999999998E-2</v>
      </c>
      <c r="J1447" t="s">
        <v>412</v>
      </c>
      <c r="K1447" t="s">
        <v>500</v>
      </c>
    </row>
    <row r="1448" spans="1:11">
      <c r="A1448" t="s">
        <v>479</v>
      </c>
      <c r="B1448" t="s">
        <v>498</v>
      </c>
      <c r="C1448" t="s">
        <v>584</v>
      </c>
      <c r="D1448" s="15">
        <v>0.106</v>
      </c>
      <c r="E1448" s="15">
        <v>7.6999999999999999E-2</v>
      </c>
      <c r="F1448" s="15">
        <v>-9.1999999999999998E-2</v>
      </c>
      <c r="G1448" s="15">
        <v>9.1999999999999998E-2</v>
      </c>
      <c r="H1448" s="15">
        <v>3.1E-2</v>
      </c>
      <c r="I1448" s="15">
        <v>9.1999999999999998E-2</v>
      </c>
      <c r="J1448" t="s">
        <v>412</v>
      </c>
      <c r="K1448" t="s">
        <v>493</v>
      </c>
    </row>
    <row r="1449" spans="1:11">
      <c r="A1449" t="s">
        <v>571</v>
      </c>
      <c r="B1449" t="s">
        <v>596</v>
      </c>
      <c r="C1449" t="s">
        <v>591</v>
      </c>
      <c r="D1449" s="15">
        <v>6.6000000000000003E-2</v>
      </c>
      <c r="E1449" s="15">
        <v>4.5999999999999999E-2</v>
      </c>
      <c r="F1449" s="15">
        <v>-0.16300000000000001</v>
      </c>
      <c r="G1449" s="15">
        <v>5.6000000000000001E-2</v>
      </c>
      <c r="H1449" s="15">
        <v>-1.7000000000000001E-2</v>
      </c>
      <c r="I1449" s="15">
        <v>9.1999999999999998E-2</v>
      </c>
      <c r="J1449" t="s">
        <v>412</v>
      </c>
      <c r="K1449" t="s">
        <v>493</v>
      </c>
    </row>
    <row r="1450" spans="1:11">
      <c r="A1450" t="s">
        <v>573</v>
      </c>
      <c r="B1450" t="s">
        <v>598</v>
      </c>
      <c r="C1450" t="s">
        <v>572</v>
      </c>
      <c r="D1450" s="15">
        <v>-0.20799999999999999</v>
      </c>
      <c r="E1450" s="15">
        <v>-2.3E-2</v>
      </c>
      <c r="F1450" s="15">
        <v>4.5999999999999999E-2</v>
      </c>
      <c r="G1450" s="15">
        <v>-0.11600000000000001</v>
      </c>
      <c r="H1450" s="15">
        <v>-6.2E-2</v>
      </c>
      <c r="I1450" s="15">
        <v>9.1999999999999998E-2</v>
      </c>
      <c r="J1450" t="s">
        <v>412</v>
      </c>
      <c r="K1450" t="s">
        <v>510</v>
      </c>
    </row>
    <row r="1451" spans="1:11">
      <c r="A1451" t="s">
        <v>479</v>
      </c>
      <c r="B1451" t="s">
        <v>595</v>
      </c>
      <c r="C1451" t="s">
        <v>575</v>
      </c>
      <c r="D1451" s="15">
        <v>-0.22500000000000001</v>
      </c>
      <c r="E1451" s="15">
        <v>-4.7E-2</v>
      </c>
      <c r="F1451" s="15">
        <v>6.0000000000000001E-3</v>
      </c>
      <c r="G1451" s="15">
        <v>-0.13600000000000001</v>
      </c>
      <c r="H1451" s="15">
        <v>-8.8999999999999996E-2</v>
      </c>
      <c r="I1451" s="15">
        <v>9.1999999999999998E-2</v>
      </c>
      <c r="J1451" t="s">
        <v>412</v>
      </c>
      <c r="K1451" t="s">
        <v>510</v>
      </c>
    </row>
    <row r="1452" spans="1:11">
      <c r="A1452" t="s">
        <v>547</v>
      </c>
      <c r="B1452" t="s">
        <v>478</v>
      </c>
      <c r="C1452" t="s">
        <v>492</v>
      </c>
      <c r="D1452" s="15">
        <v>-6.6000000000000003E-2</v>
      </c>
      <c r="E1452" s="15">
        <v>-9.4E-2</v>
      </c>
      <c r="F1452" s="15">
        <v>-0.115</v>
      </c>
      <c r="G1452" s="15">
        <v>-0.08</v>
      </c>
      <c r="H1452" s="15">
        <v>-9.1999999999999998E-2</v>
      </c>
      <c r="I1452" s="15">
        <v>9.1999999999999998E-2</v>
      </c>
      <c r="J1452" t="s">
        <v>412</v>
      </c>
      <c r="K1452" t="s">
        <v>589</v>
      </c>
    </row>
    <row r="1453" spans="1:11">
      <c r="A1453" t="s">
        <v>571</v>
      </c>
      <c r="B1453" t="s">
        <v>569</v>
      </c>
      <c r="C1453" t="s">
        <v>594</v>
      </c>
      <c r="D1453" s="15">
        <v>-8.0000000000000002E-3</v>
      </c>
      <c r="E1453" s="15">
        <v>-0.19600000000000001</v>
      </c>
      <c r="F1453" s="15">
        <v>-7.3999999999999996E-2</v>
      </c>
      <c r="G1453" s="15">
        <v>-0.10199999999999999</v>
      </c>
      <c r="H1453" s="15">
        <v>-9.1999999999999998E-2</v>
      </c>
      <c r="I1453" s="15">
        <v>9.1999999999999998E-2</v>
      </c>
      <c r="J1453" t="s">
        <v>412</v>
      </c>
      <c r="K1453" t="s">
        <v>589</v>
      </c>
    </row>
    <row r="1454" spans="1:11">
      <c r="A1454" t="s">
        <v>576</v>
      </c>
      <c r="B1454" t="s">
        <v>569</v>
      </c>
      <c r="C1454" t="s">
        <v>584</v>
      </c>
      <c r="D1454" s="15">
        <v>-0.1</v>
      </c>
      <c r="E1454" s="15">
        <v>-5.3999999999999999E-2</v>
      </c>
      <c r="F1454" s="15">
        <v>-0.124</v>
      </c>
      <c r="G1454" s="15">
        <v>-7.6999999999999999E-2</v>
      </c>
      <c r="H1454" s="15">
        <v>-9.1999999999999998E-2</v>
      </c>
      <c r="I1454" s="15">
        <v>9.1999999999999998E-2</v>
      </c>
      <c r="J1454" t="s">
        <v>412</v>
      </c>
      <c r="K1454" t="s">
        <v>589</v>
      </c>
    </row>
    <row r="1455" spans="1:11">
      <c r="A1455" t="s">
        <v>577</v>
      </c>
      <c r="B1455" t="s">
        <v>569</v>
      </c>
      <c r="C1455" t="s">
        <v>591</v>
      </c>
      <c r="D1455" s="15">
        <v>-1.4E-2</v>
      </c>
      <c r="E1455" s="15">
        <v>-0.157</v>
      </c>
      <c r="F1455" s="15">
        <v>-0.106</v>
      </c>
      <c r="G1455" s="15">
        <v>-8.5000000000000006E-2</v>
      </c>
      <c r="H1455" s="15">
        <v>-9.1999999999999998E-2</v>
      </c>
      <c r="I1455" s="15">
        <v>9.1999999999999998E-2</v>
      </c>
      <c r="J1455" t="s">
        <v>412</v>
      </c>
      <c r="K1455" t="s">
        <v>589</v>
      </c>
    </row>
    <row r="1456" spans="1:11">
      <c r="A1456" t="s">
        <v>479</v>
      </c>
      <c r="B1456" t="s">
        <v>523</v>
      </c>
      <c r="C1456" t="s">
        <v>584</v>
      </c>
      <c r="D1456" s="15">
        <v>0.106</v>
      </c>
      <c r="E1456" s="15">
        <v>0.06</v>
      </c>
      <c r="F1456" s="15">
        <v>0.106</v>
      </c>
      <c r="G1456" s="15">
        <v>8.3000000000000004E-2</v>
      </c>
      <c r="H1456" s="15">
        <v>9.0999999999999998E-2</v>
      </c>
      <c r="I1456" s="15">
        <v>9.0999999999999998E-2</v>
      </c>
      <c r="J1456" t="s">
        <v>412</v>
      </c>
      <c r="K1456" t="s">
        <v>551</v>
      </c>
    </row>
    <row r="1457" spans="1:11">
      <c r="A1457" t="s">
        <v>576</v>
      </c>
      <c r="B1457" t="s">
        <v>523</v>
      </c>
      <c r="C1457" t="s">
        <v>585</v>
      </c>
      <c r="D1457" s="15">
        <v>0.03</v>
      </c>
      <c r="E1457" s="15">
        <v>0.129</v>
      </c>
      <c r="F1457" s="15">
        <v>0.115</v>
      </c>
      <c r="G1457" s="15">
        <v>0.08</v>
      </c>
      <c r="H1457" s="15">
        <v>9.0999999999999998E-2</v>
      </c>
      <c r="I1457" s="15">
        <v>9.0999999999999998E-2</v>
      </c>
      <c r="J1457" t="s">
        <v>412</v>
      </c>
      <c r="K1457" t="s">
        <v>551</v>
      </c>
    </row>
    <row r="1458" spans="1:11">
      <c r="A1458" t="s">
        <v>479</v>
      </c>
      <c r="B1458" t="s">
        <v>580</v>
      </c>
      <c r="C1458" t="s">
        <v>585</v>
      </c>
      <c r="D1458" s="15">
        <v>-0.123</v>
      </c>
      <c r="E1458" s="15">
        <v>-1.9E-2</v>
      </c>
      <c r="F1458" s="15">
        <v>0.13</v>
      </c>
      <c r="G1458" s="15">
        <v>-7.0999999999999994E-2</v>
      </c>
      <c r="H1458" s="15">
        <v>-4.0000000000000001E-3</v>
      </c>
      <c r="I1458" s="15">
        <v>9.0999999999999998E-2</v>
      </c>
      <c r="J1458" t="s">
        <v>412</v>
      </c>
      <c r="K1458" t="s">
        <v>510</v>
      </c>
    </row>
    <row r="1459" spans="1:11">
      <c r="A1459" t="s">
        <v>506</v>
      </c>
      <c r="B1459" t="s">
        <v>580</v>
      </c>
      <c r="C1459" t="s">
        <v>575</v>
      </c>
      <c r="D1459" s="15">
        <v>-0.14399999999999999</v>
      </c>
      <c r="E1459" s="15">
        <v>5.0999999999999997E-2</v>
      </c>
      <c r="F1459" s="15">
        <v>0.08</v>
      </c>
      <c r="G1459" s="15">
        <v>-4.7E-2</v>
      </c>
      <c r="H1459" s="15">
        <v>-5.0000000000000001E-3</v>
      </c>
      <c r="I1459" s="15">
        <v>9.0999999999999998E-2</v>
      </c>
      <c r="J1459" t="s">
        <v>412</v>
      </c>
      <c r="K1459" t="s">
        <v>487</v>
      </c>
    </row>
    <row r="1460" spans="1:11">
      <c r="A1460" t="s">
        <v>573</v>
      </c>
      <c r="B1460" t="s">
        <v>517</v>
      </c>
      <c r="C1460" t="s">
        <v>570</v>
      </c>
      <c r="D1460" s="15">
        <v>-0.17100000000000001</v>
      </c>
      <c r="E1460" s="15">
        <v>7.4999999999999997E-2</v>
      </c>
      <c r="F1460" s="15">
        <v>2.8000000000000001E-2</v>
      </c>
      <c r="G1460" s="15">
        <v>-4.8000000000000001E-2</v>
      </c>
      <c r="H1460" s="15">
        <v>-2.3E-2</v>
      </c>
      <c r="I1460" s="15">
        <v>9.0999999999999998E-2</v>
      </c>
      <c r="J1460" t="s">
        <v>412</v>
      </c>
      <c r="K1460" t="s">
        <v>487</v>
      </c>
    </row>
    <row r="1461" spans="1:11">
      <c r="A1461" t="s">
        <v>486</v>
      </c>
      <c r="B1461" t="s">
        <v>590</v>
      </c>
      <c r="C1461" t="s">
        <v>593</v>
      </c>
      <c r="D1461" s="15">
        <v>-8.6999999999999994E-2</v>
      </c>
      <c r="E1461" s="15">
        <v>-0.106</v>
      </c>
      <c r="F1461" s="15">
        <v>7.9000000000000001E-2</v>
      </c>
      <c r="G1461" s="15">
        <v>-9.7000000000000003E-2</v>
      </c>
      <c r="H1461" s="15">
        <v>-3.7999999999999999E-2</v>
      </c>
      <c r="I1461" s="15">
        <v>9.0999999999999998E-2</v>
      </c>
      <c r="J1461" t="s">
        <v>412</v>
      </c>
      <c r="K1461" t="s">
        <v>510</v>
      </c>
    </row>
    <row r="1462" spans="1:11">
      <c r="A1462" t="s">
        <v>576</v>
      </c>
      <c r="B1462" t="s">
        <v>592</v>
      </c>
      <c r="C1462" t="s">
        <v>591</v>
      </c>
      <c r="D1462" s="15">
        <v>-6.5000000000000002E-2</v>
      </c>
      <c r="E1462" s="15">
        <v>7.9000000000000001E-2</v>
      </c>
      <c r="F1462" s="15">
        <v>-0.13</v>
      </c>
      <c r="G1462" s="15">
        <v>7.0000000000000001E-3</v>
      </c>
      <c r="H1462" s="15">
        <v>-3.9E-2</v>
      </c>
      <c r="I1462" s="15">
        <v>9.0999999999999998E-2</v>
      </c>
      <c r="J1462" t="s">
        <v>412</v>
      </c>
      <c r="K1462" t="s">
        <v>500</v>
      </c>
    </row>
    <row r="1463" spans="1:11">
      <c r="A1463" t="s">
        <v>573</v>
      </c>
      <c r="B1463" t="s">
        <v>597</v>
      </c>
      <c r="C1463" t="s">
        <v>583</v>
      </c>
      <c r="D1463" s="15">
        <v>7.3999999999999996E-2</v>
      </c>
      <c r="E1463" s="15">
        <v>-6.4000000000000001E-2</v>
      </c>
      <c r="F1463" s="15">
        <v>-0.13600000000000001</v>
      </c>
      <c r="G1463" s="15">
        <v>5.0000000000000001E-3</v>
      </c>
      <c r="H1463" s="15">
        <v>-4.2000000000000003E-2</v>
      </c>
      <c r="I1463" s="15">
        <v>9.0999999999999998E-2</v>
      </c>
      <c r="J1463" t="s">
        <v>412</v>
      </c>
      <c r="K1463" t="s">
        <v>579</v>
      </c>
    </row>
    <row r="1464" spans="1:11">
      <c r="A1464" t="s">
        <v>576</v>
      </c>
      <c r="B1464" t="s">
        <v>598</v>
      </c>
      <c r="C1464" t="s">
        <v>492</v>
      </c>
      <c r="D1464" s="15">
        <v>1.7999999999999999E-2</v>
      </c>
      <c r="E1464" s="15">
        <v>-0.20200000000000001</v>
      </c>
      <c r="F1464" s="15">
        <v>5.3999999999999999E-2</v>
      </c>
      <c r="G1464" s="15">
        <v>-9.1999999999999998E-2</v>
      </c>
      <c r="H1464" s="15">
        <v>-4.2999999999999997E-2</v>
      </c>
      <c r="I1464" s="15">
        <v>9.0999999999999998E-2</v>
      </c>
      <c r="J1464" t="s">
        <v>412</v>
      </c>
      <c r="K1464" t="s">
        <v>480</v>
      </c>
    </row>
    <row r="1465" spans="1:11">
      <c r="A1465" t="s">
        <v>479</v>
      </c>
      <c r="B1465" t="s">
        <v>586</v>
      </c>
      <c r="C1465" t="s">
        <v>585</v>
      </c>
      <c r="D1465" s="15">
        <v>-0.123</v>
      </c>
      <c r="E1465" s="15">
        <v>-0.10100000000000001</v>
      </c>
      <c r="F1465" s="15">
        <v>4.9000000000000002E-2</v>
      </c>
      <c r="G1465" s="15">
        <v>-0.112</v>
      </c>
      <c r="H1465" s="15">
        <v>-5.8999999999999997E-2</v>
      </c>
      <c r="I1465" s="15">
        <v>9.0999999999999998E-2</v>
      </c>
      <c r="J1465" t="s">
        <v>412</v>
      </c>
      <c r="K1465" t="s">
        <v>510</v>
      </c>
    </row>
    <row r="1466" spans="1:11">
      <c r="A1466" t="s">
        <v>576</v>
      </c>
      <c r="B1466" t="s">
        <v>598</v>
      </c>
      <c r="C1466" t="s">
        <v>477</v>
      </c>
      <c r="D1466" s="15">
        <v>2.9000000000000001E-2</v>
      </c>
      <c r="E1466" s="15">
        <v>-0.20200000000000001</v>
      </c>
      <c r="F1466" s="15">
        <v>-4.2000000000000003E-2</v>
      </c>
      <c r="G1466" s="15">
        <v>-8.5999999999999993E-2</v>
      </c>
      <c r="H1466" s="15">
        <v>-7.1999999999999995E-2</v>
      </c>
      <c r="I1466" s="15">
        <v>9.0999999999999998E-2</v>
      </c>
      <c r="J1466" t="s">
        <v>412</v>
      </c>
      <c r="K1466" t="s">
        <v>579</v>
      </c>
    </row>
    <row r="1467" spans="1:11">
      <c r="A1467" t="s">
        <v>573</v>
      </c>
      <c r="B1467" t="s">
        <v>595</v>
      </c>
      <c r="C1467" t="s">
        <v>492</v>
      </c>
      <c r="D1467" s="15">
        <v>-0.16400000000000001</v>
      </c>
      <c r="E1467" s="15">
        <v>-9.0999999999999998E-2</v>
      </c>
      <c r="F1467" s="15">
        <v>-1.9E-2</v>
      </c>
      <c r="G1467" s="15">
        <v>-0.128</v>
      </c>
      <c r="H1467" s="15">
        <v>-9.0999999999999998E-2</v>
      </c>
      <c r="I1467" s="15">
        <v>9.0999999999999998E-2</v>
      </c>
      <c r="J1467" t="s">
        <v>412</v>
      </c>
      <c r="K1467" t="s">
        <v>589</v>
      </c>
    </row>
    <row r="1468" spans="1:11">
      <c r="A1468" t="s">
        <v>547</v>
      </c>
      <c r="B1468" t="s">
        <v>550</v>
      </c>
      <c r="C1468" t="s">
        <v>593</v>
      </c>
      <c r="D1468" s="15">
        <v>3.5000000000000003E-2</v>
      </c>
      <c r="E1468" s="15">
        <v>2.7E-2</v>
      </c>
      <c r="F1468" s="15">
        <v>0.20799999999999999</v>
      </c>
      <c r="G1468" s="15">
        <v>3.1E-2</v>
      </c>
      <c r="H1468" s="15">
        <v>0.09</v>
      </c>
      <c r="I1468" s="15">
        <v>0.09</v>
      </c>
      <c r="J1468" t="s">
        <v>412</v>
      </c>
      <c r="K1468" t="s">
        <v>551</v>
      </c>
    </row>
    <row r="1469" spans="1:11">
      <c r="A1469" t="s">
        <v>577</v>
      </c>
      <c r="B1469" t="s">
        <v>595</v>
      </c>
      <c r="C1469" t="s">
        <v>575</v>
      </c>
      <c r="D1469" s="15">
        <v>0.14199999999999999</v>
      </c>
      <c r="E1469" s="15">
        <v>0.122</v>
      </c>
      <c r="F1469" s="15">
        <v>6.0000000000000001E-3</v>
      </c>
      <c r="G1469" s="15">
        <v>0.13200000000000001</v>
      </c>
      <c r="H1469" s="15">
        <v>0.09</v>
      </c>
      <c r="I1469" s="15">
        <v>0.09</v>
      </c>
      <c r="J1469" t="s">
        <v>412</v>
      </c>
      <c r="K1469" t="s">
        <v>551</v>
      </c>
    </row>
    <row r="1470" spans="1:11">
      <c r="A1470" t="s">
        <v>577</v>
      </c>
      <c r="B1470" t="s">
        <v>586</v>
      </c>
      <c r="C1470" t="s">
        <v>585</v>
      </c>
      <c r="D1470" s="15">
        <v>-6.0000000000000001E-3</v>
      </c>
      <c r="E1470" s="15">
        <v>0.217</v>
      </c>
      <c r="F1470" s="15">
        <v>4.9000000000000002E-2</v>
      </c>
      <c r="G1470" s="15">
        <v>0.106</v>
      </c>
      <c r="H1470" s="15">
        <v>8.6999999999999994E-2</v>
      </c>
      <c r="I1470" s="15">
        <v>0.09</v>
      </c>
      <c r="J1470" t="s">
        <v>412</v>
      </c>
      <c r="K1470" t="s">
        <v>487</v>
      </c>
    </row>
    <row r="1471" spans="1:11">
      <c r="A1471" t="s">
        <v>506</v>
      </c>
      <c r="B1471" t="s">
        <v>586</v>
      </c>
      <c r="C1471" t="s">
        <v>585</v>
      </c>
      <c r="D1471" s="15">
        <v>-5.6000000000000001E-2</v>
      </c>
      <c r="E1471" s="15">
        <v>0.16400000000000001</v>
      </c>
      <c r="F1471" s="15">
        <v>4.9000000000000002E-2</v>
      </c>
      <c r="G1471" s="15">
        <v>5.3999999999999999E-2</v>
      </c>
      <c r="H1471" s="15">
        <v>5.1999999999999998E-2</v>
      </c>
      <c r="I1471" s="15">
        <v>0.09</v>
      </c>
      <c r="J1471" t="s">
        <v>412</v>
      </c>
      <c r="K1471" t="s">
        <v>487</v>
      </c>
    </row>
    <row r="1472" spans="1:11">
      <c r="A1472" t="s">
        <v>506</v>
      </c>
      <c r="B1472" t="s">
        <v>505</v>
      </c>
      <c r="C1472" t="s">
        <v>477</v>
      </c>
      <c r="D1472" s="15">
        <v>0.14399999999999999</v>
      </c>
      <c r="E1472" s="15">
        <v>-6.5000000000000002E-2</v>
      </c>
      <c r="F1472" s="15">
        <v>5.8999999999999997E-2</v>
      </c>
      <c r="G1472" s="15">
        <v>0.04</v>
      </c>
      <c r="H1472" s="15">
        <v>4.5999999999999999E-2</v>
      </c>
      <c r="I1472" s="15">
        <v>0.09</v>
      </c>
      <c r="J1472" t="s">
        <v>412</v>
      </c>
      <c r="K1472" t="s">
        <v>480</v>
      </c>
    </row>
    <row r="1473" spans="1:11">
      <c r="A1473" t="s">
        <v>576</v>
      </c>
      <c r="B1473" t="s">
        <v>517</v>
      </c>
      <c r="C1473" t="s">
        <v>591</v>
      </c>
      <c r="D1473" s="15">
        <v>-6.5000000000000002E-2</v>
      </c>
      <c r="E1473" s="15">
        <v>5.0000000000000001E-3</v>
      </c>
      <c r="F1473" s="15">
        <v>0.19900000000000001</v>
      </c>
      <c r="G1473" s="15">
        <v>-0.03</v>
      </c>
      <c r="H1473" s="15">
        <v>4.5999999999999999E-2</v>
      </c>
      <c r="I1473" s="15">
        <v>0.09</v>
      </c>
      <c r="J1473" t="s">
        <v>412</v>
      </c>
      <c r="K1473" t="s">
        <v>487</v>
      </c>
    </row>
    <row r="1474" spans="1:11">
      <c r="A1474" t="s">
        <v>547</v>
      </c>
      <c r="B1474" t="s">
        <v>498</v>
      </c>
      <c r="C1474" t="s">
        <v>593</v>
      </c>
      <c r="D1474" s="15">
        <v>3.5000000000000003E-2</v>
      </c>
      <c r="E1474" s="15">
        <v>0.16500000000000001</v>
      </c>
      <c r="F1474" s="15">
        <v>-7.0000000000000007E-2</v>
      </c>
      <c r="G1474" s="15">
        <v>0.1</v>
      </c>
      <c r="H1474" s="15">
        <v>4.3999999999999997E-2</v>
      </c>
      <c r="I1474" s="15">
        <v>0.09</v>
      </c>
      <c r="J1474" t="s">
        <v>412</v>
      </c>
      <c r="K1474" t="s">
        <v>493</v>
      </c>
    </row>
    <row r="1475" spans="1:11">
      <c r="A1475" t="s">
        <v>547</v>
      </c>
      <c r="B1475" t="s">
        <v>499</v>
      </c>
      <c r="C1475" t="s">
        <v>582</v>
      </c>
      <c r="D1475" s="15">
        <v>0.14299999999999999</v>
      </c>
      <c r="E1475" s="15">
        <v>-7.0999999999999994E-2</v>
      </c>
      <c r="F1475" s="15">
        <v>5.6000000000000001E-2</v>
      </c>
      <c r="G1475" s="15">
        <v>3.5999999999999997E-2</v>
      </c>
      <c r="H1475" s="15">
        <v>4.2999999999999997E-2</v>
      </c>
      <c r="I1475" s="15">
        <v>0.09</v>
      </c>
      <c r="J1475" t="s">
        <v>412</v>
      </c>
      <c r="K1475" t="s">
        <v>480</v>
      </c>
    </row>
    <row r="1476" spans="1:11">
      <c r="A1476" t="s">
        <v>577</v>
      </c>
      <c r="B1476" t="s">
        <v>509</v>
      </c>
      <c r="C1476" t="s">
        <v>570</v>
      </c>
      <c r="D1476" s="15">
        <v>-8.8999999999999996E-2</v>
      </c>
      <c r="E1476" s="15">
        <v>0.104</v>
      </c>
      <c r="F1476" s="15">
        <v>7.6999999999999999E-2</v>
      </c>
      <c r="G1476" s="15">
        <v>8.0000000000000002E-3</v>
      </c>
      <c r="H1476" s="15">
        <v>3.1E-2</v>
      </c>
      <c r="I1476" s="15">
        <v>0.09</v>
      </c>
      <c r="J1476" t="s">
        <v>412</v>
      </c>
      <c r="K1476" t="s">
        <v>487</v>
      </c>
    </row>
    <row r="1477" spans="1:11">
      <c r="A1477" t="s">
        <v>577</v>
      </c>
      <c r="B1477" t="s">
        <v>588</v>
      </c>
      <c r="C1477" t="s">
        <v>583</v>
      </c>
      <c r="D1477" s="15">
        <v>-0.09</v>
      </c>
      <c r="E1477" s="15">
        <v>0.114</v>
      </c>
      <c r="F1477" s="15">
        <v>6.5000000000000002E-2</v>
      </c>
      <c r="G1477" s="15">
        <v>1.2E-2</v>
      </c>
      <c r="H1477" s="15">
        <v>0.03</v>
      </c>
      <c r="I1477" s="15">
        <v>0.09</v>
      </c>
      <c r="J1477" t="s">
        <v>412</v>
      </c>
      <c r="K1477" t="s">
        <v>487</v>
      </c>
    </row>
    <row r="1478" spans="1:11">
      <c r="A1478" t="s">
        <v>486</v>
      </c>
      <c r="B1478" t="s">
        <v>517</v>
      </c>
      <c r="C1478" t="s">
        <v>594</v>
      </c>
      <c r="D1478" s="15">
        <v>-9.7000000000000003E-2</v>
      </c>
      <c r="E1478" s="15">
        <v>9.2999999999999999E-2</v>
      </c>
      <c r="F1478" s="15">
        <v>0.08</v>
      </c>
      <c r="G1478" s="15">
        <v>-2E-3</v>
      </c>
      <c r="H1478" s="15">
        <v>2.5000000000000001E-2</v>
      </c>
      <c r="I1478" s="15">
        <v>0.09</v>
      </c>
      <c r="J1478" t="s">
        <v>412</v>
      </c>
      <c r="K1478" t="s">
        <v>487</v>
      </c>
    </row>
    <row r="1479" spans="1:11">
      <c r="A1479" t="s">
        <v>571</v>
      </c>
      <c r="B1479" t="s">
        <v>586</v>
      </c>
      <c r="C1479" t="s">
        <v>593</v>
      </c>
      <c r="D1479" s="15">
        <v>-0.10100000000000001</v>
      </c>
      <c r="E1479" s="15">
        <v>5.6000000000000001E-2</v>
      </c>
      <c r="F1479" s="15">
        <v>0.112</v>
      </c>
      <c r="G1479" s="15">
        <v>-2.1999999999999999E-2</v>
      </c>
      <c r="H1479" s="15">
        <v>2.1999999999999999E-2</v>
      </c>
      <c r="I1479" s="15">
        <v>0.09</v>
      </c>
      <c r="J1479" t="s">
        <v>412</v>
      </c>
      <c r="K1479" t="s">
        <v>487</v>
      </c>
    </row>
    <row r="1480" spans="1:11">
      <c r="A1480" t="s">
        <v>547</v>
      </c>
      <c r="B1480" t="s">
        <v>509</v>
      </c>
      <c r="C1480" t="s">
        <v>570</v>
      </c>
      <c r="D1480" s="15">
        <v>-0.14799999999999999</v>
      </c>
      <c r="E1480" s="15">
        <v>4.5999999999999999E-2</v>
      </c>
      <c r="F1480" s="15">
        <v>7.6999999999999999E-2</v>
      </c>
      <c r="G1480" s="15">
        <v>-5.0999999999999997E-2</v>
      </c>
      <c r="H1480" s="15">
        <v>-8.0000000000000002E-3</v>
      </c>
      <c r="I1480" s="15">
        <v>0.09</v>
      </c>
      <c r="J1480" t="s">
        <v>412</v>
      </c>
      <c r="K1480" t="s">
        <v>487</v>
      </c>
    </row>
    <row r="1481" spans="1:11">
      <c r="A1481" t="s">
        <v>479</v>
      </c>
      <c r="B1481" t="s">
        <v>517</v>
      </c>
      <c r="C1481" t="s">
        <v>585</v>
      </c>
      <c r="D1481" s="15">
        <v>-0.123</v>
      </c>
      <c r="E1481" s="15">
        <v>-7.3999999999999996E-2</v>
      </c>
      <c r="F1481" s="15">
        <v>7.0999999999999994E-2</v>
      </c>
      <c r="G1481" s="15">
        <v>-9.9000000000000005E-2</v>
      </c>
      <c r="H1481" s="15">
        <v>-4.2000000000000003E-2</v>
      </c>
      <c r="I1481" s="15">
        <v>0.09</v>
      </c>
      <c r="J1481" t="s">
        <v>412</v>
      </c>
      <c r="K1481" t="s">
        <v>510</v>
      </c>
    </row>
    <row r="1482" spans="1:11">
      <c r="A1482" t="s">
        <v>576</v>
      </c>
      <c r="B1482" t="s">
        <v>598</v>
      </c>
      <c r="C1482" t="s">
        <v>594</v>
      </c>
      <c r="D1482" s="15">
        <v>2.1000000000000001E-2</v>
      </c>
      <c r="E1482" s="15">
        <v>-0.20200000000000001</v>
      </c>
      <c r="F1482" s="15">
        <v>4.9000000000000002E-2</v>
      </c>
      <c r="G1482" s="15">
        <v>-0.09</v>
      </c>
      <c r="H1482" s="15">
        <v>-4.3999999999999997E-2</v>
      </c>
      <c r="I1482" s="15">
        <v>0.09</v>
      </c>
      <c r="J1482" t="s">
        <v>412</v>
      </c>
      <c r="K1482" t="s">
        <v>480</v>
      </c>
    </row>
    <row r="1483" spans="1:11">
      <c r="A1483" t="s">
        <v>547</v>
      </c>
      <c r="B1483" t="s">
        <v>569</v>
      </c>
      <c r="C1483" t="s">
        <v>492</v>
      </c>
      <c r="D1483" s="15">
        <v>-6.6000000000000003E-2</v>
      </c>
      <c r="E1483" s="15">
        <v>-0.14699999999999999</v>
      </c>
      <c r="F1483" s="15">
        <v>5.7000000000000002E-2</v>
      </c>
      <c r="G1483" s="15">
        <v>-0.106</v>
      </c>
      <c r="H1483" s="15">
        <v>-5.1999999999999998E-2</v>
      </c>
      <c r="I1483" s="15">
        <v>0.09</v>
      </c>
      <c r="J1483" t="s">
        <v>412</v>
      </c>
      <c r="K1483" t="s">
        <v>510</v>
      </c>
    </row>
    <row r="1484" spans="1:11">
      <c r="A1484" t="s">
        <v>573</v>
      </c>
      <c r="B1484" t="s">
        <v>505</v>
      </c>
      <c r="C1484" t="s">
        <v>593</v>
      </c>
      <c r="D1484" s="15">
        <v>2.8000000000000001E-2</v>
      </c>
      <c r="E1484" s="15">
        <v>-0.20300000000000001</v>
      </c>
      <c r="F1484" s="15">
        <v>-3.7999999999999999E-2</v>
      </c>
      <c r="G1484" s="15">
        <v>-8.6999999999999994E-2</v>
      </c>
      <c r="H1484" s="15">
        <v>-7.0999999999999994E-2</v>
      </c>
      <c r="I1484" s="15">
        <v>0.09</v>
      </c>
      <c r="J1484" t="s">
        <v>412</v>
      </c>
      <c r="K1484" t="s">
        <v>579</v>
      </c>
    </row>
    <row r="1485" spans="1:11">
      <c r="A1485" t="s">
        <v>486</v>
      </c>
      <c r="B1485" t="s">
        <v>505</v>
      </c>
      <c r="C1485" t="s">
        <v>582</v>
      </c>
      <c r="D1485" s="15">
        <v>-0.129</v>
      </c>
      <c r="E1485" s="15">
        <v>8.9999999999999993E-3</v>
      </c>
      <c r="F1485" s="15">
        <v>-0.13200000000000001</v>
      </c>
      <c r="G1485" s="15">
        <v>-0.06</v>
      </c>
      <c r="H1485" s="15">
        <v>-8.4000000000000005E-2</v>
      </c>
      <c r="I1485" s="15">
        <v>0.09</v>
      </c>
      <c r="J1485" t="s">
        <v>412</v>
      </c>
      <c r="K1485" t="s">
        <v>500</v>
      </c>
    </row>
    <row r="1486" spans="1:11">
      <c r="A1486" t="s">
        <v>506</v>
      </c>
      <c r="B1486" t="s">
        <v>505</v>
      </c>
      <c r="C1486" t="s">
        <v>492</v>
      </c>
      <c r="D1486" s="15">
        <v>-0.17399999999999999</v>
      </c>
      <c r="E1486" s="15">
        <v>-6.5000000000000002E-2</v>
      </c>
      <c r="F1486" s="15">
        <v>-0.03</v>
      </c>
      <c r="G1486" s="15">
        <v>-0.11899999999999999</v>
      </c>
      <c r="H1486" s="15">
        <v>-0.09</v>
      </c>
      <c r="I1486" s="15">
        <v>0.09</v>
      </c>
      <c r="J1486" t="s">
        <v>412</v>
      </c>
      <c r="K1486" t="s">
        <v>589</v>
      </c>
    </row>
    <row r="1487" spans="1:11">
      <c r="A1487" t="s">
        <v>547</v>
      </c>
      <c r="B1487" t="s">
        <v>596</v>
      </c>
      <c r="C1487" t="s">
        <v>570</v>
      </c>
      <c r="D1487" s="15">
        <v>-0.14799999999999999</v>
      </c>
      <c r="E1487" s="15">
        <v>-4.7E-2</v>
      </c>
      <c r="F1487" s="15">
        <v>-7.2999999999999995E-2</v>
      </c>
      <c r="G1487" s="15">
        <v>-9.8000000000000004E-2</v>
      </c>
      <c r="H1487" s="15">
        <v>-0.09</v>
      </c>
      <c r="I1487" s="15">
        <v>0.09</v>
      </c>
      <c r="J1487" t="s">
        <v>412</v>
      </c>
      <c r="K1487" t="s">
        <v>589</v>
      </c>
    </row>
    <row r="1488" spans="1:11">
      <c r="A1488" t="s">
        <v>573</v>
      </c>
      <c r="B1488" t="s">
        <v>598</v>
      </c>
      <c r="C1488" t="s">
        <v>570</v>
      </c>
      <c r="D1488" s="15">
        <v>-0.17100000000000001</v>
      </c>
      <c r="E1488" s="15">
        <v>-2.3E-2</v>
      </c>
      <c r="F1488" s="15">
        <v>-7.4999999999999997E-2</v>
      </c>
      <c r="G1488" s="15">
        <v>-9.7000000000000003E-2</v>
      </c>
      <c r="H1488" s="15">
        <v>-0.09</v>
      </c>
      <c r="I1488" s="15">
        <v>0.09</v>
      </c>
      <c r="J1488" t="s">
        <v>412</v>
      </c>
      <c r="K1488" t="s">
        <v>589</v>
      </c>
    </row>
    <row r="1489" spans="1:11">
      <c r="A1489" t="s">
        <v>571</v>
      </c>
      <c r="B1489" t="s">
        <v>574</v>
      </c>
      <c r="C1489" t="s">
        <v>585</v>
      </c>
      <c r="D1489" s="15">
        <v>-1.2999999999999999E-2</v>
      </c>
      <c r="E1489" s="15">
        <v>-4.4999999999999998E-2</v>
      </c>
      <c r="F1489" s="15">
        <v>-0.21299999999999999</v>
      </c>
      <c r="G1489" s="15">
        <v>-2.9000000000000001E-2</v>
      </c>
      <c r="H1489" s="15">
        <v>-0.09</v>
      </c>
      <c r="I1489" s="15">
        <v>0.09</v>
      </c>
      <c r="J1489" t="s">
        <v>412</v>
      </c>
      <c r="K1489" t="s">
        <v>589</v>
      </c>
    </row>
    <row r="1490" spans="1:11">
      <c r="A1490" t="s">
        <v>576</v>
      </c>
      <c r="B1490" t="s">
        <v>550</v>
      </c>
      <c r="C1490" t="s">
        <v>570</v>
      </c>
      <c r="D1490" s="15">
        <v>-0.222</v>
      </c>
      <c r="E1490" s="15">
        <v>-0.03</v>
      </c>
      <c r="F1490" s="15">
        <v>-1.9E-2</v>
      </c>
      <c r="G1490" s="15">
        <v>-0.126</v>
      </c>
      <c r="H1490" s="15">
        <v>-0.09</v>
      </c>
      <c r="I1490" s="15">
        <v>0.09</v>
      </c>
      <c r="J1490" t="s">
        <v>412</v>
      </c>
      <c r="K1490" t="s">
        <v>589</v>
      </c>
    </row>
    <row r="1491" spans="1:11">
      <c r="A1491" t="s">
        <v>577</v>
      </c>
      <c r="B1491" t="s">
        <v>596</v>
      </c>
      <c r="C1491" t="s">
        <v>572</v>
      </c>
      <c r="D1491" s="15">
        <v>-0.14399999999999999</v>
      </c>
      <c r="E1491" s="15">
        <v>-7.0000000000000007E-2</v>
      </c>
      <c r="F1491" s="15">
        <v>-5.6000000000000001E-2</v>
      </c>
      <c r="G1491" s="15">
        <v>-0.107</v>
      </c>
      <c r="H1491" s="15">
        <v>-0.09</v>
      </c>
      <c r="I1491" s="15">
        <v>0.09</v>
      </c>
      <c r="J1491" t="s">
        <v>412</v>
      </c>
      <c r="K1491" t="s">
        <v>589</v>
      </c>
    </row>
    <row r="1492" spans="1:11">
      <c r="A1492" t="s">
        <v>576</v>
      </c>
      <c r="B1492" t="s">
        <v>505</v>
      </c>
      <c r="C1492" t="s">
        <v>585</v>
      </c>
      <c r="D1492" s="15">
        <v>0.03</v>
      </c>
      <c r="E1492" s="15">
        <v>0.104</v>
      </c>
      <c r="F1492" s="15">
        <v>0.13500000000000001</v>
      </c>
      <c r="G1492" s="15">
        <v>6.7000000000000004E-2</v>
      </c>
      <c r="H1492" s="15">
        <v>8.8999999999999996E-2</v>
      </c>
      <c r="I1492" s="15">
        <v>8.8999999999999996E-2</v>
      </c>
      <c r="J1492" t="s">
        <v>412</v>
      </c>
      <c r="K1492" t="s">
        <v>551</v>
      </c>
    </row>
    <row r="1493" spans="1:11">
      <c r="A1493" t="s">
        <v>576</v>
      </c>
      <c r="B1493" t="s">
        <v>587</v>
      </c>
      <c r="C1493" t="s">
        <v>582</v>
      </c>
      <c r="D1493" s="15">
        <v>7.6999999999999999E-2</v>
      </c>
      <c r="E1493" s="15">
        <v>0.11700000000000001</v>
      </c>
      <c r="F1493" s="15">
        <v>7.2999999999999995E-2</v>
      </c>
      <c r="G1493" s="15">
        <v>9.7000000000000003E-2</v>
      </c>
      <c r="H1493" s="15">
        <v>8.8999999999999996E-2</v>
      </c>
      <c r="I1493" s="15">
        <v>8.8999999999999996E-2</v>
      </c>
      <c r="J1493" t="s">
        <v>412</v>
      </c>
      <c r="K1493" t="s">
        <v>551</v>
      </c>
    </row>
    <row r="1494" spans="1:11">
      <c r="A1494" t="s">
        <v>479</v>
      </c>
      <c r="B1494" t="s">
        <v>590</v>
      </c>
      <c r="C1494" t="s">
        <v>593</v>
      </c>
      <c r="D1494" s="15">
        <v>-8.0000000000000002E-3</v>
      </c>
      <c r="E1494" s="15">
        <v>0.17899999999999999</v>
      </c>
      <c r="F1494" s="15">
        <v>7.9000000000000001E-2</v>
      </c>
      <c r="G1494" s="15">
        <v>8.5999999999999993E-2</v>
      </c>
      <c r="H1494" s="15">
        <v>8.4000000000000005E-2</v>
      </c>
      <c r="I1494" s="15">
        <v>8.8999999999999996E-2</v>
      </c>
      <c r="J1494" t="s">
        <v>412</v>
      </c>
      <c r="K1494" t="s">
        <v>487</v>
      </c>
    </row>
    <row r="1495" spans="1:11">
      <c r="A1495" t="s">
        <v>486</v>
      </c>
      <c r="B1495" t="s">
        <v>505</v>
      </c>
      <c r="C1495" t="s">
        <v>584</v>
      </c>
      <c r="D1495" s="15">
        <v>-7.9000000000000001E-2</v>
      </c>
      <c r="E1495" s="15">
        <v>8.9999999999999993E-3</v>
      </c>
      <c r="F1495" s="15">
        <v>-0.18099999999999999</v>
      </c>
      <c r="G1495" s="15">
        <v>-3.5000000000000003E-2</v>
      </c>
      <c r="H1495" s="15">
        <v>-8.4000000000000005E-2</v>
      </c>
      <c r="I1495" s="15">
        <v>8.8999999999999996E-2</v>
      </c>
      <c r="J1495" t="s">
        <v>412</v>
      </c>
      <c r="K1495" t="s">
        <v>500</v>
      </c>
    </row>
    <row r="1496" spans="1:11">
      <c r="A1496" t="s">
        <v>547</v>
      </c>
      <c r="B1496" t="s">
        <v>596</v>
      </c>
      <c r="C1496" t="s">
        <v>575</v>
      </c>
      <c r="D1496" s="15">
        <v>-6.8000000000000005E-2</v>
      </c>
      <c r="E1496" s="15">
        <v>-4.7E-2</v>
      </c>
      <c r="F1496" s="15">
        <v>-0.151</v>
      </c>
      <c r="G1496" s="15">
        <v>-5.8000000000000003E-2</v>
      </c>
      <c r="H1496" s="15">
        <v>-8.8999999999999996E-2</v>
      </c>
      <c r="I1496" s="15">
        <v>8.8999999999999996E-2</v>
      </c>
      <c r="J1496" t="s">
        <v>412</v>
      </c>
      <c r="K1496" t="s">
        <v>589</v>
      </c>
    </row>
    <row r="1497" spans="1:11">
      <c r="A1497" t="s">
        <v>506</v>
      </c>
      <c r="B1497" t="s">
        <v>586</v>
      </c>
      <c r="C1497" t="s">
        <v>594</v>
      </c>
      <c r="D1497" s="15">
        <v>8.2000000000000003E-2</v>
      </c>
      <c r="E1497" s="15">
        <v>0.16400000000000001</v>
      </c>
      <c r="F1497" s="15">
        <v>1.7999999999999999E-2</v>
      </c>
      <c r="G1497" s="15">
        <v>0.123</v>
      </c>
      <c r="H1497" s="15">
        <v>8.7999999999999995E-2</v>
      </c>
      <c r="I1497" s="15">
        <v>8.7999999999999995E-2</v>
      </c>
      <c r="J1497" t="s">
        <v>412</v>
      </c>
      <c r="K1497" t="s">
        <v>551</v>
      </c>
    </row>
    <row r="1498" spans="1:11">
      <c r="A1498" t="s">
        <v>573</v>
      </c>
      <c r="B1498" t="s">
        <v>581</v>
      </c>
      <c r="C1498" t="s">
        <v>591</v>
      </c>
      <c r="D1498" s="15">
        <v>0.123</v>
      </c>
      <c r="E1498" s="15">
        <v>7.3999999999999996E-2</v>
      </c>
      <c r="F1498" s="15">
        <v>6.5000000000000002E-2</v>
      </c>
      <c r="G1498" s="15">
        <v>9.9000000000000005E-2</v>
      </c>
      <c r="H1498" s="15">
        <v>8.7999999999999995E-2</v>
      </c>
      <c r="I1498" s="15">
        <v>8.7999999999999995E-2</v>
      </c>
      <c r="J1498" t="s">
        <v>412</v>
      </c>
      <c r="K1498" t="s">
        <v>551</v>
      </c>
    </row>
    <row r="1499" spans="1:11">
      <c r="A1499" t="s">
        <v>573</v>
      </c>
      <c r="B1499" t="s">
        <v>498</v>
      </c>
      <c r="C1499" t="s">
        <v>591</v>
      </c>
      <c r="D1499" s="15">
        <v>0.123</v>
      </c>
      <c r="E1499" s="15">
        <v>0.13100000000000001</v>
      </c>
      <c r="F1499" s="15">
        <v>-0.01</v>
      </c>
      <c r="G1499" s="15">
        <v>0.127</v>
      </c>
      <c r="H1499" s="15">
        <v>8.1000000000000003E-2</v>
      </c>
      <c r="I1499" s="15">
        <v>8.7999999999999995E-2</v>
      </c>
      <c r="J1499" t="s">
        <v>412</v>
      </c>
      <c r="K1499" t="s">
        <v>493</v>
      </c>
    </row>
    <row r="1500" spans="1:11">
      <c r="A1500" t="s">
        <v>486</v>
      </c>
      <c r="B1500" t="s">
        <v>478</v>
      </c>
      <c r="C1500" t="s">
        <v>584</v>
      </c>
      <c r="D1500" s="15">
        <v>-7.9000000000000001E-2</v>
      </c>
      <c r="E1500" s="15">
        <v>0.104</v>
      </c>
      <c r="F1500" s="15">
        <v>8.1000000000000003E-2</v>
      </c>
      <c r="G1500" s="15">
        <v>1.2999999999999999E-2</v>
      </c>
      <c r="H1500" s="15">
        <v>3.5000000000000003E-2</v>
      </c>
      <c r="I1500" s="15">
        <v>8.7999999999999995E-2</v>
      </c>
      <c r="J1500" t="s">
        <v>412</v>
      </c>
      <c r="K1500" t="s">
        <v>487</v>
      </c>
    </row>
    <row r="1501" spans="1:11">
      <c r="A1501" t="s">
        <v>547</v>
      </c>
      <c r="B1501" t="s">
        <v>592</v>
      </c>
      <c r="C1501" t="s">
        <v>582</v>
      </c>
      <c r="D1501" s="15">
        <v>0.14299999999999999</v>
      </c>
      <c r="E1501" s="15">
        <v>3.5000000000000003E-2</v>
      </c>
      <c r="F1501" s="15">
        <v>-8.5999999999999993E-2</v>
      </c>
      <c r="G1501" s="15">
        <v>8.8999999999999996E-2</v>
      </c>
      <c r="H1501" s="15">
        <v>3.1E-2</v>
      </c>
      <c r="I1501" s="15">
        <v>8.7999999999999995E-2</v>
      </c>
      <c r="J1501" t="s">
        <v>412</v>
      </c>
      <c r="K1501" t="s">
        <v>493</v>
      </c>
    </row>
    <row r="1502" spans="1:11">
      <c r="A1502" t="s">
        <v>576</v>
      </c>
      <c r="B1502" t="s">
        <v>505</v>
      </c>
      <c r="C1502" t="s">
        <v>583</v>
      </c>
      <c r="D1502" s="15">
        <v>-0.109</v>
      </c>
      <c r="E1502" s="15">
        <v>0.104</v>
      </c>
      <c r="F1502" s="15">
        <v>5.1999999999999998E-2</v>
      </c>
      <c r="G1502" s="15">
        <v>-3.0000000000000001E-3</v>
      </c>
      <c r="H1502" s="15">
        <v>1.4999999999999999E-2</v>
      </c>
      <c r="I1502" s="15">
        <v>8.7999999999999995E-2</v>
      </c>
      <c r="J1502" t="s">
        <v>412</v>
      </c>
      <c r="K1502" t="s">
        <v>487</v>
      </c>
    </row>
    <row r="1503" spans="1:11">
      <c r="A1503" t="s">
        <v>571</v>
      </c>
      <c r="B1503" t="s">
        <v>596</v>
      </c>
      <c r="C1503" t="s">
        <v>572</v>
      </c>
      <c r="D1503" s="15">
        <v>-0.16300000000000001</v>
      </c>
      <c r="E1503" s="15">
        <v>4.5999999999999999E-2</v>
      </c>
      <c r="F1503" s="15">
        <v>-5.6000000000000001E-2</v>
      </c>
      <c r="G1503" s="15">
        <v>-5.8999999999999997E-2</v>
      </c>
      <c r="H1503" s="15">
        <v>-5.8000000000000003E-2</v>
      </c>
      <c r="I1503" s="15">
        <v>8.7999999999999995E-2</v>
      </c>
      <c r="J1503" t="s">
        <v>412</v>
      </c>
      <c r="K1503" t="s">
        <v>500</v>
      </c>
    </row>
    <row r="1504" spans="1:11">
      <c r="A1504" t="s">
        <v>506</v>
      </c>
      <c r="B1504" t="s">
        <v>588</v>
      </c>
      <c r="C1504" t="s">
        <v>570</v>
      </c>
      <c r="D1504" s="15">
        <v>-0.14199999999999999</v>
      </c>
      <c r="E1504" s="15">
        <v>-8.7999999999999995E-2</v>
      </c>
      <c r="F1504" s="15">
        <v>3.4000000000000002E-2</v>
      </c>
      <c r="G1504" s="15">
        <v>-0.115</v>
      </c>
      <c r="H1504" s="15">
        <v>-6.5000000000000002E-2</v>
      </c>
      <c r="I1504" s="15">
        <v>8.7999999999999995E-2</v>
      </c>
      <c r="J1504" t="s">
        <v>412</v>
      </c>
      <c r="K1504" t="s">
        <v>510</v>
      </c>
    </row>
    <row r="1505" spans="1:11">
      <c r="A1505" t="s">
        <v>576</v>
      </c>
      <c r="B1505" t="s">
        <v>569</v>
      </c>
      <c r="C1505" t="s">
        <v>477</v>
      </c>
      <c r="D1505" s="15">
        <v>2.9000000000000001E-2</v>
      </c>
      <c r="E1505" s="15">
        <v>-5.3999999999999999E-2</v>
      </c>
      <c r="F1505" s="15">
        <v>-0.18099999999999999</v>
      </c>
      <c r="G1505" s="15">
        <v>-1.2E-2</v>
      </c>
      <c r="H1505" s="15">
        <v>-6.9000000000000006E-2</v>
      </c>
      <c r="I1505" s="15">
        <v>8.7999999999999995E-2</v>
      </c>
      <c r="J1505" t="s">
        <v>412</v>
      </c>
      <c r="K1505" t="s">
        <v>579</v>
      </c>
    </row>
    <row r="1506" spans="1:11">
      <c r="A1506" t="s">
        <v>573</v>
      </c>
      <c r="B1506" t="s">
        <v>596</v>
      </c>
      <c r="C1506" t="s">
        <v>570</v>
      </c>
      <c r="D1506" s="15">
        <v>-0.17100000000000001</v>
      </c>
      <c r="E1506" s="15">
        <v>0.02</v>
      </c>
      <c r="F1506" s="15">
        <v>-7.2999999999999995E-2</v>
      </c>
      <c r="G1506" s="15">
        <v>-7.5999999999999998E-2</v>
      </c>
      <c r="H1506" s="15">
        <v>-7.4999999999999997E-2</v>
      </c>
      <c r="I1506" s="15">
        <v>8.7999999999999995E-2</v>
      </c>
      <c r="J1506" t="s">
        <v>412</v>
      </c>
      <c r="K1506" t="s">
        <v>500</v>
      </c>
    </row>
    <row r="1507" spans="1:11">
      <c r="A1507" t="s">
        <v>547</v>
      </c>
      <c r="B1507" t="s">
        <v>569</v>
      </c>
      <c r="C1507" t="s">
        <v>591</v>
      </c>
      <c r="D1507" s="15">
        <v>0.01</v>
      </c>
      <c r="E1507" s="15">
        <v>-0.14699999999999999</v>
      </c>
      <c r="F1507" s="15">
        <v>-0.106</v>
      </c>
      <c r="G1507" s="15">
        <v>-6.8000000000000005E-2</v>
      </c>
      <c r="H1507" s="15">
        <v>-8.1000000000000003E-2</v>
      </c>
      <c r="I1507" s="15">
        <v>8.7999999999999995E-2</v>
      </c>
      <c r="J1507" t="s">
        <v>412</v>
      </c>
      <c r="K1507" t="s">
        <v>579</v>
      </c>
    </row>
    <row r="1508" spans="1:11">
      <c r="A1508" t="s">
        <v>506</v>
      </c>
      <c r="B1508" t="s">
        <v>598</v>
      </c>
      <c r="C1508" t="s">
        <v>594</v>
      </c>
      <c r="D1508" s="15">
        <v>8.2000000000000003E-2</v>
      </c>
      <c r="E1508" s="15">
        <v>0.13</v>
      </c>
      <c r="F1508" s="15">
        <v>4.9000000000000002E-2</v>
      </c>
      <c r="G1508" s="15">
        <v>0.106</v>
      </c>
      <c r="H1508" s="15">
        <v>8.6999999999999994E-2</v>
      </c>
      <c r="I1508" s="15">
        <v>8.6999999999999994E-2</v>
      </c>
      <c r="J1508" t="s">
        <v>412</v>
      </c>
      <c r="K1508" t="s">
        <v>551</v>
      </c>
    </row>
    <row r="1509" spans="1:11">
      <c r="A1509" t="s">
        <v>573</v>
      </c>
      <c r="B1509" t="s">
        <v>523</v>
      </c>
      <c r="C1509" t="s">
        <v>593</v>
      </c>
      <c r="D1509" s="15">
        <v>2.8000000000000001E-2</v>
      </c>
      <c r="E1509" s="15">
        <v>0.21199999999999999</v>
      </c>
      <c r="F1509" s="15">
        <v>0.02</v>
      </c>
      <c r="G1509" s="15">
        <v>0.12</v>
      </c>
      <c r="H1509" s="15">
        <v>8.6999999999999994E-2</v>
      </c>
      <c r="I1509" s="15">
        <v>8.6999999999999994E-2</v>
      </c>
      <c r="J1509" t="s">
        <v>412</v>
      </c>
      <c r="K1509" t="s">
        <v>551</v>
      </c>
    </row>
    <row r="1510" spans="1:11">
      <c r="A1510" t="s">
        <v>577</v>
      </c>
      <c r="B1510" t="s">
        <v>509</v>
      </c>
      <c r="C1510" t="s">
        <v>575</v>
      </c>
      <c r="D1510" s="15">
        <v>0.14199999999999999</v>
      </c>
      <c r="E1510" s="15">
        <v>0.104</v>
      </c>
      <c r="F1510" s="15">
        <v>-1.6E-2</v>
      </c>
      <c r="G1510" s="15">
        <v>0.123</v>
      </c>
      <c r="H1510" s="15">
        <v>7.6999999999999999E-2</v>
      </c>
      <c r="I1510" s="15">
        <v>8.6999999999999994E-2</v>
      </c>
      <c r="J1510" t="s">
        <v>412</v>
      </c>
      <c r="K1510" t="s">
        <v>493</v>
      </c>
    </row>
    <row r="1511" spans="1:11">
      <c r="A1511" t="s">
        <v>547</v>
      </c>
      <c r="B1511" t="s">
        <v>590</v>
      </c>
      <c r="C1511" t="s">
        <v>585</v>
      </c>
      <c r="D1511" s="15">
        <v>-7.1999999999999995E-2</v>
      </c>
      <c r="E1511" s="15">
        <v>0.16600000000000001</v>
      </c>
      <c r="F1511" s="15">
        <v>2.3E-2</v>
      </c>
      <c r="G1511" s="15">
        <v>4.7E-2</v>
      </c>
      <c r="H1511" s="15">
        <v>3.9E-2</v>
      </c>
      <c r="I1511" s="15">
        <v>8.6999999999999994E-2</v>
      </c>
      <c r="J1511" t="s">
        <v>412</v>
      </c>
      <c r="K1511" t="s">
        <v>487</v>
      </c>
    </row>
    <row r="1512" spans="1:11">
      <c r="A1512" t="s">
        <v>576</v>
      </c>
      <c r="B1512" t="s">
        <v>509</v>
      </c>
      <c r="C1512" t="s">
        <v>591</v>
      </c>
      <c r="D1512" s="15">
        <v>-6.5000000000000002E-2</v>
      </c>
      <c r="E1512" s="15">
        <v>-2.9000000000000001E-2</v>
      </c>
      <c r="F1512" s="15">
        <v>0.16800000000000001</v>
      </c>
      <c r="G1512" s="15">
        <v>-4.7E-2</v>
      </c>
      <c r="H1512" s="15">
        <v>2.5000000000000001E-2</v>
      </c>
      <c r="I1512" s="15">
        <v>8.6999999999999994E-2</v>
      </c>
      <c r="J1512" t="s">
        <v>412</v>
      </c>
      <c r="K1512" t="s">
        <v>510</v>
      </c>
    </row>
    <row r="1513" spans="1:11">
      <c r="A1513" t="s">
        <v>576</v>
      </c>
      <c r="B1513" t="s">
        <v>478</v>
      </c>
      <c r="C1513" t="s">
        <v>593</v>
      </c>
      <c r="D1513" s="15">
        <v>-1.7000000000000001E-2</v>
      </c>
      <c r="E1513" s="15">
        <v>-8.1000000000000003E-2</v>
      </c>
      <c r="F1513" s="15">
        <v>0.16300000000000001</v>
      </c>
      <c r="G1513" s="15">
        <v>-4.9000000000000002E-2</v>
      </c>
      <c r="H1513" s="15">
        <v>2.1000000000000001E-2</v>
      </c>
      <c r="I1513" s="15">
        <v>8.6999999999999994E-2</v>
      </c>
      <c r="J1513" t="s">
        <v>412</v>
      </c>
      <c r="K1513" t="s">
        <v>510</v>
      </c>
    </row>
    <row r="1514" spans="1:11">
      <c r="A1514" t="s">
        <v>573</v>
      </c>
      <c r="B1514" t="s">
        <v>597</v>
      </c>
      <c r="C1514" t="s">
        <v>594</v>
      </c>
      <c r="D1514" s="15">
        <v>0.13700000000000001</v>
      </c>
      <c r="E1514" s="15">
        <v>-6.4000000000000001E-2</v>
      </c>
      <c r="F1514" s="15">
        <v>-5.8999999999999997E-2</v>
      </c>
      <c r="G1514" s="15">
        <v>3.6999999999999998E-2</v>
      </c>
      <c r="H1514" s="15">
        <v>5.0000000000000001E-3</v>
      </c>
      <c r="I1514" s="15">
        <v>8.6999999999999994E-2</v>
      </c>
      <c r="J1514" t="s">
        <v>412</v>
      </c>
      <c r="K1514" t="s">
        <v>579</v>
      </c>
    </row>
    <row r="1515" spans="1:11">
      <c r="A1515" t="s">
        <v>571</v>
      </c>
      <c r="B1515" t="s">
        <v>523</v>
      </c>
      <c r="C1515" t="s">
        <v>585</v>
      </c>
      <c r="D1515" s="15">
        <v>-1.2999999999999999E-2</v>
      </c>
      <c r="E1515" s="15">
        <v>-0.13200000000000001</v>
      </c>
      <c r="F1515" s="15">
        <v>0.115</v>
      </c>
      <c r="G1515" s="15">
        <v>-7.1999999999999995E-2</v>
      </c>
      <c r="H1515" s="15">
        <v>-0.01</v>
      </c>
      <c r="I1515" s="15">
        <v>8.6999999999999994E-2</v>
      </c>
      <c r="J1515" t="s">
        <v>412</v>
      </c>
      <c r="K1515" t="s">
        <v>510</v>
      </c>
    </row>
    <row r="1516" spans="1:11">
      <c r="A1516" t="s">
        <v>576</v>
      </c>
      <c r="B1516" t="s">
        <v>478</v>
      </c>
      <c r="C1516" t="s">
        <v>584</v>
      </c>
      <c r="D1516" s="15">
        <v>-0.1</v>
      </c>
      <c r="E1516" s="15">
        <v>-8.1000000000000003E-2</v>
      </c>
      <c r="F1516" s="15">
        <v>8.1000000000000003E-2</v>
      </c>
      <c r="G1516" s="15">
        <v>-0.09</v>
      </c>
      <c r="H1516" s="15">
        <v>-3.3000000000000002E-2</v>
      </c>
      <c r="I1516" s="15">
        <v>8.6999999999999994E-2</v>
      </c>
      <c r="J1516" t="s">
        <v>412</v>
      </c>
      <c r="K1516" t="s">
        <v>510</v>
      </c>
    </row>
    <row r="1517" spans="1:11">
      <c r="A1517" t="s">
        <v>576</v>
      </c>
      <c r="B1517" t="s">
        <v>580</v>
      </c>
      <c r="C1517" t="s">
        <v>583</v>
      </c>
      <c r="D1517" s="15">
        <v>-0.109</v>
      </c>
      <c r="E1517" s="15">
        <v>-0.09</v>
      </c>
      <c r="F1517" s="15">
        <v>6.3E-2</v>
      </c>
      <c r="G1517" s="15">
        <v>-0.1</v>
      </c>
      <c r="H1517" s="15">
        <v>-4.4999999999999998E-2</v>
      </c>
      <c r="I1517" s="15">
        <v>8.6999999999999994E-2</v>
      </c>
      <c r="J1517" t="s">
        <v>412</v>
      </c>
      <c r="K1517" t="s">
        <v>510</v>
      </c>
    </row>
    <row r="1518" spans="1:11">
      <c r="A1518" t="s">
        <v>479</v>
      </c>
      <c r="B1518" t="s">
        <v>517</v>
      </c>
      <c r="C1518" t="s">
        <v>582</v>
      </c>
      <c r="D1518" s="15">
        <v>-0.127</v>
      </c>
      <c r="E1518" s="15">
        <v>-7.3999999999999996E-2</v>
      </c>
      <c r="F1518" s="15">
        <v>5.8000000000000003E-2</v>
      </c>
      <c r="G1518" s="15">
        <v>-0.10100000000000001</v>
      </c>
      <c r="H1518" s="15">
        <v>-4.8000000000000001E-2</v>
      </c>
      <c r="I1518" s="15">
        <v>8.6999999999999994E-2</v>
      </c>
      <c r="J1518" t="s">
        <v>412</v>
      </c>
      <c r="K1518" t="s">
        <v>510</v>
      </c>
    </row>
    <row r="1519" spans="1:11">
      <c r="A1519" t="s">
        <v>573</v>
      </c>
      <c r="B1519" t="s">
        <v>505</v>
      </c>
      <c r="C1519" t="s">
        <v>575</v>
      </c>
      <c r="D1519" s="15">
        <v>-4.9000000000000002E-2</v>
      </c>
      <c r="E1519" s="15">
        <v>-0.20300000000000001</v>
      </c>
      <c r="F1519" s="15">
        <v>8.0000000000000002E-3</v>
      </c>
      <c r="G1519" s="15">
        <v>-0.126</v>
      </c>
      <c r="H1519" s="15">
        <v>-8.1000000000000003E-2</v>
      </c>
      <c r="I1519" s="15">
        <v>8.6999999999999994E-2</v>
      </c>
      <c r="J1519" t="s">
        <v>412</v>
      </c>
      <c r="K1519" t="s">
        <v>510</v>
      </c>
    </row>
    <row r="1520" spans="1:11">
      <c r="A1520" t="s">
        <v>547</v>
      </c>
      <c r="B1520" t="s">
        <v>517</v>
      </c>
      <c r="C1520" t="s">
        <v>593</v>
      </c>
      <c r="D1520" s="15">
        <v>3.5000000000000003E-2</v>
      </c>
      <c r="E1520" s="15">
        <v>-3.0000000000000001E-3</v>
      </c>
      <c r="F1520" s="15">
        <v>0.221</v>
      </c>
      <c r="G1520" s="15">
        <v>1.6E-2</v>
      </c>
      <c r="H1520" s="15">
        <v>8.4000000000000005E-2</v>
      </c>
      <c r="I1520" s="15">
        <v>8.5999999999999993E-2</v>
      </c>
      <c r="J1520" t="s">
        <v>412</v>
      </c>
      <c r="K1520" t="s">
        <v>480</v>
      </c>
    </row>
    <row r="1521" spans="1:11">
      <c r="A1521" t="s">
        <v>573</v>
      </c>
      <c r="B1521" t="s">
        <v>586</v>
      </c>
      <c r="C1521" t="s">
        <v>594</v>
      </c>
      <c r="D1521" s="15">
        <v>0.13700000000000001</v>
      </c>
      <c r="E1521" s="15">
        <v>-0.10299999999999999</v>
      </c>
      <c r="F1521" s="15">
        <v>1.7999999999999999E-2</v>
      </c>
      <c r="G1521" s="15">
        <v>1.7000000000000001E-2</v>
      </c>
      <c r="H1521" s="15">
        <v>1.7000000000000001E-2</v>
      </c>
      <c r="I1521" s="15">
        <v>8.5999999999999993E-2</v>
      </c>
      <c r="J1521" t="s">
        <v>412</v>
      </c>
      <c r="K1521" t="s">
        <v>480</v>
      </c>
    </row>
    <row r="1522" spans="1:11">
      <c r="A1522" t="s">
        <v>479</v>
      </c>
      <c r="B1522" t="s">
        <v>498</v>
      </c>
      <c r="C1522" t="s">
        <v>477</v>
      </c>
      <c r="D1522" s="15">
        <v>4.5999999999999999E-2</v>
      </c>
      <c r="E1522" s="15">
        <v>7.6999999999999999E-2</v>
      </c>
      <c r="F1522" s="15">
        <v>-0.13400000000000001</v>
      </c>
      <c r="G1522" s="15">
        <v>6.2E-2</v>
      </c>
      <c r="H1522" s="15">
        <v>-3.0000000000000001E-3</v>
      </c>
      <c r="I1522" s="15">
        <v>8.5999999999999993E-2</v>
      </c>
      <c r="J1522" t="s">
        <v>412</v>
      </c>
      <c r="K1522" t="s">
        <v>493</v>
      </c>
    </row>
    <row r="1523" spans="1:11">
      <c r="A1523" t="s">
        <v>547</v>
      </c>
      <c r="B1523" t="s">
        <v>505</v>
      </c>
      <c r="C1523" t="s">
        <v>477</v>
      </c>
      <c r="D1523" s="15">
        <v>6.4000000000000001E-2</v>
      </c>
      <c r="E1523" s="15">
        <v>-0.13600000000000001</v>
      </c>
      <c r="F1523" s="15">
        <v>5.8999999999999997E-2</v>
      </c>
      <c r="G1523" s="15">
        <v>-3.5999999999999997E-2</v>
      </c>
      <c r="H1523" s="15">
        <v>-4.0000000000000001E-3</v>
      </c>
      <c r="I1523" s="15">
        <v>8.5999999999999993E-2</v>
      </c>
      <c r="J1523" t="s">
        <v>412</v>
      </c>
      <c r="K1523" t="s">
        <v>480</v>
      </c>
    </row>
    <row r="1524" spans="1:11">
      <c r="A1524" t="s">
        <v>479</v>
      </c>
      <c r="B1524" t="s">
        <v>595</v>
      </c>
      <c r="C1524" t="s">
        <v>585</v>
      </c>
      <c r="D1524" s="15">
        <v>-0.123</v>
      </c>
      <c r="E1524" s="15">
        <v>-4.7E-2</v>
      </c>
      <c r="F1524" s="15">
        <v>8.8999999999999996E-2</v>
      </c>
      <c r="G1524" s="15">
        <v>-8.5000000000000006E-2</v>
      </c>
      <c r="H1524" s="15">
        <v>-2.7E-2</v>
      </c>
      <c r="I1524" s="15">
        <v>8.5999999999999993E-2</v>
      </c>
      <c r="J1524" t="s">
        <v>412</v>
      </c>
      <c r="K1524" t="s">
        <v>510</v>
      </c>
    </row>
    <row r="1525" spans="1:11">
      <c r="A1525" t="s">
        <v>479</v>
      </c>
      <c r="B1525" t="s">
        <v>581</v>
      </c>
      <c r="C1525" t="s">
        <v>594</v>
      </c>
      <c r="D1525" s="15">
        <v>8.5000000000000006E-2</v>
      </c>
      <c r="E1525" s="15">
        <v>-7.8E-2</v>
      </c>
      <c r="F1525" s="15">
        <v>-9.5000000000000001E-2</v>
      </c>
      <c r="G1525" s="15">
        <v>3.0000000000000001E-3</v>
      </c>
      <c r="H1525" s="15">
        <v>-2.9000000000000001E-2</v>
      </c>
      <c r="I1525" s="15">
        <v>8.5999999999999993E-2</v>
      </c>
      <c r="J1525" t="s">
        <v>412</v>
      </c>
      <c r="K1525" t="s">
        <v>579</v>
      </c>
    </row>
    <row r="1526" spans="1:11">
      <c r="A1526" t="s">
        <v>506</v>
      </c>
      <c r="B1526" t="s">
        <v>550</v>
      </c>
      <c r="C1526" t="s">
        <v>585</v>
      </c>
      <c r="D1526" s="15">
        <v>-5.6000000000000001E-2</v>
      </c>
      <c r="E1526" s="15">
        <v>-0.17299999999999999</v>
      </c>
      <c r="F1526" s="15">
        <v>2.9000000000000001E-2</v>
      </c>
      <c r="G1526" s="15">
        <v>-0.115</v>
      </c>
      <c r="H1526" s="15">
        <v>-6.7000000000000004E-2</v>
      </c>
      <c r="I1526" s="15">
        <v>8.5999999999999993E-2</v>
      </c>
      <c r="J1526" t="s">
        <v>412</v>
      </c>
      <c r="K1526" t="s">
        <v>510</v>
      </c>
    </row>
    <row r="1527" spans="1:11">
      <c r="A1527" t="s">
        <v>506</v>
      </c>
      <c r="B1527" t="s">
        <v>595</v>
      </c>
      <c r="C1527" t="s">
        <v>593</v>
      </c>
      <c r="D1527" s="15">
        <v>-7.1999999999999995E-2</v>
      </c>
      <c r="E1527" s="15">
        <v>-6.0999999999999999E-2</v>
      </c>
      <c r="F1527" s="15">
        <v>-0.124</v>
      </c>
      <c r="G1527" s="15">
        <v>-6.6000000000000003E-2</v>
      </c>
      <c r="H1527" s="15">
        <v>-8.5999999999999993E-2</v>
      </c>
      <c r="I1527" s="15">
        <v>8.5999999999999993E-2</v>
      </c>
      <c r="J1527" t="s">
        <v>412</v>
      </c>
      <c r="K1527" t="s">
        <v>589</v>
      </c>
    </row>
    <row r="1528" spans="1:11">
      <c r="A1528" t="s">
        <v>547</v>
      </c>
      <c r="B1528" t="s">
        <v>598</v>
      </c>
      <c r="C1528" t="s">
        <v>570</v>
      </c>
      <c r="D1528" s="15">
        <v>-0.14799999999999999</v>
      </c>
      <c r="E1528" s="15">
        <v>-3.5999999999999997E-2</v>
      </c>
      <c r="F1528" s="15">
        <v>-7.4999999999999997E-2</v>
      </c>
      <c r="G1528" s="15">
        <v>-9.1999999999999998E-2</v>
      </c>
      <c r="H1528" s="15">
        <v>-8.5999999999999993E-2</v>
      </c>
      <c r="I1528" s="15">
        <v>8.5999999999999993E-2</v>
      </c>
      <c r="J1528" t="s">
        <v>412</v>
      </c>
      <c r="K1528" t="s">
        <v>589</v>
      </c>
    </row>
    <row r="1529" spans="1:11">
      <c r="A1529" t="s">
        <v>573</v>
      </c>
      <c r="B1529" t="s">
        <v>550</v>
      </c>
      <c r="C1529" t="s">
        <v>585</v>
      </c>
      <c r="D1529" s="15">
        <v>2.5999999999999999E-2</v>
      </c>
      <c r="E1529" s="15">
        <v>0.19800000000000001</v>
      </c>
      <c r="F1529" s="15">
        <v>2.9000000000000001E-2</v>
      </c>
      <c r="G1529" s="15">
        <v>0.112</v>
      </c>
      <c r="H1529" s="15">
        <v>8.5000000000000006E-2</v>
      </c>
      <c r="I1529" s="15">
        <v>8.5000000000000006E-2</v>
      </c>
      <c r="J1529" t="s">
        <v>412</v>
      </c>
      <c r="K1529" t="s">
        <v>551</v>
      </c>
    </row>
    <row r="1530" spans="1:11">
      <c r="A1530" t="s">
        <v>577</v>
      </c>
      <c r="B1530" t="s">
        <v>588</v>
      </c>
      <c r="C1530" t="s">
        <v>591</v>
      </c>
      <c r="D1530" s="15">
        <v>-1.4E-2</v>
      </c>
      <c r="E1530" s="15">
        <v>0.114</v>
      </c>
      <c r="F1530" s="15">
        <v>0.128</v>
      </c>
      <c r="G1530" s="15">
        <v>0.05</v>
      </c>
      <c r="H1530" s="15">
        <v>7.5999999999999998E-2</v>
      </c>
      <c r="I1530" s="15">
        <v>8.5000000000000006E-2</v>
      </c>
      <c r="J1530" t="s">
        <v>412</v>
      </c>
      <c r="K1530" t="s">
        <v>487</v>
      </c>
    </row>
    <row r="1531" spans="1:11">
      <c r="A1531" t="s">
        <v>547</v>
      </c>
      <c r="B1531" t="s">
        <v>523</v>
      </c>
      <c r="C1531" t="s">
        <v>584</v>
      </c>
      <c r="D1531" s="15">
        <v>0.112</v>
      </c>
      <c r="E1531" s="15">
        <v>-3.6999999999999998E-2</v>
      </c>
      <c r="F1531" s="15">
        <v>0.106</v>
      </c>
      <c r="G1531" s="15">
        <v>3.6999999999999998E-2</v>
      </c>
      <c r="H1531" s="15">
        <v>0.06</v>
      </c>
      <c r="I1531" s="15">
        <v>8.5000000000000006E-2</v>
      </c>
      <c r="J1531" t="s">
        <v>412</v>
      </c>
      <c r="K1531" t="s">
        <v>480</v>
      </c>
    </row>
    <row r="1532" spans="1:11">
      <c r="A1532" t="s">
        <v>547</v>
      </c>
      <c r="B1532" t="s">
        <v>578</v>
      </c>
      <c r="C1532" t="s">
        <v>593</v>
      </c>
      <c r="D1532" s="15">
        <v>3.5000000000000003E-2</v>
      </c>
      <c r="E1532" s="15">
        <v>-4.2999999999999997E-2</v>
      </c>
      <c r="F1532" s="15">
        <v>0.17599999999999999</v>
      </c>
      <c r="G1532" s="15">
        <v>-4.0000000000000001E-3</v>
      </c>
      <c r="H1532" s="15">
        <v>5.6000000000000001E-2</v>
      </c>
      <c r="I1532" s="15">
        <v>8.5000000000000006E-2</v>
      </c>
      <c r="J1532" t="s">
        <v>412</v>
      </c>
      <c r="K1532" t="s">
        <v>480</v>
      </c>
    </row>
    <row r="1533" spans="1:11">
      <c r="A1533" t="s">
        <v>576</v>
      </c>
      <c r="B1533" t="s">
        <v>550</v>
      </c>
      <c r="C1533" t="s">
        <v>593</v>
      </c>
      <c r="D1533" s="15">
        <v>-1.7000000000000001E-2</v>
      </c>
      <c r="E1533" s="15">
        <v>-0.03</v>
      </c>
      <c r="F1533" s="15">
        <v>0.20799999999999999</v>
      </c>
      <c r="G1533" s="15">
        <v>-2.4E-2</v>
      </c>
      <c r="H1533" s="15">
        <v>5.2999999999999999E-2</v>
      </c>
      <c r="I1533" s="15">
        <v>8.5000000000000006E-2</v>
      </c>
      <c r="J1533" t="s">
        <v>412</v>
      </c>
      <c r="K1533" t="s">
        <v>510</v>
      </c>
    </row>
    <row r="1534" spans="1:11">
      <c r="A1534" t="s">
        <v>577</v>
      </c>
      <c r="B1534" t="s">
        <v>478</v>
      </c>
      <c r="C1534" t="s">
        <v>593</v>
      </c>
      <c r="D1534" s="15">
        <v>3.7999999999999999E-2</v>
      </c>
      <c r="E1534" s="15">
        <v>-5.3999999999999999E-2</v>
      </c>
      <c r="F1534" s="15">
        <v>0.16300000000000001</v>
      </c>
      <c r="G1534" s="15">
        <v>-8.0000000000000002E-3</v>
      </c>
      <c r="H1534" s="15">
        <v>4.9000000000000002E-2</v>
      </c>
      <c r="I1534" s="15">
        <v>8.5000000000000006E-2</v>
      </c>
      <c r="J1534" t="s">
        <v>412</v>
      </c>
      <c r="K1534" t="s">
        <v>480</v>
      </c>
    </row>
    <row r="1535" spans="1:11">
      <c r="A1535" t="s">
        <v>479</v>
      </c>
      <c r="B1535" t="s">
        <v>587</v>
      </c>
      <c r="C1535" t="s">
        <v>572</v>
      </c>
      <c r="D1535" s="15">
        <v>-6.8000000000000005E-2</v>
      </c>
      <c r="E1535" s="15">
        <v>-7.0000000000000001E-3</v>
      </c>
      <c r="F1535" s="15">
        <v>0.182</v>
      </c>
      <c r="G1535" s="15">
        <v>-3.6999999999999998E-2</v>
      </c>
      <c r="H1535" s="15">
        <v>3.5999999999999997E-2</v>
      </c>
      <c r="I1535" s="15">
        <v>8.5000000000000006E-2</v>
      </c>
      <c r="J1535" t="s">
        <v>412</v>
      </c>
      <c r="K1535" t="s">
        <v>510</v>
      </c>
    </row>
    <row r="1536" spans="1:11">
      <c r="A1536" t="s">
        <v>577</v>
      </c>
      <c r="B1536" t="s">
        <v>517</v>
      </c>
      <c r="C1536" t="s">
        <v>570</v>
      </c>
      <c r="D1536" s="15">
        <v>-8.8999999999999996E-2</v>
      </c>
      <c r="E1536" s="15">
        <v>0.13900000000000001</v>
      </c>
      <c r="F1536" s="15">
        <v>2.8000000000000001E-2</v>
      </c>
      <c r="G1536" s="15">
        <v>2.5000000000000001E-2</v>
      </c>
      <c r="H1536" s="15">
        <v>2.5999999999999999E-2</v>
      </c>
      <c r="I1536" s="15">
        <v>8.5000000000000006E-2</v>
      </c>
      <c r="J1536" t="s">
        <v>412</v>
      </c>
      <c r="K1536" t="s">
        <v>487</v>
      </c>
    </row>
    <row r="1537" spans="1:11">
      <c r="A1537" t="s">
        <v>506</v>
      </c>
      <c r="B1537" t="s">
        <v>505</v>
      </c>
      <c r="C1537" t="s">
        <v>585</v>
      </c>
      <c r="D1537" s="15">
        <v>-5.6000000000000001E-2</v>
      </c>
      <c r="E1537" s="15">
        <v>-6.5000000000000002E-2</v>
      </c>
      <c r="F1537" s="15">
        <v>0.13500000000000001</v>
      </c>
      <c r="G1537" s="15">
        <v>-6.0999999999999999E-2</v>
      </c>
      <c r="H1537" s="15">
        <v>5.0000000000000001E-3</v>
      </c>
      <c r="I1537" s="15">
        <v>8.5000000000000006E-2</v>
      </c>
      <c r="J1537" t="s">
        <v>412</v>
      </c>
      <c r="K1537" t="s">
        <v>510</v>
      </c>
    </row>
    <row r="1538" spans="1:11">
      <c r="A1538" t="s">
        <v>479</v>
      </c>
      <c r="B1538" t="s">
        <v>578</v>
      </c>
      <c r="C1538" t="s">
        <v>582</v>
      </c>
      <c r="D1538" s="15">
        <v>-0.127</v>
      </c>
      <c r="E1538" s="15">
        <v>2.8000000000000001E-2</v>
      </c>
      <c r="F1538" s="15">
        <v>0.1</v>
      </c>
      <c r="G1538" s="15">
        <v>-0.05</v>
      </c>
      <c r="H1538" s="15">
        <v>0</v>
      </c>
      <c r="I1538" s="15">
        <v>8.5000000000000006E-2</v>
      </c>
      <c r="J1538" t="s">
        <v>412</v>
      </c>
      <c r="K1538" t="s">
        <v>487</v>
      </c>
    </row>
    <row r="1539" spans="1:11">
      <c r="A1539" t="s">
        <v>479</v>
      </c>
      <c r="B1539" t="s">
        <v>598</v>
      </c>
      <c r="C1539" t="s">
        <v>591</v>
      </c>
      <c r="D1539" s="15">
        <v>9.4E-2</v>
      </c>
      <c r="E1539" s="15">
        <v>-7.9000000000000001E-2</v>
      </c>
      <c r="F1539" s="15">
        <v>-8.2000000000000003E-2</v>
      </c>
      <c r="G1539" s="15">
        <v>8.0000000000000002E-3</v>
      </c>
      <c r="H1539" s="15">
        <v>-2.1999999999999999E-2</v>
      </c>
      <c r="I1539" s="15">
        <v>8.5000000000000006E-2</v>
      </c>
      <c r="J1539" t="s">
        <v>412</v>
      </c>
      <c r="K1539" t="s">
        <v>579</v>
      </c>
    </row>
    <row r="1540" spans="1:11">
      <c r="A1540" t="s">
        <v>573</v>
      </c>
      <c r="B1540" t="s">
        <v>588</v>
      </c>
      <c r="C1540" t="s">
        <v>570</v>
      </c>
      <c r="D1540" s="15">
        <v>-0.17100000000000001</v>
      </c>
      <c r="E1540" s="15">
        <v>4.9000000000000002E-2</v>
      </c>
      <c r="F1540" s="15">
        <v>3.4000000000000002E-2</v>
      </c>
      <c r="G1540" s="15">
        <v>-6.0999999999999999E-2</v>
      </c>
      <c r="H1540" s="15">
        <v>-2.9000000000000001E-2</v>
      </c>
      <c r="I1540" s="15">
        <v>8.5000000000000006E-2</v>
      </c>
      <c r="J1540" t="s">
        <v>412</v>
      </c>
      <c r="K1540" t="s">
        <v>487</v>
      </c>
    </row>
    <row r="1541" spans="1:11">
      <c r="A1541" t="s">
        <v>573</v>
      </c>
      <c r="B1541" t="s">
        <v>592</v>
      </c>
      <c r="C1541" t="s">
        <v>492</v>
      </c>
      <c r="D1541" s="15">
        <v>-0.16400000000000001</v>
      </c>
      <c r="E1541" s="15">
        <v>-3.5000000000000003E-2</v>
      </c>
      <c r="F1541" s="15">
        <v>5.5E-2</v>
      </c>
      <c r="G1541" s="15">
        <v>-0.1</v>
      </c>
      <c r="H1541" s="15">
        <v>-4.8000000000000001E-2</v>
      </c>
      <c r="I1541" s="15">
        <v>8.5000000000000006E-2</v>
      </c>
      <c r="J1541" t="s">
        <v>412</v>
      </c>
      <c r="K1541" t="s">
        <v>510</v>
      </c>
    </row>
    <row r="1542" spans="1:11">
      <c r="A1542" t="s">
        <v>479</v>
      </c>
      <c r="B1542" t="s">
        <v>587</v>
      </c>
      <c r="C1542" t="s">
        <v>477</v>
      </c>
      <c r="D1542" s="15">
        <v>4.5999999999999999E-2</v>
      </c>
      <c r="E1542" s="15">
        <v>-7.0000000000000001E-3</v>
      </c>
      <c r="F1542" s="15">
        <v>-0.20200000000000001</v>
      </c>
      <c r="G1542" s="15">
        <v>0.02</v>
      </c>
      <c r="H1542" s="15">
        <v>-5.3999999999999999E-2</v>
      </c>
      <c r="I1542" s="15">
        <v>8.5000000000000006E-2</v>
      </c>
      <c r="J1542" t="s">
        <v>412</v>
      </c>
      <c r="K1542" t="s">
        <v>579</v>
      </c>
    </row>
    <row r="1543" spans="1:11">
      <c r="A1543" t="s">
        <v>576</v>
      </c>
      <c r="B1543" t="s">
        <v>517</v>
      </c>
      <c r="C1543" t="s">
        <v>570</v>
      </c>
      <c r="D1543" s="15">
        <v>-0.222</v>
      </c>
      <c r="E1543" s="15">
        <v>5.0000000000000001E-3</v>
      </c>
      <c r="F1543" s="15">
        <v>2.8000000000000001E-2</v>
      </c>
      <c r="G1543" s="15">
        <v>-0.109</v>
      </c>
      <c r="H1543" s="15">
        <v>-6.3E-2</v>
      </c>
      <c r="I1543" s="15">
        <v>8.5000000000000006E-2</v>
      </c>
      <c r="J1543" t="s">
        <v>412</v>
      </c>
      <c r="K1543" t="s">
        <v>487</v>
      </c>
    </row>
    <row r="1544" spans="1:11">
      <c r="A1544" t="s">
        <v>479</v>
      </c>
      <c r="B1544" t="s">
        <v>592</v>
      </c>
      <c r="C1544" t="s">
        <v>585</v>
      </c>
      <c r="D1544" s="15">
        <v>-0.123</v>
      </c>
      <c r="E1544" s="15">
        <v>-0.109</v>
      </c>
      <c r="F1544" s="15">
        <v>2.1000000000000001E-2</v>
      </c>
      <c r="G1544" s="15">
        <v>-0.11600000000000001</v>
      </c>
      <c r="H1544" s="15">
        <v>-7.0999999999999994E-2</v>
      </c>
      <c r="I1544" s="15">
        <v>8.5000000000000006E-2</v>
      </c>
      <c r="J1544" t="s">
        <v>412</v>
      </c>
      <c r="K1544" t="s">
        <v>510</v>
      </c>
    </row>
    <row r="1545" spans="1:11">
      <c r="A1545" t="s">
        <v>576</v>
      </c>
      <c r="B1545" t="s">
        <v>517</v>
      </c>
      <c r="C1545" t="s">
        <v>572</v>
      </c>
      <c r="D1545" s="15">
        <v>-5.8999999999999997E-2</v>
      </c>
      <c r="E1545" s="15">
        <v>5.0000000000000001E-3</v>
      </c>
      <c r="F1545" s="15">
        <v>-0.191</v>
      </c>
      <c r="G1545" s="15">
        <v>-2.7E-2</v>
      </c>
      <c r="H1545" s="15">
        <v>-8.2000000000000003E-2</v>
      </c>
      <c r="I1545" s="15">
        <v>8.5000000000000006E-2</v>
      </c>
      <c r="J1545" t="s">
        <v>412</v>
      </c>
      <c r="K1545" t="s">
        <v>500</v>
      </c>
    </row>
    <row r="1546" spans="1:11">
      <c r="A1546" t="s">
        <v>547</v>
      </c>
      <c r="B1546" t="s">
        <v>595</v>
      </c>
      <c r="C1546" t="s">
        <v>583</v>
      </c>
      <c r="D1546" s="15">
        <v>-0.03</v>
      </c>
      <c r="E1546" s="15">
        <v>-4.3999999999999997E-2</v>
      </c>
      <c r="F1546" s="15">
        <v>-0.18099999999999999</v>
      </c>
      <c r="G1546" s="15">
        <v>-3.6999999999999998E-2</v>
      </c>
      <c r="H1546" s="15">
        <v>-8.5000000000000006E-2</v>
      </c>
      <c r="I1546" s="15">
        <v>8.5000000000000006E-2</v>
      </c>
      <c r="J1546" t="s">
        <v>412</v>
      </c>
      <c r="K1546" t="s">
        <v>589</v>
      </c>
    </row>
    <row r="1547" spans="1:11">
      <c r="A1547" t="s">
        <v>573</v>
      </c>
      <c r="B1547" t="s">
        <v>578</v>
      </c>
      <c r="C1547" t="s">
        <v>593</v>
      </c>
      <c r="D1547" s="15">
        <v>2.8000000000000001E-2</v>
      </c>
      <c r="E1547" s="15">
        <v>4.8000000000000001E-2</v>
      </c>
      <c r="F1547" s="15">
        <v>0.17599999999999999</v>
      </c>
      <c r="G1547" s="15">
        <v>3.7999999999999999E-2</v>
      </c>
      <c r="H1547" s="15">
        <v>8.4000000000000005E-2</v>
      </c>
      <c r="I1547" s="15">
        <v>8.4000000000000005E-2</v>
      </c>
      <c r="J1547" t="s">
        <v>412</v>
      </c>
      <c r="K1547" t="s">
        <v>551</v>
      </c>
    </row>
    <row r="1548" spans="1:11">
      <c r="A1548" t="s">
        <v>506</v>
      </c>
      <c r="B1548" t="s">
        <v>598</v>
      </c>
      <c r="C1548" t="s">
        <v>584</v>
      </c>
      <c r="D1548" s="15">
        <v>0.11899999999999999</v>
      </c>
      <c r="E1548" s="15">
        <v>0.13</v>
      </c>
      <c r="F1548" s="15">
        <v>-4.0000000000000001E-3</v>
      </c>
      <c r="G1548" s="15">
        <v>0.125</v>
      </c>
      <c r="H1548" s="15">
        <v>8.2000000000000003E-2</v>
      </c>
      <c r="I1548" s="15">
        <v>8.4000000000000005E-2</v>
      </c>
      <c r="J1548" t="s">
        <v>412</v>
      </c>
      <c r="K1548" t="s">
        <v>493</v>
      </c>
    </row>
    <row r="1549" spans="1:11">
      <c r="A1549" t="s">
        <v>547</v>
      </c>
      <c r="B1549" t="s">
        <v>588</v>
      </c>
      <c r="C1549" t="s">
        <v>594</v>
      </c>
      <c r="D1549" s="15">
        <v>-6.0000000000000001E-3</v>
      </c>
      <c r="E1549" s="15">
        <v>0.20200000000000001</v>
      </c>
      <c r="F1549" s="15">
        <v>4.2999999999999997E-2</v>
      </c>
      <c r="G1549" s="15">
        <v>9.8000000000000004E-2</v>
      </c>
      <c r="H1549" s="15">
        <v>0.08</v>
      </c>
      <c r="I1549" s="15">
        <v>8.4000000000000005E-2</v>
      </c>
      <c r="J1549" t="s">
        <v>412</v>
      </c>
      <c r="K1549" t="s">
        <v>487</v>
      </c>
    </row>
    <row r="1550" spans="1:11">
      <c r="A1550" t="s">
        <v>547</v>
      </c>
      <c r="B1550" t="s">
        <v>596</v>
      </c>
      <c r="C1550" t="s">
        <v>582</v>
      </c>
      <c r="D1550" s="15">
        <v>0.14299999999999999</v>
      </c>
      <c r="E1550" s="15">
        <v>-4.7E-2</v>
      </c>
      <c r="F1550" s="15">
        <v>-6.2E-2</v>
      </c>
      <c r="G1550" s="15">
        <v>4.8000000000000001E-2</v>
      </c>
      <c r="H1550" s="15">
        <v>1.0999999999999999E-2</v>
      </c>
      <c r="I1550" s="15">
        <v>8.4000000000000005E-2</v>
      </c>
      <c r="J1550" t="s">
        <v>412</v>
      </c>
      <c r="K1550" t="s">
        <v>579</v>
      </c>
    </row>
    <row r="1551" spans="1:11">
      <c r="A1551" t="s">
        <v>479</v>
      </c>
      <c r="B1551" t="s">
        <v>505</v>
      </c>
      <c r="C1551" t="s">
        <v>477</v>
      </c>
      <c r="D1551" s="15">
        <v>4.5999999999999999E-2</v>
      </c>
      <c r="E1551" s="15">
        <v>-0.14699999999999999</v>
      </c>
      <c r="F1551" s="15">
        <v>5.8999999999999997E-2</v>
      </c>
      <c r="G1551" s="15">
        <v>-0.05</v>
      </c>
      <c r="H1551" s="15">
        <v>-1.4E-2</v>
      </c>
      <c r="I1551" s="15">
        <v>8.4000000000000005E-2</v>
      </c>
      <c r="J1551" t="s">
        <v>412</v>
      </c>
      <c r="K1551" t="s">
        <v>480</v>
      </c>
    </row>
    <row r="1552" spans="1:11">
      <c r="A1552" t="s">
        <v>571</v>
      </c>
      <c r="B1552" t="s">
        <v>523</v>
      </c>
      <c r="C1552" t="s">
        <v>593</v>
      </c>
      <c r="D1552" s="15">
        <v>-0.10100000000000001</v>
      </c>
      <c r="E1552" s="15">
        <v>-0.13200000000000001</v>
      </c>
      <c r="F1552" s="15">
        <v>0.02</v>
      </c>
      <c r="G1552" s="15">
        <v>-0.11700000000000001</v>
      </c>
      <c r="H1552" s="15">
        <v>-7.0999999999999994E-2</v>
      </c>
      <c r="I1552" s="15">
        <v>8.4000000000000005E-2</v>
      </c>
      <c r="J1552" t="s">
        <v>412</v>
      </c>
      <c r="K1552" t="s">
        <v>510</v>
      </c>
    </row>
    <row r="1553" spans="1:11">
      <c r="A1553" t="s">
        <v>576</v>
      </c>
      <c r="B1553" t="s">
        <v>586</v>
      </c>
      <c r="C1553" t="s">
        <v>492</v>
      </c>
      <c r="D1553" s="15">
        <v>1.7999999999999999E-2</v>
      </c>
      <c r="E1553" s="15">
        <v>-3.2000000000000001E-2</v>
      </c>
      <c r="F1553" s="15">
        <v>-0.20100000000000001</v>
      </c>
      <c r="G1553" s="15">
        <v>-7.0000000000000001E-3</v>
      </c>
      <c r="H1553" s="15">
        <v>-7.1999999999999995E-2</v>
      </c>
      <c r="I1553" s="15">
        <v>8.4000000000000005E-2</v>
      </c>
      <c r="J1553" t="s">
        <v>412</v>
      </c>
      <c r="K1553" t="s">
        <v>579</v>
      </c>
    </row>
    <row r="1554" spans="1:11">
      <c r="A1554" t="s">
        <v>547</v>
      </c>
      <c r="B1554" t="s">
        <v>574</v>
      </c>
      <c r="C1554" t="s">
        <v>591</v>
      </c>
      <c r="D1554" s="15">
        <v>0.01</v>
      </c>
      <c r="E1554" s="15">
        <v>-2.4E-2</v>
      </c>
      <c r="F1554" s="15">
        <v>-0.218</v>
      </c>
      <c r="G1554" s="15">
        <v>-7.0000000000000001E-3</v>
      </c>
      <c r="H1554" s="15">
        <v>-7.6999999999999999E-2</v>
      </c>
      <c r="I1554" s="15">
        <v>8.4000000000000005E-2</v>
      </c>
      <c r="J1554" t="s">
        <v>412</v>
      </c>
      <c r="K1554" t="s">
        <v>579</v>
      </c>
    </row>
    <row r="1555" spans="1:11">
      <c r="A1555" t="s">
        <v>506</v>
      </c>
      <c r="B1555" t="s">
        <v>595</v>
      </c>
      <c r="C1555" t="s">
        <v>492</v>
      </c>
      <c r="D1555" s="15">
        <v>-0.17399999999999999</v>
      </c>
      <c r="E1555" s="15">
        <v>-6.0999999999999999E-2</v>
      </c>
      <c r="F1555" s="15">
        <v>-1.9E-2</v>
      </c>
      <c r="G1555" s="15">
        <v>-0.11700000000000001</v>
      </c>
      <c r="H1555" s="15">
        <v>-8.4000000000000005E-2</v>
      </c>
      <c r="I1555" s="15">
        <v>8.4000000000000005E-2</v>
      </c>
      <c r="J1555" t="s">
        <v>412</v>
      </c>
      <c r="K1555" t="s">
        <v>589</v>
      </c>
    </row>
    <row r="1556" spans="1:11">
      <c r="A1556" t="s">
        <v>573</v>
      </c>
      <c r="B1556" t="s">
        <v>580</v>
      </c>
      <c r="C1556" t="s">
        <v>591</v>
      </c>
      <c r="D1556" s="15">
        <v>0.123</v>
      </c>
      <c r="E1556" s="15">
        <v>4.7E-2</v>
      </c>
      <c r="F1556" s="15">
        <v>7.9000000000000001E-2</v>
      </c>
      <c r="G1556" s="15">
        <v>8.5000000000000006E-2</v>
      </c>
      <c r="H1556" s="15">
        <v>8.3000000000000004E-2</v>
      </c>
      <c r="I1556" s="15">
        <v>8.3000000000000004E-2</v>
      </c>
      <c r="J1556" t="s">
        <v>412</v>
      </c>
      <c r="K1556" t="s">
        <v>551</v>
      </c>
    </row>
    <row r="1557" spans="1:11">
      <c r="A1557" t="s">
        <v>577</v>
      </c>
      <c r="B1557" t="s">
        <v>523</v>
      </c>
      <c r="C1557" t="s">
        <v>593</v>
      </c>
      <c r="D1557" s="15">
        <v>3.7999999999999999E-2</v>
      </c>
      <c r="E1557" s="15">
        <v>0.191</v>
      </c>
      <c r="F1557" s="15">
        <v>0.02</v>
      </c>
      <c r="G1557" s="15">
        <v>0.114</v>
      </c>
      <c r="H1557" s="15">
        <v>8.3000000000000004E-2</v>
      </c>
      <c r="I1557" s="15">
        <v>8.3000000000000004E-2</v>
      </c>
      <c r="J1557" t="s">
        <v>412</v>
      </c>
      <c r="K1557" t="s">
        <v>551</v>
      </c>
    </row>
    <row r="1558" spans="1:11">
      <c r="A1558" t="s">
        <v>571</v>
      </c>
      <c r="B1558" t="s">
        <v>509</v>
      </c>
      <c r="C1558" t="s">
        <v>591</v>
      </c>
      <c r="D1558" s="15">
        <v>6.6000000000000003E-2</v>
      </c>
      <c r="E1558" s="15">
        <v>-1.6E-2</v>
      </c>
      <c r="F1558" s="15">
        <v>0.16800000000000001</v>
      </c>
      <c r="G1558" s="15">
        <v>2.5000000000000001E-2</v>
      </c>
      <c r="H1558" s="15">
        <v>7.2999999999999995E-2</v>
      </c>
      <c r="I1558" s="15">
        <v>8.3000000000000004E-2</v>
      </c>
      <c r="J1558" t="s">
        <v>412</v>
      </c>
      <c r="K1558" t="s">
        <v>480</v>
      </c>
    </row>
    <row r="1559" spans="1:11">
      <c r="A1559" t="s">
        <v>506</v>
      </c>
      <c r="B1559" t="s">
        <v>595</v>
      </c>
      <c r="C1559" t="s">
        <v>477</v>
      </c>
      <c r="D1559" s="15">
        <v>0.14399999999999999</v>
      </c>
      <c r="E1559" s="15">
        <v>-6.0999999999999999E-2</v>
      </c>
      <c r="F1559" s="15">
        <v>4.2999999999999997E-2</v>
      </c>
      <c r="G1559" s="15">
        <v>4.2000000000000003E-2</v>
      </c>
      <c r="H1559" s="15">
        <v>4.2000000000000003E-2</v>
      </c>
      <c r="I1559" s="15">
        <v>8.3000000000000004E-2</v>
      </c>
      <c r="J1559" t="s">
        <v>412</v>
      </c>
      <c r="K1559" t="s">
        <v>480</v>
      </c>
    </row>
    <row r="1560" spans="1:11">
      <c r="A1560" t="s">
        <v>576</v>
      </c>
      <c r="B1560" t="s">
        <v>580</v>
      </c>
      <c r="C1560" t="s">
        <v>585</v>
      </c>
      <c r="D1560" s="15">
        <v>0.03</v>
      </c>
      <c r="E1560" s="15">
        <v>-0.09</v>
      </c>
      <c r="F1560" s="15">
        <v>0.13</v>
      </c>
      <c r="G1560" s="15">
        <v>-0.03</v>
      </c>
      <c r="H1560" s="15">
        <v>2.3E-2</v>
      </c>
      <c r="I1560" s="15">
        <v>8.3000000000000004E-2</v>
      </c>
      <c r="J1560" t="s">
        <v>412</v>
      </c>
      <c r="K1560" t="s">
        <v>480</v>
      </c>
    </row>
    <row r="1561" spans="1:11">
      <c r="A1561" t="s">
        <v>573</v>
      </c>
      <c r="B1561" t="s">
        <v>592</v>
      </c>
      <c r="C1561" t="s">
        <v>477</v>
      </c>
      <c r="D1561" s="15">
        <v>0.14599999999999999</v>
      </c>
      <c r="E1561" s="15">
        <v>-3.5000000000000003E-2</v>
      </c>
      <c r="F1561" s="15">
        <v>-6.6000000000000003E-2</v>
      </c>
      <c r="G1561" s="15">
        <v>5.5E-2</v>
      </c>
      <c r="H1561" s="15">
        <v>1.4999999999999999E-2</v>
      </c>
      <c r="I1561" s="15">
        <v>8.3000000000000004E-2</v>
      </c>
      <c r="J1561" t="s">
        <v>412</v>
      </c>
      <c r="K1561" t="s">
        <v>579</v>
      </c>
    </row>
    <row r="1562" spans="1:11">
      <c r="A1562" t="s">
        <v>479</v>
      </c>
      <c r="B1562" t="s">
        <v>592</v>
      </c>
      <c r="C1562" t="s">
        <v>593</v>
      </c>
      <c r="D1562" s="15">
        <v>-8.0000000000000002E-3</v>
      </c>
      <c r="E1562" s="15">
        <v>-0.109</v>
      </c>
      <c r="F1562" s="15">
        <v>0.13100000000000001</v>
      </c>
      <c r="G1562" s="15">
        <v>-5.8999999999999997E-2</v>
      </c>
      <c r="H1562" s="15">
        <v>5.0000000000000001E-3</v>
      </c>
      <c r="I1562" s="15">
        <v>8.3000000000000004E-2</v>
      </c>
      <c r="J1562" t="s">
        <v>412</v>
      </c>
      <c r="K1562" t="s">
        <v>510</v>
      </c>
    </row>
    <row r="1563" spans="1:11">
      <c r="A1563" t="s">
        <v>573</v>
      </c>
      <c r="B1563" t="s">
        <v>597</v>
      </c>
      <c r="C1563" t="s">
        <v>591</v>
      </c>
      <c r="D1563" s="15">
        <v>0.123</v>
      </c>
      <c r="E1563" s="15">
        <v>-6.4000000000000001E-2</v>
      </c>
      <c r="F1563" s="15">
        <v>-6.2E-2</v>
      </c>
      <c r="G1563" s="15">
        <v>0.03</v>
      </c>
      <c r="H1563" s="15">
        <v>-1E-3</v>
      </c>
      <c r="I1563" s="15">
        <v>8.3000000000000004E-2</v>
      </c>
      <c r="J1563" t="s">
        <v>412</v>
      </c>
      <c r="K1563" t="s">
        <v>579</v>
      </c>
    </row>
    <row r="1564" spans="1:11">
      <c r="A1564" t="s">
        <v>479</v>
      </c>
      <c r="B1564" t="s">
        <v>499</v>
      </c>
      <c r="C1564" t="s">
        <v>582</v>
      </c>
      <c r="D1564" s="15">
        <v>-0.127</v>
      </c>
      <c r="E1564" s="15">
        <v>6.6000000000000003E-2</v>
      </c>
      <c r="F1564" s="15">
        <v>5.6000000000000001E-2</v>
      </c>
      <c r="G1564" s="15">
        <v>-3.1E-2</v>
      </c>
      <c r="H1564" s="15">
        <v>-2E-3</v>
      </c>
      <c r="I1564" s="15">
        <v>8.3000000000000004E-2</v>
      </c>
      <c r="J1564" t="s">
        <v>412</v>
      </c>
      <c r="K1564" t="s">
        <v>487</v>
      </c>
    </row>
    <row r="1565" spans="1:11">
      <c r="A1565" t="s">
        <v>576</v>
      </c>
      <c r="B1565" t="s">
        <v>586</v>
      </c>
      <c r="C1565" t="s">
        <v>584</v>
      </c>
      <c r="D1565" s="15">
        <v>-0.1</v>
      </c>
      <c r="E1565" s="15">
        <v>-3.2000000000000001E-2</v>
      </c>
      <c r="F1565" s="15">
        <v>0.11700000000000001</v>
      </c>
      <c r="G1565" s="15">
        <v>-6.6000000000000003E-2</v>
      </c>
      <c r="H1565" s="15">
        <v>-5.0000000000000001E-3</v>
      </c>
      <c r="I1565" s="15">
        <v>8.3000000000000004E-2</v>
      </c>
      <c r="J1565" t="s">
        <v>412</v>
      </c>
      <c r="K1565" t="s">
        <v>510</v>
      </c>
    </row>
    <row r="1566" spans="1:11">
      <c r="A1566" t="s">
        <v>576</v>
      </c>
      <c r="B1566" t="s">
        <v>592</v>
      </c>
      <c r="C1566" t="s">
        <v>584</v>
      </c>
      <c r="D1566" s="15">
        <v>-0.1</v>
      </c>
      <c r="E1566" s="15">
        <v>7.9000000000000001E-2</v>
      </c>
      <c r="F1566" s="15">
        <v>-7.0000000000000007E-2</v>
      </c>
      <c r="G1566" s="15">
        <v>-0.01</v>
      </c>
      <c r="H1566" s="15">
        <v>-0.03</v>
      </c>
      <c r="I1566" s="15">
        <v>8.3000000000000004E-2</v>
      </c>
      <c r="J1566" t="s">
        <v>412</v>
      </c>
      <c r="K1566" t="s">
        <v>500</v>
      </c>
    </row>
    <row r="1567" spans="1:11">
      <c r="A1567" t="s">
        <v>506</v>
      </c>
      <c r="B1567" t="s">
        <v>597</v>
      </c>
      <c r="C1567" t="s">
        <v>570</v>
      </c>
      <c r="D1567" s="15">
        <v>-0.14199999999999999</v>
      </c>
      <c r="E1567" s="15">
        <v>5.0999999999999997E-2</v>
      </c>
      <c r="F1567" s="15">
        <v>-5.6000000000000001E-2</v>
      </c>
      <c r="G1567" s="15">
        <v>-4.4999999999999998E-2</v>
      </c>
      <c r="H1567" s="15">
        <v>-4.9000000000000002E-2</v>
      </c>
      <c r="I1567" s="15">
        <v>8.3000000000000004E-2</v>
      </c>
      <c r="J1567" t="s">
        <v>412</v>
      </c>
      <c r="K1567" t="s">
        <v>500</v>
      </c>
    </row>
    <row r="1568" spans="1:11">
      <c r="A1568" t="s">
        <v>571</v>
      </c>
      <c r="B1568" t="s">
        <v>588</v>
      </c>
      <c r="C1568" t="s">
        <v>570</v>
      </c>
      <c r="D1568" s="15">
        <v>-0.19700000000000001</v>
      </c>
      <c r="E1568" s="15">
        <v>-1.9E-2</v>
      </c>
      <c r="F1568" s="15">
        <v>3.4000000000000002E-2</v>
      </c>
      <c r="G1568" s="15">
        <v>-0.108</v>
      </c>
      <c r="H1568" s="15">
        <v>-6.0999999999999999E-2</v>
      </c>
      <c r="I1568" s="15">
        <v>8.3000000000000004E-2</v>
      </c>
      <c r="J1568" t="s">
        <v>412</v>
      </c>
      <c r="K1568" t="s">
        <v>510</v>
      </c>
    </row>
    <row r="1569" spans="1:11">
      <c r="A1569" t="s">
        <v>479</v>
      </c>
      <c r="B1569" t="s">
        <v>595</v>
      </c>
      <c r="C1569" t="s">
        <v>583</v>
      </c>
      <c r="D1569" s="15">
        <v>-0.02</v>
      </c>
      <c r="E1569" s="15">
        <v>-4.7E-2</v>
      </c>
      <c r="F1569" s="15">
        <v>-0.18099999999999999</v>
      </c>
      <c r="G1569" s="15">
        <v>-3.3000000000000002E-2</v>
      </c>
      <c r="H1569" s="15">
        <v>-8.3000000000000004E-2</v>
      </c>
      <c r="I1569" s="15">
        <v>8.3000000000000004E-2</v>
      </c>
      <c r="J1569" t="s">
        <v>412</v>
      </c>
      <c r="K1569" t="s">
        <v>589</v>
      </c>
    </row>
    <row r="1570" spans="1:11">
      <c r="A1570" t="s">
        <v>573</v>
      </c>
      <c r="B1570" t="s">
        <v>588</v>
      </c>
      <c r="C1570" t="s">
        <v>593</v>
      </c>
      <c r="D1570" s="15">
        <v>2.8000000000000001E-2</v>
      </c>
      <c r="E1570" s="15">
        <v>4.9000000000000002E-2</v>
      </c>
      <c r="F1570" s="15">
        <v>0.16800000000000001</v>
      </c>
      <c r="G1570" s="15">
        <v>3.9E-2</v>
      </c>
      <c r="H1570" s="15">
        <v>8.2000000000000003E-2</v>
      </c>
      <c r="I1570" s="15">
        <v>8.2000000000000003E-2</v>
      </c>
      <c r="J1570" t="s">
        <v>412</v>
      </c>
      <c r="K1570" t="s">
        <v>551</v>
      </c>
    </row>
    <row r="1571" spans="1:11">
      <c r="A1571" t="s">
        <v>573</v>
      </c>
      <c r="B1571" t="s">
        <v>517</v>
      </c>
      <c r="C1571" t="s">
        <v>575</v>
      </c>
      <c r="D1571" s="15">
        <v>-4.9000000000000002E-2</v>
      </c>
      <c r="E1571" s="15">
        <v>7.4999999999999997E-2</v>
      </c>
      <c r="F1571" s="15">
        <v>0.123</v>
      </c>
      <c r="G1571" s="15">
        <v>1.2999999999999999E-2</v>
      </c>
      <c r="H1571" s="15">
        <v>0.05</v>
      </c>
      <c r="I1571" s="15">
        <v>8.2000000000000003E-2</v>
      </c>
      <c r="J1571" t="s">
        <v>412</v>
      </c>
      <c r="K1571" t="s">
        <v>487</v>
      </c>
    </row>
    <row r="1572" spans="1:11">
      <c r="A1572" t="s">
        <v>571</v>
      </c>
      <c r="B1572" t="s">
        <v>578</v>
      </c>
      <c r="C1572" t="s">
        <v>582</v>
      </c>
      <c r="D1572" s="15">
        <v>9.1999999999999998E-2</v>
      </c>
      <c r="E1572" s="15">
        <v>-5.3999999999999999E-2</v>
      </c>
      <c r="F1572" s="15">
        <v>0.1</v>
      </c>
      <c r="G1572" s="15">
        <v>1.9E-2</v>
      </c>
      <c r="H1572" s="15">
        <v>4.5999999999999999E-2</v>
      </c>
      <c r="I1572" s="15">
        <v>8.2000000000000003E-2</v>
      </c>
      <c r="J1572" t="s">
        <v>412</v>
      </c>
      <c r="K1572" t="s">
        <v>480</v>
      </c>
    </row>
    <row r="1573" spans="1:11">
      <c r="A1573" t="s">
        <v>547</v>
      </c>
      <c r="B1573" t="s">
        <v>590</v>
      </c>
      <c r="C1573" t="s">
        <v>575</v>
      </c>
      <c r="D1573" s="15">
        <v>-6.8000000000000005E-2</v>
      </c>
      <c r="E1573" s="15">
        <v>0.16600000000000001</v>
      </c>
      <c r="F1573" s="15">
        <v>1.2999999999999999E-2</v>
      </c>
      <c r="G1573" s="15">
        <v>4.9000000000000002E-2</v>
      </c>
      <c r="H1573" s="15">
        <v>3.6999999999999998E-2</v>
      </c>
      <c r="I1573" s="15">
        <v>8.2000000000000003E-2</v>
      </c>
      <c r="J1573" t="s">
        <v>412</v>
      </c>
      <c r="K1573" t="s">
        <v>487</v>
      </c>
    </row>
    <row r="1574" spans="1:11">
      <c r="A1574" t="s">
        <v>479</v>
      </c>
      <c r="B1574" t="s">
        <v>509</v>
      </c>
      <c r="C1574" t="s">
        <v>585</v>
      </c>
      <c r="D1574" s="15">
        <v>-0.123</v>
      </c>
      <c r="E1574" s="15">
        <v>0.111</v>
      </c>
      <c r="F1574" s="15">
        <v>1.2999999999999999E-2</v>
      </c>
      <c r="G1574" s="15">
        <v>-6.0000000000000001E-3</v>
      </c>
      <c r="H1574" s="15">
        <v>0</v>
      </c>
      <c r="I1574" s="15">
        <v>8.2000000000000003E-2</v>
      </c>
      <c r="J1574" t="s">
        <v>412</v>
      </c>
      <c r="K1574" t="s">
        <v>487</v>
      </c>
    </row>
    <row r="1575" spans="1:11">
      <c r="A1575" t="s">
        <v>506</v>
      </c>
      <c r="B1575" t="s">
        <v>505</v>
      </c>
      <c r="C1575" t="s">
        <v>594</v>
      </c>
      <c r="D1575" s="15">
        <v>8.2000000000000003E-2</v>
      </c>
      <c r="E1575" s="15">
        <v>-6.5000000000000002E-2</v>
      </c>
      <c r="F1575" s="15">
        <v>-9.8000000000000004E-2</v>
      </c>
      <c r="G1575" s="15">
        <v>8.0000000000000002E-3</v>
      </c>
      <c r="H1575" s="15">
        <v>-2.7E-2</v>
      </c>
      <c r="I1575" s="15">
        <v>8.2000000000000003E-2</v>
      </c>
      <c r="J1575" t="s">
        <v>412</v>
      </c>
      <c r="K1575" t="s">
        <v>579</v>
      </c>
    </row>
    <row r="1576" spans="1:11">
      <c r="A1576" t="s">
        <v>576</v>
      </c>
      <c r="B1576" t="s">
        <v>590</v>
      </c>
      <c r="C1576" t="s">
        <v>492</v>
      </c>
      <c r="D1576" s="15">
        <v>1.7999999999999999E-2</v>
      </c>
      <c r="E1576" s="15">
        <v>2.8000000000000001E-2</v>
      </c>
      <c r="F1576" s="15">
        <v>-0.19900000000000001</v>
      </c>
      <c r="G1576" s="15">
        <v>2.3E-2</v>
      </c>
      <c r="H1576" s="15">
        <v>-5.0999999999999997E-2</v>
      </c>
      <c r="I1576" s="15">
        <v>8.2000000000000003E-2</v>
      </c>
      <c r="J1576" t="s">
        <v>412</v>
      </c>
      <c r="K1576" t="s">
        <v>493</v>
      </c>
    </row>
    <row r="1577" spans="1:11">
      <c r="A1577" t="s">
        <v>547</v>
      </c>
      <c r="B1577" t="s">
        <v>509</v>
      </c>
      <c r="C1577" t="s">
        <v>492</v>
      </c>
      <c r="D1577" s="15">
        <v>-6.6000000000000003E-2</v>
      </c>
      <c r="E1577" s="15">
        <v>4.5999999999999999E-2</v>
      </c>
      <c r="F1577" s="15">
        <v>-0.13500000000000001</v>
      </c>
      <c r="G1577" s="15">
        <v>-0.01</v>
      </c>
      <c r="H1577" s="15">
        <v>-5.1999999999999998E-2</v>
      </c>
      <c r="I1577" s="15">
        <v>8.2000000000000003E-2</v>
      </c>
      <c r="J1577" t="s">
        <v>412</v>
      </c>
      <c r="K1577" t="s">
        <v>500</v>
      </c>
    </row>
    <row r="1578" spans="1:11">
      <c r="A1578" t="s">
        <v>479</v>
      </c>
      <c r="B1578" t="s">
        <v>598</v>
      </c>
      <c r="C1578" t="s">
        <v>582</v>
      </c>
      <c r="D1578" s="15">
        <v>-0.127</v>
      </c>
      <c r="E1578" s="15">
        <v>-7.9000000000000001E-2</v>
      </c>
      <c r="F1578" s="15">
        <v>-4.1000000000000002E-2</v>
      </c>
      <c r="G1578" s="15">
        <v>-0.10299999999999999</v>
      </c>
      <c r="H1578" s="15">
        <v>-8.2000000000000003E-2</v>
      </c>
      <c r="I1578" s="15">
        <v>8.2000000000000003E-2</v>
      </c>
      <c r="J1578" t="s">
        <v>412</v>
      </c>
      <c r="K1578" t="s">
        <v>589</v>
      </c>
    </row>
    <row r="1579" spans="1:11">
      <c r="A1579" t="s">
        <v>573</v>
      </c>
      <c r="B1579" t="s">
        <v>592</v>
      </c>
      <c r="C1579" t="s">
        <v>572</v>
      </c>
      <c r="D1579" s="15">
        <v>-0.20799999999999999</v>
      </c>
      <c r="E1579" s="15">
        <v>-3.5000000000000003E-2</v>
      </c>
      <c r="F1579" s="15">
        <v>-1E-3</v>
      </c>
      <c r="G1579" s="15">
        <v>-0.122</v>
      </c>
      <c r="H1579" s="15">
        <v>-8.2000000000000003E-2</v>
      </c>
      <c r="I1579" s="15">
        <v>8.2000000000000003E-2</v>
      </c>
      <c r="J1579" t="s">
        <v>412</v>
      </c>
      <c r="K1579" t="s">
        <v>589</v>
      </c>
    </row>
    <row r="1580" spans="1:11">
      <c r="A1580" t="s">
        <v>571</v>
      </c>
      <c r="B1580" t="s">
        <v>505</v>
      </c>
      <c r="C1580" t="s">
        <v>594</v>
      </c>
      <c r="D1580" s="15">
        <v>-8.0000000000000002E-3</v>
      </c>
      <c r="E1580" s="15">
        <v>-0.14000000000000001</v>
      </c>
      <c r="F1580" s="15">
        <v>-9.8000000000000004E-2</v>
      </c>
      <c r="G1580" s="15">
        <v>-7.3999999999999996E-2</v>
      </c>
      <c r="H1580" s="15">
        <v>-8.2000000000000003E-2</v>
      </c>
      <c r="I1580" s="15">
        <v>8.2000000000000003E-2</v>
      </c>
      <c r="J1580" t="s">
        <v>412</v>
      </c>
      <c r="K1580" t="s">
        <v>589</v>
      </c>
    </row>
    <row r="1581" spans="1:11">
      <c r="A1581" t="s">
        <v>577</v>
      </c>
      <c r="B1581" t="s">
        <v>581</v>
      </c>
      <c r="C1581" t="s">
        <v>585</v>
      </c>
      <c r="D1581" s="15">
        <v>-6.0000000000000001E-3</v>
      </c>
      <c r="E1581" s="15">
        <v>-4.5999999999999999E-2</v>
      </c>
      <c r="F1581" s="15">
        <v>-0.193</v>
      </c>
      <c r="G1581" s="15">
        <v>-2.5999999999999999E-2</v>
      </c>
      <c r="H1581" s="15">
        <v>-8.2000000000000003E-2</v>
      </c>
      <c r="I1581" s="15">
        <v>8.2000000000000003E-2</v>
      </c>
      <c r="J1581" t="s">
        <v>412</v>
      </c>
      <c r="K1581" t="s">
        <v>589</v>
      </c>
    </row>
    <row r="1582" spans="1:11">
      <c r="A1582" t="s">
        <v>577</v>
      </c>
      <c r="B1582" t="s">
        <v>596</v>
      </c>
      <c r="C1582" t="s">
        <v>591</v>
      </c>
      <c r="D1582" s="15">
        <v>-1.4E-2</v>
      </c>
      <c r="E1582" s="15">
        <v>-7.0000000000000007E-2</v>
      </c>
      <c r="F1582" s="15">
        <v>-0.16300000000000001</v>
      </c>
      <c r="G1582" s="15">
        <v>-4.2000000000000003E-2</v>
      </c>
      <c r="H1582" s="15">
        <v>-8.2000000000000003E-2</v>
      </c>
      <c r="I1582" s="15">
        <v>8.2000000000000003E-2</v>
      </c>
      <c r="J1582" t="s">
        <v>412</v>
      </c>
      <c r="K1582" t="s">
        <v>589</v>
      </c>
    </row>
    <row r="1583" spans="1:11">
      <c r="A1583" t="s">
        <v>577</v>
      </c>
      <c r="B1583" t="s">
        <v>595</v>
      </c>
      <c r="C1583" t="s">
        <v>594</v>
      </c>
      <c r="D1583" s="15">
        <v>6.6000000000000003E-2</v>
      </c>
      <c r="E1583" s="15">
        <v>0.122</v>
      </c>
      <c r="F1583" s="15">
        <v>5.5E-2</v>
      </c>
      <c r="G1583" s="15">
        <v>9.4E-2</v>
      </c>
      <c r="H1583" s="15">
        <v>8.1000000000000003E-2</v>
      </c>
      <c r="I1583" s="15">
        <v>8.1000000000000003E-2</v>
      </c>
      <c r="J1583" t="s">
        <v>412</v>
      </c>
      <c r="K1583" t="s">
        <v>551</v>
      </c>
    </row>
    <row r="1584" spans="1:11">
      <c r="A1584" t="s">
        <v>577</v>
      </c>
      <c r="B1584" t="s">
        <v>586</v>
      </c>
      <c r="C1584" t="s">
        <v>591</v>
      </c>
      <c r="D1584" s="15">
        <v>-1.4E-2</v>
      </c>
      <c r="E1584" s="15">
        <v>0.217</v>
      </c>
      <c r="F1584" s="15">
        <v>1.2E-2</v>
      </c>
      <c r="G1584" s="15">
        <v>0.10199999999999999</v>
      </c>
      <c r="H1584" s="15">
        <v>7.1999999999999995E-2</v>
      </c>
      <c r="I1584" s="15">
        <v>8.1000000000000003E-2</v>
      </c>
      <c r="J1584" t="s">
        <v>412</v>
      </c>
      <c r="K1584" t="s">
        <v>487</v>
      </c>
    </row>
    <row r="1585" spans="1:11">
      <c r="A1585" t="s">
        <v>576</v>
      </c>
      <c r="B1585" t="s">
        <v>517</v>
      </c>
      <c r="C1585" t="s">
        <v>593</v>
      </c>
      <c r="D1585" s="15">
        <v>-1.7000000000000001E-2</v>
      </c>
      <c r="E1585" s="15">
        <v>5.0000000000000001E-3</v>
      </c>
      <c r="F1585" s="15">
        <v>0.221</v>
      </c>
      <c r="G1585" s="15">
        <v>-6.0000000000000001E-3</v>
      </c>
      <c r="H1585" s="15">
        <v>6.9000000000000006E-2</v>
      </c>
      <c r="I1585" s="15">
        <v>8.1000000000000003E-2</v>
      </c>
      <c r="J1585" t="s">
        <v>412</v>
      </c>
      <c r="K1585" t="s">
        <v>487</v>
      </c>
    </row>
    <row r="1586" spans="1:11">
      <c r="A1586" t="s">
        <v>576</v>
      </c>
      <c r="B1586" t="s">
        <v>498</v>
      </c>
      <c r="C1586" t="s">
        <v>572</v>
      </c>
      <c r="D1586" s="15">
        <v>-5.8999999999999997E-2</v>
      </c>
      <c r="E1586" s="15">
        <v>5.0999999999999997E-2</v>
      </c>
      <c r="F1586" s="15">
        <v>0.13500000000000001</v>
      </c>
      <c r="G1586" s="15">
        <v>-4.0000000000000001E-3</v>
      </c>
      <c r="H1586" s="15">
        <v>4.2000000000000003E-2</v>
      </c>
      <c r="I1586" s="15">
        <v>8.1000000000000003E-2</v>
      </c>
      <c r="J1586" t="s">
        <v>412</v>
      </c>
      <c r="K1586" t="s">
        <v>487</v>
      </c>
    </row>
    <row r="1587" spans="1:11">
      <c r="A1587" t="s">
        <v>573</v>
      </c>
      <c r="B1587" t="s">
        <v>509</v>
      </c>
      <c r="C1587" t="s">
        <v>594</v>
      </c>
      <c r="D1587" s="15">
        <v>0.13700000000000001</v>
      </c>
      <c r="E1587" s="15">
        <v>-6.3E-2</v>
      </c>
      <c r="F1587" s="15">
        <v>4.2000000000000003E-2</v>
      </c>
      <c r="G1587" s="15">
        <v>3.6999999999999998E-2</v>
      </c>
      <c r="H1587" s="15">
        <v>3.9E-2</v>
      </c>
      <c r="I1587" s="15">
        <v>8.1000000000000003E-2</v>
      </c>
      <c r="J1587" t="s">
        <v>412</v>
      </c>
      <c r="K1587" t="s">
        <v>480</v>
      </c>
    </row>
    <row r="1588" spans="1:11">
      <c r="A1588" t="s">
        <v>576</v>
      </c>
      <c r="B1588" t="s">
        <v>592</v>
      </c>
      <c r="C1588" t="s">
        <v>582</v>
      </c>
      <c r="D1588" s="15">
        <v>7.6999999999999999E-2</v>
      </c>
      <c r="E1588" s="15">
        <v>7.9000000000000001E-2</v>
      </c>
      <c r="F1588" s="15">
        <v>-8.5999999999999993E-2</v>
      </c>
      <c r="G1588" s="15">
        <v>7.8E-2</v>
      </c>
      <c r="H1588" s="15">
        <v>2.3E-2</v>
      </c>
      <c r="I1588" s="15">
        <v>8.1000000000000003E-2</v>
      </c>
      <c r="J1588" t="s">
        <v>412</v>
      </c>
      <c r="K1588" t="s">
        <v>493</v>
      </c>
    </row>
    <row r="1589" spans="1:11">
      <c r="A1589" t="s">
        <v>571</v>
      </c>
      <c r="B1589" t="s">
        <v>592</v>
      </c>
      <c r="C1589" t="s">
        <v>593</v>
      </c>
      <c r="D1589" s="15">
        <v>-0.10100000000000001</v>
      </c>
      <c r="E1589" s="15">
        <v>1.0999999999999999E-2</v>
      </c>
      <c r="F1589" s="15">
        <v>0.13100000000000001</v>
      </c>
      <c r="G1589" s="15">
        <v>-4.4999999999999998E-2</v>
      </c>
      <c r="H1589" s="15">
        <v>1.4E-2</v>
      </c>
      <c r="I1589" s="15">
        <v>8.1000000000000003E-2</v>
      </c>
      <c r="J1589" t="s">
        <v>412</v>
      </c>
      <c r="K1589" t="s">
        <v>487</v>
      </c>
    </row>
    <row r="1590" spans="1:11">
      <c r="A1590" t="s">
        <v>571</v>
      </c>
      <c r="B1590" t="s">
        <v>590</v>
      </c>
      <c r="C1590" t="s">
        <v>593</v>
      </c>
      <c r="D1590" s="15">
        <v>-0.10100000000000001</v>
      </c>
      <c r="E1590" s="15">
        <v>6.2E-2</v>
      </c>
      <c r="F1590" s="15">
        <v>7.9000000000000001E-2</v>
      </c>
      <c r="G1590" s="15">
        <v>-0.02</v>
      </c>
      <c r="H1590" s="15">
        <v>1.2999999999999999E-2</v>
      </c>
      <c r="I1590" s="15">
        <v>8.1000000000000003E-2</v>
      </c>
      <c r="J1590" t="s">
        <v>412</v>
      </c>
      <c r="K1590" t="s">
        <v>487</v>
      </c>
    </row>
    <row r="1591" spans="1:11">
      <c r="A1591" t="s">
        <v>573</v>
      </c>
      <c r="B1591" t="s">
        <v>586</v>
      </c>
      <c r="C1591" t="s">
        <v>593</v>
      </c>
      <c r="D1591" s="15">
        <v>2.8000000000000001E-2</v>
      </c>
      <c r="E1591" s="15">
        <v>-0.10299999999999999</v>
      </c>
      <c r="F1591" s="15">
        <v>0.112</v>
      </c>
      <c r="G1591" s="15">
        <v>-3.7999999999999999E-2</v>
      </c>
      <c r="H1591" s="15">
        <v>1.2E-2</v>
      </c>
      <c r="I1591" s="15">
        <v>8.1000000000000003E-2</v>
      </c>
      <c r="J1591" t="s">
        <v>412</v>
      </c>
      <c r="K1591" t="s">
        <v>480</v>
      </c>
    </row>
    <row r="1592" spans="1:11">
      <c r="A1592" t="s">
        <v>576</v>
      </c>
      <c r="B1592" t="s">
        <v>505</v>
      </c>
      <c r="C1592" t="s">
        <v>591</v>
      </c>
      <c r="D1592" s="15">
        <v>-6.5000000000000002E-2</v>
      </c>
      <c r="E1592" s="15">
        <v>0.104</v>
      </c>
      <c r="F1592" s="15">
        <v>-7.2999999999999995E-2</v>
      </c>
      <c r="G1592" s="15">
        <v>1.9E-2</v>
      </c>
      <c r="H1592" s="15">
        <v>-1.2E-2</v>
      </c>
      <c r="I1592" s="15">
        <v>8.1000000000000003E-2</v>
      </c>
      <c r="J1592" t="s">
        <v>412</v>
      </c>
      <c r="K1592" t="s">
        <v>500</v>
      </c>
    </row>
    <row r="1593" spans="1:11">
      <c r="A1593" t="s">
        <v>576</v>
      </c>
      <c r="B1593" t="s">
        <v>586</v>
      </c>
      <c r="C1593" t="s">
        <v>583</v>
      </c>
      <c r="D1593" s="15">
        <v>-0.109</v>
      </c>
      <c r="E1593" s="15">
        <v>-3.2000000000000001E-2</v>
      </c>
      <c r="F1593" s="15">
        <v>0.1</v>
      </c>
      <c r="G1593" s="15">
        <v>-7.0999999999999994E-2</v>
      </c>
      <c r="H1593" s="15">
        <v>-1.4E-2</v>
      </c>
      <c r="I1593" s="15">
        <v>8.1000000000000003E-2</v>
      </c>
      <c r="J1593" t="s">
        <v>412</v>
      </c>
      <c r="K1593" t="s">
        <v>510</v>
      </c>
    </row>
    <row r="1594" spans="1:11">
      <c r="A1594" t="s">
        <v>571</v>
      </c>
      <c r="B1594" t="s">
        <v>590</v>
      </c>
      <c r="C1594" t="s">
        <v>575</v>
      </c>
      <c r="D1594" s="15">
        <v>-0.16800000000000001</v>
      </c>
      <c r="E1594" s="15">
        <v>6.2E-2</v>
      </c>
      <c r="F1594" s="15">
        <v>1.2999999999999999E-2</v>
      </c>
      <c r="G1594" s="15">
        <v>-5.2999999999999999E-2</v>
      </c>
      <c r="H1594" s="15">
        <v>-3.1E-2</v>
      </c>
      <c r="I1594" s="15">
        <v>8.1000000000000003E-2</v>
      </c>
      <c r="J1594" t="s">
        <v>412</v>
      </c>
      <c r="K1594" t="s">
        <v>487</v>
      </c>
    </row>
    <row r="1595" spans="1:11">
      <c r="A1595" t="s">
        <v>577</v>
      </c>
      <c r="B1595" t="s">
        <v>574</v>
      </c>
      <c r="C1595" t="s">
        <v>594</v>
      </c>
      <c r="D1595" s="15">
        <v>6.6000000000000003E-2</v>
      </c>
      <c r="E1595" s="15">
        <v>-4.0000000000000001E-3</v>
      </c>
      <c r="F1595" s="15">
        <v>-0.17299999999999999</v>
      </c>
      <c r="G1595" s="15">
        <v>3.1E-2</v>
      </c>
      <c r="H1595" s="15">
        <v>-3.6999999999999998E-2</v>
      </c>
      <c r="I1595" s="15">
        <v>8.1000000000000003E-2</v>
      </c>
      <c r="J1595" t="s">
        <v>412</v>
      </c>
      <c r="K1595" t="s">
        <v>579</v>
      </c>
    </row>
    <row r="1596" spans="1:11">
      <c r="A1596" t="s">
        <v>576</v>
      </c>
      <c r="B1596" t="s">
        <v>498</v>
      </c>
      <c r="C1596" t="s">
        <v>584</v>
      </c>
      <c r="D1596" s="15">
        <v>-0.1</v>
      </c>
      <c r="E1596" s="15">
        <v>5.0999999999999997E-2</v>
      </c>
      <c r="F1596" s="15">
        <v>-9.1999999999999998E-2</v>
      </c>
      <c r="G1596" s="15">
        <v>-2.4E-2</v>
      </c>
      <c r="H1596" s="15">
        <v>-4.7E-2</v>
      </c>
      <c r="I1596" s="15">
        <v>8.1000000000000003E-2</v>
      </c>
      <c r="J1596" t="s">
        <v>412</v>
      </c>
      <c r="K1596" t="s">
        <v>500</v>
      </c>
    </row>
    <row r="1597" spans="1:11">
      <c r="A1597" t="s">
        <v>571</v>
      </c>
      <c r="B1597" t="s">
        <v>517</v>
      </c>
      <c r="C1597" t="s">
        <v>570</v>
      </c>
      <c r="D1597" s="15">
        <v>-0.19700000000000001</v>
      </c>
      <c r="E1597" s="15">
        <v>1.7999999999999999E-2</v>
      </c>
      <c r="F1597" s="15">
        <v>2.8000000000000001E-2</v>
      </c>
      <c r="G1597" s="15">
        <v>-0.09</v>
      </c>
      <c r="H1597" s="15">
        <v>-5.0999999999999997E-2</v>
      </c>
      <c r="I1597" s="15">
        <v>8.1000000000000003E-2</v>
      </c>
      <c r="J1597" t="s">
        <v>412</v>
      </c>
      <c r="K1597" t="s">
        <v>487</v>
      </c>
    </row>
    <row r="1598" spans="1:11">
      <c r="A1598" t="s">
        <v>573</v>
      </c>
      <c r="B1598" t="s">
        <v>595</v>
      </c>
      <c r="C1598" t="s">
        <v>593</v>
      </c>
      <c r="D1598" s="15">
        <v>2.8000000000000001E-2</v>
      </c>
      <c r="E1598" s="15">
        <v>-9.0999999999999998E-2</v>
      </c>
      <c r="F1598" s="15">
        <v>-0.124</v>
      </c>
      <c r="G1598" s="15">
        <v>-3.2000000000000001E-2</v>
      </c>
      <c r="H1598" s="15">
        <v>-6.3E-2</v>
      </c>
      <c r="I1598" s="15">
        <v>8.1000000000000003E-2</v>
      </c>
      <c r="J1598" t="s">
        <v>412</v>
      </c>
      <c r="K1598" t="s">
        <v>579</v>
      </c>
    </row>
    <row r="1599" spans="1:11">
      <c r="A1599" t="s">
        <v>486</v>
      </c>
      <c r="B1599" t="s">
        <v>592</v>
      </c>
      <c r="C1599" t="s">
        <v>591</v>
      </c>
      <c r="D1599" s="15">
        <v>-0.02</v>
      </c>
      <c r="E1599" s="15">
        <v>-9.1999999999999998E-2</v>
      </c>
      <c r="F1599" s="15">
        <v>-0.13</v>
      </c>
      <c r="G1599" s="15">
        <v>-5.6000000000000001E-2</v>
      </c>
      <c r="H1599" s="15">
        <v>-8.1000000000000003E-2</v>
      </c>
      <c r="I1599" s="15">
        <v>8.1000000000000003E-2</v>
      </c>
      <c r="J1599" t="s">
        <v>412</v>
      </c>
      <c r="K1599" t="s">
        <v>589</v>
      </c>
    </row>
    <row r="1600" spans="1:11">
      <c r="A1600" t="s">
        <v>479</v>
      </c>
      <c r="B1600" t="s">
        <v>587</v>
      </c>
      <c r="C1600" t="s">
        <v>593</v>
      </c>
      <c r="D1600" s="15">
        <v>-8.0000000000000002E-3</v>
      </c>
      <c r="E1600" s="15">
        <v>-7.0000000000000001E-3</v>
      </c>
      <c r="F1600" s="15">
        <v>-0.22800000000000001</v>
      </c>
      <c r="G1600" s="15">
        <v>-7.0000000000000001E-3</v>
      </c>
      <c r="H1600" s="15">
        <v>-8.1000000000000003E-2</v>
      </c>
      <c r="I1600" s="15">
        <v>8.1000000000000003E-2</v>
      </c>
      <c r="J1600" t="s">
        <v>412</v>
      </c>
      <c r="K1600" t="s">
        <v>589</v>
      </c>
    </row>
    <row r="1601" spans="1:11">
      <c r="A1601" t="s">
        <v>576</v>
      </c>
      <c r="B1601" t="s">
        <v>597</v>
      </c>
      <c r="C1601" t="s">
        <v>591</v>
      </c>
      <c r="D1601" s="15">
        <v>-6.5000000000000002E-2</v>
      </c>
      <c r="E1601" s="15">
        <v>-0.11700000000000001</v>
      </c>
      <c r="F1601" s="15">
        <v>-6.2E-2</v>
      </c>
      <c r="G1601" s="15">
        <v>-9.0999999999999998E-2</v>
      </c>
      <c r="H1601" s="15">
        <v>-8.1000000000000003E-2</v>
      </c>
      <c r="I1601" s="15">
        <v>8.1000000000000003E-2</v>
      </c>
      <c r="J1601" t="s">
        <v>412</v>
      </c>
      <c r="K1601" t="s">
        <v>589</v>
      </c>
    </row>
    <row r="1602" spans="1:11">
      <c r="A1602" t="s">
        <v>577</v>
      </c>
      <c r="B1602" t="s">
        <v>580</v>
      </c>
      <c r="C1602" t="s">
        <v>584</v>
      </c>
      <c r="D1602" s="15">
        <v>0.182</v>
      </c>
      <c r="E1602" s="15">
        <v>0.01</v>
      </c>
      <c r="F1602" s="15">
        <v>0.05</v>
      </c>
      <c r="G1602" s="15">
        <v>9.6000000000000002E-2</v>
      </c>
      <c r="H1602" s="15">
        <v>0.08</v>
      </c>
      <c r="I1602" s="15">
        <v>0.08</v>
      </c>
      <c r="J1602" t="s">
        <v>412</v>
      </c>
      <c r="K1602" t="s">
        <v>551</v>
      </c>
    </row>
    <row r="1603" spans="1:11">
      <c r="A1603" t="s">
        <v>479</v>
      </c>
      <c r="B1603" t="s">
        <v>588</v>
      </c>
      <c r="C1603" t="s">
        <v>591</v>
      </c>
      <c r="D1603" s="15">
        <v>9.4E-2</v>
      </c>
      <c r="E1603" s="15">
        <v>-1.7000000000000001E-2</v>
      </c>
      <c r="F1603" s="15">
        <v>0.128</v>
      </c>
      <c r="G1603" s="15">
        <v>3.9E-2</v>
      </c>
      <c r="H1603" s="15">
        <v>6.9000000000000006E-2</v>
      </c>
      <c r="I1603" s="15">
        <v>0.08</v>
      </c>
      <c r="J1603" t="s">
        <v>412</v>
      </c>
      <c r="K1603" t="s">
        <v>480</v>
      </c>
    </row>
    <row r="1604" spans="1:11">
      <c r="A1604" t="s">
        <v>571</v>
      </c>
      <c r="B1604" t="s">
        <v>588</v>
      </c>
      <c r="C1604" t="s">
        <v>585</v>
      </c>
      <c r="D1604" s="15">
        <v>-1.2999999999999999E-2</v>
      </c>
      <c r="E1604" s="15">
        <v>-1.9E-2</v>
      </c>
      <c r="F1604" s="15">
        <v>0.21</v>
      </c>
      <c r="G1604" s="15">
        <v>-1.6E-2</v>
      </c>
      <c r="H1604" s="15">
        <v>5.8999999999999997E-2</v>
      </c>
      <c r="I1604" s="15">
        <v>0.08</v>
      </c>
      <c r="J1604" t="s">
        <v>412</v>
      </c>
      <c r="K1604" t="s">
        <v>510</v>
      </c>
    </row>
    <row r="1605" spans="1:11">
      <c r="A1605" t="s">
        <v>479</v>
      </c>
      <c r="B1605" t="s">
        <v>517</v>
      </c>
      <c r="C1605" t="s">
        <v>594</v>
      </c>
      <c r="D1605" s="15">
        <v>8.5000000000000006E-2</v>
      </c>
      <c r="E1605" s="15">
        <v>-7.3999999999999996E-2</v>
      </c>
      <c r="F1605" s="15">
        <v>0.08</v>
      </c>
      <c r="G1605" s="15">
        <v>6.0000000000000001E-3</v>
      </c>
      <c r="H1605" s="15">
        <v>0.03</v>
      </c>
      <c r="I1605" s="15">
        <v>0.08</v>
      </c>
      <c r="J1605" t="s">
        <v>412</v>
      </c>
      <c r="K1605" t="s">
        <v>480</v>
      </c>
    </row>
    <row r="1606" spans="1:11">
      <c r="A1606" t="s">
        <v>486</v>
      </c>
      <c r="B1606" t="s">
        <v>509</v>
      </c>
      <c r="C1606" t="s">
        <v>584</v>
      </c>
      <c r="D1606" s="15">
        <v>-7.9000000000000001E-2</v>
      </c>
      <c r="E1606" s="15">
        <v>-5.0000000000000001E-3</v>
      </c>
      <c r="F1606" s="15">
        <v>0.157</v>
      </c>
      <c r="G1606" s="15">
        <v>-4.2000000000000003E-2</v>
      </c>
      <c r="H1606" s="15">
        <v>2.4E-2</v>
      </c>
      <c r="I1606" s="15">
        <v>0.08</v>
      </c>
      <c r="J1606" t="s">
        <v>412</v>
      </c>
      <c r="K1606" t="s">
        <v>510</v>
      </c>
    </row>
    <row r="1607" spans="1:11">
      <c r="A1607" t="s">
        <v>576</v>
      </c>
      <c r="B1607" t="s">
        <v>597</v>
      </c>
      <c r="C1607" t="s">
        <v>582</v>
      </c>
      <c r="D1607" s="15">
        <v>7.6999999999999999E-2</v>
      </c>
      <c r="E1607" s="15">
        <v>-0.11700000000000001</v>
      </c>
      <c r="F1607" s="15">
        <v>4.7E-2</v>
      </c>
      <c r="G1607" s="15">
        <v>-0.02</v>
      </c>
      <c r="H1607" s="15">
        <v>2E-3</v>
      </c>
      <c r="I1607" s="15">
        <v>0.08</v>
      </c>
      <c r="J1607" t="s">
        <v>412</v>
      </c>
      <c r="K1607" t="s">
        <v>480</v>
      </c>
    </row>
    <row r="1608" spans="1:11">
      <c r="A1608" t="s">
        <v>506</v>
      </c>
      <c r="B1608" t="s">
        <v>595</v>
      </c>
      <c r="C1608" t="s">
        <v>584</v>
      </c>
      <c r="D1608" s="15">
        <v>0.11899999999999999</v>
      </c>
      <c r="E1608" s="15">
        <v>-6.0999999999999999E-2</v>
      </c>
      <c r="F1608" s="15">
        <v>-5.8999999999999997E-2</v>
      </c>
      <c r="G1608" s="15">
        <v>2.9000000000000001E-2</v>
      </c>
      <c r="H1608" s="15">
        <v>0</v>
      </c>
      <c r="I1608" s="15">
        <v>0.08</v>
      </c>
      <c r="J1608" t="s">
        <v>412</v>
      </c>
      <c r="K1608" t="s">
        <v>579</v>
      </c>
    </row>
    <row r="1609" spans="1:11">
      <c r="A1609" t="s">
        <v>479</v>
      </c>
      <c r="B1609" t="s">
        <v>592</v>
      </c>
      <c r="C1609" t="s">
        <v>594</v>
      </c>
      <c r="D1609" s="15">
        <v>8.5000000000000006E-2</v>
      </c>
      <c r="E1609" s="15">
        <v>-0.109</v>
      </c>
      <c r="F1609" s="15">
        <v>-4.5999999999999999E-2</v>
      </c>
      <c r="G1609" s="15">
        <v>-1.2E-2</v>
      </c>
      <c r="H1609" s="15">
        <v>-2.3E-2</v>
      </c>
      <c r="I1609" s="15">
        <v>0.08</v>
      </c>
      <c r="J1609" t="s">
        <v>412</v>
      </c>
      <c r="K1609" t="s">
        <v>579</v>
      </c>
    </row>
    <row r="1610" spans="1:11">
      <c r="A1610" t="s">
        <v>573</v>
      </c>
      <c r="B1610" t="s">
        <v>598</v>
      </c>
      <c r="C1610" t="s">
        <v>492</v>
      </c>
      <c r="D1610" s="15">
        <v>-0.16400000000000001</v>
      </c>
      <c r="E1610" s="15">
        <v>-2.3E-2</v>
      </c>
      <c r="F1610" s="15">
        <v>5.3999999999999999E-2</v>
      </c>
      <c r="G1610" s="15">
        <v>-9.4E-2</v>
      </c>
      <c r="H1610" s="15">
        <v>-4.3999999999999997E-2</v>
      </c>
      <c r="I1610" s="15">
        <v>0.08</v>
      </c>
      <c r="J1610" t="s">
        <v>412</v>
      </c>
      <c r="K1610" t="s">
        <v>510</v>
      </c>
    </row>
    <row r="1611" spans="1:11">
      <c r="A1611" t="s">
        <v>576</v>
      </c>
      <c r="B1611" t="s">
        <v>580</v>
      </c>
      <c r="C1611" t="s">
        <v>584</v>
      </c>
      <c r="D1611" s="15">
        <v>-0.1</v>
      </c>
      <c r="E1611" s="15">
        <v>-0.09</v>
      </c>
      <c r="F1611" s="15">
        <v>0.05</v>
      </c>
      <c r="G1611" s="15">
        <v>-9.5000000000000001E-2</v>
      </c>
      <c r="H1611" s="15">
        <v>-4.5999999999999999E-2</v>
      </c>
      <c r="I1611" s="15">
        <v>0.08</v>
      </c>
      <c r="J1611" t="s">
        <v>412</v>
      </c>
      <c r="K1611" t="s">
        <v>510</v>
      </c>
    </row>
    <row r="1612" spans="1:11">
      <c r="A1612" t="s">
        <v>486</v>
      </c>
      <c r="B1612" t="s">
        <v>588</v>
      </c>
      <c r="C1612" t="s">
        <v>582</v>
      </c>
      <c r="D1612" s="15">
        <v>-0.129</v>
      </c>
      <c r="E1612" s="15">
        <v>-8.4000000000000005E-2</v>
      </c>
      <c r="F1612" s="15">
        <v>2.5999999999999999E-2</v>
      </c>
      <c r="G1612" s="15">
        <v>-0.107</v>
      </c>
      <c r="H1612" s="15">
        <v>-6.2E-2</v>
      </c>
      <c r="I1612" s="15">
        <v>0.08</v>
      </c>
      <c r="J1612" t="s">
        <v>412</v>
      </c>
      <c r="K1612" t="s">
        <v>510</v>
      </c>
    </row>
    <row r="1613" spans="1:11">
      <c r="A1613" t="s">
        <v>573</v>
      </c>
      <c r="B1613" t="s">
        <v>597</v>
      </c>
      <c r="C1613" t="s">
        <v>492</v>
      </c>
      <c r="D1613" s="15">
        <v>-0.16400000000000001</v>
      </c>
      <c r="E1613" s="15">
        <v>-6.4000000000000001E-2</v>
      </c>
      <c r="F1613" s="15">
        <v>1.0999999999999999E-2</v>
      </c>
      <c r="G1613" s="15">
        <v>-0.114</v>
      </c>
      <c r="H1613" s="15">
        <v>-7.1999999999999995E-2</v>
      </c>
      <c r="I1613" s="15">
        <v>0.08</v>
      </c>
      <c r="J1613" t="s">
        <v>412</v>
      </c>
      <c r="K1613" t="s">
        <v>510</v>
      </c>
    </row>
    <row r="1614" spans="1:11">
      <c r="A1614" t="s">
        <v>486</v>
      </c>
      <c r="B1614" t="s">
        <v>592</v>
      </c>
      <c r="C1614" t="s">
        <v>584</v>
      </c>
      <c r="D1614" s="15">
        <v>-7.9000000000000001E-2</v>
      </c>
      <c r="E1614" s="15">
        <v>-9.1999999999999998E-2</v>
      </c>
      <c r="F1614" s="15">
        <v>-7.0000000000000007E-2</v>
      </c>
      <c r="G1614" s="15">
        <v>-8.5000000000000006E-2</v>
      </c>
      <c r="H1614" s="15">
        <v>-0.08</v>
      </c>
      <c r="I1614" s="15">
        <v>0.08</v>
      </c>
      <c r="J1614" t="s">
        <v>412</v>
      </c>
      <c r="K1614" t="s">
        <v>589</v>
      </c>
    </row>
    <row r="1615" spans="1:11">
      <c r="A1615" t="s">
        <v>547</v>
      </c>
      <c r="B1615" t="s">
        <v>505</v>
      </c>
      <c r="C1615" t="s">
        <v>594</v>
      </c>
      <c r="D1615" s="15">
        <v>-6.0000000000000001E-3</v>
      </c>
      <c r="E1615" s="15">
        <v>-0.13600000000000001</v>
      </c>
      <c r="F1615" s="15">
        <v>-9.8000000000000004E-2</v>
      </c>
      <c r="G1615" s="15">
        <v>-7.0999999999999994E-2</v>
      </c>
      <c r="H1615" s="15">
        <v>-0.08</v>
      </c>
      <c r="I1615" s="15">
        <v>0.08</v>
      </c>
      <c r="J1615" t="s">
        <v>412</v>
      </c>
      <c r="K1615" t="s">
        <v>589</v>
      </c>
    </row>
    <row r="1616" spans="1:11">
      <c r="A1616" t="s">
        <v>571</v>
      </c>
      <c r="B1616" t="s">
        <v>550</v>
      </c>
      <c r="C1616" t="s">
        <v>570</v>
      </c>
      <c r="D1616" s="15">
        <v>-0.19700000000000001</v>
      </c>
      <c r="E1616" s="15">
        <v>-2.5000000000000001E-2</v>
      </c>
      <c r="F1616" s="15">
        <v>-1.9E-2</v>
      </c>
      <c r="G1616" s="15">
        <v>-0.111</v>
      </c>
      <c r="H1616" s="15">
        <v>-0.08</v>
      </c>
      <c r="I1616" s="15">
        <v>0.08</v>
      </c>
      <c r="J1616" t="s">
        <v>412</v>
      </c>
      <c r="K1616" t="s">
        <v>589</v>
      </c>
    </row>
    <row r="1617" spans="1:11">
      <c r="A1617" t="s">
        <v>577</v>
      </c>
      <c r="B1617" t="s">
        <v>498</v>
      </c>
      <c r="C1617" t="s">
        <v>585</v>
      </c>
      <c r="D1617" s="15">
        <v>-6.0000000000000001E-3</v>
      </c>
      <c r="E1617" s="15">
        <v>-1.2E-2</v>
      </c>
      <c r="F1617" s="15">
        <v>-0.221</v>
      </c>
      <c r="G1617" s="15">
        <v>-8.9999999999999993E-3</v>
      </c>
      <c r="H1617" s="15">
        <v>-0.08</v>
      </c>
      <c r="I1617" s="15">
        <v>0.08</v>
      </c>
      <c r="J1617" t="s">
        <v>412</v>
      </c>
      <c r="K1617" t="s">
        <v>589</v>
      </c>
    </row>
    <row r="1618" spans="1:11">
      <c r="A1618" t="s">
        <v>479</v>
      </c>
      <c r="B1618" t="s">
        <v>509</v>
      </c>
      <c r="C1618" t="s">
        <v>477</v>
      </c>
      <c r="D1618" s="15">
        <v>4.5999999999999999E-2</v>
      </c>
      <c r="E1618" s="15">
        <v>0.111</v>
      </c>
      <c r="F1618" s="15">
        <v>8.2000000000000003E-2</v>
      </c>
      <c r="G1618" s="15">
        <v>7.8E-2</v>
      </c>
      <c r="H1618" s="15">
        <v>7.9000000000000001E-2</v>
      </c>
      <c r="I1618" s="15">
        <v>7.9000000000000001E-2</v>
      </c>
      <c r="J1618" t="s">
        <v>412</v>
      </c>
      <c r="K1618" t="s">
        <v>551</v>
      </c>
    </row>
    <row r="1619" spans="1:11">
      <c r="A1619" t="s">
        <v>479</v>
      </c>
      <c r="B1619" t="s">
        <v>509</v>
      </c>
      <c r="C1619" t="s">
        <v>594</v>
      </c>
      <c r="D1619" s="15">
        <v>8.5000000000000006E-2</v>
      </c>
      <c r="E1619" s="15">
        <v>0.111</v>
      </c>
      <c r="F1619" s="15">
        <v>4.2000000000000003E-2</v>
      </c>
      <c r="G1619" s="15">
        <v>9.8000000000000004E-2</v>
      </c>
      <c r="H1619" s="15">
        <v>7.9000000000000001E-2</v>
      </c>
      <c r="I1619" s="15">
        <v>7.9000000000000001E-2</v>
      </c>
      <c r="J1619" t="s">
        <v>412</v>
      </c>
      <c r="K1619" t="s">
        <v>551</v>
      </c>
    </row>
    <row r="1620" spans="1:11">
      <c r="A1620" t="s">
        <v>573</v>
      </c>
      <c r="B1620" t="s">
        <v>578</v>
      </c>
      <c r="C1620" t="s">
        <v>594</v>
      </c>
      <c r="D1620" s="15">
        <v>0.13700000000000001</v>
      </c>
      <c r="E1620" s="15">
        <v>4.8000000000000001E-2</v>
      </c>
      <c r="F1620" s="15">
        <v>5.1999999999999998E-2</v>
      </c>
      <c r="G1620" s="15">
        <v>9.2999999999999999E-2</v>
      </c>
      <c r="H1620" s="15">
        <v>7.9000000000000001E-2</v>
      </c>
      <c r="I1620" s="15">
        <v>7.9000000000000001E-2</v>
      </c>
      <c r="J1620" t="s">
        <v>412</v>
      </c>
      <c r="K1620" t="s">
        <v>551</v>
      </c>
    </row>
    <row r="1621" spans="1:11">
      <c r="A1621" t="s">
        <v>486</v>
      </c>
      <c r="B1621" t="s">
        <v>498</v>
      </c>
      <c r="C1621" t="s">
        <v>591</v>
      </c>
      <c r="D1621" s="15">
        <v>-0.02</v>
      </c>
      <c r="E1621" s="15">
        <v>0.20599999999999999</v>
      </c>
      <c r="F1621" s="15">
        <v>-0.01</v>
      </c>
      <c r="G1621" s="15">
        <v>9.2999999999999999E-2</v>
      </c>
      <c r="H1621" s="15">
        <v>5.8999999999999997E-2</v>
      </c>
      <c r="I1621" s="15">
        <v>7.9000000000000001E-2</v>
      </c>
      <c r="J1621" t="s">
        <v>412</v>
      </c>
      <c r="K1621" t="s">
        <v>500</v>
      </c>
    </row>
    <row r="1622" spans="1:11">
      <c r="A1622" t="s">
        <v>506</v>
      </c>
      <c r="B1622" t="s">
        <v>580</v>
      </c>
      <c r="C1622" t="s">
        <v>585</v>
      </c>
      <c r="D1622" s="15">
        <v>-5.6000000000000001E-2</v>
      </c>
      <c r="E1622" s="15">
        <v>5.0999999999999997E-2</v>
      </c>
      <c r="F1622" s="15">
        <v>0.13</v>
      </c>
      <c r="G1622" s="15">
        <v>-3.0000000000000001E-3</v>
      </c>
      <c r="H1622" s="15">
        <v>4.2000000000000003E-2</v>
      </c>
      <c r="I1622" s="15">
        <v>7.9000000000000001E-2</v>
      </c>
      <c r="J1622" t="s">
        <v>412</v>
      </c>
      <c r="K1622" t="s">
        <v>487</v>
      </c>
    </row>
    <row r="1623" spans="1:11">
      <c r="A1623" t="s">
        <v>577</v>
      </c>
      <c r="B1623" t="s">
        <v>592</v>
      </c>
      <c r="C1623" t="s">
        <v>593</v>
      </c>
      <c r="D1623" s="15">
        <v>3.7999999999999999E-2</v>
      </c>
      <c r="E1623" s="15">
        <v>-6.9000000000000006E-2</v>
      </c>
      <c r="F1623" s="15">
        <v>0.13100000000000001</v>
      </c>
      <c r="G1623" s="15">
        <v>-1.4999999999999999E-2</v>
      </c>
      <c r="H1623" s="15">
        <v>3.3000000000000002E-2</v>
      </c>
      <c r="I1623" s="15">
        <v>7.9000000000000001E-2</v>
      </c>
      <c r="J1623" t="s">
        <v>412</v>
      </c>
      <c r="K1623" t="s">
        <v>480</v>
      </c>
    </row>
    <row r="1624" spans="1:11">
      <c r="A1624" t="s">
        <v>479</v>
      </c>
      <c r="B1624" t="s">
        <v>581</v>
      </c>
      <c r="C1624" t="s">
        <v>591</v>
      </c>
      <c r="D1624" s="15">
        <v>9.4E-2</v>
      </c>
      <c r="E1624" s="15">
        <v>-7.8E-2</v>
      </c>
      <c r="F1624" s="15">
        <v>6.5000000000000002E-2</v>
      </c>
      <c r="G1624" s="15">
        <v>8.0000000000000002E-3</v>
      </c>
      <c r="H1624" s="15">
        <v>2.7E-2</v>
      </c>
      <c r="I1624" s="15">
        <v>7.9000000000000001E-2</v>
      </c>
      <c r="J1624" t="s">
        <v>412</v>
      </c>
      <c r="K1624" t="s">
        <v>480</v>
      </c>
    </row>
    <row r="1625" spans="1:11">
      <c r="A1625" t="s">
        <v>577</v>
      </c>
      <c r="B1625" t="s">
        <v>588</v>
      </c>
      <c r="C1625" t="s">
        <v>570</v>
      </c>
      <c r="D1625" s="15">
        <v>-8.8999999999999996E-2</v>
      </c>
      <c r="E1625" s="15">
        <v>0.114</v>
      </c>
      <c r="F1625" s="15">
        <v>3.4000000000000002E-2</v>
      </c>
      <c r="G1625" s="15">
        <v>1.2E-2</v>
      </c>
      <c r="H1625" s="15">
        <v>0.02</v>
      </c>
      <c r="I1625" s="15">
        <v>7.9000000000000001E-2</v>
      </c>
      <c r="J1625" t="s">
        <v>412</v>
      </c>
      <c r="K1625" t="s">
        <v>487</v>
      </c>
    </row>
    <row r="1626" spans="1:11">
      <c r="A1626" t="s">
        <v>573</v>
      </c>
      <c r="B1626" t="s">
        <v>586</v>
      </c>
      <c r="C1626" t="s">
        <v>591</v>
      </c>
      <c r="D1626" s="15">
        <v>0.123</v>
      </c>
      <c r="E1626" s="15">
        <v>-0.10299999999999999</v>
      </c>
      <c r="F1626" s="15">
        <v>1.2E-2</v>
      </c>
      <c r="G1626" s="15">
        <v>0.01</v>
      </c>
      <c r="H1626" s="15">
        <v>1.0999999999999999E-2</v>
      </c>
      <c r="I1626" s="15">
        <v>7.9000000000000001E-2</v>
      </c>
      <c r="J1626" t="s">
        <v>412</v>
      </c>
      <c r="K1626" t="s">
        <v>480</v>
      </c>
    </row>
    <row r="1627" spans="1:11">
      <c r="A1627" t="s">
        <v>571</v>
      </c>
      <c r="B1627" t="s">
        <v>517</v>
      </c>
      <c r="C1627" t="s">
        <v>583</v>
      </c>
      <c r="D1627" s="15">
        <v>-0.152</v>
      </c>
      <c r="E1627" s="15">
        <v>1.7999999999999999E-2</v>
      </c>
      <c r="F1627" s="15">
        <v>6.8000000000000005E-2</v>
      </c>
      <c r="G1627" s="15">
        <v>-6.7000000000000004E-2</v>
      </c>
      <c r="H1627" s="15">
        <v>-2.1999999999999999E-2</v>
      </c>
      <c r="I1627" s="15">
        <v>7.9000000000000001E-2</v>
      </c>
      <c r="J1627" t="s">
        <v>412</v>
      </c>
      <c r="K1627" t="s">
        <v>487</v>
      </c>
    </row>
    <row r="1628" spans="1:11">
      <c r="A1628" t="s">
        <v>571</v>
      </c>
      <c r="B1628" t="s">
        <v>588</v>
      </c>
      <c r="C1628" t="s">
        <v>583</v>
      </c>
      <c r="D1628" s="15">
        <v>-0.152</v>
      </c>
      <c r="E1628" s="15">
        <v>-1.9E-2</v>
      </c>
      <c r="F1628" s="15">
        <v>6.5000000000000002E-2</v>
      </c>
      <c r="G1628" s="15">
        <v>-8.5000000000000006E-2</v>
      </c>
      <c r="H1628" s="15">
        <v>-3.5000000000000003E-2</v>
      </c>
      <c r="I1628" s="15">
        <v>7.9000000000000001E-2</v>
      </c>
      <c r="J1628" t="s">
        <v>412</v>
      </c>
      <c r="K1628" t="s">
        <v>510</v>
      </c>
    </row>
    <row r="1629" spans="1:11">
      <c r="A1629" t="s">
        <v>479</v>
      </c>
      <c r="B1629" t="s">
        <v>505</v>
      </c>
      <c r="C1629" t="s">
        <v>492</v>
      </c>
      <c r="D1629" s="15">
        <v>5.8999999999999997E-2</v>
      </c>
      <c r="E1629" s="15">
        <v>-0.14699999999999999</v>
      </c>
      <c r="F1629" s="15">
        <v>-0.03</v>
      </c>
      <c r="G1629" s="15">
        <v>-4.3999999999999997E-2</v>
      </c>
      <c r="H1629" s="15">
        <v>-3.9E-2</v>
      </c>
      <c r="I1629" s="15">
        <v>7.9000000000000001E-2</v>
      </c>
      <c r="J1629" t="s">
        <v>412</v>
      </c>
      <c r="K1629" t="s">
        <v>579</v>
      </c>
    </row>
    <row r="1630" spans="1:11">
      <c r="A1630" t="s">
        <v>506</v>
      </c>
      <c r="B1630" t="s">
        <v>505</v>
      </c>
      <c r="C1630" t="s">
        <v>570</v>
      </c>
      <c r="D1630" s="15">
        <v>-0.14199999999999999</v>
      </c>
      <c r="E1630" s="15">
        <v>-6.5000000000000002E-2</v>
      </c>
      <c r="F1630" s="15">
        <v>2.9000000000000001E-2</v>
      </c>
      <c r="G1630" s="15">
        <v>-0.10299999999999999</v>
      </c>
      <c r="H1630" s="15">
        <v>-5.8999999999999997E-2</v>
      </c>
      <c r="I1630" s="15">
        <v>7.9000000000000001E-2</v>
      </c>
      <c r="J1630" t="s">
        <v>412</v>
      </c>
      <c r="K1630" t="s">
        <v>510</v>
      </c>
    </row>
    <row r="1631" spans="1:11">
      <c r="A1631" t="s">
        <v>576</v>
      </c>
      <c r="B1631" t="s">
        <v>590</v>
      </c>
      <c r="C1631" t="s">
        <v>583</v>
      </c>
      <c r="D1631" s="15">
        <v>-0.109</v>
      </c>
      <c r="E1631" s="15">
        <v>2.8000000000000001E-2</v>
      </c>
      <c r="F1631" s="15">
        <v>-9.9000000000000005E-2</v>
      </c>
      <c r="G1631" s="15">
        <v>-0.04</v>
      </c>
      <c r="H1631" s="15">
        <v>-0.06</v>
      </c>
      <c r="I1631" s="15">
        <v>7.9000000000000001E-2</v>
      </c>
      <c r="J1631" t="s">
        <v>412</v>
      </c>
      <c r="K1631" t="s">
        <v>500</v>
      </c>
    </row>
    <row r="1632" spans="1:11">
      <c r="A1632" t="s">
        <v>571</v>
      </c>
      <c r="B1632" t="s">
        <v>505</v>
      </c>
      <c r="C1632" t="s">
        <v>492</v>
      </c>
      <c r="D1632" s="15">
        <v>-6.5000000000000002E-2</v>
      </c>
      <c r="E1632" s="15">
        <v>-0.14000000000000001</v>
      </c>
      <c r="F1632" s="15">
        <v>-0.03</v>
      </c>
      <c r="G1632" s="15">
        <v>-0.10299999999999999</v>
      </c>
      <c r="H1632" s="15">
        <v>-7.9000000000000001E-2</v>
      </c>
      <c r="I1632" s="15">
        <v>7.9000000000000001E-2</v>
      </c>
      <c r="J1632" t="s">
        <v>412</v>
      </c>
      <c r="K1632" t="s">
        <v>589</v>
      </c>
    </row>
    <row r="1633" spans="1:11">
      <c r="A1633" t="s">
        <v>577</v>
      </c>
      <c r="B1633" t="s">
        <v>574</v>
      </c>
      <c r="C1633" t="s">
        <v>591</v>
      </c>
      <c r="D1633" s="15">
        <v>-1.4E-2</v>
      </c>
      <c r="E1633" s="15">
        <v>-4.0000000000000001E-3</v>
      </c>
      <c r="F1633" s="15">
        <v>-0.218</v>
      </c>
      <c r="G1633" s="15">
        <v>-8.9999999999999993E-3</v>
      </c>
      <c r="H1633" s="15">
        <v>-7.9000000000000001E-2</v>
      </c>
      <c r="I1633" s="15">
        <v>7.9000000000000001E-2</v>
      </c>
      <c r="J1633" t="s">
        <v>412</v>
      </c>
      <c r="K1633" t="s">
        <v>589</v>
      </c>
    </row>
    <row r="1634" spans="1:11">
      <c r="A1634" t="s">
        <v>547</v>
      </c>
      <c r="B1634" t="s">
        <v>580</v>
      </c>
      <c r="C1634" t="s">
        <v>585</v>
      </c>
      <c r="D1634" s="15">
        <v>-7.1999999999999995E-2</v>
      </c>
      <c r="E1634" s="15">
        <v>3.2000000000000001E-2</v>
      </c>
      <c r="F1634" s="15">
        <v>0.13</v>
      </c>
      <c r="G1634" s="15">
        <v>-0.02</v>
      </c>
      <c r="H1634" s="15">
        <v>0.03</v>
      </c>
      <c r="I1634" s="15">
        <v>7.8E-2</v>
      </c>
      <c r="J1634" t="s">
        <v>412</v>
      </c>
      <c r="K1634" t="s">
        <v>487</v>
      </c>
    </row>
    <row r="1635" spans="1:11">
      <c r="A1635" t="s">
        <v>573</v>
      </c>
      <c r="B1635" t="s">
        <v>597</v>
      </c>
      <c r="C1635" t="s">
        <v>477</v>
      </c>
      <c r="D1635" s="15">
        <v>0.14599999999999999</v>
      </c>
      <c r="E1635" s="15">
        <v>-6.4000000000000001E-2</v>
      </c>
      <c r="F1635" s="15">
        <v>-2.3E-2</v>
      </c>
      <c r="G1635" s="15">
        <v>4.1000000000000002E-2</v>
      </c>
      <c r="H1635" s="15">
        <v>0.02</v>
      </c>
      <c r="I1635" s="15">
        <v>7.8E-2</v>
      </c>
      <c r="J1635" t="s">
        <v>412</v>
      </c>
      <c r="K1635" t="s">
        <v>579</v>
      </c>
    </row>
    <row r="1636" spans="1:11">
      <c r="A1636" t="s">
        <v>547</v>
      </c>
      <c r="B1636" t="s">
        <v>478</v>
      </c>
      <c r="C1636" t="s">
        <v>477</v>
      </c>
      <c r="D1636" s="15">
        <v>6.4000000000000001E-2</v>
      </c>
      <c r="E1636" s="15">
        <v>-9.4E-2</v>
      </c>
      <c r="F1636" s="15">
        <v>7.6999999999999999E-2</v>
      </c>
      <c r="G1636" s="15">
        <v>-1.4999999999999999E-2</v>
      </c>
      <c r="H1636" s="15">
        <v>1.6E-2</v>
      </c>
      <c r="I1636" s="15">
        <v>7.8E-2</v>
      </c>
      <c r="J1636" t="s">
        <v>412</v>
      </c>
      <c r="K1636" t="s">
        <v>480</v>
      </c>
    </row>
    <row r="1637" spans="1:11">
      <c r="A1637" t="s">
        <v>576</v>
      </c>
      <c r="B1637" t="s">
        <v>580</v>
      </c>
      <c r="C1637" t="s">
        <v>591</v>
      </c>
      <c r="D1637" s="15">
        <v>-6.5000000000000002E-2</v>
      </c>
      <c r="E1637" s="15">
        <v>-0.09</v>
      </c>
      <c r="F1637" s="15">
        <v>7.9000000000000001E-2</v>
      </c>
      <c r="G1637" s="15">
        <v>-7.8E-2</v>
      </c>
      <c r="H1637" s="15">
        <v>-2.5000000000000001E-2</v>
      </c>
      <c r="I1637" s="15">
        <v>7.8E-2</v>
      </c>
      <c r="J1637" t="s">
        <v>412</v>
      </c>
      <c r="K1637" t="s">
        <v>510</v>
      </c>
    </row>
    <row r="1638" spans="1:11">
      <c r="A1638" t="s">
        <v>573</v>
      </c>
      <c r="B1638" t="s">
        <v>580</v>
      </c>
      <c r="C1638" t="s">
        <v>570</v>
      </c>
      <c r="D1638" s="15">
        <v>-0.17100000000000001</v>
      </c>
      <c r="E1638" s="15">
        <v>4.7E-2</v>
      </c>
      <c r="F1638" s="15">
        <v>1.6E-2</v>
      </c>
      <c r="G1638" s="15">
        <v>-6.2E-2</v>
      </c>
      <c r="H1638" s="15">
        <v>-3.5999999999999997E-2</v>
      </c>
      <c r="I1638" s="15">
        <v>7.8E-2</v>
      </c>
      <c r="J1638" t="s">
        <v>412</v>
      </c>
      <c r="K1638" t="s">
        <v>487</v>
      </c>
    </row>
    <row r="1639" spans="1:11">
      <c r="A1639" t="s">
        <v>506</v>
      </c>
      <c r="B1639" t="s">
        <v>597</v>
      </c>
      <c r="C1639" t="s">
        <v>492</v>
      </c>
      <c r="D1639" s="15">
        <v>-0.17399999999999999</v>
      </c>
      <c r="E1639" s="15">
        <v>5.0999999999999997E-2</v>
      </c>
      <c r="F1639" s="15">
        <v>1.0999999999999999E-2</v>
      </c>
      <c r="G1639" s="15">
        <v>-6.0999999999999999E-2</v>
      </c>
      <c r="H1639" s="15">
        <v>-3.6999999999999998E-2</v>
      </c>
      <c r="I1639" s="15">
        <v>7.8E-2</v>
      </c>
      <c r="J1639" t="s">
        <v>412</v>
      </c>
      <c r="K1639" t="s">
        <v>487</v>
      </c>
    </row>
    <row r="1640" spans="1:11">
      <c r="A1640" t="s">
        <v>577</v>
      </c>
      <c r="B1640" t="s">
        <v>590</v>
      </c>
      <c r="C1640" t="s">
        <v>583</v>
      </c>
      <c r="D1640" s="15">
        <v>-0.09</v>
      </c>
      <c r="E1640" s="15">
        <v>4.4999999999999998E-2</v>
      </c>
      <c r="F1640" s="15">
        <v>-9.9000000000000005E-2</v>
      </c>
      <c r="G1640" s="15">
        <v>-2.3E-2</v>
      </c>
      <c r="H1640" s="15">
        <v>-4.8000000000000001E-2</v>
      </c>
      <c r="I1640" s="15">
        <v>7.8E-2</v>
      </c>
      <c r="J1640" t="s">
        <v>412</v>
      </c>
      <c r="K1640" t="s">
        <v>500</v>
      </c>
    </row>
    <row r="1641" spans="1:11">
      <c r="A1641" t="s">
        <v>506</v>
      </c>
      <c r="B1641" t="s">
        <v>517</v>
      </c>
      <c r="C1641" t="s">
        <v>570</v>
      </c>
      <c r="D1641" s="15">
        <v>-0.14199999999999999</v>
      </c>
      <c r="E1641" s="15">
        <v>-6.5000000000000002E-2</v>
      </c>
      <c r="F1641" s="15">
        <v>2.8000000000000001E-2</v>
      </c>
      <c r="G1641" s="15">
        <v>-0.10299999999999999</v>
      </c>
      <c r="H1641" s="15">
        <v>-0.06</v>
      </c>
      <c r="I1641" s="15">
        <v>7.8E-2</v>
      </c>
      <c r="J1641" t="s">
        <v>412</v>
      </c>
      <c r="K1641" t="s">
        <v>510</v>
      </c>
    </row>
    <row r="1642" spans="1:11">
      <c r="A1642" t="s">
        <v>547</v>
      </c>
      <c r="B1642" t="s">
        <v>569</v>
      </c>
      <c r="C1642" t="s">
        <v>585</v>
      </c>
      <c r="D1642" s="15">
        <v>-7.1999999999999995E-2</v>
      </c>
      <c r="E1642" s="15">
        <v>-0.14699999999999999</v>
      </c>
      <c r="F1642" s="15">
        <v>1.4E-2</v>
      </c>
      <c r="G1642" s="15">
        <v>-0.11</v>
      </c>
      <c r="H1642" s="15">
        <v>-6.9000000000000006E-2</v>
      </c>
      <c r="I1642" s="15">
        <v>7.8E-2</v>
      </c>
      <c r="J1642" t="s">
        <v>412</v>
      </c>
      <c r="K1642" t="s">
        <v>510</v>
      </c>
    </row>
    <row r="1643" spans="1:11">
      <c r="A1643" t="s">
        <v>486</v>
      </c>
      <c r="B1643" t="s">
        <v>592</v>
      </c>
      <c r="C1643" t="s">
        <v>594</v>
      </c>
      <c r="D1643" s="15">
        <v>-9.7000000000000003E-2</v>
      </c>
      <c r="E1643" s="15">
        <v>-9.1999999999999998E-2</v>
      </c>
      <c r="F1643" s="15">
        <v>-4.5999999999999999E-2</v>
      </c>
      <c r="G1643" s="15">
        <v>-9.4E-2</v>
      </c>
      <c r="H1643" s="15">
        <v>-7.8E-2</v>
      </c>
      <c r="I1643" s="15">
        <v>7.8E-2</v>
      </c>
      <c r="J1643" t="s">
        <v>412</v>
      </c>
      <c r="K1643" t="s">
        <v>589</v>
      </c>
    </row>
    <row r="1644" spans="1:11">
      <c r="A1644" t="s">
        <v>577</v>
      </c>
      <c r="B1644" t="s">
        <v>596</v>
      </c>
      <c r="C1644" t="s">
        <v>570</v>
      </c>
      <c r="D1644" s="15">
        <v>-8.8999999999999996E-2</v>
      </c>
      <c r="E1644" s="15">
        <v>-7.0000000000000007E-2</v>
      </c>
      <c r="F1644" s="15">
        <v>-7.2999999999999995E-2</v>
      </c>
      <c r="G1644" s="15">
        <v>-0.08</v>
      </c>
      <c r="H1644" s="15">
        <v>-7.8E-2</v>
      </c>
      <c r="I1644" s="15">
        <v>7.8E-2</v>
      </c>
      <c r="J1644" t="s">
        <v>412</v>
      </c>
      <c r="K1644" t="s">
        <v>589</v>
      </c>
    </row>
    <row r="1645" spans="1:11">
      <c r="A1645" t="s">
        <v>573</v>
      </c>
      <c r="B1645" t="s">
        <v>588</v>
      </c>
      <c r="C1645" t="s">
        <v>594</v>
      </c>
      <c r="D1645" s="15">
        <v>0.13700000000000001</v>
      </c>
      <c r="E1645" s="15">
        <v>4.9000000000000002E-2</v>
      </c>
      <c r="F1645" s="15">
        <v>4.2999999999999997E-2</v>
      </c>
      <c r="G1645" s="15">
        <v>9.2999999999999999E-2</v>
      </c>
      <c r="H1645" s="15">
        <v>7.6999999999999999E-2</v>
      </c>
      <c r="I1645" s="15">
        <v>7.6999999999999999E-2</v>
      </c>
      <c r="J1645" t="s">
        <v>412</v>
      </c>
      <c r="K1645" t="s">
        <v>551</v>
      </c>
    </row>
    <row r="1646" spans="1:11">
      <c r="A1646" t="s">
        <v>577</v>
      </c>
      <c r="B1646" t="s">
        <v>580</v>
      </c>
      <c r="C1646" t="s">
        <v>575</v>
      </c>
      <c r="D1646" s="15">
        <v>0.14199999999999999</v>
      </c>
      <c r="E1646" s="15">
        <v>0.01</v>
      </c>
      <c r="F1646" s="15">
        <v>0.08</v>
      </c>
      <c r="G1646" s="15">
        <v>7.5999999999999998E-2</v>
      </c>
      <c r="H1646" s="15">
        <v>7.6999999999999999E-2</v>
      </c>
      <c r="I1646" s="15">
        <v>7.6999999999999999E-2</v>
      </c>
      <c r="J1646" t="s">
        <v>412</v>
      </c>
      <c r="K1646" t="s">
        <v>551</v>
      </c>
    </row>
    <row r="1647" spans="1:11">
      <c r="A1647" t="s">
        <v>571</v>
      </c>
      <c r="B1647" t="s">
        <v>509</v>
      </c>
      <c r="C1647" t="s">
        <v>477</v>
      </c>
      <c r="D1647" s="15">
        <v>0.13300000000000001</v>
      </c>
      <c r="E1647" s="15">
        <v>-1.6E-2</v>
      </c>
      <c r="F1647" s="15">
        <v>8.2000000000000003E-2</v>
      </c>
      <c r="G1647" s="15">
        <v>5.8999999999999997E-2</v>
      </c>
      <c r="H1647" s="15">
        <v>6.6000000000000003E-2</v>
      </c>
      <c r="I1647" s="15">
        <v>7.6999999999999999E-2</v>
      </c>
      <c r="J1647" t="s">
        <v>412</v>
      </c>
      <c r="K1647" t="s">
        <v>480</v>
      </c>
    </row>
    <row r="1648" spans="1:11">
      <c r="A1648" t="s">
        <v>547</v>
      </c>
      <c r="B1648" t="s">
        <v>523</v>
      </c>
      <c r="C1648" t="s">
        <v>591</v>
      </c>
      <c r="D1648" s="15">
        <v>0.01</v>
      </c>
      <c r="E1648" s="15">
        <v>-3.6999999999999998E-2</v>
      </c>
      <c r="F1648" s="15">
        <v>0.184</v>
      </c>
      <c r="G1648" s="15">
        <v>-1.2999999999999999E-2</v>
      </c>
      <c r="H1648" s="15">
        <v>5.1999999999999998E-2</v>
      </c>
      <c r="I1648" s="15">
        <v>7.6999999999999999E-2</v>
      </c>
      <c r="J1648" t="s">
        <v>412</v>
      </c>
      <c r="K1648" t="s">
        <v>480</v>
      </c>
    </row>
    <row r="1649" spans="1:11">
      <c r="A1649" t="s">
        <v>486</v>
      </c>
      <c r="B1649" t="s">
        <v>588</v>
      </c>
      <c r="C1649" t="s">
        <v>591</v>
      </c>
      <c r="D1649" s="15">
        <v>-0.02</v>
      </c>
      <c r="E1649" s="15">
        <v>-8.4000000000000005E-2</v>
      </c>
      <c r="F1649" s="15">
        <v>0.128</v>
      </c>
      <c r="G1649" s="15">
        <v>-5.1999999999999998E-2</v>
      </c>
      <c r="H1649" s="15">
        <v>8.0000000000000002E-3</v>
      </c>
      <c r="I1649" s="15">
        <v>7.6999999999999999E-2</v>
      </c>
      <c r="J1649" t="s">
        <v>412</v>
      </c>
      <c r="K1649" t="s">
        <v>510</v>
      </c>
    </row>
    <row r="1650" spans="1:11">
      <c r="A1650" t="s">
        <v>577</v>
      </c>
      <c r="B1650" t="s">
        <v>550</v>
      </c>
      <c r="C1650" t="s">
        <v>594</v>
      </c>
      <c r="D1650" s="15">
        <v>6.6000000000000003E-2</v>
      </c>
      <c r="E1650" s="15">
        <v>-0.11600000000000001</v>
      </c>
      <c r="F1650" s="15">
        <v>4.9000000000000002E-2</v>
      </c>
      <c r="G1650" s="15">
        <v>-2.5000000000000001E-2</v>
      </c>
      <c r="H1650" s="15">
        <v>-1E-3</v>
      </c>
      <c r="I1650" s="15">
        <v>7.6999999999999999E-2</v>
      </c>
      <c r="J1650" t="s">
        <v>412</v>
      </c>
      <c r="K1650" t="s">
        <v>480</v>
      </c>
    </row>
    <row r="1651" spans="1:11">
      <c r="A1651" t="s">
        <v>547</v>
      </c>
      <c r="B1651" t="s">
        <v>505</v>
      </c>
      <c r="C1651" t="s">
        <v>492</v>
      </c>
      <c r="D1651" s="15">
        <v>-6.6000000000000003E-2</v>
      </c>
      <c r="E1651" s="15">
        <v>-0.13600000000000001</v>
      </c>
      <c r="F1651" s="15">
        <v>-0.03</v>
      </c>
      <c r="G1651" s="15">
        <v>-0.10100000000000001</v>
      </c>
      <c r="H1651" s="15">
        <v>-7.6999999999999999E-2</v>
      </c>
      <c r="I1651" s="15">
        <v>7.6999999999999999E-2</v>
      </c>
      <c r="J1651" t="s">
        <v>412</v>
      </c>
      <c r="K1651" t="s">
        <v>589</v>
      </c>
    </row>
    <row r="1652" spans="1:11">
      <c r="A1652" t="s">
        <v>576</v>
      </c>
      <c r="B1652" t="s">
        <v>509</v>
      </c>
      <c r="C1652" t="s">
        <v>572</v>
      </c>
      <c r="D1652" s="15">
        <v>-5.8999999999999997E-2</v>
      </c>
      <c r="E1652" s="15">
        <v>-2.9000000000000001E-2</v>
      </c>
      <c r="F1652" s="15">
        <v>-0.14199999999999999</v>
      </c>
      <c r="G1652" s="15">
        <v>-4.3999999999999997E-2</v>
      </c>
      <c r="H1652" s="15">
        <v>-7.6999999999999999E-2</v>
      </c>
      <c r="I1652" s="15">
        <v>7.6999999999999999E-2</v>
      </c>
      <c r="J1652" t="s">
        <v>412</v>
      </c>
      <c r="K1652" t="s">
        <v>589</v>
      </c>
    </row>
    <row r="1653" spans="1:11">
      <c r="A1653" t="s">
        <v>576</v>
      </c>
      <c r="B1653" t="s">
        <v>588</v>
      </c>
      <c r="C1653" t="s">
        <v>582</v>
      </c>
      <c r="D1653" s="15">
        <v>7.6999999999999999E-2</v>
      </c>
      <c r="E1653" s="15">
        <v>0.124</v>
      </c>
      <c r="F1653" s="15">
        <v>2.5999999999999999E-2</v>
      </c>
      <c r="G1653" s="15">
        <v>0.10100000000000001</v>
      </c>
      <c r="H1653" s="15">
        <v>7.5999999999999998E-2</v>
      </c>
      <c r="I1653" s="15">
        <v>7.5999999999999998E-2</v>
      </c>
      <c r="J1653" t="s">
        <v>412</v>
      </c>
      <c r="K1653" t="s">
        <v>551</v>
      </c>
    </row>
    <row r="1654" spans="1:11">
      <c r="A1654" t="s">
        <v>571</v>
      </c>
      <c r="B1654" t="s">
        <v>598</v>
      </c>
      <c r="C1654" t="s">
        <v>594</v>
      </c>
      <c r="D1654" s="15">
        <v>-8.0000000000000002E-3</v>
      </c>
      <c r="E1654" s="15">
        <v>0.17299999999999999</v>
      </c>
      <c r="F1654" s="15">
        <v>4.9000000000000002E-2</v>
      </c>
      <c r="G1654" s="15">
        <v>8.3000000000000004E-2</v>
      </c>
      <c r="H1654" s="15">
        <v>7.0999999999999994E-2</v>
      </c>
      <c r="I1654" s="15">
        <v>7.5999999999999998E-2</v>
      </c>
      <c r="J1654" t="s">
        <v>412</v>
      </c>
      <c r="K1654" t="s">
        <v>487</v>
      </c>
    </row>
    <row r="1655" spans="1:11">
      <c r="A1655" t="s">
        <v>506</v>
      </c>
      <c r="B1655" t="s">
        <v>590</v>
      </c>
      <c r="C1655" t="s">
        <v>591</v>
      </c>
      <c r="D1655" s="15">
        <v>0.20899999999999999</v>
      </c>
      <c r="E1655" s="15">
        <v>1E-3</v>
      </c>
      <c r="F1655" s="15">
        <v>-1.9E-2</v>
      </c>
      <c r="G1655" s="15">
        <v>0.105</v>
      </c>
      <c r="H1655" s="15">
        <v>6.4000000000000001E-2</v>
      </c>
      <c r="I1655" s="15">
        <v>7.5999999999999998E-2</v>
      </c>
      <c r="J1655" t="s">
        <v>412</v>
      </c>
      <c r="K1655" t="s">
        <v>493</v>
      </c>
    </row>
    <row r="1656" spans="1:11">
      <c r="A1656" t="s">
        <v>576</v>
      </c>
      <c r="B1656" t="s">
        <v>592</v>
      </c>
      <c r="C1656" t="s">
        <v>593</v>
      </c>
      <c r="D1656" s="15">
        <v>-1.7000000000000001E-2</v>
      </c>
      <c r="E1656" s="15">
        <v>7.9000000000000001E-2</v>
      </c>
      <c r="F1656" s="15">
        <v>0.13100000000000001</v>
      </c>
      <c r="G1656" s="15">
        <v>3.1E-2</v>
      </c>
      <c r="H1656" s="15">
        <v>6.4000000000000001E-2</v>
      </c>
      <c r="I1656" s="15">
        <v>7.5999999999999998E-2</v>
      </c>
      <c r="J1656" t="s">
        <v>412</v>
      </c>
      <c r="K1656" t="s">
        <v>487</v>
      </c>
    </row>
    <row r="1657" spans="1:11">
      <c r="A1657" t="s">
        <v>486</v>
      </c>
      <c r="B1657" t="s">
        <v>581</v>
      </c>
      <c r="C1657" t="s">
        <v>591</v>
      </c>
      <c r="D1657" s="15">
        <v>-0.02</v>
      </c>
      <c r="E1657" s="15">
        <v>0.14199999999999999</v>
      </c>
      <c r="F1657" s="15">
        <v>6.5000000000000002E-2</v>
      </c>
      <c r="G1657" s="15">
        <v>6.0999999999999999E-2</v>
      </c>
      <c r="H1657" s="15">
        <v>6.2E-2</v>
      </c>
      <c r="I1657" s="15">
        <v>7.5999999999999998E-2</v>
      </c>
      <c r="J1657" t="s">
        <v>412</v>
      </c>
      <c r="K1657" t="s">
        <v>487</v>
      </c>
    </row>
    <row r="1658" spans="1:11">
      <c r="A1658" t="s">
        <v>573</v>
      </c>
      <c r="B1658" t="s">
        <v>498</v>
      </c>
      <c r="C1658" t="s">
        <v>593</v>
      </c>
      <c r="D1658" s="15">
        <v>2.8000000000000001E-2</v>
      </c>
      <c r="E1658" s="15">
        <v>0.13100000000000001</v>
      </c>
      <c r="F1658" s="15">
        <v>-7.0000000000000007E-2</v>
      </c>
      <c r="G1658" s="15">
        <v>7.9000000000000001E-2</v>
      </c>
      <c r="H1658" s="15">
        <v>0.03</v>
      </c>
      <c r="I1658" s="15">
        <v>7.5999999999999998E-2</v>
      </c>
      <c r="J1658" t="s">
        <v>412</v>
      </c>
      <c r="K1658" t="s">
        <v>493</v>
      </c>
    </row>
    <row r="1659" spans="1:11">
      <c r="A1659" t="s">
        <v>573</v>
      </c>
      <c r="B1659" t="s">
        <v>598</v>
      </c>
      <c r="C1659" t="s">
        <v>591</v>
      </c>
      <c r="D1659" s="15">
        <v>0.123</v>
      </c>
      <c r="E1659" s="15">
        <v>-2.3E-2</v>
      </c>
      <c r="F1659" s="15">
        <v>-8.2000000000000003E-2</v>
      </c>
      <c r="G1659" s="15">
        <v>0.05</v>
      </c>
      <c r="H1659" s="15">
        <v>6.0000000000000001E-3</v>
      </c>
      <c r="I1659" s="15">
        <v>7.5999999999999998E-2</v>
      </c>
      <c r="J1659" t="s">
        <v>412</v>
      </c>
      <c r="K1659" t="s">
        <v>579</v>
      </c>
    </row>
    <row r="1660" spans="1:11">
      <c r="A1660" t="s">
        <v>577</v>
      </c>
      <c r="B1660" t="s">
        <v>550</v>
      </c>
      <c r="C1660" t="s">
        <v>591</v>
      </c>
      <c r="D1660" s="15">
        <v>-1.4E-2</v>
      </c>
      <c r="E1660" s="15">
        <v>-0.11600000000000001</v>
      </c>
      <c r="F1660" s="15">
        <v>9.9000000000000005E-2</v>
      </c>
      <c r="G1660" s="15">
        <v>-6.5000000000000002E-2</v>
      </c>
      <c r="H1660" s="15">
        <v>-0.01</v>
      </c>
      <c r="I1660" s="15">
        <v>7.5999999999999998E-2</v>
      </c>
      <c r="J1660" t="s">
        <v>412</v>
      </c>
      <c r="K1660" t="s">
        <v>510</v>
      </c>
    </row>
    <row r="1661" spans="1:11">
      <c r="A1661" t="s">
        <v>506</v>
      </c>
      <c r="B1661" t="s">
        <v>597</v>
      </c>
      <c r="C1661" t="s">
        <v>583</v>
      </c>
      <c r="D1661" s="15">
        <v>4.1000000000000002E-2</v>
      </c>
      <c r="E1661" s="15">
        <v>5.0999999999999997E-2</v>
      </c>
      <c r="F1661" s="15">
        <v>-0.13600000000000001</v>
      </c>
      <c r="G1661" s="15">
        <v>4.5999999999999999E-2</v>
      </c>
      <c r="H1661" s="15">
        <v>-1.4999999999999999E-2</v>
      </c>
      <c r="I1661" s="15">
        <v>7.5999999999999998E-2</v>
      </c>
      <c r="J1661" t="s">
        <v>412</v>
      </c>
      <c r="K1661" t="s">
        <v>493</v>
      </c>
    </row>
    <row r="1662" spans="1:11">
      <c r="A1662" t="s">
        <v>486</v>
      </c>
      <c r="B1662" t="s">
        <v>505</v>
      </c>
      <c r="C1662" t="s">
        <v>583</v>
      </c>
      <c r="D1662" s="15">
        <v>-0.16700000000000001</v>
      </c>
      <c r="E1662" s="15">
        <v>8.9999999999999993E-3</v>
      </c>
      <c r="F1662" s="15">
        <v>5.1999999999999998E-2</v>
      </c>
      <c r="G1662" s="15">
        <v>-7.9000000000000001E-2</v>
      </c>
      <c r="H1662" s="15">
        <v>-3.5999999999999997E-2</v>
      </c>
      <c r="I1662" s="15">
        <v>7.5999999999999998E-2</v>
      </c>
      <c r="J1662" t="s">
        <v>412</v>
      </c>
      <c r="K1662" t="s">
        <v>487</v>
      </c>
    </row>
    <row r="1663" spans="1:11">
      <c r="A1663" t="s">
        <v>486</v>
      </c>
      <c r="B1663" t="s">
        <v>595</v>
      </c>
      <c r="C1663" t="s">
        <v>593</v>
      </c>
      <c r="D1663" s="15">
        <v>-8.6999999999999994E-2</v>
      </c>
      <c r="E1663" s="15">
        <v>-1.6E-2</v>
      </c>
      <c r="F1663" s="15">
        <v>-0.124</v>
      </c>
      <c r="G1663" s="15">
        <v>-5.0999999999999997E-2</v>
      </c>
      <c r="H1663" s="15">
        <v>-7.5999999999999998E-2</v>
      </c>
      <c r="I1663" s="15">
        <v>7.5999999999999998E-2</v>
      </c>
      <c r="J1663" t="s">
        <v>412</v>
      </c>
      <c r="K1663" t="s">
        <v>589</v>
      </c>
    </row>
    <row r="1664" spans="1:11">
      <c r="A1664" t="s">
        <v>576</v>
      </c>
      <c r="B1664" t="s">
        <v>550</v>
      </c>
      <c r="C1664" t="s">
        <v>575</v>
      </c>
      <c r="D1664" s="15">
        <v>-0.17100000000000001</v>
      </c>
      <c r="E1664" s="15">
        <v>-0.03</v>
      </c>
      <c r="F1664" s="15">
        <v>-2.8000000000000001E-2</v>
      </c>
      <c r="G1664" s="15">
        <v>-0.10100000000000001</v>
      </c>
      <c r="H1664" s="15">
        <v>-7.5999999999999998E-2</v>
      </c>
      <c r="I1664" s="15">
        <v>7.5999999999999998E-2</v>
      </c>
      <c r="J1664" t="s">
        <v>412</v>
      </c>
      <c r="K1664" t="s">
        <v>589</v>
      </c>
    </row>
    <row r="1665" spans="1:11">
      <c r="A1665" t="s">
        <v>547</v>
      </c>
      <c r="B1665" t="s">
        <v>509</v>
      </c>
      <c r="C1665" t="s">
        <v>591</v>
      </c>
      <c r="D1665" s="15">
        <v>0.01</v>
      </c>
      <c r="E1665" s="15">
        <v>4.5999999999999999E-2</v>
      </c>
      <c r="F1665" s="15">
        <v>0.16800000000000001</v>
      </c>
      <c r="G1665" s="15">
        <v>2.8000000000000001E-2</v>
      </c>
      <c r="H1665" s="15">
        <v>7.4999999999999997E-2</v>
      </c>
      <c r="I1665" s="15">
        <v>7.4999999999999997E-2</v>
      </c>
      <c r="J1665" t="s">
        <v>412</v>
      </c>
      <c r="K1665" t="s">
        <v>551</v>
      </c>
    </row>
    <row r="1666" spans="1:11">
      <c r="A1666" t="s">
        <v>547</v>
      </c>
      <c r="B1666" t="s">
        <v>498</v>
      </c>
      <c r="C1666" t="s">
        <v>594</v>
      </c>
      <c r="D1666" s="15">
        <v>-6.0000000000000001E-3</v>
      </c>
      <c r="E1666" s="15">
        <v>0.16500000000000001</v>
      </c>
      <c r="F1666" s="15">
        <v>5.3999999999999999E-2</v>
      </c>
      <c r="G1666" s="15">
        <v>0.08</v>
      </c>
      <c r="H1666" s="15">
        <v>7.0999999999999994E-2</v>
      </c>
      <c r="I1666" s="15">
        <v>7.4999999999999997E-2</v>
      </c>
      <c r="J1666" t="s">
        <v>412</v>
      </c>
      <c r="K1666" t="s">
        <v>487</v>
      </c>
    </row>
    <row r="1667" spans="1:11">
      <c r="A1667" t="s">
        <v>547</v>
      </c>
      <c r="B1667" t="s">
        <v>597</v>
      </c>
      <c r="C1667" t="s">
        <v>572</v>
      </c>
      <c r="D1667" s="15">
        <v>5.0000000000000001E-3</v>
      </c>
      <c r="E1667" s="15">
        <v>-1.0999999999999999E-2</v>
      </c>
      <c r="F1667" s="15">
        <v>0.21</v>
      </c>
      <c r="G1667" s="15">
        <v>-3.0000000000000001E-3</v>
      </c>
      <c r="H1667" s="15">
        <v>6.8000000000000005E-2</v>
      </c>
      <c r="I1667" s="15">
        <v>7.4999999999999997E-2</v>
      </c>
      <c r="J1667" t="s">
        <v>412</v>
      </c>
      <c r="K1667" t="s">
        <v>480</v>
      </c>
    </row>
    <row r="1668" spans="1:11">
      <c r="A1668" t="s">
        <v>506</v>
      </c>
      <c r="B1668" t="s">
        <v>523</v>
      </c>
      <c r="C1668" t="s">
        <v>585</v>
      </c>
      <c r="D1668" s="15">
        <v>-5.6000000000000001E-2</v>
      </c>
      <c r="E1668" s="15">
        <v>5.2999999999999999E-2</v>
      </c>
      <c r="F1668" s="15">
        <v>0.115</v>
      </c>
      <c r="G1668" s="15">
        <v>-1E-3</v>
      </c>
      <c r="H1668" s="15">
        <v>3.6999999999999998E-2</v>
      </c>
      <c r="I1668" s="15">
        <v>7.4999999999999997E-2</v>
      </c>
      <c r="J1668" t="s">
        <v>412</v>
      </c>
      <c r="K1668" t="s">
        <v>487</v>
      </c>
    </row>
    <row r="1669" spans="1:11">
      <c r="A1669" t="s">
        <v>506</v>
      </c>
      <c r="B1669" t="s">
        <v>517</v>
      </c>
      <c r="C1669" t="s">
        <v>594</v>
      </c>
      <c r="D1669" s="15">
        <v>8.2000000000000003E-2</v>
      </c>
      <c r="E1669" s="15">
        <v>-6.5000000000000002E-2</v>
      </c>
      <c r="F1669" s="15">
        <v>0.08</v>
      </c>
      <c r="G1669" s="15">
        <v>8.9999999999999993E-3</v>
      </c>
      <c r="H1669" s="15">
        <v>3.2000000000000001E-2</v>
      </c>
      <c r="I1669" s="15">
        <v>7.4999999999999997E-2</v>
      </c>
      <c r="J1669" t="s">
        <v>412</v>
      </c>
      <c r="K1669" t="s">
        <v>480</v>
      </c>
    </row>
    <row r="1670" spans="1:11">
      <c r="A1670" t="s">
        <v>547</v>
      </c>
      <c r="B1670" t="s">
        <v>523</v>
      </c>
      <c r="C1670" t="s">
        <v>585</v>
      </c>
      <c r="D1670" s="15">
        <v>-7.1999999999999995E-2</v>
      </c>
      <c r="E1670" s="15">
        <v>-3.6999999999999998E-2</v>
      </c>
      <c r="F1670" s="15">
        <v>0.115</v>
      </c>
      <c r="G1670" s="15">
        <v>-5.5E-2</v>
      </c>
      <c r="H1670" s="15">
        <v>2E-3</v>
      </c>
      <c r="I1670" s="15">
        <v>7.4999999999999997E-2</v>
      </c>
      <c r="J1670" t="s">
        <v>412</v>
      </c>
      <c r="K1670" t="s">
        <v>510</v>
      </c>
    </row>
    <row r="1671" spans="1:11">
      <c r="A1671" t="s">
        <v>486</v>
      </c>
      <c r="B1671" t="s">
        <v>588</v>
      </c>
      <c r="C1671" t="s">
        <v>594</v>
      </c>
      <c r="D1671" s="15">
        <v>-9.7000000000000003E-2</v>
      </c>
      <c r="E1671" s="15">
        <v>-8.4000000000000005E-2</v>
      </c>
      <c r="F1671" s="15">
        <v>4.2999999999999997E-2</v>
      </c>
      <c r="G1671" s="15">
        <v>-9.0999999999999998E-2</v>
      </c>
      <c r="H1671" s="15">
        <v>-4.5999999999999999E-2</v>
      </c>
      <c r="I1671" s="15">
        <v>7.4999999999999997E-2</v>
      </c>
      <c r="J1671" t="s">
        <v>412</v>
      </c>
      <c r="K1671" t="s">
        <v>510</v>
      </c>
    </row>
    <row r="1672" spans="1:11">
      <c r="A1672" t="s">
        <v>547</v>
      </c>
      <c r="B1672" t="s">
        <v>550</v>
      </c>
      <c r="C1672" t="s">
        <v>572</v>
      </c>
      <c r="D1672" s="15">
        <v>5.0000000000000001E-3</v>
      </c>
      <c r="E1672" s="15">
        <v>2.7E-2</v>
      </c>
      <c r="F1672" s="15">
        <v>-0.19400000000000001</v>
      </c>
      <c r="G1672" s="15">
        <v>1.6E-2</v>
      </c>
      <c r="H1672" s="15">
        <v>-5.3999999999999999E-2</v>
      </c>
      <c r="I1672" s="15">
        <v>7.4999999999999997E-2</v>
      </c>
      <c r="J1672" t="s">
        <v>412</v>
      </c>
      <c r="K1672" t="s">
        <v>493</v>
      </c>
    </row>
    <row r="1673" spans="1:11">
      <c r="A1673" t="s">
        <v>547</v>
      </c>
      <c r="B1673" t="s">
        <v>569</v>
      </c>
      <c r="C1673" t="s">
        <v>594</v>
      </c>
      <c r="D1673" s="15">
        <v>-6.0000000000000001E-3</v>
      </c>
      <c r="E1673" s="15">
        <v>-0.14699999999999999</v>
      </c>
      <c r="F1673" s="15">
        <v>-7.3999999999999996E-2</v>
      </c>
      <c r="G1673" s="15">
        <v>-7.5999999999999998E-2</v>
      </c>
      <c r="H1673" s="15">
        <v>-7.4999999999999997E-2</v>
      </c>
      <c r="I1673" s="15">
        <v>7.4999999999999997E-2</v>
      </c>
      <c r="J1673" t="s">
        <v>412</v>
      </c>
      <c r="K1673" t="s">
        <v>589</v>
      </c>
    </row>
    <row r="1674" spans="1:11">
      <c r="A1674" t="s">
        <v>571</v>
      </c>
      <c r="B1674" t="s">
        <v>574</v>
      </c>
      <c r="C1674" t="s">
        <v>594</v>
      </c>
      <c r="D1674" s="15">
        <v>-8.0000000000000002E-3</v>
      </c>
      <c r="E1674" s="15">
        <v>-4.4999999999999998E-2</v>
      </c>
      <c r="F1674" s="15">
        <v>-0.17299999999999999</v>
      </c>
      <c r="G1674" s="15">
        <v>-2.5999999999999999E-2</v>
      </c>
      <c r="H1674" s="15">
        <v>-7.4999999999999997E-2</v>
      </c>
      <c r="I1674" s="15">
        <v>7.4999999999999997E-2</v>
      </c>
      <c r="J1674" t="s">
        <v>412</v>
      </c>
      <c r="K1674" t="s">
        <v>589</v>
      </c>
    </row>
    <row r="1675" spans="1:11">
      <c r="A1675" t="s">
        <v>576</v>
      </c>
      <c r="B1675" t="s">
        <v>569</v>
      </c>
      <c r="C1675" t="s">
        <v>591</v>
      </c>
      <c r="D1675" s="15">
        <v>-6.5000000000000002E-2</v>
      </c>
      <c r="E1675" s="15">
        <v>-5.3999999999999999E-2</v>
      </c>
      <c r="F1675" s="15">
        <v>-0.106</v>
      </c>
      <c r="G1675" s="15">
        <v>-0.06</v>
      </c>
      <c r="H1675" s="15">
        <v>-7.4999999999999997E-2</v>
      </c>
      <c r="I1675" s="15">
        <v>7.4999999999999997E-2</v>
      </c>
      <c r="J1675" t="s">
        <v>412</v>
      </c>
      <c r="K1675" t="s">
        <v>589</v>
      </c>
    </row>
    <row r="1676" spans="1:11">
      <c r="A1676" t="s">
        <v>577</v>
      </c>
      <c r="B1676" t="s">
        <v>550</v>
      </c>
      <c r="C1676" t="s">
        <v>570</v>
      </c>
      <c r="D1676" s="15">
        <v>-8.8999999999999996E-2</v>
      </c>
      <c r="E1676" s="15">
        <v>-0.11600000000000001</v>
      </c>
      <c r="F1676" s="15">
        <v>-1.9E-2</v>
      </c>
      <c r="G1676" s="15">
        <v>-0.10199999999999999</v>
      </c>
      <c r="H1676" s="15">
        <v>-7.4999999999999997E-2</v>
      </c>
      <c r="I1676" s="15">
        <v>7.4999999999999997E-2</v>
      </c>
      <c r="J1676" t="s">
        <v>412</v>
      </c>
      <c r="K1676" t="s">
        <v>589</v>
      </c>
    </row>
    <row r="1677" spans="1:11">
      <c r="A1677" t="s">
        <v>577</v>
      </c>
      <c r="B1677" t="s">
        <v>588</v>
      </c>
      <c r="C1677" t="s">
        <v>594</v>
      </c>
      <c r="D1677" s="15">
        <v>6.6000000000000003E-2</v>
      </c>
      <c r="E1677" s="15">
        <v>0.114</v>
      </c>
      <c r="F1677" s="15">
        <v>4.2999999999999997E-2</v>
      </c>
      <c r="G1677" s="15">
        <v>0.09</v>
      </c>
      <c r="H1677" s="15">
        <v>7.3999999999999996E-2</v>
      </c>
      <c r="I1677" s="15">
        <v>7.3999999999999996E-2</v>
      </c>
      <c r="J1677" t="s">
        <v>412</v>
      </c>
      <c r="K1677" t="s">
        <v>551</v>
      </c>
    </row>
    <row r="1678" spans="1:11">
      <c r="A1678" t="s">
        <v>576</v>
      </c>
      <c r="B1678" t="s">
        <v>505</v>
      </c>
      <c r="C1678" t="s">
        <v>594</v>
      </c>
      <c r="D1678" s="15">
        <v>2.1000000000000001E-2</v>
      </c>
      <c r="E1678" s="15">
        <v>0.104</v>
      </c>
      <c r="F1678" s="15">
        <v>-9.8000000000000004E-2</v>
      </c>
      <c r="G1678" s="15">
        <v>6.2E-2</v>
      </c>
      <c r="H1678" s="15">
        <v>8.9999999999999993E-3</v>
      </c>
      <c r="I1678" s="15">
        <v>7.3999999999999996E-2</v>
      </c>
      <c r="J1678" t="s">
        <v>412</v>
      </c>
      <c r="K1678" t="s">
        <v>493</v>
      </c>
    </row>
    <row r="1679" spans="1:11">
      <c r="A1679" t="s">
        <v>479</v>
      </c>
      <c r="B1679" t="s">
        <v>592</v>
      </c>
      <c r="C1679" t="s">
        <v>492</v>
      </c>
      <c r="D1679" s="15">
        <v>5.8999999999999997E-2</v>
      </c>
      <c r="E1679" s="15">
        <v>-0.109</v>
      </c>
      <c r="F1679" s="15">
        <v>5.5E-2</v>
      </c>
      <c r="G1679" s="15">
        <v>-2.5000000000000001E-2</v>
      </c>
      <c r="H1679" s="15">
        <v>1E-3</v>
      </c>
      <c r="I1679" s="15">
        <v>7.3999999999999996E-2</v>
      </c>
      <c r="J1679" t="s">
        <v>412</v>
      </c>
      <c r="K1679" t="s">
        <v>480</v>
      </c>
    </row>
    <row r="1680" spans="1:11">
      <c r="A1680" t="s">
        <v>479</v>
      </c>
      <c r="B1680" t="s">
        <v>586</v>
      </c>
      <c r="C1680" t="s">
        <v>593</v>
      </c>
      <c r="D1680" s="15">
        <v>-8.0000000000000002E-3</v>
      </c>
      <c r="E1680" s="15">
        <v>-0.10100000000000001</v>
      </c>
      <c r="F1680" s="15">
        <v>0.112</v>
      </c>
      <c r="G1680" s="15">
        <v>-5.3999999999999999E-2</v>
      </c>
      <c r="H1680" s="15">
        <v>1E-3</v>
      </c>
      <c r="I1680" s="15">
        <v>7.3999999999999996E-2</v>
      </c>
      <c r="J1680" t="s">
        <v>412</v>
      </c>
      <c r="K1680" t="s">
        <v>510</v>
      </c>
    </row>
    <row r="1681" spans="1:11">
      <c r="A1681" t="s">
        <v>479</v>
      </c>
      <c r="B1681" t="s">
        <v>586</v>
      </c>
      <c r="C1681" t="s">
        <v>583</v>
      </c>
      <c r="D1681" s="15">
        <v>-0.02</v>
      </c>
      <c r="E1681" s="15">
        <v>-0.10100000000000001</v>
      </c>
      <c r="F1681" s="15">
        <v>0.1</v>
      </c>
      <c r="G1681" s="15">
        <v>-6.0999999999999999E-2</v>
      </c>
      <c r="H1681" s="15">
        <v>-7.0000000000000001E-3</v>
      </c>
      <c r="I1681" s="15">
        <v>7.3999999999999996E-2</v>
      </c>
      <c r="J1681" t="s">
        <v>412</v>
      </c>
      <c r="K1681" t="s">
        <v>510</v>
      </c>
    </row>
    <row r="1682" spans="1:11">
      <c r="A1682" t="s">
        <v>577</v>
      </c>
      <c r="B1682" t="s">
        <v>478</v>
      </c>
      <c r="C1682" t="s">
        <v>594</v>
      </c>
      <c r="D1682" s="15">
        <v>6.6000000000000003E-2</v>
      </c>
      <c r="E1682" s="15">
        <v>-5.3999999999999999E-2</v>
      </c>
      <c r="F1682" s="15">
        <v>-0.10299999999999999</v>
      </c>
      <c r="G1682" s="15">
        <v>6.0000000000000001E-3</v>
      </c>
      <c r="H1682" s="15">
        <v>-3.1E-2</v>
      </c>
      <c r="I1682" s="15">
        <v>7.3999999999999996E-2</v>
      </c>
      <c r="J1682" t="s">
        <v>412</v>
      </c>
      <c r="K1682" t="s">
        <v>579</v>
      </c>
    </row>
    <row r="1683" spans="1:11">
      <c r="A1683" t="s">
        <v>571</v>
      </c>
      <c r="B1683" t="s">
        <v>597</v>
      </c>
      <c r="C1683" t="s">
        <v>575</v>
      </c>
      <c r="D1683" s="15">
        <v>-0.16800000000000001</v>
      </c>
      <c r="E1683" s="15">
        <v>4.7E-2</v>
      </c>
      <c r="F1683" s="15">
        <v>-6.0000000000000001E-3</v>
      </c>
      <c r="G1683" s="15">
        <v>-6.0999999999999999E-2</v>
      </c>
      <c r="H1683" s="15">
        <v>-4.2000000000000003E-2</v>
      </c>
      <c r="I1683" s="15">
        <v>7.3999999999999996E-2</v>
      </c>
      <c r="J1683" t="s">
        <v>412</v>
      </c>
      <c r="K1683" t="s">
        <v>500</v>
      </c>
    </row>
    <row r="1684" spans="1:11">
      <c r="A1684" t="s">
        <v>479</v>
      </c>
      <c r="B1684" t="s">
        <v>592</v>
      </c>
      <c r="C1684" t="s">
        <v>477</v>
      </c>
      <c r="D1684" s="15">
        <v>4.5999999999999999E-2</v>
      </c>
      <c r="E1684" s="15">
        <v>-0.109</v>
      </c>
      <c r="F1684" s="15">
        <v>-6.6000000000000003E-2</v>
      </c>
      <c r="G1684" s="15">
        <v>-3.2000000000000001E-2</v>
      </c>
      <c r="H1684" s="15">
        <v>-4.2999999999999997E-2</v>
      </c>
      <c r="I1684" s="15">
        <v>7.3999999999999996E-2</v>
      </c>
      <c r="J1684" t="s">
        <v>412</v>
      </c>
      <c r="K1684" t="s">
        <v>579</v>
      </c>
    </row>
    <row r="1685" spans="1:11">
      <c r="A1685" t="s">
        <v>576</v>
      </c>
      <c r="B1685" t="s">
        <v>478</v>
      </c>
      <c r="C1685" t="s">
        <v>583</v>
      </c>
      <c r="D1685" s="15">
        <v>-0.109</v>
      </c>
      <c r="E1685" s="15">
        <v>-8.1000000000000003E-2</v>
      </c>
      <c r="F1685" s="15">
        <v>3.1E-2</v>
      </c>
      <c r="G1685" s="15">
        <v>-9.5000000000000001E-2</v>
      </c>
      <c r="H1685" s="15">
        <v>-5.2999999999999999E-2</v>
      </c>
      <c r="I1685" s="15">
        <v>7.3999999999999996E-2</v>
      </c>
      <c r="J1685" t="s">
        <v>412</v>
      </c>
      <c r="K1685" t="s">
        <v>510</v>
      </c>
    </row>
    <row r="1686" spans="1:11">
      <c r="A1686" t="s">
        <v>571</v>
      </c>
      <c r="B1686" t="s">
        <v>569</v>
      </c>
      <c r="C1686" t="s">
        <v>585</v>
      </c>
      <c r="D1686" s="15">
        <v>-1.2999999999999999E-2</v>
      </c>
      <c r="E1686" s="15">
        <v>-0.19600000000000001</v>
      </c>
      <c r="F1686" s="15">
        <v>1.4E-2</v>
      </c>
      <c r="G1686" s="15">
        <v>-0.104</v>
      </c>
      <c r="H1686" s="15">
        <v>-6.5000000000000002E-2</v>
      </c>
      <c r="I1686" s="15">
        <v>7.3999999999999996E-2</v>
      </c>
      <c r="J1686" t="s">
        <v>412</v>
      </c>
      <c r="K1686" t="s">
        <v>510</v>
      </c>
    </row>
    <row r="1687" spans="1:11">
      <c r="A1687" t="s">
        <v>486</v>
      </c>
      <c r="B1687" t="s">
        <v>586</v>
      </c>
      <c r="C1687" t="s">
        <v>591</v>
      </c>
      <c r="D1687" s="15">
        <v>-0.02</v>
      </c>
      <c r="E1687" s="15">
        <v>-0.189</v>
      </c>
      <c r="F1687" s="15">
        <v>1.2E-2</v>
      </c>
      <c r="G1687" s="15">
        <v>-0.105</v>
      </c>
      <c r="H1687" s="15">
        <v>-6.6000000000000003E-2</v>
      </c>
      <c r="I1687" s="15">
        <v>7.3999999999999996E-2</v>
      </c>
      <c r="J1687" t="s">
        <v>412</v>
      </c>
      <c r="K1687" t="s">
        <v>510</v>
      </c>
    </row>
    <row r="1688" spans="1:11">
      <c r="A1688" t="s">
        <v>547</v>
      </c>
      <c r="B1688" t="s">
        <v>596</v>
      </c>
      <c r="C1688" t="s">
        <v>591</v>
      </c>
      <c r="D1688" s="15">
        <v>0.01</v>
      </c>
      <c r="E1688" s="15">
        <v>-4.7E-2</v>
      </c>
      <c r="F1688" s="15">
        <v>-0.16300000000000001</v>
      </c>
      <c r="G1688" s="15">
        <v>-1.7999999999999999E-2</v>
      </c>
      <c r="H1688" s="15">
        <v>-6.7000000000000004E-2</v>
      </c>
      <c r="I1688" s="15">
        <v>7.3999999999999996E-2</v>
      </c>
      <c r="J1688" t="s">
        <v>412</v>
      </c>
      <c r="K1688" t="s">
        <v>579</v>
      </c>
    </row>
    <row r="1689" spans="1:11">
      <c r="A1689" t="s">
        <v>479</v>
      </c>
      <c r="B1689" t="s">
        <v>505</v>
      </c>
      <c r="C1689" t="s">
        <v>572</v>
      </c>
      <c r="D1689" s="15">
        <v>-6.8000000000000005E-2</v>
      </c>
      <c r="E1689" s="15">
        <v>-0.14699999999999999</v>
      </c>
      <c r="F1689" s="15">
        <v>-7.0000000000000001E-3</v>
      </c>
      <c r="G1689" s="15">
        <v>-0.107</v>
      </c>
      <c r="H1689" s="15">
        <v>-7.3999999999999996E-2</v>
      </c>
      <c r="I1689" s="15">
        <v>7.3999999999999996E-2</v>
      </c>
      <c r="J1689" t="s">
        <v>412</v>
      </c>
      <c r="K1689" t="s">
        <v>589</v>
      </c>
    </row>
    <row r="1690" spans="1:11">
      <c r="A1690" t="s">
        <v>506</v>
      </c>
      <c r="B1690" t="s">
        <v>596</v>
      </c>
      <c r="C1690" t="s">
        <v>570</v>
      </c>
      <c r="D1690" s="15">
        <v>-0.14199999999999999</v>
      </c>
      <c r="E1690" s="15">
        <v>-6.0000000000000001E-3</v>
      </c>
      <c r="F1690" s="15">
        <v>-7.2999999999999995E-2</v>
      </c>
      <c r="G1690" s="15">
        <v>-7.3999999999999996E-2</v>
      </c>
      <c r="H1690" s="15">
        <v>-7.3999999999999996E-2</v>
      </c>
      <c r="I1690" s="15">
        <v>7.3999999999999996E-2</v>
      </c>
      <c r="J1690" t="s">
        <v>412</v>
      </c>
      <c r="K1690" t="s">
        <v>589</v>
      </c>
    </row>
    <row r="1691" spans="1:11">
      <c r="A1691" t="s">
        <v>571</v>
      </c>
      <c r="B1691" t="s">
        <v>550</v>
      </c>
      <c r="C1691" t="s">
        <v>575</v>
      </c>
      <c r="D1691" s="15">
        <v>-0.16800000000000001</v>
      </c>
      <c r="E1691" s="15">
        <v>-2.5000000000000001E-2</v>
      </c>
      <c r="F1691" s="15">
        <v>-2.8000000000000001E-2</v>
      </c>
      <c r="G1691" s="15">
        <v>-9.7000000000000003E-2</v>
      </c>
      <c r="H1691" s="15">
        <v>-7.3999999999999996E-2</v>
      </c>
      <c r="I1691" s="15">
        <v>7.3999999999999996E-2</v>
      </c>
      <c r="J1691" t="s">
        <v>412</v>
      </c>
      <c r="K1691" t="s">
        <v>589</v>
      </c>
    </row>
    <row r="1692" spans="1:11">
      <c r="A1692" t="s">
        <v>577</v>
      </c>
      <c r="B1692" t="s">
        <v>574</v>
      </c>
      <c r="C1692" t="s">
        <v>585</v>
      </c>
      <c r="D1692" s="15">
        <v>-6.0000000000000001E-3</v>
      </c>
      <c r="E1692" s="15">
        <v>-4.0000000000000001E-3</v>
      </c>
      <c r="F1692" s="15">
        <v>-0.21299999999999999</v>
      </c>
      <c r="G1692" s="15">
        <v>-5.0000000000000001E-3</v>
      </c>
      <c r="H1692" s="15">
        <v>-7.3999999999999996E-2</v>
      </c>
      <c r="I1692" s="15">
        <v>7.3999999999999996E-2</v>
      </c>
      <c r="J1692" t="s">
        <v>412</v>
      </c>
      <c r="K1692" t="s">
        <v>589</v>
      </c>
    </row>
    <row r="1693" spans="1:11">
      <c r="A1693" t="s">
        <v>506</v>
      </c>
      <c r="B1693" t="s">
        <v>580</v>
      </c>
      <c r="C1693" t="s">
        <v>584</v>
      </c>
      <c r="D1693" s="15">
        <v>0.11899999999999999</v>
      </c>
      <c r="E1693" s="15">
        <v>5.0999999999999997E-2</v>
      </c>
      <c r="F1693" s="15">
        <v>0.05</v>
      </c>
      <c r="G1693" s="15">
        <v>8.5000000000000006E-2</v>
      </c>
      <c r="H1693" s="15">
        <v>7.2999999999999995E-2</v>
      </c>
      <c r="I1693" s="15">
        <v>7.2999999999999995E-2</v>
      </c>
      <c r="J1693" t="s">
        <v>412</v>
      </c>
      <c r="K1693" t="s">
        <v>551</v>
      </c>
    </row>
    <row r="1694" spans="1:11">
      <c r="A1694" t="s">
        <v>506</v>
      </c>
      <c r="B1694" t="s">
        <v>597</v>
      </c>
      <c r="C1694" t="s">
        <v>477</v>
      </c>
      <c r="D1694" s="15">
        <v>0.14399999999999999</v>
      </c>
      <c r="E1694" s="15">
        <v>5.0999999999999997E-2</v>
      </c>
      <c r="F1694" s="15">
        <v>-2.3E-2</v>
      </c>
      <c r="G1694" s="15">
        <v>9.8000000000000004E-2</v>
      </c>
      <c r="H1694" s="15">
        <v>5.8000000000000003E-2</v>
      </c>
      <c r="I1694" s="15">
        <v>7.2999999999999995E-2</v>
      </c>
      <c r="J1694" t="s">
        <v>412</v>
      </c>
      <c r="K1694" t="s">
        <v>493</v>
      </c>
    </row>
    <row r="1695" spans="1:11">
      <c r="A1695" t="s">
        <v>547</v>
      </c>
      <c r="B1695" t="s">
        <v>598</v>
      </c>
      <c r="C1695" t="s">
        <v>582</v>
      </c>
      <c r="D1695" s="15">
        <v>0.14299999999999999</v>
      </c>
      <c r="E1695" s="15">
        <v>-3.5999999999999997E-2</v>
      </c>
      <c r="F1695" s="15">
        <v>-4.1000000000000002E-2</v>
      </c>
      <c r="G1695" s="15">
        <v>5.3999999999999999E-2</v>
      </c>
      <c r="H1695" s="15">
        <v>2.1999999999999999E-2</v>
      </c>
      <c r="I1695" s="15">
        <v>7.2999999999999995E-2</v>
      </c>
      <c r="J1695" t="s">
        <v>412</v>
      </c>
      <c r="K1695" t="s">
        <v>579</v>
      </c>
    </row>
    <row r="1696" spans="1:11">
      <c r="A1696" t="s">
        <v>573</v>
      </c>
      <c r="B1696" t="s">
        <v>592</v>
      </c>
      <c r="C1696" t="s">
        <v>594</v>
      </c>
      <c r="D1696" s="15">
        <v>0.13700000000000001</v>
      </c>
      <c r="E1696" s="15">
        <v>-3.5000000000000003E-2</v>
      </c>
      <c r="F1696" s="15">
        <v>-4.5999999999999999E-2</v>
      </c>
      <c r="G1696" s="15">
        <v>5.0999999999999997E-2</v>
      </c>
      <c r="H1696" s="15">
        <v>1.9E-2</v>
      </c>
      <c r="I1696" s="15">
        <v>7.2999999999999995E-2</v>
      </c>
      <c r="J1696" t="s">
        <v>412</v>
      </c>
      <c r="K1696" t="s">
        <v>579</v>
      </c>
    </row>
    <row r="1697" spans="1:11">
      <c r="A1697" t="s">
        <v>571</v>
      </c>
      <c r="B1697" t="s">
        <v>550</v>
      </c>
      <c r="C1697" t="s">
        <v>477</v>
      </c>
      <c r="D1697" s="15">
        <v>0.13300000000000001</v>
      </c>
      <c r="E1697" s="15">
        <v>-2.5000000000000001E-2</v>
      </c>
      <c r="F1697" s="15">
        <v>-0.06</v>
      </c>
      <c r="G1697" s="15">
        <v>5.3999999999999999E-2</v>
      </c>
      <c r="H1697" s="15">
        <v>1.6E-2</v>
      </c>
      <c r="I1697" s="15">
        <v>7.2999999999999995E-2</v>
      </c>
      <c r="J1697" t="s">
        <v>412</v>
      </c>
      <c r="K1697" t="s">
        <v>579</v>
      </c>
    </row>
    <row r="1698" spans="1:11">
      <c r="A1698" t="s">
        <v>576</v>
      </c>
      <c r="B1698" t="s">
        <v>578</v>
      </c>
      <c r="C1698" t="s">
        <v>594</v>
      </c>
      <c r="D1698" s="15">
        <v>2.1000000000000001E-2</v>
      </c>
      <c r="E1698" s="15">
        <v>-0.14499999999999999</v>
      </c>
      <c r="F1698" s="15">
        <v>5.1999999999999998E-2</v>
      </c>
      <c r="G1698" s="15">
        <v>-6.2E-2</v>
      </c>
      <c r="H1698" s="15">
        <v>-2.4E-2</v>
      </c>
      <c r="I1698" s="15">
        <v>7.2999999999999995E-2</v>
      </c>
      <c r="J1698" t="s">
        <v>412</v>
      </c>
      <c r="K1698" t="s">
        <v>480</v>
      </c>
    </row>
    <row r="1699" spans="1:11">
      <c r="A1699" t="s">
        <v>547</v>
      </c>
      <c r="B1699" t="s">
        <v>569</v>
      </c>
      <c r="C1699" t="s">
        <v>572</v>
      </c>
      <c r="D1699" s="15">
        <v>5.0000000000000001E-3</v>
      </c>
      <c r="E1699" s="15">
        <v>-0.14699999999999999</v>
      </c>
      <c r="F1699" s="15">
        <v>6.7000000000000004E-2</v>
      </c>
      <c r="G1699" s="15">
        <v>-7.0999999999999994E-2</v>
      </c>
      <c r="H1699" s="15">
        <v>-2.5000000000000001E-2</v>
      </c>
      <c r="I1699" s="15">
        <v>7.2999999999999995E-2</v>
      </c>
      <c r="J1699" t="s">
        <v>412</v>
      </c>
      <c r="K1699" t="s">
        <v>480</v>
      </c>
    </row>
    <row r="1700" spans="1:11">
      <c r="A1700" t="s">
        <v>479</v>
      </c>
      <c r="B1700" t="s">
        <v>505</v>
      </c>
      <c r="C1700" t="s">
        <v>583</v>
      </c>
      <c r="D1700" s="15">
        <v>-0.02</v>
      </c>
      <c r="E1700" s="15">
        <v>-0.14699999999999999</v>
      </c>
      <c r="F1700" s="15">
        <v>5.1999999999999998E-2</v>
      </c>
      <c r="G1700" s="15">
        <v>-8.3000000000000004E-2</v>
      </c>
      <c r="H1700" s="15">
        <v>-3.7999999999999999E-2</v>
      </c>
      <c r="I1700" s="15">
        <v>7.2999999999999995E-2</v>
      </c>
      <c r="J1700" t="s">
        <v>412</v>
      </c>
      <c r="K1700" t="s">
        <v>510</v>
      </c>
    </row>
    <row r="1701" spans="1:11">
      <c r="A1701" t="s">
        <v>506</v>
      </c>
      <c r="B1701" t="s">
        <v>523</v>
      </c>
      <c r="C1701" t="s">
        <v>570</v>
      </c>
      <c r="D1701" s="15">
        <v>-0.14199999999999999</v>
      </c>
      <c r="E1701" s="15">
        <v>5.2999999999999999E-2</v>
      </c>
      <c r="F1701" s="15">
        <v>-2.5000000000000001E-2</v>
      </c>
      <c r="G1701" s="15">
        <v>-4.3999999999999997E-2</v>
      </c>
      <c r="H1701" s="15">
        <v>-3.7999999999999999E-2</v>
      </c>
      <c r="I1701" s="15">
        <v>7.2999999999999995E-2</v>
      </c>
      <c r="J1701" t="s">
        <v>412</v>
      </c>
      <c r="K1701" t="s">
        <v>500</v>
      </c>
    </row>
    <row r="1702" spans="1:11">
      <c r="A1702" t="s">
        <v>547</v>
      </c>
      <c r="B1702" t="s">
        <v>505</v>
      </c>
      <c r="C1702" t="s">
        <v>583</v>
      </c>
      <c r="D1702" s="15">
        <v>-0.03</v>
      </c>
      <c r="E1702" s="15">
        <v>-0.13600000000000001</v>
      </c>
      <c r="F1702" s="15">
        <v>5.1999999999999998E-2</v>
      </c>
      <c r="G1702" s="15">
        <v>-8.3000000000000004E-2</v>
      </c>
      <c r="H1702" s="15">
        <v>-3.7999999999999999E-2</v>
      </c>
      <c r="I1702" s="15">
        <v>7.2999999999999995E-2</v>
      </c>
      <c r="J1702" t="s">
        <v>412</v>
      </c>
      <c r="K1702" t="s">
        <v>510</v>
      </c>
    </row>
    <row r="1703" spans="1:11">
      <c r="A1703" t="s">
        <v>573</v>
      </c>
      <c r="B1703" t="s">
        <v>596</v>
      </c>
      <c r="C1703" t="s">
        <v>575</v>
      </c>
      <c r="D1703" s="15">
        <v>-4.9000000000000002E-2</v>
      </c>
      <c r="E1703" s="15">
        <v>0.02</v>
      </c>
      <c r="F1703" s="15">
        <v>-0.151</v>
      </c>
      <c r="G1703" s="15">
        <v>-1.4E-2</v>
      </c>
      <c r="H1703" s="15">
        <v>-0.06</v>
      </c>
      <c r="I1703" s="15">
        <v>7.2999999999999995E-2</v>
      </c>
      <c r="J1703" t="s">
        <v>412</v>
      </c>
      <c r="K1703" t="s">
        <v>500</v>
      </c>
    </row>
    <row r="1704" spans="1:11">
      <c r="A1704" t="s">
        <v>547</v>
      </c>
      <c r="B1704" t="s">
        <v>505</v>
      </c>
      <c r="C1704" t="s">
        <v>591</v>
      </c>
      <c r="D1704" s="15">
        <v>0.01</v>
      </c>
      <c r="E1704" s="15">
        <v>-0.13600000000000001</v>
      </c>
      <c r="F1704" s="15">
        <v>-7.2999999999999995E-2</v>
      </c>
      <c r="G1704" s="15">
        <v>-6.3E-2</v>
      </c>
      <c r="H1704" s="15">
        <v>-6.6000000000000003E-2</v>
      </c>
      <c r="I1704" s="15">
        <v>7.2999999999999995E-2</v>
      </c>
      <c r="J1704" t="s">
        <v>412</v>
      </c>
      <c r="K1704" t="s">
        <v>579</v>
      </c>
    </row>
    <row r="1705" spans="1:11">
      <c r="A1705" t="s">
        <v>576</v>
      </c>
      <c r="B1705" t="s">
        <v>595</v>
      </c>
      <c r="C1705" t="s">
        <v>575</v>
      </c>
      <c r="D1705" s="15">
        <v>-0.17100000000000001</v>
      </c>
      <c r="E1705" s="15">
        <v>-4.2000000000000003E-2</v>
      </c>
      <c r="F1705" s="15">
        <v>6.0000000000000001E-3</v>
      </c>
      <c r="G1705" s="15">
        <v>-0.107</v>
      </c>
      <c r="H1705" s="15">
        <v>-6.9000000000000006E-2</v>
      </c>
      <c r="I1705" s="15">
        <v>7.2999999999999995E-2</v>
      </c>
      <c r="J1705" t="s">
        <v>412</v>
      </c>
      <c r="K1705" t="s">
        <v>510</v>
      </c>
    </row>
    <row r="1706" spans="1:11">
      <c r="A1706" t="s">
        <v>479</v>
      </c>
      <c r="B1706" t="s">
        <v>498</v>
      </c>
      <c r="C1706" t="s">
        <v>594</v>
      </c>
      <c r="D1706" s="15">
        <v>8.5000000000000006E-2</v>
      </c>
      <c r="E1706" s="15">
        <v>7.6999999999999999E-2</v>
      </c>
      <c r="F1706" s="15">
        <v>5.3999999999999999E-2</v>
      </c>
      <c r="G1706" s="15">
        <v>8.1000000000000003E-2</v>
      </c>
      <c r="H1706" s="15">
        <v>7.1999999999999995E-2</v>
      </c>
      <c r="I1706" s="15">
        <v>7.1999999999999995E-2</v>
      </c>
      <c r="J1706" t="s">
        <v>412</v>
      </c>
      <c r="K1706" t="s">
        <v>551</v>
      </c>
    </row>
    <row r="1707" spans="1:11">
      <c r="A1707" t="s">
        <v>573</v>
      </c>
      <c r="B1707" t="s">
        <v>517</v>
      </c>
      <c r="C1707" t="s">
        <v>583</v>
      </c>
      <c r="D1707" s="15">
        <v>7.3999999999999996E-2</v>
      </c>
      <c r="E1707" s="15">
        <v>7.4999999999999997E-2</v>
      </c>
      <c r="F1707" s="15">
        <v>6.8000000000000005E-2</v>
      </c>
      <c r="G1707" s="15">
        <v>7.4999999999999997E-2</v>
      </c>
      <c r="H1707" s="15">
        <v>7.1999999999999995E-2</v>
      </c>
      <c r="I1707" s="15">
        <v>7.1999999999999995E-2</v>
      </c>
      <c r="J1707" t="s">
        <v>412</v>
      </c>
      <c r="K1707" t="s">
        <v>551</v>
      </c>
    </row>
    <row r="1708" spans="1:11">
      <c r="A1708" t="s">
        <v>577</v>
      </c>
      <c r="B1708" t="s">
        <v>595</v>
      </c>
      <c r="C1708" t="s">
        <v>585</v>
      </c>
      <c r="D1708" s="15">
        <v>-6.0000000000000001E-3</v>
      </c>
      <c r="E1708" s="15">
        <v>0.122</v>
      </c>
      <c r="F1708" s="15">
        <v>8.8999999999999996E-2</v>
      </c>
      <c r="G1708" s="15">
        <v>5.8000000000000003E-2</v>
      </c>
      <c r="H1708" s="15">
        <v>6.9000000000000006E-2</v>
      </c>
      <c r="I1708" s="15">
        <v>7.1999999999999995E-2</v>
      </c>
      <c r="J1708" t="s">
        <v>412</v>
      </c>
      <c r="K1708" t="s">
        <v>487</v>
      </c>
    </row>
    <row r="1709" spans="1:11">
      <c r="A1709" t="s">
        <v>577</v>
      </c>
      <c r="B1709" t="s">
        <v>517</v>
      </c>
      <c r="C1709" t="s">
        <v>585</v>
      </c>
      <c r="D1709" s="15">
        <v>-6.0000000000000001E-3</v>
      </c>
      <c r="E1709" s="15">
        <v>0.13900000000000001</v>
      </c>
      <c r="F1709" s="15">
        <v>7.0999999999999994E-2</v>
      </c>
      <c r="G1709" s="15">
        <v>6.6000000000000003E-2</v>
      </c>
      <c r="H1709" s="15">
        <v>6.8000000000000005E-2</v>
      </c>
      <c r="I1709" s="15">
        <v>7.1999999999999995E-2</v>
      </c>
      <c r="J1709" t="s">
        <v>412</v>
      </c>
      <c r="K1709" t="s">
        <v>487</v>
      </c>
    </row>
    <row r="1710" spans="1:11">
      <c r="A1710" t="s">
        <v>547</v>
      </c>
      <c r="B1710" t="s">
        <v>592</v>
      </c>
      <c r="C1710" t="s">
        <v>575</v>
      </c>
      <c r="D1710" s="15">
        <v>-6.8000000000000005E-2</v>
      </c>
      <c r="E1710" s="15">
        <v>3.5000000000000003E-2</v>
      </c>
      <c r="F1710" s="15">
        <v>0.112</v>
      </c>
      <c r="G1710" s="15">
        <v>-1.7000000000000001E-2</v>
      </c>
      <c r="H1710" s="15">
        <v>2.5999999999999999E-2</v>
      </c>
      <c r="I1710" s="15">
        <v>7.1999999999999995E-2</v>
      </c>
      <c r="J1710" t="s">
        <v>412</v>
      </c>
      <c r="K1710" t="s">
        <v>487</v>
      </c>
    </row>
    <row r="1711" spans="1:11">
      <c r="A1711" t="s">
        <v>547</v>
      </c>
      <c r="B1711" t="s">
        <v>592</v>
      </c>
      <c r="C1711" t="s">
        <v>584</v>
      </c>
      <c r="D1711" s="15">
        <v>0.112</v>
      </c>
      <c r="E1711" s="15">
        <v>3.5000000000000003E-2</v>
      </c>
      <c r="F1711" s="15">
        <v>-7.0000000000000007E-2</v>
      </c>
      <c r="G1711" s="15">
        <v>7.3999999999999996E-2</v>
      </c>
      <c r="H1711" s="15">
        <v>2.5999999999999999E-2</v>
      </c>
      <c r="I1711" s="15">
        <v>7.1999999999999995E-2</v>
      </c>
      <c r="J1711" t="s">
        <v>412</v>
      </c>
      <c r="K1711" t="s">
        <v>493</v>
      </c>
    </row>
    <row r="1712" spans="1:11">
      <c r="A1712" t="s">
        <v>547</v>
      </c>
      <c r="B1712" t="s">
        <v>595</v>
      </c>
      <c r="C1712" t="s">
        <v>584</v>
      </c>
      <c r="D1712" s="15">
        <v>0.112</v>
      </c>
      <c r="E1712" s="15">
        <v>-4.3999999999999997E-2</v>
      </c>
      <c r="F1712" s="15">
        <v>-5.8999999999999997E-2</v>
      </c>
      <c r="G1712" s="15">
        <v>3.4000000000000002E-2</v>
      </c>
      <c r="H1712" s="15">
        <v>3.0000000000000001E-3</v>
      </c>
      <c r="I1712" s="15">
        <v>7.1999999999999995E-2</v>
      </c>
      <c r="J1712" t="s">
        <v>412</v>
      </c>
      <c r="K1712" t="s">
        <v>579</v>
      </c>
    </row>
    <row r="1713" spans="1:11">
      <c r="A1713" t="s">
        <v>506</v>
      </c>
      <c r="B1713" t="s">
        <v>595</v>
      </c>
      <c r="C1713" t="s">
        <v>572</v>
      </c>
      <c r="D1713" s="15">
        <v>-0.11899999999999999</v>
      </c>
      <c r="E1713" s="15">
        <v>-6.0999999999999999E-2</v>
      </c>
      <c r="F1713" s="15">
        <v>3.7999999999999999E-2</v>
      </c>
      <c r="G1713" s="15">
        <v>-0.09</v>
      </c>
      <c r="H1713" s="15">
        <v>-4.7E-2</v>
      </c>
      <c r="I1713" s="15">
        <v>7.1999999999999995E-2</v>
      </c>
      <c r="J1713" t="s">
        <v>412</v>
      </c>
      <c r="K1713" t="s">
        <v>510</v>
      </c>
    </row>
    <row r="1714" spans="1:11">
      <c r="A1714" t="s">
        <v>506</v>
      </c>
      <c r="B1714" t="s">
        <v>505</v>
      </c>
      <c r="C1714" t="s">
        <v>575</v>
      </c>
      <c r="D1714" s="15">
        <v>-0.14399999999999999</v>
      </c>
      <c r="E1714" s="15">
        <v>-6.5000000000000002E-2</v>
      </c>
      <c r="F1714" s="15">
        <v>8.0000000000000002E-3</v>
      </c>
      <c r="G1714" s="15">
        <v>-0.105</v>
      </c>
      <c r="H1714" s="15">
        <v>-6.7000000000000004E-2</v>
      </c>
      <c r="I1714" s="15">
        <v>7.1999999999999995E-2</v>
      </c>
      <c r="J1714" t="s">
        <v>412</v>
      </c>
      <c r="K1714" t="s">
        <v>510</v>
      </c>
    </row>
    <row r="1715" spans="1:11">
      <c r="A1715" t="s">
        <v>486</v>
      </c>
      <c r="B1715" t="s">
        <v>598</v>
      </c>
      <c r="C1715" t="s">
        <v>583</v>
      </c>
      <c r="D1715" s="15">
        <v>-0.16700000000000001</v>
      </c>
      <c r="E1715" s="15">
        <v>-7.0000000000000001E-3</v>
      </c>
      <c r="F1715" s="15">
        <v>-4.2999999999999997E-2</v>
      </c>
      <c r="G1715" s="15">
        <v>-8.6999999999999994E-2</v>
      </c>
      <c r="H1715" s="15">
        <v>-7.1999999999999995E-2</v>
      </c>
      <c r="I1715" s="15">
        <v>7.1999999999999995E-2</v>
      </c>
      <c r="J1715" t="s">
        <v>412</v>
      </c>
      <c r="K1715" t="s">
        <v>589</v>
      </c>
    </row>
    <row r="1716" spans="1:11">
      <c r="A1716" t="s">
        <v>547</v>
      </c>
      <c r="B1716" t="s">
        <v>597</v>
      </c>
      <c r="C1716" t="s">
        <v>570</v>
      </c>
      <c r="D1716" s="15">
        <v>-0.14799999999999999</v>
      </c>
      <c r="E1716" s="15">
        <v>-1.0999999999999999E-2</v>
      </c>
      <c r="F1716" s="15">
        <v>-5.6000000000000001E-2</v>
      </c>
      <c r="G1716" s="15">
        <v>-0.08</v>
      </c>
      <c r="H1716" s="15">
        <v>-7.1999999999999995E-2</v>
      </c>
      <c r="I1716" s="15">
        <v>7.1999999999999995E-2</v>
      </c>
      <c r="J1716" t="s">
        <v>412</v>
      </c>
      <c r="K1716" t="s">
        <v>589</v>
      </c>
    </row>
    <row r="1717" spans="1:11">
      <c r="A1717" t="s">
        <v>571</v>
      </c>
      <c r="B1717" t="s">
        <v>509</v>
      </c>
      <c r="C1717" t="s">
        <v>492</v>
      </c>
      <c r="D1717" s="15">
        <v>-6.5000000000000002E-2</v>
      </c>
      <c r="E1717" s="15">
        <v>-1.6E-2</v>
      </c>
      <c r="F1717" s="15">
        <v>-0.13500000000000001</v>
      </c>
      <c r="G1717" s="15">
        <v>-4.1000000000000002E-2</v>
      </c>
      <c r="H1717" s="15">
        <v>-7.1999999999999995E-2</v>
      </c>
      <c r="I1717" s="15">
        <v>7.1999999999999995E-2</v>
      </c>
      <c r="J1717" t="s">
        <v>412</v>
      </c>
      <c r="K1717" t="s">
        <v>589</v>
      </c>
    </row>
    <row r="1718" spans="1:11">
      <c r="A1718" t="s">
        <v>576</v>
      </c>
      <c r="B1718" t="s">
        <v>509</v>
      </c>
      <c r="C1718" t="s">
        <v>575</v>
      </c>
      <c r="D1718" s="15">
        <v>-0.17100000000000001</v>
      </c>
      <c r="E1718" s="15">
        <v>-2.9000000000000001E-2</v>
      </c>
      <c r="F1718" s="15">
        <v>-1.6E-2</v>
      </c>
      <c r="G1718" s="15">
        <v>-0.1</v>
      </c>
      <c r="H1718" s="15">
        <v>-7.1999999999999995E-2</v>
      </c>
      <c r="I1718" s="15">
        <v>7.1999999999999995E-2</v>
      </c>
      <c r="J1718" t="s">
        <v>412</v>
      </c>
      <c r="K1718" t="s">
        <v>589</v>
      </c>
    </row>
    <row r="1719" spans="1:11">
      <c r="A1719" t="s">
        <v>547</v>
      </c>
      <c r="B1719" t="s">
        <v>517</v>
      </c>
      <c r="C1719" t="s">
        <v>591</v>
      </c>
      <c r="D1719" s="15">
        <v>0.01</v>
      </c>
      <c r="E1719" s="15">
        <v>-3.0000000000000001E-3</v>
      </c>
      <c r="F1719" s="15">
        <v>0.19900000000000001</v>
      </c>
      <c r="G1719" s="15">
        <v>4.0000000000000001E-3</v>
      </c>
      <c r="H1719" s="15">
        <v>6.9000000000000006E-2</v>
      </c>
      <c r="I1719" s="15">
        <v>7.0999999999999994E-2</v>
      </c>
      <c r="J1719" t="s">
        <v>412</v>
      </c>
      <c r="K1719" t="s">
        <v>480</v>
      </c>
    </row>
    <row r="1720" spans="1:11">
      <c r="A1720" t="s">
        <v>577</v>
      </c>
      <c r="B1720" t="s">
        <v>597</v>
      </c>
      <c r="C1720" t="s">
        <v>575</v>
      </c>
      <c r="D1720" s="15">
        <v>0.14199999999999999</v>
      </c>
      <c r="E1720" s="15">
        <v>6.6000000000000003E-2</v>
      </c>
      <c r="F1720" s="15">
        <v>-6.0000000000000001E-3</v>
      </c>
      <c r="G1720" s="15">
        <v>0.104</v>
      </c>
      <c r="H1720" s="15">
        <v>6.7000000000000004E-2</v>
      </c>
      <c r="I1720" s="15">
        <v>7.0999999999999994E-2</v>
      </c>
      <c r="J1720" t="s">
        <v>412</v>
      </c>
      <c r="K1720" t="s">
        <v>493</v>
      </c>
    </row>
    <row r="1721" spans="1:11">
      <c r="A1721" t="s">
        <v>571</v>
      </c>
      <c r="B1721" t="s">
        <v>588</v>
      </c>
      <c r="C1721" t="s">
        <v>591</v>
      </c>
      <c r="D1721" s="15">
        <v>6.6000000000000003E-2</v>
      </c>
      <c r="E1721" s="15">
        <v>-1.9E-2</v>
      </c>
      <c r="F1721" s="15">
        <v>0.128</v>
      </c>
      <c r="G1721" s="15">
        <v>2.4E-2</v>
      </c>
      <c r="H1721" s="15">
        <v>5.8999999999999997E-2</v>
      </c>
      <c r="I1721" s="15">
        <v>7.0999999999999994E-2</v>
      </c>
      <c r="J1721" t="s">
        <v>412</v>
      </c>
      <c r="K1721" t="s">
        <v>480</v>
      </c>
    </row>
    <row r="1722" spans="1:11">
      <c r="A1722" t="s">
        <v>506</v>
      </c>
      <c r="B1722" t="s">
        <v>598</v>
      </c>
      <c r="C1722" t="s">
        <v>583</v>
      </c>
      <c r="D1722" s="15">
        <v>4.1000000000000002E-2</v>
      </c>
      <c r="E1722" s="15">
        <v>0.13</v>
      </c>
      <c r="F1722" s="15">
        <v>-4.2999999999999997E-2</v>
      </c>
      <c r="G1722" s="15">
        <v>8.5000000000000006E-2</v>
      </c>
      <c r="H1722" s="15">
        <v>4.2999999999999997E-2</v>
      </c>
      <c r="I1722" s="15">
        <v>7.0999999999999994E-2</v>
      </c>
      <c r="J1722" t="s">
        <v>412</v>
      </c>
      <c r="K1722" t="s">
        <v>493</v>
      </c>
    </row>
    <row r="1723" spans="1:11">
      <c r="A1723" t="s">
        <v>573</v>
      </c>
      <c r="B1723" t="s">
        <v>598</v>
      </c>
      <c r="C1723" t="s">
        <v>477</v>
      </c>
      <c r="D1723" s="15">
        <v>0.14599999999999999</v>
      </c>
      <c r="E1723" s="15">
        <v>-2.3E-2</v>
      </c>
      <c r="F1723" s="15">
        <v>-4.2000000000000003E-2</v>
      </c>
      <c r="G1723" s="15">
        <v>6.2E-2</v>
      </c>
      <c r="H1723" s="15">
        <v>2.7E-2</v>
      </c>
      <c r="I1723" s="15">
        <v>7.0999999999999994E-2</v>
      </c>
      <c r="J1723" t="s">
        <v>412</v>
      </c>
      <c r="K1723" t="s">
        <v>579</v>
      </c>
    </row>
    <row r="1724" spans="1:11">
      <c r="A1724" t="s">
        <v>479</v>
      </c>
      <c r="B1724" t="s">
        <v>598</v>
      </c>
      <c r="C1724" t="s">
        <v>594</v>
      </c>
      <c r="D1724" s="15">
        <v>8.5000000000000006E-2</v>
      </c>
      <c r="E1724" s="15">
        <v>-7.9000000000000001E-2</v>
      </c>
      <c r="F1724" s="15">
        <v>4.9000000000000002E-2</v>
      </c>
      <c r="G1724" s="15">
        <v>3.0000000000000001E-3</v>
      </c>
      <c r="H1724" s="15">
        <v>1.7999999999999999E-2</v>
      </c>
      <c r="I1724" s="15">
        <v>7.0999999999999994E-2</v>
      </c>
      <c r="J1724" t="s">
        <v>412</v>
      </c>
      <c r="K1724" t="s">
        <v>480</v>
      </c>
    </row>
    <row r="1725" spans="1:11">
      <c r="A1725" t="s">
        <v>506</v>
      </c>
      <c r="B1725" t="s">
        <v>588</v>
      </c>
      <c r="C1725" t="s">
        <v>594</v>
      </c>
      <c r="D1725" s="15">
        <v>8.2000000000000003E-2</v>
      </c>
      <c r="E1725" s="15">
        <v>-8.7999999999999995E-2</v>
      </c>
      <c r="F1725" s="15">
        <v>4.2999999999999997E-2</v>
      </c>
      <c r="G1725" s="15">
        <v>-3.0000000000000001E-3</v>
      </c>
      <c r="H1725" s="15">
        <v>1.2E-2</v>
      </c>
      <c r="I1725" s="15">
        <v>7.0999999999999994E-2</v>
      </c>
      <c r="J1725" t="s">
        <v>412</v>
      </c>
      <c r="K1725" t="s">
        <v>480</v>
      </c>
    </row>
    <row r="1726" spans="1:11">
      <c r="A1726" t="s">
        <v>479</v>
      </c>
      <c r="B1726" t="s">
        <v>595</v>
      </c>
      <c r="C1726" t="s">
        <v>584</v>
      </c>
      <c r="D1726" s="15">
        <v>0.106</v>
      </c>
      <c r="E1726" s="15">
        <v>-4.7E-2</v>
      </c>
      <c r="F1726" s="15">
        <v>-5.8999999999999997E-2</v>
      </c>
      <c r="G1726" s="15">
        <v>0.03</v>
      </c>
      <c r="H1726" s="15">
        <v>0</v>
      </c>
      <c r="I1726" s="15">
        <v>7.0999999999999994E-2</v>
      </c>
      <c r="J1726" t="s">
        <v>412</v>
      </c>
      <c r="K1726" t="s">
        <v>579</v>
      </c>
    </row>
    <row r="1727" spans="1:11">
      <c r="A1727" t="s">
        <v>547</v>
      </c>
      <c r="B1727" t="s">
        <v>598</v>
      </c>
      <c r="C1727" t="s">
        <v>585</v>
      </c>
      <c r="D1727" s="15">
        <v>-7.1999999999999995E-2</v>
      </c>
      <c r="E1727" s="15">
        <v>-3.5999999999999997E-2</v>
      </c>
      <c r="F1727" s="15">
        <v>0.104</v>
      </c>
      <c r="G1727" s="15">
        <v>-5.3999999999999999E-2</v>
      </c>
      <c r="H1727" s="15">
        <v>-1E-3</v>
      </c>
      <c r="I1727" s="15">
        <v>7.0999999999999994E-2</v>
      </c>
      <c r="J1727" t="s">
        <v>412</v>
      </c>
      <c r="K1727" t="s">
        <v>510</v>
      </c>
    </row>
    <row r="1728" spans="1:11">
      <c r="A1728" t="s">
        <v>479</v>
      </c>
      <c r="B1728" t="s">
        <v>595</v>
      </c>
      <c r="C1728" t="s">
        <v>591</v>
      </c>
      <c r="D1728" s="15">
        <v>9.4E-2</v>
      </c>
      <c r="E1728" s="15">
        <v>-4.7E-2</v>
      </c>
      <c r="F1728" s="15">
        <v>-7.1999999999999995E-2</v>
      </c>
      <c r="G1728" s="15">
        <v>2.4E-2</v>
      </c>
      <c r="H1728" s="15">
        <v>-8.0000000000000002E-3</v>
      </c>
      <c r="I1728" s="15">
        <v>7.0999999999999994E-2</v>
      </c>
      <c r="J1728" t="s">
        <v>412</v>
      </c>
      <c r="K1728" t="s">
        <v>579</v>
      </c>
    </row>
    <row r="1729" spans="1:11">
      <c r="A1729" t="s">
        <v>576</v>
      </c>
      <c r="B1729" t="s">
        <v>498</v>
      </c>
      <c r="C1729" t="s">
        <v>477</v>
      </c>
      <c r="D1729" s="15">
        <v>2.9000000000000001E-2</v>
      </c>
      <c r="E1729" s="15">
        <v>5.0999999999999997E-2</v>
      </c>
      <c r="F1729" s="15">
        <v>-0.13400000000000001</v>
      </c>
      <c r="G1729" s="15">
        <v>0.04</v>
      </c>
      <c r="H1729" s="15">
        <v>-1.7999999999999999E-2</v>
      </c>
      <c r="I1729" s="15">
        <v>7.0999999999999994E-2</v>
      </c>
      <c r="J1729" t="s">
        <v>412</v>
      </c>
      <c r="K1729" t="s">
        <v>493</v>
      </c>
    </row>
    <row r="1730" spans="1:11">
      <c r="A1730" t="s">
        <v>571</v>
      </c>
      <c r="B1730" t="s">
        <v>596</v>
      </c>
      <c r="C1730" t="s">
        <v>583</v>
      </c>
      <c r="D1730" s="15">
        <v>-0.152</v>
      </c>
      <c r="E1730" s="15">
        <v>4.5999999999999999E-2</v>
      </c>
      <c r="F1730" s="15">
        <v>1.4999999999999999E-2</v>
      </c>
      <c r="G1730" s="15">
        <v>-5.2999999999999999E-2</v>
      </c>
      <c r="H1730" s="15">
        <v>-0.03</v>
      </c>
      <c r="I1730" s="15">
        <v>7.0999999999999994E-2</v>
      </c>
      <c r="J1730" t="s">
        <v>412</v>
      </c>
      <c r="K1730" t="s">
        <v>487</v>
      </c>
    </row>
    <row r="1731" spans="1:11">
      <c r="A1731" t="s">
        <v>576</v>
      </c>
      <c r="B1731" t="s">
        <v>590</v>
      </c>
      <c r="C1731" t="s">
        <v>575</v>
      </c>
      <c r="D1731" s="15">
        <v>-0.17100000000000001</v>
      </c>
      <c r="E1731" s="15">
        <v>2.8000000000000001E-2</v>
      </c>
      <c r="F1731" s="15">
        <v>1.2999999999999999E-2</v>
      </c>
      <c r="G1731" s="15">
        <v>-7.0999999999999994E-2</v>
      </c>
      <c r="H1731" s="15">
        <v>-4.2999999999999997E-2</v>
      </c>
      <c r="I1731" s="15">
        <v>7.0999999999999994E-2</v>
      </c>
      <c r="J1731" t="s">
        <v>412</v>
      </c>
      <c r="K1731" t="s">
        <v>487</v>
      </c>
    </row>
    <row r="1732" spans="1:11">
      <c r="A1732" t="s">
        <v>576</v>
      </c>
      <c r="B1732" t="s">
        <v>478</v>
      </c>
      <c r="C1732" t="s">
        <v>492</v>
      </c>
      <c r="D1732" s="15">
        <v>1.7999999999999999E-2</v>
      </c>
      <c r="E1732" s="15">
        <v>-8.1000000000000003E-2</v>
      </c>
      <c r="F1732" s="15">
        <v>-0.115</v>
      </c>
      <c r="G1732" s="15">
        <v>-3.1E-2</v>
      </c>
      <c r="H1732" s="15">
        <v>-5.8999999999999997E-2</v>
      </c>
      <c r="I1732" s="15">
        <v>7.0999999999999994E-2</v>
      </c>
      <c r="J1732" t="s">
        <v>412</v>
      </c>
      <c r="K1732" t="s">
        <v>579</v>
      </c>
    </row>
    <row r="1733" spans="1:11">
      <c r="A1733" t="s">
        <v>547</v>
      </c>
      <c r="B1733" t="s">
        <v>505</v>
      </c>
      <c r="C1733" t="s">
        <v>575</v>
      </c>
      <c r="D1733" s="15">
        <v>-6.8000000000000005E-2</v>
      </c>
      <c r="E1733" s="15">
        <v>-0.13600000000000001</v>
      </c>
      <c r="F1733" s="15">
        <v>8.0000000000000002E-3</v>
      </c>
      <c r="G1733" s="15">
        <v>-0.10199999999999999</v>
      </c>
      <c r="H1733" s="15">
        <v>-6.5000000000000002E-2</v>
      </c>
      <c r="I1733" s="15">
        <v>7.0999999999999994E-2</v>
      </c>
      <c r="J1733" t="s">
        <v>412</v>
      </c>
      <c r="K1733" t="s">
        <v>510</v>
      </c>
    </row>
    <row r="1734" spans="1:11">
      <c r="A1734" t="s">
        <v>577</v>
      </c>
      <c r="B1734" t="s">
        <v>592</v>
      </c>
      <c r="C1734" t="s">
        <v>572</v>
      </c>
      <c r="D1734" s="15">
        <v>-0.14399999999999999</v>
      </c>
      <c r="E1734" s="15">
        <v>-6.9000000000000006E-2</v>
      </c>
      <c r="F1734" s="15">
        <v>-1E-3</v>
      </c>
      <c r="G1734" s="15">
        <v>-0.106</v>
      </c>
      <c r="H1734" s="15">
        <v>-7.0999999999999994E-2</v>
      </c>
      <c r="I1734" s="15">
        <v>7.0999999999999994E-2</v>
      </c>
      <c r="J1734" t="s">
        <v>412</v>
      </c>
      <c r="K1734" t="s">
        <v>589</v>
      </c>
    </row>
    <row r="1735" spans="1:11">
      <c r="A1735" t="s">
        <v>577</v>
      </c>
      <c r="B1735" t="s">
        <v>592</v>
      </c>
      <c r="C1735" t="s">
        <v>591</v>
      </c>
      <c r="D1735" s="15">
        <v>-1.4E-2</v>
      </c>
      <c r="E1735" s="15">
        <v>-6.9000000000000006E-2</v>
      </c>
      <c r="F1735" s="15">
        <v>-0.13</v>
      </c>
      <c r="G1735" s="15">
        <v>-4.1000000000000002E-2</v>
      </c>
      <c r="H1735" s="15">
        <v>-7.0999999999999994E-2</v>
      </c>
      <c r="I1735" s="15">
        <v>7.0999999999999994E-2</v>
      </c>
      <c r="J1735" t="s">
        <v>412</v>
      </c>
      <c r="K1735" t="s">
        <v>589</v>
      </c>
    </row>
    <row r="1736" spans="1:11">
      <c r="A1736" t="s">
        <v>576</v>
      </c>
      <c r="B1736" t="s">
        <v>498</v>
      </c>
      <c r="C1736" t="s">
        <v>492</v>
      </c>
      <c r="D1736" s="15">
        <v>1.7999999999999999E-2</v>
      </c>
      <c r="E1736" s="15">
        <v>5.0999999999999997E-2</v>
      </c>
      <c r="F1736" s="15">
        <v>0.14099999999999999</v>
      </c>
      <c r="G1736" s="15">
        <v>3.4000000000000002E-2</v>
      </c>
      <c r="H1736" s="15">
        <v>7.0000000000000007E-2</v>
      </c>
      <c r="I1736" s="15">
        <v>7.0000000000000007E-2</v>
      </c>
      <c r="J1736" t="s">
        <v>412</v>
      </c>
      <c r="K1736" t="s">
        <v>551</v>
      </c>
    </row>
    <row r="1737" spans="1:11">
      <c r="A1737" t="s">
        <v>577</v>
      </c>
      <c r="B1737" t="s">
        <v>509</v>
      </c>
      <c r="C1737" t="s">
        <v>594</v>
      </c>
      <c r="D1737" s="15">
        <v>6.6000000000000003E-2</v>
      </c>
      <c r="E1737" s="15">
        <v>0.104</v>
      </c>
      <c r="F1737" s="15">
        <v>4.2000000000000003E-2</v>
      </c>
      <c r="G1737" s="15">
        <v>8.5000000000000006E-2</v>
      </c>
      <c r="H1737" s="15">
        <v>7.0000000000000007E-2</v>
      </c>
      <c r="I1737" s="15">
        <v>7.0000000000000007E-2</v>
      </c>
      <c r="J1737" t="s">
        <v>412</v>
      </c>
      <c r="K1737" t="s">
        <v>551</v>
      </c>
    </row>
    <row r="1738" spans="1:11">
      <c r="A1738" t="s">
        <v>479</v>
      </c>
      <c r="B1738" t="s">
        <v>578</v>
      </c>
      <c r="C1738" t="s">
        <v>593</v>
      </c>
      <c r="D1738" s="15">
        <v>-8.0000000000000002E-3</v>
      </c>
      <c r="E1738" s="15">
        <v>2.8000000000000001E-2</v>
      </c>
      <c r="F1738" s="15">
        <v>0.17599999999999999</v>
      </c>
      <c r="G1738" s="15">
        <v>0.01</v>
      </c>
      <c r="H1738" s="15">
        <v>6.5000000000000002E-2</v>
      </c>
      <c r="I1738" s="15">
        <v>7.0000000000000007E-2</v>
      </c>
      <c r="J1738" t="s">
        <v>412</v>
      </c>
      <c r="K1738" t="s">
        <v>487</v>
      </c>
    </row>
    <row r="1739" spans="1:11">
      <c r="A1739" t="s">
        <v>573</v>
      </c>
      <c r="B1739" t="s">
        <v>598</v>
      </c>
      <c r="C1739" t="s">
        <v>594</v>
      </c>
      <c r="D1739" s="15">
        <v>0.13700000000000001</v>
      </c>
      <c r="E1739" s="15">
        <v>-2.3E-2</v>
      </c>
      <c r="F1739" s="15">
        <v>4.9000000000000002E-2</v>
      </c>
      <c r="G1739" s="15">
        <v>5.7000000000000002E-2</v>
      </c>
      <c r="H1739" s="15">
        <v>5.3999999999999999E-2</v>
      </c>
      <c r="I1739" s="15">
        <v>7.0000000000000007E-2</v>
      </c>
      <c r="J1739" t="s">
        <v>412</v>
      </c>
      <c r="K1739" t="s">
        <v>480</v>
      </c>
    </row>
    <row r="1740" spans="1:11">
      <c r="A1740" t="s">
        <v>547</v>
      </c>
      <c r="B1740" t="s">
        <v>550</v>
      </c>
      <c r="C1740" t="s">
        <v>492</v>
      </c>
      <c r="D1740" s="15">
        <v>-6.6000000000000003E-2</v>
      </c>
      <c r="E1740" s="15">
        <v>2.7E-2</v>
      </c>
      <c r="F1740" s="15">
        <v>0.11700000000000001</v>
      </c>
      <c r="G1740" s="15">
        <v>-0.02</v>
      </c>
      <c r="H1740" s="15">
        <v>2.5999999999999999E-2</v>
      </c>
      <c r="I1740" s="15">
        <v>7.0000000000000007E-2</v>
      </c>
      <c r="J1740" t="s">
        <v>412</v>
      </c>
      <c r="K1740" t="s">
        <v>487</v>
      </c>
    </row>
    <row r="1741" spans="1:11">
      <c r="A1741" t="s">
        <v>571</v>
      </c>
      <c r="B1741" t="s">
        <v>592</v>
      </c>
      <c r="C1741" t="s">
        <v>477</v>
      </c>
      <c r="D1741" s="15">
        <v>0.13300000000000001</v>
      </c>
      <c r="E1741" s="15">
        <v>1.0999999999999999E-2</v>
      </c>
      <c r="F1741" s="15">
        <v>-6.6000000000000003E-2</v>
      </c>
      <c r="G1741" s="15">
        <v>7.1999999999999995E-2</v>
      </c>
      <c r="H1741" s="15">
        <v>2.5999999999999999E-2</v>
      </c>
      <c r="I1741" s="15">
        <v>7.0000000000000007E-2</v>
      </c>
      <c r="J1741" t="s">
        <v>412</v>
      </c>
      <c r="K1741" t="s">
        <v>493</v>
      </c>
    </row>
    <row r="1742" spans="1:11">
      <c r="A1742" t="s">
        <v>576</v>
      </c>
      <c r="B1742" t="s">
        <v>592</v>
      </c>
      <c r="C1742" t="s">
        <v>583</v>
      </c>
      <c r="D1742" s="15">
        <v>-0.109</v>
      </c>
      <c r="E1742" s="15">
        <v>7.9000000000000001E-2</v>
      </c>
      <c r="F1742" s="15">
        <v>-2.3E-2</v>
      </c>
      <c r="G1742" s="15">
        <v>-1.4999999999999999E-2</v>
      </c>
      <c r="H1742" s="15">
        <v>-1.7999999999999999E-2</v>
      </c>
      <c r="I1742" s="15">
        <v>7.0000000000000007E-2</v>
      </c>
      <c r="J1742" t="s">
        <v>412</v>
      </c>
      <c r="K1742" t="s">
        <v>500</v>
      </c>
    </row>
    <row r="1743" spans="1:11">
      <c r="A1743" t="s">
        <v>506</v>
      </c>
      <c r="B1743" t="s">
        <v>580</v>
      </c>
      <c r="C1743" t="s">
        <v>570</v>
      </c>
      <c r="D1743" s="15">
        <v>-0.14199999999999999</v>
      </c>
      <c r="E1743" s="15">
        <v>5.0999999999999997E-2</v>
      </c>
      <c r="F1743" s="15">
        <v>1.6E-2</v>
      </c>
      <c r="G1743" s="15">
        <v>-4.5999999999999999E-2</v>
      </c>
      <c r="H1743" s="15">
        <v>-2.5000000000000001E-2</v>
      </c>
      <c r="I1743" s="15">
        <v>7.0000000000000007E-2</v>
      </c>
      <c r="J1743" t="s">
        <v>412</v>
      </c>
      <c r="K1743" t="s">
        <v>487</v>
      </c>
    </row>
    <row r="1744" spans="1:11">
      <c r="A1744" t="s">
        <v>577</v>
      </c>
      <c r="B1744" t="s">
        <v>597</v>
      </c>
      <c r="C1744" t="s">
        <v>570</v>
      </c>
      <c r="D1744" s="15">
        <v>-8.8999999999999996E-2</v>
      </c>
      <c r="E1744" s="15">
        <v>6.6000000000000003E-2</v>
      </c>
      <c r="F1744" s="15">
        <v>-5.6000000000000001E-2</v>
      </c>
      <c r="G1744" s="15">
        <v>-1.2E-2</v>
      </c>
      <c r="H1744" s="15">
        <v>-2.5999999999999999E-2</v>
      </c>
      <c r="I1744" s="15">
        <v>7.0000000000000007E-2</v>
      </c>
      <c r="J1744" t="s">
        <v>412</v>
      </c>
      <c r="K1744" t="s">
        <v>500</v>
      </c>
    </row>
    <row r="1745" spans="1:11">
      <c r="A1745" t="s">
        <v>547</v>
      </c>
      <c r="B1745" t="s">
        <v>505</v>
      </c>
      <c r="C1745" t="s">
        <v>593</v>
      </c>
      <c r="D1745" s="15">
        <v>3.5000000000000003E-2</v>
      </c>
      <c r="E1745" s="15">
        <v>-0.13600000000000001</v>
      </c>
      <c r="F1745" s="15">
        <v>-3.7999999999999999E-2</v>
      </c>
      <c r="G1745" s="15">
        <v>-0.05</v>
      </c>
      <c r="H1745" s="15">
        <v>-4.5999999999999999E-2</v>
      </c>
      <c r="I1745" s="15">
        <v>7.0000000000000007E-2</v>
      </c>
      <c r="J1745" t="s">
        <v>412</v>
      </c>
      <c r="K1745" t="s">
        <v>579</v>
      </c>
    </row>
    <row r="1746" spans="1:11">
      <c r="A1746" t="s">
        <v>479</v>
      </c>
      <c r="B1746" t="s">
        <v>574</v>
      </c>
      <c r="C1746" t="s">
        <v>582</v>
      </c>
      <c r="D1746" s="15">
        <v>-0.127</v>
      </c>
      <c r="E1746" s="15">
        <v>-6.6000000000000003E-2</v>
      </c>
      <c r="F1746" s="15">
        <v>1.4999999999999999E-2</v>
      </c>
      <c r="G1746" s="15">
        <v>-9.7000000000000003E-2</v>
      </c>
      <c r="H1746" s="15">
        <v>-0.06</v>
      </c>
      <c r="I1746" s="15">
        <v>7.0000000000000007E-2</v>
      </c>
      <c r="J1746" t="s">
        <v>412</v>
      </c>
      <c r="K1746" t="s">
        <v>510</v>
      </c>
    </row>
    <row r="1747" spans="1:11">
      <c r="A1747" t="s">
        <v>506</v>
      </c>
      <c r="B1747" t="s">
        <v>595</v>
      </c>
      <c r="C1747" t="s">
        <v>575</v>
      </c>
      <c r="D1747" s="15">
        <v>-0.14399999999999999</v>
      </c>
      <c r="E1747" s="15">
        <v>-6.0999999999999999E-2</v>
      </c>
      <c r="F1747" s="15">
        <v>6.0000000000000001E-3</v>
      </c>
      <c r="G1747" s="15">
        <v>-0.10299999999999999</v>
      </c>
      <c r="H1747" s="15">
        <v>-6.6000000000000003E-2</v>
      </c>
      <c r="I1747" s="15">
        <v>7.0000000000000007E-2</v>
      </c>
      <c r="J1747" t="s">
        <v>412</v>
      </c>
      <c r="K1747" t="s">
        <v>510</v>
      </c>
    </row>
    <row r="1748" spans="1:11">
      <c r="A1748" t="s">
        <v>486</v>
      </c>
      <c r="B1748" t="s">
        <v>598</v>
      </c>
      <c r="C1748" t="s">
        <v>593</v>
      </c>
      <c r="D1748" s="15">
        <v>-8.6999999999999994E-2</v>
      </c>
      <c r="E1748" s="15">
        <v>-7.0000000000000001E-3</v>
      </c>
      <c r="F1748" s="15">
        <v>-0.115</v>
      </c>
      <c r="G1748" s="15">
        <v>-4.7E-2</v>
      </c>
      <c r="H1748" s="15">
        <v>-7.0000000000000007E-2</v>
      </c>
      <c r="I1748" s="15">
        <v>7.0000000000000007E-2</v>
      </c>
      <c r="J1748" t="s">
        <v>412</v>
      </c>
      <c r="K1748" t="s">
        <v>589</v>
      </c>
    </row>
    <row r="1749" spans="1:11">
      <c r="A1749" t="s">
        <v>547</v>
      </c>
      <c r="B1749" t="s">
        <v>523</v>
      </c>
      <c r="C1749" t="s">
        <v>570</v>
      </c>
      <c r="D1749" s="15">
        <v>-0.14799999999999999</v>
      </c>
      <c r="E1749" s="15">
        <v>-3.6999999999999998E-2</v>
      </c>
      <c r="F1749" s="15">
        <v>-2.5000000000000001E-2</v>
      </c>
      <c r="G1749" s="15">
        <v>-9.2999999999999999E-2</v>
      </c>
      <c r="H1749" s="15">
        <v>-7.0000000000000007E-2</v>
      </c>
      <c r="I1749" s="15">
        <v>7.0000000000000007E-2</v>
      </c>
      <c r="J1749" t="s">
        <v>412</v>
      </c>
      <c r="K1749" t="s">
        <v>589</v>
      </c>
    </row>
    <row r="1750" spans="1:11">
      <c r="A1750" t="s">
        <v>573</v>
      </c>
      <c r="B1750" t="s">
        <v>596</v>
      </c>
      <c r="C1750" t="s">
        <v>594</v>
      </c>
      <c r="D1750" s="15">
        <v>0.13700000000000001</v>
      </c>
      <c r="E1750" s="15">
        <v>0.02</v>
      </c>
      <c r="F1750" s="15">
        <v>0.05</v>
      </c>
      <c r="G1750" s="15">
        <v>7.9000000000000001E-2</v>
      </c>
      <c r="H1750" s="15">
        <v>6.9000000000000006E-2</v>
      </c>
      <c r="I1750" s="15">
        <v>6.9000000000000006E-2</v>
      </c>
      <c r="J1750" t="s">
        <v>412</v>
      </c>
      <c r="K1750" t="s">
        <v>551</v>
      </c>
    </row>
    <row r="1751" spans="1:11">
      <c r="A1751" t="s">
        <v>479</v>
      </c>
      <c r="B1751" t="s">
        <v>499</v>
      </c>
      <c r="C1751" t="s">
        <v>594</v>
      </c>
      <c r="D1751" s="15">
        <v>8.5000000000000006E-2</v>
      </c>
      <c r="E1751" s="15">
        <v>6.6000000000000003E-2</v>
      </c>
      <c r="F1751" s="15">
        <v>-5.6000000000000001E-2</v>
      </c>
      <c r="G1751" s="15">
        <v>7.5999999999999998E-2</v>
      </c>
      <c r="H1751" s="15">
        <v>3.2000000000000001E-2</v>
      </c>
      <c r="I1751" s="15">
        <v>6.9000000000000006E-2</v>
      </c>
      <c r="J1751" t="s">
        <v>412</v>
      </c>
      <c r="K1751" t="s">
        <v>493</v>
      </c>
    </row>
    <row r="1752" spans="1:11">
      <c r="A1752" t="s">
        <v>577</v>
      </c>
      <c r="B1752" t="s">
        <v>595</v>
      </c>
      <c r="C1752" t="s">
        <v>591</v>
      </c>
      <c r="D1752" s="15">
        <v>-1.4E-2</v>
      </c>
      <c r="E1752" s="15">
        <v>0.122</v>
      </c>
      <c r="F1752" s="15">
        <v>-7.1999999999999995E-2</v>
      </c>
      <c r="G1752" s="15">
        <v>5.3999999999999999E-2</v>
      </c>
      <c r="H1752" s="15">
        <v>1.2E-2</v>
      </c>
      <c r="I1752" s="15">
        <v>6.9000000000000006E-2</v>
      </c>
      <c r="J1752" t="s">
        <v>412</v>
      </c>
      <c r="K1752" t="s">
        <v>500</v>
      </c>
    </row>
    <row r="1753" spans="1:11">
      <c r="A1753" t="s">
        <v>571</v>
      </c>
      <c r="B1753" t="s">
        <v>550</v>
      </c>
      <c r="C1753" t="s">
        <v>492</v>
      </c>
      <c r="D1753" s="15">
        <v>-6.5000000000000002E-2</v>
      </c>
      <c r="E1753" s="15">
        <v>-2.5000000000000001E-2</v>
      </c>
      <c r="F1753" s="15">
        <v>0.11700000000000001</v>
      </c>
      <c r="G1753" s="15">
        <v>-4.4999999999999998E-2</v>
      </c>
      <c r="H1753" s="15">
        <v>8.9999999999999993E-3</v>
      </c>
      <c r="I1753" s="15">
        <v>6.9000000000000006E-2</v>
      </c>
      <c r="J1753" t="s">
        <v>412</v>
      </c>
      <c r="K1753" t="s">
        <v>510</v>
      </c>
    </row>
    <row r="1754" spans="1:11">
      <c r="A1754" t="s">
        <v>573</v>
      </c>
      <c r="B1754" t="s">
        <v>595</v>
      </c>
      <c r="C1754" t="s">
        <v>585</v>
      </c>
      <c r="D1754" s="15">
        <v>2.5999999999999999E-2</v>
      </c>
      <c r="E1754" s="15">
        <v>-9.0999999999999998E-2</v>
      </c>
      <c r="F1754" s="15">
        <v>8.8999999999999996E-2</v>
      </c>
      <c r="G1754" s="15">
        <v>-3.2000000000000001E-2</v>
      </c>
      <c r="H1754" s="15">
        <v>8.0000000000000002E-3</v>
      </c>
      <c r="I1754" s="15">
        <v>6.9000000000000006E-2</v>
      </c>
      <c r="J1754" t="s">
        <v>412</v>
      </c>
      <c r="K1754" t="s">
        <v>480</v>
      </c>
    </row>
    <row r="1755" spans="1:11">
      <c r="A1755" t="s">
        <v>479</v>
      </c>
      <c r="B1755" t="s">
        <v>586</v>
      </c>
      <c r="C1755" t="s">
        <v>591</v>
      </c>
      <c r="D1755" s="15">
        <v>9.4E-2</v>
      </c>
      <c r="E1755" s="15">
        <v>-0.10100000000000001</v>
      </c>
      <c r="F1755" s="15">
        <v>1.2E-2</v>
      </c>
      <c r="G1755" s="15">
        <v>-4.0000000000000001E-3</v>
      </c>
      <c r="H1755" s="15">
        <v>1E-3</v>
      </c>
      <c r="I1755" s="15">
        <v>6.9000000000000006E-2</v>
      </c>
      <c r="J1755" t="s">
        <v>412</v>
      </c>
      <c r="K1755" t="s">
        <v>480</v>
      </c>
    </row>
    <row r="1756" spans="1:11">
      <c r="A1756" t="s">
        <v>506</v>
      </c>
      <c r="B1756" t="s">
        <v>595</v>
      </c>
      <c r="C1756" t="s">
        <v>585</v>
      </c>
      <c r="D1756" s="15">
        <v>-5.6000000000000001E-2</v>
      </c>
      <c r="E1756" s="15">
        <v>-6.0999999999999999E-2</v>
      </c>
      <c r="F1756" s="15">
        <v>8.8999999999999996E-2</v>
      </c>
      <c r="G1756" s="15">
        <v>-5.8000000000000003E-2</v>
      </c>
      <c r="H1756" s="15">
        <v>-8.9999999999999993E-3</v>
      </c>
      <c r="I1756" s="15">
        <v>6.9000000000000006E-2</v>
      </c>
      <c r="J1756" t="s">
        <v>412</v>
      </c>
      <c r="K1756" t="s">
        <v>510</v>
      </c>
    </row>
    <row r="1757" spans="1:11">
      <c r="A1757" t="s">
        <v>547</v>
      </c>
      <c r="B1757" t="s">
        <v>595</v>
      </c>
      <c r="C1757" t="s">
        <v>585</v>
      </c>
      <c r="D1757" s="15">
        <v>-7.1999999999999995E-2</v>
      </c>
      <c r="E1757" s="15">
        <v>-4.3999999999999997E-2</v>
      </c>
      <c r="F1757" s="15">
        <v>8.8999999999999996E-2</v>
      </c>
      <c r="G1757" s="15">
        <v>-5.8000000000000003E-2</v>
      </c>
      <c r="H1757" s="15">
        <v>-8.9999999999999993E-3</v>
      </c>
      <c r="I1757" s="15">
        <v>6.9000000000000006E-2</v>
      </c>
      <c r="J1757" t="s">
        <v>412</v>
      </c>
      <c r="K1757" t="s">
        <v>510</v>
      </c>
    </row>
    <row r="1758" spans="1:11">
      <c r="A1758" t="s">
        <v>506</v>
      </c>
      <c r="B1758" t="s">
        <v>581</v>
      </c>
      <c r="C1758" t="s">
        <v>594</v>
      </c>
      <c r="D1758" s="15">
        <v>8.2000000000000003E-2</v>
      </c>
      <c r="E1758" s="15">
        <v>-0.03</v>
      </c>
      <c r="F1758" s="15">
        <v>-9.5000000000000001E-2</v>
      </c>
      <c r="G1758" s="15">
        <v>2.5999999999999999E-2</v>
      </c>
      <c r="H1758" s="15">
        <v>-1.4E-2</v>
      </c>
      <c r="I1758" s="15">
        <v>6.9000000000000006E-2</v>
      </c>
      <c r="J1758" t="s">
        <v>412</v>
      </c>
      <c r="K1758" t="s">
        <v>579</v>
      </c>
    </row>
    <row r="1759" spans="1:11">
      <c r="A1759" t="s">
        <v>571</v>
      </c>
      <c r="B1759" t="s">
        <v>592</v>
      </c>
      <c r="C1759" t="s">
        <v>591</v>
      </c>
      <c r="D1759" s="15">
        <v>6.6000000000000003E-2</v>
      </c>
      <c r="E1759" s="15">
        <v>1.0999999999999999E-2</v>
      </c>
      <c r="F1759" s="15">
        <v>-0.13</v>
      </c>
      <c r="G1759" s="15">
        <v>3.9E-2</v>
      </c>
      <c r="H1759" s="15">
        <v>-1.7000000000000001E-2</v>
      </c>
      <c r="I1759" s="15">
        <v>6.9000000000000006E-2</v>
      </c>
      <c r="J1759" t="s">
        <v>412</v>
      </c>
      <c r="K1759" t="s">
        <v>493</v>
      </c>
    </row>
    <row r="1760" spans="1:11">
      <c r="A1760" t="s">
        <v>479</v>
      </c>
      <c r="B1760" t="s">
        <v>587</v>
      </c>
      <c r="C1760" t="s">
        <v>582</v>
      </c>
      <c r="D1760" s="15">
        <v>-0.127</v>
      </c>
      <c r="E1760" s="15">
        <v>-7.0000000000000001E-3</v>
      </c>
      <c r="F1760" s="15">
        <v>7.2999999999999995E-2</v>
      </c>
      <c r="G1760" s="15">
        <v>-6.7000000000000004E-2</v>
      </c>
      <c r="H1760" s="15">
        <v>-0.02</v>
      </c>
      <c r="I1760" s="15">
        <v>6.9000000000000006E-2</v>
      </c>
      <c r="J1760" t="s">
        <v>412</v>
      </c>
      <c r="K1760" t="s">
        <v>510</v>
      </c>
    </row>
    <row r="1761" spans="1:11">
      <c r="A1761" t="s">
        <v>577</v>
      </c>
      <c r="B1761" t="s">
        <v>581</v>
      </c>
      <c r="C1761" t="s">
        <v>594</v>
      </c>
      <c r="D1761" s="15">
        <v>6.6000000000000003E-2</v>
      </c>
      <c r="E1761" s="15">
        <v>-4.5999999999999999E-2</v>
      </c>
      <c r="F1761" s="15">
        <v>-9.5000000000000001E-2</v>
      </c>
      <c r="G1761" s="15">
        <v>0.01</v>
      </c>
      <c r="H1761" s="15">
        <v>-2.5000000000000001E-2</v>
      </c>
      <c r="I1761" s="15">
        <v>6.9000000000000006E-2</v>
      </c>
      <c r="J1761" t="s">
        <v>412</v>
      </c>
      <c r="K1761" t="s">
        <v>579</v>
      </c>
    </row>
    <row r="1762" spans="1:11">
      <c r="A1762" t="s">
        <v>479</v>
      </c>
      <c r="B1762" t="s">
        <v>588</v>
      </c>
      <c r="C1762" t="s">
        <v>572</v>
      </c>
      <c r="D1762" s="15">
        <v>-6.8000000000000005E-2</v>
      </c>
      <c r="E1762" s="15">
        <v>-1.7000000000000001E-2</v>
      </c>
      <c r="F1762" s="15">
        <v>-0.124</v>
      </c>
      <c r="G1762" s="15">
        <v>-4.2000000000000003E-2</v>
      </c>
      <c r="H1762" s="15">
        <v>-6.9000000000000006E-2</v>
      </c>
      <c r="I1762" s="15">
        <v>6.9000000000000006E-2</v>
      </c>
      <c r="J1762" t="s">
        <v>412</v>
      </c>
      <c r="K1762" t="s">
        <v>589</v>
      </c>
    </row>
    <row r="1763" spans="1:11">
      <c r="A1763" t="s">
        <v>573</v>
      </c>
      <c r="B1763" t="s">
        <v>580</v>
      </c>
      <c r="C1763" t="s">
        <v>585</v>
      </c>
      <c r="D1763" s="15">
        <v>2.5999999999999999E-2</v>
      </c>
      <c r="E1763" s="15">
        <v>4.7E-2</v>
      </c>
      <c r="F1763" s="15">
        <v>0.13</v>
      </c>
      <c r="G1763" s="15">
        <v>3.6999999999999998E-2</v>
      </c>
      <c r="H1763" s="15">
        <v>6.8000000000000005E-2</v>
      </c>
      <c r="I1763" s="15">
        <v>6.8000000000000005E-2</v>
      </c>
      <c r="J1763" t="s">
        <v>412</v>
      </c>
      <c r="K1763" t="s">
        <v>551</v>
      </c>
    </row>
    <row r="1764" spans="1:11">
      <c r="A1764" t="s">
        <v>547</v>
      </c>
      <c r="B1764" t="s">
        <v>517</v>
      </c>
      <c r="C1764" t="s">
        <v>582</v>
      </c>
      <c r="D1764" s="15">
        <v>0.14299999999999999</v>
      </c>
      <c r="E1764" s="15">
        <v>-3.0000000000000001E-3</v>
      </c>
      <c r="F1764" s="15">
        <v>5.8000000000000003E-2</v>
      </c>
      <c r="G1764" s="15">
        <v>7.0000000000000007E-2</v>
      </c>
      <c r="H1764" s="15">
        <v>6.6000000000000003E-2</v>
      </c>
      <c r="I1764" s="15">
        <v>6.8000000000000005E-2</v>
      </c>
      <c r="J1764" t="s">
        <v>412</v>
      </c>
      <c r="K1764" t="s">
        <v>480</v>
      </c>
    </row>
    <row r="1765" spans="1:11">
      <c r="A1765" t="s">
        <v>571</v>
      </c>
      <c r="B1765" t="s">
        <v>597</v>
      </c>
      <c r="C1765" t="s">
        <v>477</v>
      </c>
      <c r="D1765" s="15">
        <v>0.13300000000000001</v>
      </c>
      <c r="E1765" s="15">
        <v>4.7E-2</v>
      </c>
      <c r="F1765" s="15">
        <v>-2.3E-2</v>
      </c>
      <c r="G1765" s="15">
        <v>0.09</v>
      </c>
      <c r="H1765" s="15">
        <v>5.1999999999999998E-2</v>
      </c>
      <c r="I1765" s="15">
        <v>6.8000000000000005E-2</v>
      </c>
      <c r="J1765" t="s">
        <v>412</v>
      </c>
      <c r="K1765" t="s">
        <v>493</v>
      </c>
    </row>
    <row r="1766" spans="1:11">
      <c r="A1766" t="s">
        <v>576</v>
      </c>
      <c r="B1766" t="s">
        <v>499</v>
      </c>
      <c r="C1766" t="s">
        <v>582</v>
      </c>
      <c r="D1766" s="15">
        <v>7.6999999999999999E-2</v>
      </c>
      <c r="E1766" s="15">
        <v>-7.0999999999999994E-2</v>
      </c>
      <c r="F1766" s="15">
        <v>5.6000000000000001E-2</v>
      </c>
      <c r="G1766" s="15">
        <v>3.0000000000000001E-3</v>
      </c>
      <c r="H1766" s="15">
        <v>2.1000000000000001E-2</v>
      </c>
      <c r="I1766" s="15">
        <v>6.8000000000000005E-2</v>
      </c>
      <c r="J1766" t="s">
        <v>412</v>
      </c>
      <c r="K1766" t="s">
        <v>480</v>
      </c>
    </row>
    <row r="1767" spans="1:11">
      <c r="A1767" t="s">
        <v>479</v>
      </c>
      <c r="B1767" t="s">
        <v>586</v>
      </c>
      <c r="C1767" t="s">
        <v>594</v>
      </c>
      <c r="D1767" s="15">
        <v>8.5000000000000006E-2</v>
      </c>
      <c r="E1767" s="15">
        <v>-0.10100000000000001</v>
      </c>
      <c r="F1767" s="15">
        <v>1.7999999999999999E-2</v>
      </c>
      <c r="G1767" s="15">
        <v>-8.0000000000000002E-3</v>
      </c>
      <c r="H1767" s="15">
        <v>1E-3</v>
      </c>
      <c r="I1767" s="15">
        <v>6.8000000000000005E-2</v>
      </c>
      <c r="J1767" t="s">
        <v>412</v>
      </c>
      <c r="K1767" t="s">
        <v>480</v>
      </c>
    </row>
    <row r="1768" spans="1:11">
      <c r="A1768" t="s">
        <v>547</v>
      </c>
      <c r="B1768" t="s">
        <v>595</v>
      </c>
      <c r="C1768" t="s">
        <v>593</v>
      </c>
      <c r="D1768" s="15">
        <v>3.5000000000000003E-2</v>
      </c>
      <c r="E1768" s="15">
        <v>-4.3999999999999997E-2</v>
      </c>
      <c r="F1768" s="15">
        <v>-0.124</v>
      </c>
      <c r="G1768" s="15">
        <v>-4.0000000000000001E-3</v>
      </c>
      <c r="H1768" s="15">
        <v>-4.3999999999999997E-2</v>
      </c>
      <c r="I1768" s="15">
        <v>6.8000000000000005E-2</v>
      </c>
      <c r="J1768" t="s">
        <v>412</v>
      </c>
      <c r="K1768" t="s">
        <v>579</v>
      </c>
    </row>
    <row r="1769" spans="1:11">
      <c r="A1769" t="s">
        <v>576</v>
      </c>
      <c r="B1769" t="s">
        <v>478</v>
      </c>
      <c r="C1769" t="s">
        <v>594</v>
      </c>
      <c r="D1769" s="15">
        <v>2.1000000000000001E-2</v>
      </c>
      <c r="E1769" s="15">
        <v>-8.1000000000000003E-2</v>
      </c>
      <c r="F1769" s="15">
        <v>-0.10299999999999999</v>
      </c>
      <c r="G1769" s="15">
        <v>-0.03</v>
      </c>
      <c r="H1769" s="15">
        <v>-5.3999999999999999E-2</v>
      </c>
      <c r="I1769" s="15">
        <v>6.8000000000000005E-2</v>
      </c>
      <c r="J1769" t="s">
        <v>412</v>
      </c>
      <c r="K1769" t="s">
        <v>579</v>
      </c>
    </row>
    <row r="1770" spans="1:11">
      <c r="A1770" t="s">
        <v>486</v>
      </c>
      <c r="B1770" t="s">
        <v>505</v>
      </c>
      <c r="C1770" t="s">
        <v>594</v>
      </c>
      <c r="D1770" s="15">
        <v>-9.7000000000000003E-2</v>
      </c>
      <c r="E1770" s="15">
        <v>8.9999999999999993E-3</v>
      </c>
      <c r="F1770" s="15">
        <v>-9.8000000000000004E-2</v>
      </c>
      <c r="G1770" s="15">
        <v>-4.3999999999999997E-2</v>
      </c>
      <c r="H1770" s="15">
        <v>-6.2E-2</v>
      </c>
      <c r="I1770" s="15">
        <v>6.8000000000000005E-2</v>
      </c>
      <c r="J1770" t="s">
        <v>412</v>
      </c>
      <c r="K1770" t="s">
        <v>500</v>
      </c>
    </row>
    <row r="1771" spans="1:11">
      <c r="A1771" t="s">
        <v>547</v>
      </c>
      <c r="B1771" t="s">
        <v>478</v>
      </c>
      <c r="C1771" t="s">
        <v>594</v>
      </c>
      <c r="D1771" s="15">
        <v>-6.0000000000000001E-3</v>
      </c>
      <c r="E1771" s="15">
        <v>-9.4E-2</v>
      </c>
      <c r="F1771" s="15">
        <v>-0.10299999999999999</v>
      </c>
      <c r="G1771" s="15">
        <v>-0.05</v>
      </c>
      <c r="H1771" s="15">
        <v>-6.8000000000000005E-2</v>
      </c>
      <c r="I1771" s="15">
        <v>6.8000000000000005E-2</v>
      </c>
      <c r="J1771" t="s">
        <v>412</v>
      </c>
      <c r="K1771" t="s">
        <v>589</v>
      </c>
    </row>
    <row r="1772" spans="1:11">
      <c r="A1772" t="s">
        <v>547</v>
      </c>
      <c r="B1772" t="s">
        <v>592</v>
      </c>
      <c r="C1772" t="s">
        <v>593</v>
      </c>
      <c r="D1772" s="15">
        <v>3.5000000000000003E-2</v>
      </c>
      <c r="E1772" s="15">
        <v>3.5000000000000003E-2</v>
      </c>
      <c r="F1772" s="15">
        <v>0.13100000000000001</v>
      </c>
      <c r="G1772" s="15">
        <v>3.5000000000000003E-2</v>
      </c>
      <c r="H1772" s="15">
        <v>6.7000000000000004E-2</v>
      </c>
      <c r="I1772" s="15">
        <v>6.7000000000000004E-2</v>
      </c>
      <c r="J1772" t="s">
        <v>412</v>
      </c>
      <c r="K1772" t="s">
        <v>551</v>
      </c>
    </row>
    <row r="1773" spans="1:11">
      <c r="A1773" t="s">
        <v>576</v>
      </c>
      <c r="B1773" t="s">
        <v>574</v>
      </c>
      <c r="C1773" t="s">
        <v>582</v>
      </c>
      <c r="D1773" s="15">
        <v>7.6999999999999999E-2</v>
      </c>
      <c r="E1773" s="15">
        <v>0.109</v>
      </c>
      <c r="F1773" s="15">
        <v>1.4999999999999999E-2</v>
      </c>
      <c r="G1773" s="15">
        <v>9.2999999999999999E-2</v>
      </c>
      <c r="H1773" s="15">
        <v>6.7000000000000004E-2</v>
      </c>
      <c r="I1773" s="15">
        <v>6.7000000000000004E-2</v>
      </c>
      <c r="J1773" t="s">
        <v>412</v>
      </c>
      <c r="K1773" t="s">
        <v>551</v>
      </c>
    </row>
    <row r="1774" spans="1:11">
      <c r="A1774" t="s">
        <v>577</v>
      </c>
      <c r="B1774" t="s">
        <v>590</v>
      </c>
      <c r="C1774" t="s">
        <v>575</v>
      </c>
      <c r="D1774" s="15">
        <v>0.14199999999999999</v>
      </c>
      <c r="E1774" s="15">
        <v>4.4999999999999998E-2</v>
      </c>
      <c r="F1774" s="15">
        <v>1.2999999999999999E-2</v>
      </c>
      <c r="G1774" s="15">
        <v>9.2999999999999999E-2</v>
      </c>
      <c r="H1774" s="15">
        <v>6.7000000000000004E-2</v>
      </c>
      <c r="I1774" s="15">
        <v>6.7000000000000004E-2</v>
      </c>
      <c r="J1774" t="s">
        <v>412</v>
      </c>
      <c r="K1774" t="s">
        <v>551</v>
      </c>
    </row>
    <row r="1775" spans="1:11">
      <c r="A1775" t="s">
        <v>547</v>
      </c>
      <c r="B1775" t="s">
        <v>597</v>
      </c>
      <c r="C1775" t="s">
        <v>582</v>
      </c>
      <c r="D1775" s="15">
        <v>0.14299999999999999</v>
      </c>
      <c r="E1775" s="15">
        <v>-1.0999999999999999E-2</v>
      </c>
      <c r="F1775" s="15">
        <v>4.7E-2</v>
      </c>
      <c r="G1775" s="15">
        <v>6.6000000000000003E-2</v>
      </c>
      <c r="H1775" s="15">
        <v>0.06</v>
      </c>
      <c r="I1775" s="15">
        <v>6.7000000000000004E-2</v>
      </c>
      <c r="J1775" t="s">
        <v>412</v>
      </c>
      <c r="K1775" t="s">
        <v>480</v>
      </c>
    </row>
    <row r="1776" spans="1:11">
      <c r="A1776" t="s">
        <v>573</v>
      </c>
      <c r="B1776" t="s">
        <v>580</v>
      </c>
      <c r="C1776" t="s">
        <v>594</v>
      </c>
      <c r="D1776" s="15">
        <v>0.13700000000000001</v>
      </c>
      <c r="E1776" s="15">
        <v>4.7E-2</v>
      </c>
      <c r="F1776" s="15">
        <v>-1.7000000000000001E-2</v>
      </c>
      <c r="G1776" s="15">
        <v>9.1999999999999998E-2</v>
      </c>
      <c r="H1776" s="15">
        <v>5.6000000000000001E-2</v>
      </c>
      <c r="I1776" s="15">
        <v>6.7000000000000004E-2</v>
      </c>
      <c r="J1776" t="s">
        <v>412</v>
      </c>
      <c r="K1776" t="s">
        <v>493</v>
      </c>
    </row>
    <row r="1777" spans="1:11">
      <c r="A1777" t="s">
        <v>547</v>
      </c>
      <c r="B1777" t="s">
        <v>595</v>
      </c>
      <c r="C1777" t="s">
        <v>582</v>
      </c>
      <c r="D1777" s="15">
        <v>0.14299999999999999</v>
      </c>
      <c r="E1777" s="15">
        <v>-4.3999999999999997E-2</v>
      </c>
      <c r="F1777" s="15">
        <v>1.4999999999999999E-2</v>
      </c>
      <c r="G1777" s="15">
        <v>4.9000000000000002E-2</v>
      </c>
      <c r="H1777" s="15">
        <v>3.7999999999999999E-2</v>
      </c>
      <c r="I1777" s="15">
        <v>6.7000000000000004E-2</v>
      </c>
      <c r="J1777" t="s">
        <v>412</v>
      </c>
      <c r="K1777" t="s">
        <v>480</v>
      </c>
    </row>
    <row r="1778" spans="1:11">
      <c r="A1778" t="s">
        <v>571</v>
      </c>
      <c r="B1778" t="s">
        <v>596</v>
      </c>
      <c r="C1778" t="s">
        <v>582</v>
      </c>
      <c r="D1778" s="15">
        <v>9.1999999999999998E-2</v>
      </c>
      <c r="E1778" s="15">
        <v>4.5999999999999999E-2</v>
      </c>
      <c r="F1778" s="15">
        <v>-6.2E-2</v>
      </c>
      <c r="G1778" s="15">
        <v>6.9000000000000006E-2</v>
      </c>
      <c r="H1778" s="15">
        <v>2.5000000000000001E-2</v>
      </c>
      <c r="I1778" s="15">
        <v>6.7000000000000004E-2</v>
      </c>
      <c r="J1778" t="s">
        <v>412</v>
      </c>
      <c r="K1778" t="s">
        <v>493</v>
      </c>
    </row>
    <row r="1779" spans="1:11">
      <c r="A1779" t="s">
        <v>576</v>
      </c>
      <c r="B1779" t="s">
        <v>596</v>
      </c>
      <c r="C1779" t="s">
        <v>582</v>
      </c>
      <c r="D1779" s="15">
        <v>7.6999999999999999E-2</v>
      </c>
      <c r="E1779" s="15">
        <v>-6.0999999999999999E-2</v>
      </c>
      <c r="F1779" s="15">
        <v>-6.2E-2</v>
      </c>
      <c r="G1779" s="15">
        <v>8.0000000000000002E-3</v>
      </c>
      <c r="H1779" s="15">
        <v>-1.4999999999999999E-2</v>
      </c>
      <c r="I1779" s="15">
        <v>6.7000000000000004E-2</v>
      </c>
      <c r="J1779" t="s">
        <v>412</v>
      </c>
      <c r="K1779" t="s">
        <v>579</v>
      </c>
    </row>
    <row r="1780" spans="1:11">
      <c r="A1780" t="s">
        <v>506</v>
      </c>
      <c r="B1780" t="s">
        <v>597</v>
      </c>
      <c r="C1780" t="s">
        <v>575</v>
      </c>
      <c r="D1780" s="15">
        <v>-0.14399999999999999</v>
      </c>
      <c r="E1780" s="15">
        <v>5.0999999999999997E-2</v>
      </c>
      <c r="F1780" s="15">
        <v>-6.0000000000000001E-3</v>
      </c>
      <c r="G1780" s="15">
        <v>-4.5999999999999999E-2</v>
      </c>
      <c r="H1780" s="15">
        <v>-3.3000000000000002E-2</v>
      </c>
      <c r="I1780" s="15">
        <v>6.7000000000000004E-2</v>
      </c>
      <c r="J1780" t="s">
        <v>412</v>
      </c>
      <c r="K1780" t="s">
        <v>500</v>
      </c>
    </row>
    <row r="1781" spans="1:11">
      <c r="A1781" t="s">
        <v>573</v>
      </c>
      <c r="B1781" t="s">
        <v>569</v>
      </c>
      <c r="C1781" t="s">
        <v>585</v>
      </c>
      <c r="D1781" s="15">
        <v>2.5999999999999999E-2</v>
      </c>
      <c r="E1781" s="15">
        <v>-0.16</v>
      </c>
      <c r="F1781" s="15">
        <v>1.4E-2</v>
      </c>
      <c r="G1781" s="15">
        <v>-6.7000000000000004E-2</v>
      </c>
      <c r="H1781" s="15">
        <v>-0.04</v>
      </c>
      <c r="I1781" s="15">
        <v>6.7000000000000004E-2</v>
      </c>
      <c r="J1781" t="s">
        <v>412</v>
      </c>
      <c r="K1781" t="s">
        <v>480</v>
      </c>
    </row>
    <row r="1782" spans="1:11">
      <c r="A1782" t="s">
        <v>577</v>
      </c>
      <c r="B1782" t="s">
        <v>478</v>
      </c>
      <c r="C1782" t="s">
        <v>572</v>
      </c>
      <c r="D1782" s="15">
        <v>-0.14399999999999999</v>
      </c>
      <c r="E1782" s="15">
        <v>-5.3999999999999999E-2</v>
      </c>
      <c r="F1782" s="15">
        <v>4.0000000000000001E-3</v>
      </c>
      <c r="G1782" s="15">
        <v>-9.9000000000000005E-2</v>
      </c>
      <c r="H1782" s="15">
        <v>-6.5000000000000002E-2</v>
      </c>
      <c r="I1782" s="15">
        <v>6.7000000000000004E-2</v>
      </c>
      <c r="J1782" t="s">
        <v>412</v>
      </c>
      <c r="K1782" t="s">
        <v>510</v>
      </c>
    </row>
    <row r="1783" spans="1:11">
      <c r="A1783" t="s">
        <v>479</v>
      </c>
      <c r="B1783" t="s">
        <v>598</v>
      </c>
      <c r="C1783" t="s">
        <v>593</v>
      </c>
      <c r="D1783" s="15">
        <v>-8.0000000000000002E-3</v>
      </c>
      <c r="E1783" s="15">
        <v>-7.9000000000000001E-2</v>
      </c>
      <c r="F1783" s="15">
        <v>-0.115</v>
      </c>
      <c r="G1783" s="15">
        <v>-4.2999999999999997E-2</v>
      </c>
      <c r="H1783" s="15">
        <v>-6.7000000000000004E-2</v>
      </c>
      <c r="I1783" s="15">
        <v>6.7000000000000004E-2</v>
      </c>
      <c r="J1783" t="s">
        <v>412</v>
      </c>
      <c r="K1783" t="s">
        <v>589</v>
      </c>
    </row>
    <row r="1784" spans="1:11">
      <c r="A1784" t="s">
        <v>547</v>
      </c>
      <c r="B1784" t="s">
        <v>574</v>
      </c>
      <c r="C1784" t="s">
        <v>594</v>
      </c>
      <c r="D1784" s="15">
        <v>-6.0000000000000001E-3</v>
      </c>
      <c r="E1784" s="15">
        <v>-2.4E-2</v>
      </c>
      <c r="F1784" s="15">
        <v>-0.17299999999999999</v>
      </c>
      <c r="G1784" s="15">
        <v>-1.4999999999999999E-2</v>
      </c>
      <c r="H1784" s="15">
        <v>-6.7000000000000004E-2</v>
      </c>
      <c r="I1784" s="15">
        <v>6.7000000000000004E-2</v>
      </c>
      <c r="J1784" t="s">
        <v>412</v>
      </c>
      <c r="K1784" t="s">
        <v>589</v>
      </c>
    </row>
    <row r="1785" spans="1:11">
      <c r="A1785" t="s">
        <v>571</v>
      </c>
      <c r="B1785" t="s">
        <v>509</v>
      </c>
      <c r="C1785" t="s">
        <v>575</v>
      </c>
      <c r="D1785" s="15">
        <v>-0.16800000000000001</v>
      </c>
      <c r="E1785" s="15">
        <v>-1.6E-2</v>
      </c>
      <c r="F1785" s="15">
        <v>-1.6E-2</v>
      </c>
      <c r="G1785" s="15">
        <v>-9.1999999999999998E-2</v>
      </c>
      <c r="H1785" s="15">
        <v>-6.7000000000000004E-2</v>
      </c>
      <c r="I1785" s="15">
        <v>6.7000000000000004E-2</v>
      </c>
      <c r="J1785" t="s">
        <v>412</v>
      </c>
      <c r="K1785" t="s">
        <v>589</v>
      </c>
    </row>
    <row r="1786" spans="1:11">
      <c r="A1786" t="s">
        <v>576</v>
      </c>
      <c r="B1786" t="s">
        <v>595</v>
      </c>
      <c r="C1786" t="s">
        <v>584</v>
      </c>
      <c r="D1786" s="15">
        <v>-0.1</v>
      </c>
      <c r="E1786" s="15">
        <v>-4.2000000000000003E-2</v>
      </c>
      <c r="F1786" s="15">
        <v>-5.8999999999999997E-2</v>
      </c>
      <c r="G1786" s="15">
        <v>-7.0999999999999994E-2</v>
      </c>
      <c r="H1786" s="15">
        <v>-6.7000000000000004E-2</v>
      </c>
      <c r="I1786" s="15">
        <v>6.7000000000000004E-2</v>
      </c>
      <c r="J1786" t="s">
        <v>412</v>
      </c>
      <c r="K1786" t="s">
        <v>589</v>
      </c>
    </row>
    <row r="1787" spans="1:11">
      <c r="A1787" t="s">
        <v>547</v>
      </c>
      <c r="B1787" t="s">
        <v>550</v>
      </c>
      <c r="C1787" t="s">
        <v>583</v>
      </c>
      <c r="D1787" s="15">
        <v>-0.03</v>
      </c>
      <c r="E1787" s="15">
        <v>2.7E-2</v>
      </c>
      <c r="F1787" s="15">
        <v>0.14299999999999999</v>
      </c>
      <c r="G1787" s="15">
        <v>-2E-3</v>
      </c>
      <c r="H1787" s="15">
        <v>4.5999999999999999E-2</v>
      </c>
      <c r="I1787" s="15">
        <v>6.6000000000000003E-2</v>
      </c>
      <c r="J1787" t="s">
        <v>412</v>
      </c>
      <c r="K1787" t="s">
        <v>487</v>
      </c>
    </row>
    <row r="1788" spans="1:11">
      <c r="A1788" t="s">
        <v>576</v>
      </c>
      <c r="B1788" t="s">
        <v>586</v>
      </c>
      <c r="C1788" t="s">
        <v>477</v>
      </c>
      <c r="D1788" s="15">
        <v>2.9000000000000001E-2</v>
      </c>
      <c r="E1788" s="15">
        <v>-3.2000000000000001E-2</v>
      </c>
      <c r="F1788" s="15">
        <v>0.13600000000000001</v>
      </c>
      <c r="G1788" s="15">
        <v>-2E-3</v>
      </c>
      <c r="H1788" s="15">
        <v>4.3999999999999997E-2</v>
      </c>
      <c r="I1788" s="15">
        <v>6.6000000000000003E-2</v>
      </c>
      <c r="J1788" t="s">
        <v>412</v>
      </c>
      <c r="K1788" t="s">
        <v>480</v>
      </c>
    </row>
    <row r="1789" spans="1:11">
      <c r="A1789" t="s">
        <v>506</v>
      </c>
      <c r="B1789" t="s">
        <v>595</v>
      </c>
      <c r="C1789" t="s">
        <v>594</v>
      </c>
      <c r="D1789" s="15">
        <v>8.2000000000000003E-2</v>
      </c>
      <c r="E1789" s="15">
        <v>-6.0999999999999999E-2</v>
      </c>
      <c r="F1789" s="15">
        <v>5.5E-2</v>
      </c>
      <c r="G1789" s="15">
        <v>0.01</v>
      </c>
      <c r="H1789" s="15">
        <v>2.5000000000000001E-2</v>
      </c>
      <c r="I1789" s="15">
        <v>6.6000000000000003E-2</v>
      </c>
      <c r="J1789" t="s">
        <v>412</v>
      </c>
      <c r="K1789" t="s">
        <v>480</v>
      </c>
    </row>
    <row r="1790" spans="1:11">
      <c r="A1790" t="s">
        <v>573</v>
      </c>
      <c r="B1790" t="s">
        <v>592</v>
      </c>
      <c r="C1790" t="s">
        <v>575</v>
      </c>
      <c r="D1790" s="15">
        <v>-4.9000000000000002E-2</v>
      </c>
      <c r="E1790" s="15">
        <v>-3.5000000000000003E-2</v>
      </c>
      <c r="F1790" s="15">
        <v>0.112</v>
      </c>
      <c r="G1790" s="15">
        <v>-4.2000000000000003E-2</v>
      </c>
      <c r="H1790" s="15">
        <v>8.9999999999999993E-3</v>
      </c>
      <c r="I1790" s="15">
        <v>6.6000000000000003E-2</v>
      </c>
      <c r="J1790" t="s">
        <v>412</v>
      </c>
      <c r="K1790" t="s">
        <v>510</v>
      </c>
    </row>
    <row r="1791" spans="1:11">
      <c r="A1791" t="s">
        <v>576</v>
      </c>
      <c r="B1791" t="s">
        <v>597</v>
      </c>
      <c r="C1791" t="s">
        <v>594</v>
      </c>
      <c r="D1791" s="15">
        <v>2.1000000000000001E-2</v>
      </c>
      <c r="E1791" s="15">
        <v>-0.11700000000000001</v>
      </c>
      <c r="F1791" s="15">
        <v>-5.8999999999999997E-2</v>
      </c>
      <c r="G1791" s="15">
        <v>-4.8000000000000001E-2</v>
      </c>
      <c r="H1791" s="15">
        <v>-5.1999999999999998E-2</v>
      </c>
      <c r="I1791" s="15">
        <v>6.6000000000000003E-2</v>
      </c>
      <c r="J1791" t="s">
        <v>412</v>
      </c>
      <c r="K1791" t="s">
        <v>579</v>
      </c>
    </row>
    <row r="1792" spans="1:11">
      <c r="A1792" t="s">
        <v>547</v>
      </c>
      <c r="B1792" t="s">
        <v>586</v>
      </c>
      <c r="C1792" t="s">
        <v>594</v>
      </c>
      <c r="D1792" s="15">
        <v>-6.0000000000000001E-3</v>
      </c>
      <c r="E1792" s="15">
        <v>-0.17299999999999999</v>
      </c>
      <c r="F1792" s="15">
        <v>1.7999999999999999E-2</v>
      </c>
      <c r="G1792" s="15">
        <v>-8.8999999999999996E-2</v>
      </c>
      <c r="H1792" s="15">
        <v>-5.3999999999999999E-2</v>
      </c>
      <c r="I1792" s="15">
        <v>6.6000000000000003E-2</v>
      </c>
      <c r="J1792" t="s">
        <v>412</v>
      </c>
      <c r="K1792" t="s">
        <v>510</v>
      </c>
    </row>
    <row r="1793" spans="1:11">
      <c r="A1793" t="s">
        <v>547</v>
      </c>
      <c r="B1793" t="s">
        <v>517</v>
      </c>
      <c r="C1793" t="s">
        <v>572</v>
      </c>
      <c r="D1793" s="15">
        <v>5.0000000000000001E-3</v>
      </c>
      <c r="E1793" s="15">
        <v>-3.0000000000000001E-3</v>
      </c>
      <c r="F1793" s="15">
        <v>-0.191</v>
      </c>
      <c r="G1793" s="15">
        <v>1E-3</v>
      </c>
      <c r="H1793" s="15">
        <v>-6.3E-2</v>
      </c>
      <c r="I1793" s="15">
        <v>6.6000000000000003E-2</v>
      </c>
      <c r="J1793" t="s">
        <v>412</v>
      </c>
      <c r="K1793" t="s">
        <v>579</v>
      </c>
    </row>
    <row r="1794" spans="1:11">
      <c r="A1794" t="s">
        <v>547</v>
      </c>
      <c r="B1794" t="s">
        <v>580</v>
      </c>
      <c r="C1794" t="s">
        <v>584</v>
      </c>
      <c r="D1794" s="15">
        <v>0.112</v>
      </c>
      <c r="E1794" s="15">
        <v>3.2000000000000001E-2</v>
      </c>
      <c r="F1794" s="15">
        <v>0.05</v>
      </c>
      <c r="G1794" s="15">
        <v>7.1999999999999995E-2</v>
      </c>
      <c r="H1794" s="15">
        <v>6.5000000000000002E-2</v>
      </c>
      <c r="I1794" s="15">
        <v>6.5000000000000002E-2</v>
      </c>
      <c r="J1794" t="s">
        <v>412</v>
      </c>
      <c r="K1794" t="s">
        <v>551</v>
      </c>
    </row>
    <row r="1795" spans="1:11">
      <c r="A1795" t="s">
        <v>547</v>
      </c>
      <c r="B1795" t="s">
        <v>590</v>
      </c>
      <c r="C1795" t="s">
        <v>591</v>
      </c>
      <c r="D1795" s="15">
        <v>0.01</v>
      </c>
      <c r="E1795" s="15">
        <v>0.16600000000000001</v>
      </c>
      <c r="F1795" s="15">
        <v>-1.9E-2</v>
      </c>
      <c r="G1795" s="15">
        <v>8.7999999999999995E-2</v>
      </c>
      <c r="H1795" s="15">
        <v>5.1999999999999998E-2</v>
      </c>
      <c r="I1795" s="15">
        <v>6.5000000000000002E-2</v>
      </c>
      <c r="J1795" t="s">
        <v>412</v>
      </c>
      <c r="K1795" t="s">
        <v>493</v>
      </c>
    </row>
    <row r="1796" spans="1:11">
      <c r="A1796" t="s">
        <v>573</v>
      </c>
      <c r="B1796" t="s">
        <v>592</v>
      </c>
      <c r="C1796" t="s">
        <v>593</v>
      </c>
      <c r="D1796" s="15">
        <v>2.8000000000000001E-2</v>
      </c>
      <c r="E1796" s="15">
        <v>-3.5000000000000003E-2</v>
      </c>
      <c r="F1796" s="15">
        <v>0.13100000000000001</v>
      </c>
      <c r="G1796" s="15">
        <v>-4.0000000000000001E-3</v>
      </c>
      <c r="H1796" s="15">
        <v>4.1000000000000002E-2</v>
      </c>
      <c r="I1796" s="15">
        <v>6.5000000000000002E-2</v>
      </c>
      <c r="J1796" t="s">
        <v>412</v>
      </c>
      <c r="K1796" t="s">
        <v>480</v>
      </c>
    </row>
    <row r="1797" spans="1:11">
      <c r="A1797" t="s">
        <v>547</v>
      </c>
      <c r="B1797" t="s">
        <v>517</v>
      </c>
      <c r="C1797" t="s">
        <v>575</v>
      </c>
      <c r="D1797" s="15">
        <v>-6.8000000000000005E-2</v>
      </c>
      <c r="E1797" s="15">
        <v>-3.0000000000000001E-3</v>
      </c>
      <c r="F1797" s="15">
        <v>0.123</v>
      </c>
      <c r="G1797" s="15">
        <v>-3.5999999999999997E-2</v>
      </c>
      <c r="H1797" s="15">
        <v>1.7000000000000001E-2</v>
      </c>
      <c r="I1797" s="15">
        <v>6.5000000000000002E-2</v>
      </c>
      <c r="J1797" t="s">
        <v>412</v>
      </c>
      <c r="K1797" t="s">
        <v>510</v>
      </c>
    </row>
    <row r="1798" spans="1:11">
      <c r="A1798" t="s">
        <v>506</v>
      </c>
      <c r="B1798" t="s">
        <v>588</v>
      </c>
      <c r="C1798" t="s">
        <v>583</v>
      </c>
      <c r="D1798" s="15">
        <v>4.1000000000000002E-2</v>
      </c>
      <c r="E1798" s="15">
        <v>-8.7999999999999995E-2</v>
      </c>
      <c r="F1798" s="15">
        <v>6.5000000000000002E-2</v>
      </c>
      <c r="G1798" s="15">
        <v>-2.4E-2</v>
      </c>
      <c r="H1798" s="15">
        <v>6.0000000000000001E-3</v>
      </c>
      <c r="I1798" s="15">
        <v>6.5000000000000002E-2</v>
      </c>
      <c r="J1798" t="s">
        <v>412</v>
      </c>
      <c r="K1798" t="s">
        <v>480</v>
      </c>
    </row>
    <row r="1799" spans="1:11">
      <c r="A1799" t="s">
        <v>573</v>
      </c>
      <c r="B1799" t="s">
        <v>581</v>
      </c>
      <c r="C1799" t="s">
        <v>593</v>
      </c>
      <c r="D1799" s="15">
        <v>2.8000000000000001E-2</v>
      </c>
      <c r="E1799" s="15">
        <v>7.3999999999999996E-2</v>
      </c>
      <c r="F1799" s="15">
        <v>-9.4E-2</v>
      </c>
      <c r="G1799" s="15">
        <v>5.0999999999999997E-2</v>
      </c>
      <c r="H1799" s="15">
        <v>3.0000000000000001E-3</v>
      </c>
      <c r="I1799" s="15">
        <v>6.5000000000000002E-2</v>
      </c>
      <c r="J1799" t="s">
        <v>412</v>
      </c>
      <c r="K1799" t="s">
        <v>493</v>
      </c>
    </row>
    <row r="1800" spans="1:11">
      <c r="A1800" t="s">
        <v>576</v>
      </c>
      <c r="B1800" t="s">
        <v>550</v>
      </c>
      <c r="C1800" t="s">
        <v>591</v>
      </c>
      <c r="D1800" s="15">
        <v>-6.5000000000000002E-2</v>
      </c>
      <c r="E1800" s="15">
        <v>-0.03</v>
      </c>
      <c r="F1800" s="15">
        <v>9.9000000000000005E-2</v>
      </c>
      <c r="G1800" s="15">
        <v>-4.8000000000000001E-2</v>
      </c>
      <c r="H1800" s="15">
        <v>1E-3</v>
      </c>
      <c r="I1800" s="15">
        <v>6.5000000000000002E-2</v>
      </c>
      <c r="J1800" t="s">
        <v>412</v>
      </c>
      <c r="K1800" t="s">
        <v>510</v>
      </c>
    </row>
    <row r="1801" spans="1:11">
      <c r="A1801" t="s">
        <v>547</v>
      </c>
      <c r="B1801" t="s">
        <v>580</v>
      </c>
      <c r="C1801" t="s">
        <v>570</v>
      </c>
      <c r="D1801" s="15">
        <v>-0.14799999999999999</v>
      </c>
      <c r="E1801" s="15">
        <v>3.2000000000000001E-2</v>
      </c>
      <c r="F1801" s="15">
        <v>1.6E-2</v>
      </c>
      <c r="G1801" s="15">
        <v>-5.8000000000000003E-2</v>
      </c>
      <c r="H1801" s="15">
        <v>-3.3000000000000002E-2</v>
      </c>
      <c r="I1801" s="15">
        <v>6.5000000000000002E-2</v>
      </c>
      <c r="J1801" t="s">
        <v>412</v>
      </c>
      <c r="K1801" t="s">
        <v>487</v>
      </c>
    </row>
    <row r="1802" spans="1:11">
      <c r="A1802" t="s">
        <v>547</v>
      </c>
      <c r="B1802" t="s">
        <v>586</v>
      </c>
      <c r="C1802" t="s">
        <v>591</v>
      </c>
      <c r="D1802" s="15">
        <v>0.01</v>
      </c>
      <c r="E1802" s="15">
        <v>-0.17299999999999999</v>
      </c>
      <c r="F1802" s="15">
        <v>1.2E-2</v>
      </c>
      <c r="G1802" s="15">
        <v>-8.1000000000000003E-2</v>
      </c>
      <c r="H1802" s="15">
        <v>-0.05</v>
      </c>
      <c r="I1802" s="15">
        <v>6.5000000000000002E-2</v>
      </c>
      <c r="J1802" t="s">
        <v>412</v>
      </c>
      <c r="K1802" t="s">
        <v>480</v>
      </c>
    </row>
    <row r="1803" spans="1:11">
      <c r="A1803" t="s">
        <v>506</v>
      </c>
      <c r="B1803" t="s">
        <v>581</v>
      </c>
      <c r="C1803" t="s">
        <v>593</v>
      </c>
      <c r="D1803" s="15">
        <v>-7.1999999999999995E-2</v>
      </c>
      <c r="E1803" s="15">
        <v>-0.03</v>
      </c>
      <c r="F1803" s="15">
        <v>-9.4E-2</v>
      </c>
      <c r="G1803" s="15">
        <v>-5.0999999999999997E-2</v>
      </c>
      <c r="H1803" s="15">
        <v>-6.5000000000000002E-2</v>
      </c>
      <c r="I1803" s="15">
        <v>6.5000000000000002E-2</v>
      </c>
      <c r="J1803" t="s">
        <v>412</v>
      </c>
      <c r="K1803" t="s">
        <v>589</v>
      </c>
    </row>
    <row r="1804" spans="1:11">
      <c r="A1804" t="s">
        <v>547</v>
      </c>
      <c r="B1804" t="s">
        <v>509</v>
      </c>
      <c r="C1804" t="s">
        <v>477</v>
      </c>
      <c r="D1804" s="15">
        <v>6.4000000000000001E-2</v>
      </c>
      <c r="E1804" s="15">
        <v>4.5999999999999999E-2</v>
      </c>
      <c r="F1804" s="15">
        <v>8.2000000000000003E-2</v>
      </c>
      <c r="G1804" s="15">
        <v>5.5E-2</v>
      </c>
      <c r="H1804" s="15">
        <v>6.4000000000000001E-2</v>
      </c>
      <c r="I1804" s="15">
        <v>6.4000000000000001E-2</v>
      </c>
      <c r="J1804" t="s">
        <v>412</v>
      </c>
      <c r="K1804" t="s">
        <v>551</v>
      </c>
    </row>
    <row r="1805" spans="1:11">
      <c r="A1805" t="s">
        <v>576</v>
      </c>
      <c r="B1805" t="s">
        <v>505</v>
      </c>
      <c r="C1805" t="s">
        <v>477</v>
      </c>
      <c r="D1805" s="15">
        <v>2.9000000000000001E-2</v>
      </c>
      <c r="E1805" s="15">
        <v>0.104</v>
      </c>
      <c r="F1805" s="15">
        <v>5.8999999999999997E-2</v>
      </c>
      <c r="G1805" s="15">
        <v>6.6000000000000003E-2</v>
      </c>
      <c r="H1805" s="15">
        <v>6.4000000000000001E-2</v>
      </c>
      <c r="I1805" s="15">
        <v>6.4000000000000001E-2</v>
      </c>
      <c r="J1805" t="s">
        <v>412</v>
      </c>
      <c r="K1805" t="s">
        <v>551</v>
      </c>
    </row>
    <row r="1806" spans="1:11">
      <c r="A1806" t="s">
        <v>479</v>
      </c>
      <c r="B1806" t="s">
        <v>580</v>
      </c>
      <c r="C1806" t="s">
        <v>591</v>
      </c>
      <c r="D1806" s="15">
        <v>9.4E-2</v>
      </c>
      <c r="E1806" s="15">
        <v>-1.9E-2</v>
      </c>
      <c r="F1806" s="15">
        <v>7.9000000000000001E-2</v>
      </c>
      <c r="G1806" s="15">
        <v>3.6999999999999998E-2</v>
      </c>
      <c r="H1806" s="15">
        <v>5.0999999999999997E-2</v>
      </c>
      <c r="I1806" s="15">
        <v>6.4000000000000001E-2</v>
      </c>
      <c r="J1806" t="s">
        <v>412</v>
      </c>
      <c r="K1806" t="s">
        <v>480</v>
      </c>
    </row>
    <row r="1807" spans="1:11">
      <c r="A1807" t="s">
        <v>486</v>
      </c>
      <c r="B1807" t="s">
        <v>509</v>
      </c>
      <c r="C1807" t="s">
        <v>591</v>
      </c>
      <c r="D1807" s="15">
        <v>-0.02</v>
      </c>
      <c r="E1807" s="15">
        <v>-5.0000000000000001E-3</v>
      </c>
      <c r="F1807" s="15">
        <v>0.16800000000000001</v>
      </c>
      <c r="G1807" s="15">
        <v>-1.2999999999999999E-2</v>
      </c>
      <c r="H1807" s="15">
        <v>4.8000000000000001E-2</v>
      </c>
      <c r="I1807" s="15">
        <v>6.4000000000000001E-2</v>
      </c>
      <c r="J1807" t="s">
        <v>412</v>
      </c>
      <c r="K1807" t="s">
        <v>510</v>
      </c>
    </row>
    <row r="1808" spans="1:11">
      <c r="A1808" t="s">
        <v>479</v>
      </c>
      <c r="B1808" t="s">
        <v>588</v>
      </c>
      <c r="C1808" t="s">
        <v>593</v>
      </c>
      <c r="D1808" s="15">
        <v>-8.0000000000000002E-3</v>
      </c>
      <c r="E1808" s="15">
        <v>-1.7000000000000001E-2</v>
      </c>
      <c r="F1808" s="15">
        <v>0.16800000000000001</v>
      </c>
      <c r="G1808" s="15">
        <v>-1.2E-2</v>
      </c>
      <c r="H1808" s="15">
        <v>4.8000000000000001E-2</v>
      </c>
      <c r="I1808" s="15">
        <v>6.4000000000000001E-2</v>
      </c>
      <c r="J1808" t="s">
        <v>412</v>
      </c>
      <c r="K1808" t="s">
        <v>510</v>
      </c>
    </row>
    <row r="1809" spans="1:11">
      <c r="A1809" t="s">
        <v>571</v>
      </c>
      <c r="B1809" t="s">
        <v>550</v>
      </c>
      <c r="C1809" t="s">
        <v>591</v>
      </c>
      <c r="D1809" s="15">
        <v>6.6000000000000003E-2</v>
      </c>
      <c r="E1809" s="15">
        <v>-2.5000000000000001E-2</v>
      </c>
      <c r="F1809" s="15">
        <v>9.9000000000000005E-2</v>
      </c>
      <c r="G1809" s="15">
        <v>2.1000000000000001E-2</v>
      </c>
      <c r="H1809" s="15">
        <v>4.7E-2</v>
      </c>
      <c r="I1809" s="15">
        <v>6.4000000000000001E-2</v>
      </c>
      <c r="J1809" t="s">
        <v>412</v>
      </c>
      <c r="K1809" t="s">
        <v>480</v>
      </c>
    </row>
    <row r="1810" spans="1:11">
      <c r="A1810" t="s">
        <v>506</v>
      </c>
      <c r="B1810" t="s">
        <v>597</v>
      </c>
      <c r="C1810" t="s">
        <v>594</v>
      </c>
      <c r="D1810" s="15">
        <v>8.2000000000000003E-2</v>
      </c>
      <c r="E1810" s="15">
        <v>5.0999999999999997E-2</v>
      </c>
      <c r="F1810" s="15">
        <v>-5.8999999999999997E-2</v>
      </c>
      <c r="G1810" s="15">
        <v>6.7000000000000004E-2</v>
      </c>
      <c r="H1810" s="15">
        <v>2.5000000000000001E-2</v>
      </c>
      <c r="I1810" s="15">
        <v>6.4000000000000001E-2</v>
      </c>
      <c r="J1810" t="s">
        <v>412</v>
      </c>
      <c r="K1810" t="s">
        <v>493</v>
      </c>
    </row>
    <row r="1811" spans="1:11">
      <c r="A1811" t="s">
        <v>479</v>
      </c>
      <c r="B1811" t="s">
        <v>598</v>
      </c>
      <c r="C1811" t="s">
        <v>492</v>
      </c>
      <c r="D1811" s="15">
        <v>5.8999999999999997E-2</v>
      </c>
      <c r="E1811" s="15">
        <v>-7.9000000000000001E-2</v>
      </c>
      <c r="F1811" s="15">
        <v>5.3999999999999999E-2</v>
      </c>
      <c r="G1811" s="15">
        <v>-0.01</v>
      </c>
      <c r="H1811" s="15">
        <v>1.2E-2</v>
      </c>
      <c r="I1811" s="15">
        <v>6.4000000000000001E-2</v>
      </c>
      <c r="J1811" t="s">
        <v>412</v>
      </c>
      <c r="K1811" t="s">
        <v>480</v>
      </c>
    </row>
    <row r="1812" spans="1:11">
      <c r="A1812" t="s">
        <v>506</v>
      </c>
      <c r="B1812" t="s">
        <v>517</v>
      </c>
      <c r="C1812" t="s">
        <v>585</v>
      </c>
      <c r="D1812" s="15">
        <v>-5.6000000000000001E-2</v>
      </c>
      <c r="E1812" s="15">
        <v>-6.5000000000000002E-2</v>
      </c>
      <c r="F1812" s="15">
        <v>7.0999999999999994E-2</v>
      </c>
      <c r="G1812" s="15">
        <v>-0.06</v>
      </c>
      <c r="H1812" s="15">
        <v>-1.6E-2</v>
      </c>
      <c r="I1812" s="15">
        <v>6.4000000000000001E-2</v>
      </c>
      <c r="J1812" t="s">
        <v>412</v>
      </c>
      <c r="K1812" t="s">
        <v>510</v>
      </c>
    </row>
    <row r="1813" spans="1:11">
      <c r="A1813" t="s">
        <v>547</v>
      </c>
      <c r="B1813" t="s">
        <v>509</v>
      </c>
      <c r="C1813" t="s">
        <v>572</v>
      </c>
      <c r="D1813" s="15">
        <v>5.0000000000000001E-3</v>
      </c>
      <c r="E1813" s="15">
        <v>4.5999999999999999E-2</v>
      </c>
      <c r="F1813" s="15">
        <v>-0.14199999999999999</v>
      </c>
      <c r="G1813" s="15">
        <v>2.5000000000000001E-2</v>
      </c>
      <c r="H1813" s="15">
        <v>-0.03</v>
      </c>
      <c r="I1813" s="15">
        <v>6.4000000000000001E-2</v>
      </c>
      <c r="J1813" t="s">
        <v>412</v>
      </c>
      <c r="K1813" t="s">
        <v>493</v>
      </c>
    </row>
    <row r="1814" spans="1:11">
      <c r="A1814" t="s">
        <v>479</v>
      </c>
      <c r="B1814" t="s">
        <v>598</v>
      </c>
      <c r="C1814" t="s">
        <v>572</v>
      </c>
      <c r="D1814" s="15">
        <v>-6.8000000000000005E-2</v>
      </c>
      <c r="E1814" s="15">
        <v>-7.9000000000000001E-2</v>
      </c>
      <c r="F1814" s="15">
        <v>4.5999999999999999E-2</v>
      </c>
      <c r="G1814" s="15">
        <v>-7.2999999999999995E-2</v>
      </c>
      <c r="H1814" s="15">
        <v>-3.3000000000000002E-2</v>
      </c>
      <c r="I1814" s="15">
        <v>6.4000000000000001E-2</v>
      </c>
      <c r="J1814" t="s">
        <v>412</v>
      </c>
      <c r="K1814" t="s">
        <v>510</v>
      </c>
    </row>
    <row r="1815" spans="1:11">
      <c r="A1815" t="s">
        <v>547</v>
      </c>
      <c r="B1815" t="s">
        <v>550</v>
      </c>
      <c r="C1815" t="s">
        <v>570</v>
      </c>
      <c r="D1815" s="15">
        <v>-0.14799999999999999</v>
      </c>
      <c r="E1815" s="15">
        <v>2.7E-2</v>
      </c>
      <c r="F1815" s="15">
        <v>-1.9E-2</v>
      </c>
      <c r="G1815" s="15">
        <v>-6.0999999999999999E-2</v>
      </c>
      <c r="H1815" s="15">
        <v>-4.7E-2</v>
      </c>
      <c r="I1815" s="15">
        <v>6.4000000000000001E-2</v>
      </c>
      <c r="J1815" t="s">
        <v>412</v>
      </c>
      <c r="K1815" t="s">
        <v>500</v>
      </c>
    </row>
    <row r="1816" spans="1:11">
      <c r="A1816" t="s">
        <v>486</v>
      </c>
      <c r="B1816" t="s">
        <v>596</v>
      </c>
      <c r="C1816" t="s">
        <v>582</v>
      </c>
      <c r="D1816" s="15">
        <v>-0.129</v>
      </c>
      <c r="E1816" s="15">
        <v>-1E-3</v>
      </c>
      <c r="F1816" s="15">
        <v>-6.2E-2</v>
      </c>
      <c r="G1816" s="15">
        <v>-6.5000000000000002E-2</v>
      </c>
      <c r="H1816" s="15">
        <v>-6.4000000000000001E-2</v>
      </c>
      <c r="I1816" s="15">
        <v>6.4000000000000001E-2</v>
      </c>
      <c r="J1816" t="s">
        <v>412</v>
      </c>
      <c r="K1816" t="s">
        <v>589</v>
      </c>
    </row>
    <row r="1817" spans="1:11">
      <c r="A1817" t="s">
        <v>479</v>
      </c>
      <c r="B1817" t="s">
        <v>505</v>
      </c>
      <c r="C1817" t="s">
        <v>593</v>
      </c>
      <c r="D1817" s="15">
        <v>-8.0000000000000002E-3</v>
      </c>
      <c r="E1817" s="15">
        <v>-0.14699999999999999</v>
      </c>
      <c r="F1817" s="15">
        <v>-3.7999999999999999E-2</v>
      </c>
      <c r="G1817" s="15">
        <v>-7.6999999999999999E-2</v>
      </c>
      <c r="H1817" s="15">
        <v>-6.4000000000000001E-2</v>
      </c>
      <c r="I1817" s="15">
        <v>6.4000000000000001E-2</v>
      </c>
      <c r="J1817" t="s">
        <v>412</v>
      </c>
      <c r="K1817" t="s">
        <v>589</v>
      </c>
    </row>
    <row r="1818" spans="1:11">
      <c r="A1818" t="s">
        <v>506</v>
      </c>
      <c r="B1818" t="s">
        <v>505</v>
      </c>
      <c r="C1818" t="s">
        <v>572</v>
      </c>
      <c r="D1818" s="15">
        <v>-0.11899999999999999</v>
      </c>
      <c r="E1818" s="15">
        <v>-6.5000000000000002E-2</v>
      </c>
      <c r="F1818" s="15">
        <v>-7.0000000000000001E-3</v>
      </c>
      <c r="G1818" s="15">
        <v>-9.1999999999999998E-2</v>
      </c>
      <c r="H1818" s="15">
        <v>-6.4000000000000001E-2</v>
      </c>
      <c r="I1818" s="15">
        <v>6.4000000000000001E-2</v>
      </c>
      <c r="J1818" t="s">
        <v>412</v>
      </c>
      <c r="K1818" t="s">
        <v>589</v>
      </c>
    </row>
    <row r="1819" spans="1:11">
      <c r="A1819" t="s">
        <v>573</v>
      </c>
      <c r="B1819" t="s">
        <v>588</v>
      </c>
      <c r="C1819" t="s">
        <v>583</v>
      </c>
      <c r="D1819" s="15">
        <v>7.3999999999999996E-2</v>
      </c>
      <c r="E1819" s="15">
        <v>4.9000000000000002E-2</v>
      </c>
      <c r="F1819" s="15">
        <v>6.5000000000000002E-2</v>
      </c>
      <c r="G1819" s="15">
        <v>6.2E-2</v>
      </c>
      <c r="H1819" s="15">
        <v>6.3E-2</v>
      </c>
      <c r="I1819" s="15">
        <v>6.3E-2</v>
      </c>
      <c r="J1819" t="s">
        <v>412</v>
      </c>
      <c r="K1819" t="s">
        <v>551</v>
      </c>
    </row>
    <row r="1820" spans="1:11">
      <c r="A1820" t="s">
        <v>576</v>
      </c>
      <c r="B1820" t="s">
        <v>588</v>
      </c>
      <c r="C1820" t="s">
        <v>594</v>
      </c>
      <c r="D1820" s="15">
        <v>2.1000000000000001E-2</v>
      </c>
      <c r="E1820" s="15">
        <v>0.124</v>
      </c>
      <c r="F1820" s="15">
        <v>4.2999999999999997E-2</v>
      </c>
      <c r="G1820" s="15">
        <v>7.2999999999999995E-2</v>
      </c>
      <c r="H1820" s="15">
        <v>6.3E-2</v>
      </c>
      <c r="I1820" s="15">
        <v>6.3E-2</v>
      </c>
      <c r="J1820" t="s">
        <v>412</v>
      </c>
      <c r="K1820" t="s">
        <v>551</v>
      </c>
    </row>
    <row r="1821" spans="1:11">
      <c r="A1821" t="s">
        <v>506</v>
      </c>
      <c r="B1821" t="s">
        <v>578</v>
      </c>
      <c r="C1821" t="s">
        <v>594</v>
      </c>
      <c r="D1821" s="15">
        <v>8.2000000000000003E-2</v>
      </c>
      <c r="E1821" s="15">
        <v>-5.6000000000000001E-2</v>
      </c>
      <c r="F1821" s="15">
        <v>5.1999999999999998E-2</v>
      </c>
      <c r="G1821" s="15">
        <v>1.2999999999999999E-2</v>
      </c>
      <c r="H1821" s="15">
        <v>2.5999999999999999E-2</v>
      </c>
      <c r="I1821" s="15">
        <v>6.3E-2</v>
      </c>
      <c r="J1821" t="s">
        <v>412</v>
      </c>
      <c r="K1821" t="s">
        <v>480</v>
      </c>
    </row>
    <row r="1822" spans="1:11">
      <c r="A1822" t="s">
        <v>577</v>
      </c>
      <c r="B1822" t="s">
        <v>597</v>
      </c>
      <c r="C1822" t="s">
        <v>594</v>
      </c>
      <c r="D1822" s="15">
        <v>6.6000000000000003E-2</v>
      </c>
      <c r="E1822" s="15">
        <v>6.6000000000000003E-2</v>
      </c>
      <c r="F1822" s="15">
        <v>-5.8999999999999997E-2</v>
      </c>
      <c r="G1822" s="15">
        <v>6.6000000000000003E-2</v>
      </c>
      <c r="H1822" s="15">
        <v>2.4E-2</v>
      </c>
      <c r="I1822" s="15">
        <v>6.3E-2</v>
      </c>
      <c r="J1822" t="s">
        <v>412</v>
      </c>
      <c r="K1822" t="s">
        <v>493</v>
      </c>
    </row>
    <row r="1823" spans="1:11">
      <c r="A1823" t="s">
        <v>479</v>
      </c>
      <c r="B1823" t="s">
        <v>598</v>
      </c>
      <c r="C1823" t="s">
        <v>584</v>
      </c>
      <c r="D1823" s="15">
        <v>0.106</v>
      </c>
      <c r="E1823" s="15">
        <v>-7.9000000000000001E-2</v>
      </c>
      <c r="F1823" s="15">
        <v>-4.0000000000000001E-3</v>
      </c>
      <c r="G1823" s="15">
        <v>1.4E-2</v>
      </c>
      <c r="H1823" s="15">
        <v>8.0000000000000002E-3</v>
      </c>
      <c r="I1823" s="15">
        <v>6.3E-2</v>
      </c>
      <c r="J1823" t="s">
        <v>412</v>
      </c>
      <c r="K1823" t="s">
        <v>579</v>
      </c>
    </row>
    <row r="1824" spans="1:11">
      <c r="A1824" t="s">
        <v>571</v>
      </c>
      <c r="B1824" t="s">
        <v>592</v>
      </c>
      <c r="C1824" t="s">
        <v>582</v>
      </c>
      <c r="D1824" s="15">
        <v>9.1999999999999998E-2</v>
      </c>
      <c r="E1824" s="15">
        <v>1.0999999999999999E-2</v>
      </c>
      <c r="F1824" s="15">
        <v>-8.5999999999999993E-2</v>
      </c>
      <c r="G1824" s="15">
        <v>5.1999999999999998E-2</v>
      </c>
      <c r="H1824" s="15">
        <v>6.0000000000000001E-3</v>
      </c>
      <c r="I1824" s="15">
        <v>6.3E-2</v>
      </c>
      <c r="J1824" t="s">
        <v>412</v>
      </c>
      <c r="K1824" t="s">
        <v>493</v>
      </c>
    </row>
    <row r="1825" spans="1:11">
      <c r="A1825" t="s">
        <v>479</v>
      </c>
      <c r="B1825" t="s">
        <v>595</v>
      </c>
      <c r="C1825" t="s">
        <v>582</v>
      </c>
      <c r="D1825" s="15">
        <v>-0.127</v>
      </c>
      <c r="E1825" s="15">
        <v>-4.7E-2</v>
      </c>
      <c r="F1825" s="15">
        <v>1.4999999999999999E-2</v>
      </c>
      <c r="G1825" s="15">
        <v>-8.6999999999999994E-2</v>
      </c>
      <c r="H1825" s="15">
        <v>-5.2999999999999999E-2</v>
      </c>
      <c r="I1825" s="15">
        <v>6.3E-2</v>
      </c>
      <c r="J1825" t="s">
        <v>412</v>
      </c>
      <c r="K1825" t="s">
        <v>510</v>
      </c>
    </row>
    <row r="1826" spans="1:11">
      <c r="A1826" t="s">
        <v>571</v>
      </c>
      <c r="B1826" t="s">
        <v>592</v>
      </c>
      <c r="C1826" t="s">
        <v>584</v>
      </c>
      <c r="D1826" s="15">
        <v>-0.108</v>
      </c>
      <c r="E1826" s="15">
        <v>1.0999999999999999E-2</v>
      </c>
      <c r="F1826" s="15">
        <v>-7.0000000000000007E-2</v>
      </c>
      <c r="G1826" s="15">
        <v>-4.8000000000000001E-2</v>
      </c>
      <c r="H1826" s="15">
        <v>-5.5E-2</v>
      </c>
      <c r="I1826" s="15">
        <v>6.3E-2</v>
      </c>
      <c r="J1826" t="s">
        <v>412</v>
      </c>
      <c r="K1826" t="s">
        <v>500</v>
      </c>
    </row>
    <row r="1827" spans="1:11">
      <c r="A1827" t="s">
        <v>571</v>
      </c>
      <c r="B1827" t="s">
        <v>597</v>
      </c>
      <c r="C1827" t="s">
        <v>582</v>
      </c>
      <c r="D1827" s="15">
        <v>9.1999999999999998E-2</v>
      </c>
      <c r="E1827" s="15">
        <v>4.7E-2</v>
      </c>
      <c r="F1827" s="15">
        <v>4.7E-2</v>
      </c>
      <c r="G1827" s="15">
        <v>6.9000000000000006E-2</v>
      </c>
      <c r="H1827" s="15">
        <v>6.2E-2</v>
      </c>
      <c r="I1827" s="15">
        <v>6.2E-2</v>
      </c>
      <c r="J1827" t="s">
        <v>412</v>
      </c>
      <c r="K1827" t="s">
        <v>551</v>
      </c>
    </row>
    <row r="1828" spans="1:11">
      <c r="A1828" t="s">
        <v>547</v>
      </c>
      <c r="B1828" t="s">
        <v>498</v>
      </c>
      <c r="C1828" t="s">
        <v>591</v>
      </c>
      <c r="D1828" s="15">
        <v>0.01</v>
      </c>
      <c r="E1828" s="15">
        <v>0.16500000000000001</v>
      </c>
      <c r="F1828" s="15">
        <v>-0.01</v>
      </c>
      <c r="G1828" s="15">
        <v>8.7999999999999995E-2</v>
      </c>
      <c r="H1828" s="15">
        <v>5.5E-2</v>
      </c>
      <c r="I1828" s="15">
        <v>6.2E-2</v>
      </c>
      <c r="J1828" t="s">
        <v>412</v>
      </c>
      <c r="K1828" t="s">
        <v>493</v>
      </c>
    </row>
    <row r="1829" spans="1:11">
      <c r="A1829" t="s">
        <v>571</v>
      </c>
      <c r="B1829" t="s">
        <v>498</v>
      </c>
      <c r="C1829" t="s">
        <v>591</v>
      </c>
      <c r="D1829" s="15">
        <v>6.6000000000000003E-2</v>
      </c>
      <c r="E1829" s="15">
        <v>0.11</v>
      </c>
      <c r="F1829" s="15">
        <v>-0.01</v>
      </c>
      <c r="G1829" s="15">
        <v>8.7999999999999995E-2</v>
      </c>
      <c r="H1829" s="15">
        <v>5.5E-2</v>
      </c>
      <c r="I1829" s="15">
        <v>6.2E-2</v>
      </c>
      <c r="J1829" t="s">
        <v>412</v>
      </c>
      <c r="K1829" t="s">
        <v>493</v>
      </c>
    </row>
    <row r="1830" spans="1:11">
      <c r="A1830" t="s">
        <v>479</v>
      </c>
      <c r="B1830" t="s">
        <v>595</v>
      </c>
      <c r="C1830" t="s">
        <v>594</v>
      </c>
      <c r="D1830" s="15">
        <v>8.5000000000000006E-2</v>
      </c>
      <c r="E1830" s="15">
        <v>-4.7E-2</v>
      </c>
      <c r="F1830" s="15">
        <v>5.5E-2</v>
      </c>
      <c r="G1830" s="15">
        <v>1.9E-2</v>
      </c>
      <c r="H1830" s="15">
        <v>3.1E-2</v>
      </c>
      <c r="I1830" s="15">
        <v>6.2E-2</v>
      </c>
      <c r="J1830" t="s">
        <v>412</v>
      </c>
      <c r="K1830" t="s">
        <v>480</v>
      </c>
    </row>
    <row r="1831" spans="1:11">
      <c r="A1831" t="s">
        <v>577</v>
      </c>
      <c r="B1831" t="s">
        <v>596</v>
      </c>
      <c r="C1831" t="s">
        <v>594</v>
      </c>
      <c r="D1831" s="15">
        <v>6.6000000000000003E-2</v>
      </c>
      <c r="E1831" s="15">
        <v>-7.0000000000000007E-2</v>
      </c>
      <c r="F1831" s="15">
        <v>0.05</v>
      </c>
      <c r="G1831" s="15">
        <v>-2E-3</v>
      </c>
      <c r="H1831" s="15">
        <v>1.4999999999999999E-2</v>
      </c>
      <c r="I1831" s="15">
        <v>6.2E-2</v>
      </c>
      <c r="J1831" t="s">
        <v>412</v>
      </c>
      <c r="K1831" t="s">
        <v>480</v>
      </c>
    </row>
    <row r="1832" spans="1:11">
      <c r="A1832" t="s">
        <v>576</v>
      </c>
      <c r="B1832" t="s">
        <v>478</v>
      </c>
      <c r="C1832" t="s">
        <v>477</v>
      </c>
      <c r="D1832" s="15">
        <v>2.9000000000000001E-2</v>
      </c>
      <c r="E1832" s="15">
        <v>-8.1000000000000003E-2</v>
      </c>
      <c r="F1832" s="15">
        <v>7.6999999999999999E-2</v>
      </c>
      <c r="G1832" s="15">
        <v>-2.5999999999999999E-2</v>
      </c>
      <c r="H1832" s="15">
        <v>8.0000000000000002E-3</v>
      </c>
      <c r="I1832" s="15">
        <v>6.2E-2</v>
      </c>
      <c r="J1832" t="s">
        <v>412</v>
      </c>
      <c r="K1832" t="s">
        <v>480</v>
      </c>
    </row>
    <row r="1833" spans="1:11">
      <c r="A1833" t="s">
        <v>486</v>
      </c>
      <c r="B1833" t="s">
        <v>597</v>
      </c>
      <c r="C1833" t="s">
        <v>582</v>
      </c>
      <c r="D1833" s="15">
        <v>-0.129</v>
      </c>
      <c r="E1833" s="15">
        <v>-8.9999999999999993E-3</v>
      </c>
      <c r="F1833" s="15">
        <v>4.7E-2</v>
      </c>
      <c r="G1833" s="15">
        <v>-6.9000000000000006E-2</v>
      </c>
      <c r="H1833" s="15">
        <v>-3.1E-2</v>
      </c>
      <c r="I1833" s="15">
        <v>6.2E-2</v>
      </c>
      <c r="J1833" t="s">
        <v>412</v>
      </c>
      <c r="K1833" t="s">
        <v>510</v>
      </c>
    </row>
    <row r="1834" spans="1:11">
      <c r="A1834" t="s">
        <v>571</v>
      </c>
      <c r="B1834" t="s">
        <v>596</v>
      </c>
      <c r="C1834" t="s">
        <v>593</v>
      </c>
      <c r="D1834" s="15">
        <v>-0.10100000000000001</v>
      </c>
      <c r="E1834" s="15">
        <v>4.5999999999999999E-2</v>
      </c>
      <c r="F1834" s="15">
        <v>-0.04</v>
      </c>
      <c r="G1834" s="15">
        <v>-2.7E-2</v>
      </c>
      <c r="H1834" s="15">
        <v>-3.2000000000000001E-2</v>
      </c>
      <c r="I1834" s="15">
        <v>6.2E-2</v>
      </c>
      <c r="J1834" t="s">
        <v>412</v>
      </c>
      <c r="K1834" t="s">
        <v>500</v>
      </c>
    </row>
    <row r="1835" spans="1:11">
      <c r="A1835" t="s">
        <v>547</v>
      </c>
      <c r="B1835" t="s">
        <v>598</v>
      </c>
      <c r="C1835" t="s">
        <v>593</v>
      </c>
      <c r="D1835" s="15">
        <v>3.5000000000000003E-2</v>
      </c>
      <c r="E1835" s="15">
        <v>-3.5999999999999997E-2</v>
      </c>
      <c r="F1835" s="15">
        <v>-0.115</v>
      </c>
      <c r="G1835" s="15">
        <v>0</v>
      </c>
      <c r="H1835" s="15">
        <v>-3.9E-2</v>
      </c>
      <c r="I1835" s="15">
        <v>6.2E-2</v>
      </c>
      <c r="J1835" t="s">
        <v>412</v>
      </c>
      <c r="K1835" t="s">
        <v>579</v>
      </c>
    </row>
    <row r="1836" spans="1:11">
      <c r="A1836" t="s">
        <v>576</v>
      </c>
      <c r="B1836" t="s">
        <v>596</v>
      </c>
      <c r="C1836" t="s">
        <v>583</v>
      </c>
      <c r="D1836" s="15">
        <v>-0.109</v>
      </c>
      <c r="E1836" s="15">
        <v>-6.0999999999999999E-2</v>
      </c>
      <c r="F1836" s="15">
        <v>1.4999999999999999E-2</v>
      </c>
      <c r="G1836" s="15">
        <v>-8.5000000000000006E-2</v>
      </c>
      <c r="H1836" s="15">
        <v>-5.1999999999999998E-2</v>
      </c>
      <c r="I1836" s="15">
        <v>6.2E-2</v>
      </c>
      <c r="J1836" t="s">
        <v>412</v>
      </c>
      <c r="K1836" t="s">
        <v>510</v>
      </c>
    </row>
    <row r="1837" spans="1:11">
      <c r="A1837" t="s">
        <v>571</v>
      </c>
      <c r="B1837" t="s">
        <v>592</v>
      </c>
      <c r="C1837" t="s">
        <v>583</v>
      </c>
      <c r="D1837" s="15">
        <v>-0.152</v>
      </c>
      <c r="E1837" s="15">
        <v>1.0999999999999999E-2</v>
      </c>
      <c r="F1837" s="15">
        <v>-2.3E-2</v>
      </c>
      <c r="G1837" s="15">
        <v>-7.0000000000000007E-2</v>
      </c>
      <c r="H1837" s="15">
        <v>-5.3999999999999999E-2</v>
      </c>
      <c r="I1837" s="15">
        <v>6.2E-2</v>
      </c>
      <c r="J1837" t="s">
        <v>412</v>
      </c>
      <c r="K1837" t="s">
        <v>500</v>
      </c>
    </row>
    <row r="1838" spans="1:11">
      <c r="A1838" t="s">
        <v>547</v>
      </c>
      <c r="B1838" t="s">
        <v>580</v>
      </c>
      <c r="C1838" t="s">
        <v>582</v>
      </c>
      <c r="D1838" s="15">
        <v>0.14299999999999999</v>
      </c>
      <c r="E1838" s="15">
        <v>3.2000000000000001E-2</v>
      </c>
      <c r="F1838" s="15">
        <v>8.9999999999999993E-3</v>
      </c>
      <c r="G1838" s="15">
        <v>8.7999999999999995E-2</v>
      </c>
      <c r="H1838" s="15">
        <v>6.0999999999999999E-2</v>
      </c>
      <c r="I1838" s="15">
        <v>6.0999999999999999E-2</v>
      </c>
      <c r="J1838" t="s">
        <v>412</v>
      </c>
      <c r="K1838" t="s">
        <v>551</v>
      </c>
    </row>
    <row r="1839" spans="1:11">
      <c r="A1839" t="s">
        <v>573</v>
      </c>
      <c r="B1839" t="s">
        <v>580</v>
      </c>
      <c r="C1839" t="s">
        <v>583</v>
      </c>
      <c r="D1839" s="15">
        <v>7.3999999999999996E-2</v>
      </c>
      <c r="E1839" s="15">
        <v>4.7E-2</v>
      </c>
      <c r="F1839" s="15">
        <v>6.3E-2</v>
      </c>
      <c r="G1839" s="15">
        <v>6.0999999999999999E-2</v>
      </c>
      <c r="H1839" s="15">
        <v>6.0999999999999999E-2</v>
      </c>
      <c r="I1839" s="15">
        <v>6.0999999999999999E-2</v>
      </c>
      <c r="J1839" t="s">
        <v>412</v>
      </c>
      <c r="K1839" t="s">
        <v>551</v>
      </c>
    </row>
    <row r="1840" spans="1:11">
      <c r="A1840" t="s">
        <v>547</v>
      </c>
      <c r="B1840" t="s">
        <v>574</v>
      </c>
      <c r="C1840" t="s">
        <v>582</v>
      </c>
      <c r="D1840" s="15">
        <v>0.14299999999999999</v>
      </c>
      <c r="E1840" s="15">
        <v>-2.4E-2</v>
      </c>
      <c r="F1840" s="15">
        <v>1.4999999999999999E-2</v>
      </c>
      <c r="G1840" s="15">
        <v>0.06</v>
      </c>
      <c r="H1840" s="15">
        <v>4.4999999999999998E-2</v>
      </c>
      <c r="I1840" s="15">
        <v>6.0999999999999999E-2</v>
      </c>
      <c r="J1840" t="s">
        <v>412</v>
      </c>
      <c r="K1840" t="s">
        <v>480</v>
      </c>
    </row>
    <row r="1841" spans="1:11">
      <c r="A1841" t="s">
        <v>576</v>
      </c>
      <c r="B1841" t="s">
        <v>517</v>
      </c>
      <c r="C1841" t="s">
        <v>583</v>
      </c>
      <c r="D1841" s="15">
        <v>-0.109</v>
      </c>
      <c r="E1841" s="15">
        <v>5.0000000000000001E-3</v>
      </c>
      <c r="F1841" s="15">
        <v>6.8000000000000005E-2</v>
      </c>
      <c r="G1841" s="15">
        <v>-5.1999999999999998E-2</v>
      </c>
      <c r="H1841" s="15">
        <v>-1.2E-2</v>
      </c>
      <c r="I1841" s="15">
        <v>6.0999999999999999E-2</v>
      </c>
      <c r="J1841" t="s">
        <v>412</v>
      </c>
      <c r="K1841" t="s">
        <v>487</v>
      </c>
    </row>
    <row r="1842" spans="1:11">
      <c r="A1842" t="s">
        <v>576</v>
      </c>
      <c r="B1842" t="s">
        <v>509</v>
      </c>
      <c r="C1842" t="s">
        <v>492</v>
      </c>
      <c r="D1842" s="15">
        <v>1.7999999999999999E-2</v>
      </c>
      <c r="E1842" s="15">
        <v>-2.9000000000000001E-2</v>
      </c>
      <c r="F1842" s="15">
        <v>-0.13500000000000001</v>
      </c>
      <c r="G1842" s="15">
        <v>-5.0000000000000001E-3</v>
      </c>
      <c r="H1842" s="15">
        <v>-4.9000000000000002E-2</v>
      </c>
      <c r="I1842" s="15">
        <v>6.0999999999999999E-2</v>
      </c>
      <c r="J1842" t="s">
        <v>412</v>
      </c>
      <c r="K1842" t="s">
        <v>579</v>
      </c>
    </row>
    <row r="1843" spans="1:11">
      <c r="A1843" t="s">
        <v>486</v>
      </c>
      <c r="B1843" t="s">
        <v>596</v>
      </c>
      <c r="C1843" t="s">
        <v>583</v>
      </c>
      <c r="D1843" s="15">
        <v>-0.16700000000000001</v>
      </c>
      <c r="E1843" s="15">
        <v>-1E-3</v>
      </c>
      <c r="F1843" s="15">
        <v>1.4999999999999999E-2</v>
      </c>
      <c r="G1843" s="15">
        <v>-8.4000000000000005E-2</v>
      </c>
      <c r="H1843" s="15">
        <v>-5.0999999999999997E-2</v>
      </c>
      <c r="I1843" s="15">
        <v>6.0999999999999999E-2</v>
      </c>
      <c r="J1843" t="s">
        <v>412</v>
      </c>
      <c r="K1843" t="s">
        <v>510</v>
      </c>
    </row>
    <row r="1844" spans="1:11">
      <c r="A1844" t="s">
        <v>486</v>
      </c>
      <c r="B1844" t="s">
        <v>596</v>
      </c>
      <c r="C1844" t="s">
        <v>591</v>
      </c>
      <c r="D1844" s="15">
        <v>-0.02</v>
      </c>
      <c r="E1844" s="15">
        <v>-1E-3</v>
      </c>
      <c r="F1844" s="15">
        <v>-0.16300000000000001</v>
      </c>
      <c r="G1844" s="15">
        <v>-1.0999999999999999E-2</v>
      </c>
      <c r="H1844" s="15">
        <v>-6.0999999999999999E-2</v>
      </c>
      <c r="I1844" s="15">
        <v>6.0999999999999999E-2</v>
      </c>
      <c r="J1844" t="s">
        <v>412</v>
      </c>
      <c r="K1844" t="s">
        <v>589</v>
      </c>
    </row>
    <row r="1845" spans="1:11">
      <c r="A1845" t="s">
        <v>576</v>
      </c>
      <c r="B1845" t="s">
        <v>595</v>
      </c>
      <c r="C1845" t="s">
        <v>593</v>
      </c>
      <c r="D1845" s="15">
        <v>-1.7000000000000001E-2</v>
      </c>
      <c r="E1845" s="15">
        <v>-4.2000000000000003E-2</v>
      </c>
      <c r="F1845" s="15">
        <v>-0.124</v>
      </c>
      <c r="G1845" s="15">
        <v>-0.03</v>
      </c>
      <c r="H1845" s="15">
        <v>-6.0999999999999999E-2</v>
      </c>
      <c r="I1845" s="15">
        <v>6.0999999999999999E-2</v>
      </c>
      <c r="J1845" t="s">
        <v>412</v>
      </c>
      <c r="K1845" t="s">
        <v>589</v>
      </c>
    </row>
    <row r="1846" spans="1:11">
      <c r="A1846" t="s">
        <v>576</v>
      </c>
      <c r="B1846" t="s">
        <v>523</v>
      </c>
      <c r="C1846" t="s">
        <v>594</v>
      </c>
      <c r="D1846" s="15">
        <v>2.1000000000000001E-2</v>
      </c>
      <c r="E1846" s="15">
        <v>0.129</v>
      </c>
      <c r="F1846" s="15">
        <v>2.8000000000000001E-2</v>
      </c>
      <c r="G1846" s="15">
        <v>7.4999999999999997E-2</v>
      </c>
      <c r="H1846" s="15">
        <v>0.06</v>
      </c>
      <c r="I1846" s="15">
        <v>0.06</v>
      </c>
      <c r="J1846" t="s">
        <v>412</v>
      </c>
      <c r="K1846" t="s">
        <v>551</v>
      </c>
    </row>
    <row r="1847" spans="1:11">
      <c r="A1847" t="s">
        <v>479</v>
      </c>
      <c r="B1847" t="s">
        <v>498</v>
      </c>
      <c r="C1847" t="s">
        <v>591</v>
      </c>
      <c r="D1847" s="15">
        <v>9.4E-2</v>
      </c>
      <c r="E1847" s="15">
        <v>7.6999999999999999E-2</v>
      </c>
      <c r="F1847" s="15">
        <v>-0.01</v>
      </c>
      <c r="G1847" s="15">
        <v>8.5999999999999993E-2</v>
      </c>
      <c r="H1847" s="15">
        <v>5.3999999999999999E-2</v>
      </c>
      <c r="I1847" s="15">
        <v>0.06</v>
      </c>
      <c r="J1847" t="s">
        <v>412</v>
      </c>
      <c r="K1847" t="s">
        <v>493</v>
      </c>
    </row>
    <row r="1848" spans="1:11">
      <c r="A1848" t="s">
        <v>547</v>
      </c>
      <c r="B1848" t="s">
        <v>580</v>
      </c>
      <c r="C1848" t="s">
        <v>575</v>
      </c>
      <c r="D1848" s="15">
        <v>-6.8000000000000005E-2</v>
      </c>
      <c r="E1848" s="15">
        <v>3.2000000000000001E-2</v>
      </c>
      <c r="F1848" s="15">
        <v>0.08</v>
      </c>
      <c r="G1848" s="15">
        <v>-1.7999999999999999E-2</v>
      </c>
      <c r="H1848" s="15">
        <v>1.4E-2</v>
      </c>
      <c r="I1848" s="15">
        <v>0.06</v>
      </c>
      <c r="J1848" t="s">
        <v>412</v>
      </c>
      <c r="K1848" t="s">
        <v>487</v>
      </c>
    </row>
    <row r="1849" spans="1:11">
      <c r="A1849" t="s">
        <v>576</v>
      </c>
      <c r="B1849" t="s">
        <v>569</v>
      </c>
      <c r="C1849" t="s">
        <v>572</v>
      </c>
      <c r="D1849" s="15">
        <v>-5.8999999999999997E-2</v>
      </c>
      <c r="E1849" s="15">
        <v>-5.3999999999999999E-2</v>
      </c>
      <c r="F1849" s="15">
        <v>6.7000000000000004E-2</v>
      </c>
      <c r="G1849" s="15">
        <v>-5.7000000000000002E-2</v>
      </c>
      <c r="H1849" s="15">
        <v>-1.4999999999999999E-2</v>
      </c>
      <c r="I1849" s="15">
        <v>0.06</v>
      </c>
      <c r="J1849" t="s">
        <v>412</v>
      </c>
      <c r="K1849" t="s">
        <v>510</v>
      </c>
    </row>
    <row r="1850" spans="1:11">
      <c r="A1850" t="s">
        <v>577</v>
      </c>
      <c r="B1850" t="s">
        <v>592</v>
      </c>
      <c r="C1850" t="s">
        <v>594</v>
      </c>
      <c r="D1850" s="15">
        <v>6.6000000000000003E-2</v>
      </c>
      <c r="E1850" s="15">
        <v>-6.9000000000000006E-2</v>
      </c>
      <c r="F1850" s="15">
        <v>-4.5999999999999999E-2</v>
      </c>
      <c r="G1850" s="15">
        <v>-1E-3</v>
      </c>
      <c r="H1850" s="15">
        <v>-1.6E-2</v>
      </c>
      <c r="I1850" s="15">
        <v>0.06</v>
      </c>
      <c r="J1850" t="s">
        <v>412</v>
      </c>
      <c r="K1850" t="s">
        <v>579</v>
      </c>
    </row>
    <row r="1851" spans="1:11">
      <c r="A1851" t="s">
        <v>576</v>
      </c>
      <c r="B1851" t="s">
        <v>478</v>
      </c>
      <c r="C1851" t="s">
        <v>591</v>
      </c>
      <c r="D1851" s="15">
        <v>-6.5000000000000002E-2</v>
      </c>
      <c r="E1851" s="15">
        <v>-8.1000000000000003E-2</v>
      </c>
      <c r="F1851" s="15">
        <v>3.4000000000000002E-2</v>
      </c>
      <c r="G1851" s="15">
        <v>-7.2999999999999995E-2</v>
      </c>
      <c r="H1851" s="15">
        <v>-3.6999999999999998E-2</v>
      </c>
      <c r="I1851" s="15">
        <v>0.06</v>
      </c>
      <c r="J1851" t="s">
        <v>412</v>
      </c>
      <c r="K1851" t="s">
        <v>510</v>
      </c>
    </row>
    <row r="1852" spans="1:11">
      <c r="A1852" t="s">
        <v>547</v>
      </c>
      <c r="B1852" t="s">
        <v>517</v>
      </c>
      <c r="C1852" t="s">
        <v>570</v>
      </c>
      <c r="D1852" s="15">
        <v>-0.14799999999999999</v>
      </c>
      <c r="E1852" s="15">
        <v>-3.0000000000000001E-3</v>
      </c>
      <c r="F1852" s="15">
        <v>2.8000000000000001E-2</v>
      </c>
      <c r="G1852" s="15">
        <v>-7.5999999999999998E-2</v>
      </c>
      <c r="H1852" s="15">
        <v>-4.1000000000000002E-2</v>
      </c>
      <c r="I1852" s="15">
        <v>0.06</v>
      </c>
      <c r="J1852" t="s">
        <v>412</v>
      </c>
      <c r="K1852" t="s">
        <v>510</v>
      </c>
    </row>
    <row r="1853" spans="1:11">
      <c r="A1853" t="s">
        <v>479</v>
      </c>
      <c r="B1853" t="s">
        <v>581</v>
      </c>
      <c r="C1853" t="s">
        <v>593</v>
      </c>
      <c r="D1853" s="15">
        <v>-8.0000000000000002E-3</v>
      </c>
      <c r="E1853" s="15">
        <v>-7.8E-2</v>
      </c>
      <c r="F1853" s="15">
        <v>-9.4E-2</v>
      </c>
      <c r="G1853" s="15">
        <v>-4.2999999999999997E-2</v>
      </c>
      <c r="H1853" s="15">
        <v>-0.06</v>
      </c>
      <c r="I1853" s="15">
        <v>0.06</v>
      </c>
      <c r="J1853" t="s">
        <v>412</v>
      </c>
      <c r="K1853" t="s">
        <v>589</v>
      </c>
    </row>
    <row r="1854" spans="1:11">
      <c r="A1854" t="s">
        <v>479</v>
      </c>
      <c r="B1854" t="s">
        <v>595</v>
      </c>
      <c r="C1854" t="s">
        <v>593</v>
      </c>
      <c r="D1854" s="15">
        <v>-8.0000000000000002E-3</v>
      </c>
      <c r="E1854" s="15">
        <v>-4.7E-2</v>
      </c>
      <c r="F1854" s="15">
        <v>-0.124</v>
      </c>
      <c r="G1854" s="15">
        <v>-2.7E-2</v>
      </c>
      <c r="H1854" s="15">
        <v>-0.06</v>
      </c>
      <c r="I1854" s="15">
        <v>0.06</v>
      </c>
      <c r="J1854" t="s">
        <v>412</v>
      </c>
      <c r="K1854" t="s">
        <v>589</v>
      </c>
    </row>
    <row r="1855" spans="1:11">
      <c r="A1855" t="s">
        <v>506</v>
      </c>
      <c r="B1855" t="s">
        <v>596</v>
      </c>
      <c r="C1855" t="s">
        <v>572</v>
      </c>
      <c r="D1855" s="15">
        <v>-0.11899999999999999</v>
      </c>
      <c r="E1855" s="15">
        <v>-6.0000000000000001E-3</v>
      </c>
      <c r="F1855" s="15">
        <v>-5.6000000000000001E-2</v>
      </c>
      <c r="G1855" s="15">
        <v>-6.3E-2</v>
      </c>
      <c r="H1855" s="15">
        <v>-0.06</v>
      </c>
      <c r="I1855" s="15">
        <v>0.06</v>
      </c>
      <c r="J1855" t="s">
        <v>412</v>
      </c>
      <c r="K1855" t="s">
        <v>589</v>
      </c>
    </row>
    <row r="1856" spans="1:11">
      <c r="A1856" t="s">
        <v>576</v>
      </c>
      <c r="B1856" t="s">
        <v>595</v>
      </c>
      <c r="C1856" t="s">
        <v>591</v>
      </c>
      <c r="D1856" s="15">
        <v>-6.5000000000000002E-2</v>
      </c>
      <c r="E1856" s="15">
        <v>-4.2000000000000003E-2</v>
      </c>
      <c r="F1856" s="15">
        <v>-7.1999999999999995E-2</v>
      </c>
      <c r="G1856" s="15">
        <v>-5.3999999999999999E-2</v>
      </c>
      <c r="H1856" s="15">
        <v>-0.06</v>
      </c>
      <c r="I1856" s="15">
        <v>0.06</v>
      </c>
      <c r="J1856" t="s">
        <v>412</v>
      </c>
      <c r="K1856" t="s">
        <v>589</v>
      </c>
    </row>
    <row r="1857" spans="1:11">
      <c r="A1857" t="s">
        <v>577</v>
      </c>
      <c r="B1857" t="s">
        <v>592</v>
      </c>
      <c r="C1857" t="s">
        <v>583</v>
      </c>
      <c r="D1857" s="15">
        <v>-0.09</v>
      </c>
      <c r="E1857" s="15">
        <v>-6.9000000000000006E-2</v>
      </c>
      <c r="F1857" s="15">
        <v>-2.3E-2</v>
      </c>
      <c r="G1857" s="15">
        <v>-7.9000000000000001E-2</v>
      </c>
      <c r="H1857" s="15">
        <v>-0.06</v>
      </c>
      <c r="I1857" s="15">
        <v>0.06</v>
      </c>
      <c r="J1857" t="s">
        <v>412</v>
      </c>
      <c r="K1857" t="s">
        <v>589</v>
      </c>
    </row>
    <row r="1858" spans="1:11">
      <c r="A1858" t="s">
        <v>573</v>
      </c>
      <c r="B1858" t="s">
        <v>580</v>
      </c>
      <c r="C1858" t="s">
        <v>575</v>
      </c>
      <c r="D1858" s="15">
        <v>-4.9000000000000002E-2</v>
      </c>
      <c r="E1858" s="15">
        <v>4.7E-2</v>
      </c>
      <c r="F1858" s="15">
        <v>0.08</v>
      </c>
      <c r="G1858" s="15">
        <v>-1E-3</v>
      </c>
      <c r="H1858" s="15">
        <v>2.5999999999999999E-2</v>
      </c>
      <c r="I1858" s="15">
        <v>5.8999999999999997E-2</v>
      </c>
      <c r="J1858" t="s">
        <v>412</v>
      </c>
      <c r="K1858" t="s">
        <v>487</v>
      </c>
    </row>
    <row r="1859" spans="1:11">
      <c r="A1859" t="s">
        <v>576</v>
      </c>
      <c r="B1859" t="s">
        <v>580</v>
      </c>
      <c r="C1859" t="s">
        <v>582</v>
      </c>
      <c r="D1859" s="15">
        <v>7.6999999999999999E-2</v>
      </c>
      <c r="E1859" s="15">
        <v>-0.09</v>
      </c>
      <c r="F1859" s="15">
        <v>8.9999999999999993E-3</v>
      </c>
      <c r="G1859" s="15">
        <v>-6.0000000000000001E-3</v>
      </c>
      <c r="H1859" s="15">
        <v>-1E-3</v>
      </c>
      <c r="I1859" s="15">
        <v>5.8999999999999997E-2</v>
      </c>
      <c r="J1859" t="s">
        <v>412</v>
      </c>
      <c r="K1859" t="s">
        <v>480</v>
      </c>
    </row>
    <row r="1860" spans="1:11">
      <c r="A1860" t="s">
        <v>573</v>
      </c>
      <c r="B1860" t="s">
        <v>586</v>
      </c>
      <c r="C1860" t="s">
        <v>585</v>
      </c>
      <c r="D1860" s="15">
        <v>2.5999999999999999E-2</v>
      </c>
      <c r="E1860" s="15">
        <v>-0.10299999999999999</v>
      </c>
      <c r="F1860" s="15">
        <v>4.9000000000000002E-2</v>
      </c>
      <c r="G1860" s="15">
        <v>-3.7999999999999999E-2</v>
      </c>
      <c r="H1860" s="15">
        <v>-8.9999999999999993E-3</v>
      </c>
      <c r="I1860" s="15">
        <v>5.8999999999999997E-2</v>
      </c>
      <c r="J1860" t="s">
        <v>412</v>
      </c>
      <c r="K1860" t="s">
        <v>480</v>
      </c>
    </row>
    <row r="1861" spans="1:11">
      <c r="A1861" t="s">
        <v>577</v>
      </c>
      <c r="B1861" t="s">
        <v>581</v>
      </c>
      <c r="C1861" t="s">
        <v>593</v>
      </c>
      <c r="D1861" s="15">
        <v>3.7999999999999999E-2</v>
      </c>
      <c r="E1861" s="15">
        <v>-4.5999999999999999E-2</v>
      </c>
      <c r="F1861" s="15">
        <v>-9.4E-2</v>
      </c>
      <c r="G1861" s="15">
        <v>-4.0000000000000001E-3</v>
      </c>
      <c r="H1861" s="15">
        <v>-3.4000000000000002E-2</v>
      </c>
      <c r="I1861" s="15">
        <v>5.8999999999999997E-2</v>
      </c>
      <c r="J1861" t="s">
        <v>412</v>
      </c>
      <c r="K1861" t="s">
        <v>579</v>
      </c>
    </row>
    <row r="1862" spans="1:11">
      <c r="A1862" t="s">
        <v>577</v>
      </c>
      <c r="B1862" t="s">
        <v>569</v>
      </c>
      <c r="C1862" t="s">
        <v>585</v>
      </c>
      <c r="D1862" s="15">
        <v>-6.0000000000000001E-3</v>
      </c>
      <c r="E1862" s="15">
        <v>-0.157</v>
      </c>
      <c r="F1862" s="15">
        <v>1.4E-2</v>
      </c>
      <c r="G1862" s="15">
        <v>-8.1000000000000003E-2</v>
      </c>
      <c r="H1862" s="15">
        <v>-0.05</v>
      </c>
      <c r="I1862" s="15">
        <v>5.8999999999999997E-2</v>
      </c>
      <c r="J1862" t="s">
        <v>412</v>
      </c>
      <c r="K1862" t="s">
        <v>510</v>
      </c>
    </row>
    <row r="1863" spans="1:11">
      <c r="A1863" t="s">
        <v>571</v>
      </c>
      <c r="B1863" t="s">
        <v>592</v>
      </c>
      <c r="C1863" t="s">
        <v>572</v>
      </c>
      <c r="D1863" s="15">
        <v>-0.16300000000000001</v>
      </c>
      <c r="E1863" s="15">
        <v>1.0999999999999999E-2</v>
      </c>
      <c r="F1863" s="15">
        <v>-1E-3</v>
      </c>
      <c r="G1863" s="15">
        <v>-7.5999999999999998E-2</v>
      </c>
      <c r="H1863" s="15">
        <v>-5.0999999999999997E-2</v>
      </c>
      <c r="I1863" s="15">
        <v>5.8999999999999997E-2</v>
      </c>
      <c r="J1863" t="s">
        <v>412</v>
      </c>
      <c r="K1863" t="s">
        <v>500</v>
      </c>
    </row>
    <row r="1864" spans="1:11">
      <c r="A1864" t="s">
        <v>486</v>
      </c>
      <c r="B1864" t="s">
        <v>598</v>
      </c>
      <c r="C1864" t="s">
        <v>582</v>
      </c>
      <c r="D1864" s="15">
        <v>-0.129</v>
      </c>
      <c r="E1864" s="15">
        <v>-7.0000000000000001E-3</v>
      </c>
      <c r="F1864" s="15">
        <v>-4.1000000000000002E-2</v>
      </c>
      <c r="G1864" s="15">
        <v>-6.8000000000000005E-2</v>
      </c>
      <c r="H1864" s="15">
        <v>-5.8999999999999997E-2</v>
      </c>
      <c r="I1864" s="15">
        <v>5.8999999999999997E-2</v>
      </c>
      <c r="J1864" t="s">
        <v>412</v>
      </c>
      <c r="K1864" t="s">
        <v>589</v>
      </c>
    </row>
    <row r="1865" spans="1:11">
      <c r="A1865" t="s">
        <v>479</v>
      </c>
      <c r="B1865" t="s">
        <v>592</v>
      </c>
      <c r="C1865" t="s">
        <v>572</v>
      </c>
      <c r="D1865" s="15">
        <v>-6.8000000000000005E-2</v>
      </c>
      <c r="E1865" s="15">
        <v>-0.109</v>
      </c>
      <c r="F1865" s="15">
        <v>-1E-3</v>
      </c>
      <c r="G1865" s="15">
        <v>-8.8999999999999996E-2</v>
      </c>
      <c r="H1865" s="15">
        <v>-5.8999999999999997E-2</v>
      </c>
      <c r="I1865" s="15">
        <v>5.8999999999999997E-2</v>
      </c>
      <c r="J1865" t="s">
        <v>412</v>
      </c>
      <c r="K1865" t="s">
        <v>589</v>
      </c>
    </row>
    <row r="1866" spans="1:11">
      <c r="A1866" t="s">
        <v>547</v>
      </c>
      <c r="B1866" t="s">
        <v>597</v>
      </c>
      <c r="C1866" t="s">
        <v>583</v>
      </c>
      <c r="D1866" s="15">
        <v>-0.03</v>
      </c>
      <c r="E1866" s="15">
        <v>-1.0999999999999999E-2</v>
      </c>
      <c r="F1866" s="15">
        <v>-0.13600000000000001</v>
      </c>
      <c r="G1866" s="15">
        <v>-2.1000000000000001E-2</v>
      </c>
      <c r="H1866" s="15">
        <v>-5.8999999999999997E-2</v>
      </c>
      <c r="I1866" s="15">
        <v>5.8999999999999997E-2</v>
      </c>
      <c r="J1866" t="s">
        <v>412</v>
      </c>
      <c r="K1866" t="s">
        <v>589</v>
      </c>
    </row>
    <row r="1867" spans="1:11">
      <c r="A1867" t="s">
        <v>576</v>
      </c>
      <c r="B1867" t="s">
        <v>596</v>
      </c>
      <c r="C1867" t="s">
        <v>572</v>
      </c>
      <c r="D1867" s="15">
        <v>-5.8999999999999997E-2</v>
      </c>
      <c r="E1867" s="15">
        <v>-6.0999999999999999E-2</v>
      </c>
      <c r="F1867" s="15">
        <v>-5.6000000000000001E-2</v>
      </c>
      <c r="G1867" s="15">
        <v>-0.06</v>
      </c>
      <c r="H1867" s="15">
        <v>-5.8999999999999997E-2</v>
      </c>
      <c r="I1867" s="15">
        <v>5.8999999999999997E-2</v>
      </c>
      <c r="J1867" t="s">
        <v>412</v>
      </c>
      <c r="K1867" t="s">
        <v>589</v>
      </c>
    </row>
    <row r="1868" spans="1:11">
      <c r="A1868" t="s">
        <v>479</v>
      </c>
      <c r="B1868" t="s">
        <v>523</v>
      </c>
      <c r="C1868" t="s">
        <v>594</v>
      </c>
      <c r="D1868" s="15">
        <v>8.5000000000000006E-2</v>
      </c>
      <c r="E1868" s="15">
        <v>0.06</v>
      </c>
      <c r="F1868" s="15">
        <v>2.8000000000000001E-2</v>
      </c>
      <c r="G1868" s="15">
        <v>7.1999999999999995E-2</v>
      </c>
      <c r="H1868" s="15">
        <v>5.8000000000000003E-2</v>
      </c>
      <c r="I1868" s="15">
        <v>5.8000000000000003E-2</v>
      </c>
      <c r="J1868" t="s">
        <v>412</v>
      </c>
      <c r="K1868" t="s">
        <v>551</v>
      </c>
    </row>
    <row r="1869" spans="1:11">
      <c r="A1869" t="s">
        <v>573</v>
      </c>
      <c r="B1869" t="s">
        <v>517</v>
      </c>
      <c r="C1869" t="s">
        <v>585</v>
      </c>
      <c r="D1869" s="15">
        <v>2.5999999999999999E-2</v>
      </c>
      <c r="E1869" s="15">
        <v>7.4999999999999997E-2</v>
      </c>
      <c r="F1869" s="15">
        <v>7.0999999999999994E-2</v>
      </c>
      <c r="G1869" s="15">
        <v>5.0999999999999997E-2</v>
      </c>
      <c r="H1869" s="15">
        <v>5.8000000000000003E-2</v>
      </c>
      <c r="I1869" s="15">
        <v>5.8000000000000003E-2</v>
      </c>
      <c r="J1869" t="s">
        <v>412</v>
      </c>
      <c r="K1869" t="s">
        <v>551</v>
      </c>
    </row>
    <row r="1870" spans="1:11">
      <c r="A1870" t="s">
        <v>479</v>
      </c>
      <c r="B1870" t="s">
        <v>580</v>
      </c>
      <c r="C1870" t="s">
        <v>584</v>
      </c>
      <c r="D1870" s="15">
        <v>0.106</v>
      </c>
      <c r="E1870" s="15">
        <v>-1.9E-2</v>
      </c>
      <c r="F1870" s="15">
        <v>0.05</v>
      </c>
      <c r="G1870" s="15">
        <v>4.3999999999999997E-2</v>
      </c>
      <c r="H1870" s="15">
        <v>4.5999999999999999E-2</v>
      </c>
      <c r="I1870" s="15">
        <v>5.8000000000000003E-2</v>
      </c>
      <c r="J1870" t="s">
        <v>412</v>
      </c>
      <c r="K1870" t="s">
        <v>480</v>
      </c>
    </row>
    <row r="1871" spans="1:11">
      <c r="A1871" t="s">
        <v>571</v>
      </c>
      <c r="B1871" t="s">
        <v>597</v>
      </c>
      <c r="C1871" t="s">
        <v>591</v>
      </c>
      <c r="D1871" s="15">
        <v>6.6000000000000003E-2</v>
      </c>
      <c r="E1871" s="15">
        <v>4.7E-2</v>
      </c>
      <c r="F1871" s="15">
        <v>-6.2E-2</v>
      </c>
      <c r="G1871" s="15">
        <v>5.7000000000000002E-2</v>
      </c>
      <c r="H1871" s="15">
        <v>1.7000000000000001E-2</v>
      </c>
      <c r="I1871" s="15">
        <v>5.8000000000000003E-2</v>
      </c>
      <c r="J1871" t="s">
        <v>412</v>
      </c>
      <c r="K1871" t="s">
        <v>493</v>
      </c>
    </row>
    <row r="1872" spans="1:11">
      <c r="A1872" t="s">
        <v>506</v>
      </c>
      <c r="B1872" t="s">
        <v>517</v>
      </c>
      <c r="C1872" t="s">
        <v>583</v>
      </c>
      <c r="D1872" s="15">
        <v>4.1000000000000002E-2</v>
      </c>
      <c r="E1872" s="15">
        <v>-6.5000000000000002E-2</v>
      </c>
      <c r="F1872" s="15">
        <v>6.8000000000000005E-2</v>
      </c>
      <c r="G1872" s="15">
        <v>-1.2E-2</v>
      </c>
      <c r="H1872" s="15">
        <v>1.4999999999999999E-2</v>
      </c>
      <c r="I1872" s="15">
        <v>5.8000000000000003E-2</v>
      </c>
      <c r="J1872" t="s">
        <v>412</v>
      </c>
      <c r="K1872" t="s">
        <v>480</v>
      </c>
    </row>
    <row r="1873" spans="1:11">
      <c r="A1873" t="s">
        <v>576</v>
      </c>
      <c r="B1873" t="s">
        <v>592</v>
      </c>
      <c r="C1873" t="s">
        <v>477</v>
      </c>
      <c r="D1873" s="15">
        <v>2.9000000000000001E-2</v>
      </c>
      <c r="E1873" s="15">
        <v>7.9000000000000001E-2</v>
      </c>
      <c r="F1873" s="15">
        <v>-6.6000000000000003E-2</v>
      </c>
      <c r="G1873" s="15">
        <v>5.3999999999999999E-2</v>
      </c>
      <c r="H1873" s="15">
        <v>1.4E-2</v>
      </c>
      <c r="I1873" s="15">
        <v>5.8000000000000003E-2</v>
      </c>
      <c r="J1873" t="s">
        <v>412</v>
      </c>
      <c r="K1873" t="s">
        <v>493</v>
      </c>
    </row>
    <row r="1874" spans="1:11">
      <c r="A1874" t="s">
        <v>577</v>
      </c>
      <c r="B1874" t="s">
        <v>505</v>
      </c>
      <c r="C1874" t="s">
        <v>594</v>
      </c>
      <c r="D1874" s="15">
        <v>6.6000000000000003E-2</v>
      </c>
      <c r="E1874" s="15">
        <v>1.2E-2</v>
      </c>
      <c r="F1874" s="15">
        <v>-9.8000000000000004E-2</v>
      </c>
      <c r="G1874" s="15">
        <v>3.9E-2</v>
      </c>
      <c r="H1874" s="15">
        <v>-7.0000000000000001E-3</v>
      </c>
      <c r="I1874" s="15">
        <v>5.8000000000000003E-2</v>
      </c>
      <c r="J1874" t="s">
        <v>412</v>
      </c>
      <c r="K1874" t="s">
        <v>493</v>
      </c>
    </row>
    <row r="1875" spans="1:11">
      <c r="A1875" t="s">
        <v>547</v>
      </c>
      <c r="B1875" t="s">
        <v>592</v>
      </c>
      <c r="C1875" t="s">
        <v>591</v>
      </c>
      <c r="D1875" s="15">
        <v>0.01</v>
      </c>
      <c r="E1875" s="15">
        <v>3.5000000000000003E-2</v>
      </c>
      <c r="F1875" s="15">
        <v>-0.13</v>
      </c>
      <c r="G1875" s="15">
        <v>2.3E-2</v>
      </c>
      <c r="H1875" s="15">
        <v>-2.8000000000000001E-2</v>
      </c>
      <c r="I1875" s="15">
        <v>5.8000000000000003E-2</v>
      </c>
      <c r="J1875" t="s">
        <v>412</v>
      </c>
      <c r="K1875" t="s">
        <v>493</v>
      </c>
    </row>
    <row r="1876" spans="1:11">
      <c r="A1876" t="s">
        <v>577</v>
      </c>
      <c r="B1876" t="s">
        <v>478</v>
      </c>
      <c r="C1876" t="s">
        <v>583</v>
      </c>
      <c r="D1876" s="15">
        <v>-0.09</v>
      </c>
      <c r="E1876" s="15">
        <v>-5.3999999999999999E-2</v>
      </c>
      <c r="F1876" s="15">
        <v>3.1E-2</v>
      </c>
      <c r="G1876" s="15">
        <v>-7.1999999999999995E-2</v>
      </c>
      <c r="H1876" s="15">
        <v>-3.7999999999999999E-2</v>
      </c>
      <c r="I1876" s="15">
        <v>5.8000000000000003E-2</v>
      </c>
      <c r="J1876" t="s">
        <v>412</v>
      </c>
      <c r="K1876" t="s">
        <v>510</v>
      </c>
    </row>
    <row r="1877" spans="1:11">
      <c r="A1877" t="s">
        <v>577</v>
      </c>
      <c r="B1877" t="s">
        <v>596</v>
      </c>
      <c r="C1877" t="s">
        <v>583</v>
      </c>
      <c r="D1877" s="15">
        <v>-0.09</v>
      </c>
      <c r="E1877" s="15">
        <v>-7.0000000000000007E-2</v>
      </c>
      <c r="F1877" s="15">
        <v>1.4999999999999999E-2</v>
      </c>
      <c r="G1877" s="15">
        <v>-0.08</v>
      </c>
      <c r="H1877" s="15">
        <v>-4.8000000000000001E-2</v>
      </c>
      <c r="I1877" s="15">
        <v>5.8000000000000003E-2</v>
      </c>
      <c r="J1877" t="s">
        <v>412</v>
      </c>
      <c r="K1877" t="s">
        <v>510</v>
      </c>
    </row>
    <row r="1878" spans="1:11">
      <c r="A1878" t="s">
        <v>506</v>
      </c>
      <c r="B1878" t="s">
        <v>505</v>
      </c>
      <c r="C1878" t="s">
        <v>593</v>
      </c>
      <c r="D1878" s="15">
        <v>-7.1999999999999995E-2</v>
      </c>
      <c r="E1878" s="15">
        <v>-6.5000000000000002E-2</v>
      </c>
      <c r="F1878" s="15">
        <v>-3.7999999999999999E-2</v>
      </c>
      <c r="G1878" s="15">
        <v>-6.8000000000000005E-2</v>
      </c>
      <c r="H1878" s="15">
        <v>-5.8000000000000003E-2</v>
      </c>
      <c r="I1878" s="15">
        <v>5.8000000000000003E-2</v>
      </c>
      <c r="J1878" t="s">
        <v>412</v>
      </c>
      <c r="K1878" t="s">
        <v>589</v>
      </c>
    </row>
    <row r="1879" spans="1:11">
      <c r="A1879" t="s">
        <v>571</v>
      </c>
      <c r="B1879" t="s">
        <v>498</v>
      </c>
      <c r="C1879" t="s">
        <v>594</v>
      </c>
      <c r="D1879" s="15">
        <v>-8.0000000000000002E-3</v>
      </c>
      <c r="E1879" s="15">
        <v>0.11</v>
      </c>
      <c r="F1879" s="15">
        <v>5.3999999999999999E-2</v>
      </c>
      <c r="G1879" s="15">
        <v>5.0999999999999997E-2</v>
      </c>
      <c r="H1879" s="15">
        <v>5.1999999999999998E-2</v>
      </c>
      <c r="I1879" s="15">
        <v>5.7000000000000002E-2</v>
      </c>
      <c r="J1879" t="s">
        <v>412</v>
      </c>
      <c r="K1879" t="s">
        <v>487</v>
      </c>
    </row>
    <row r="1880" spans="1:11">
      <c r="A1880" t="s">
        <v>576</v>
      </c>
      <c r="B1880" t="s">
        <v>505</v>
      </c>
      <c r="C1880" t="s">
        <v>572</v>
      </c>
      <c r="D1880" s="15">
        <v>-5.8999999999999997E-2</v>
      </c>
      <c r="E1880" s="15">
        <v>0.104</v>
      </c>
      <c r="F1880" s="15">
        <v>-7.0000000000000001E-3</v>
      </c>
      <c r="G1880" s="15">
        <v>2.1999999999999999E-2</v>
      </c>
      <c r="H1880" s="15">
        <v>1.2E-2</v>
      </c>
      <c r="I1880" s="15">
        <v>5.7000000000000002E-2</v>
      </c>
      <c r="J1880" t="s">
        <v>412</v>
      </c>
      <c r="K1880" t="s">
        <v>500</v>
      </c>
    </row>
    <row r="1881" spans="1:11">
      <c r="A1881" t="s">
        <v>506</v>
      </c>
      <c r="B1881" t="s">
        <v>580</v>
      </c>
      <c r="C1881" t="s">
        <v>593</v>
      </c>
      <c r="D1881" s="15">
        <v>-7.1999999999999995E-2</v>
      </c>
      <c r="E1881" s="15">
        <v>5.0999999999999997E-2</v>
      </c>
      <c r="F1881" s="15">
        <v>-4.8000000000000001E-2</v>
      </c>
      <c r="G1881" s="15">
        <v>-0.01</v>
      </c>
      <c r="H1881" s="15">
        <v>-2.3E-2</v>
      </c>
      <c r="I1881" s="15">
        <v>5.7000000000000002E-2</v>
      </c>
      <c r="J1881" t="s">
        <v>412</v>
      </c>
      <c r="K1881" t="s">
        <v>500</v>
      </c>
    </row>
    <row r="1882" spans="1:11">
      <c r="A1882" t="s">
        <v>479</v>
      </c>
      <c r="B1882" t="s">
        <v>588</v>
      </c>
      <c r="C1882" t="s">
        <v>582</v>
      </c>
      <c r="D1882" s="15">
        <v>-0.127</v>
      </c>
      <c r="E1882" s="15">
        <v>-1.7000000000000001E-2</v>
      </c>
      <c r="F1882" s="15">
        <v>2.5999999999999999E-2</v>
      </c>
      <c r="G1882" s="15">
        <v>-7.1999999999999995E-2</v>
      </c>
      <c r="H1882" s="15">
        <v>-3.9E-2</v>
      </c>
      <c r="I1882" s="15">
        <v>5.7000000000000002E-2</v>
      </c>
      <c r="J1882" t="s">
        <v>412</v>
      </c>
      <c r="K1882" t="s">
        <v>510</v>
      </c>
    </row>
    <row r="1883" spans="1:11">
      <c r="A1883" t="s">
        <v>571</v>
      </c>
      <c r="B1883" t="s">
        <v>517</v>
      </c>
      <c r="C1883" t="s">
        <v>582</v>
      </c>
      <c r="D1883" s="15">
        <v>9.1999999999999998E-2</v>
      </c>
      <c r="E1883" s="15">
        <v>1.7999999999999999E-2</v>
      </c>
      <c r="F1883" s="15">
        <v>5.8000000000000003E-2</v>
      </c>
      <c r="G1883" s="15">
        <v>5.5E-2</v>
      </c>
      <c r="H1883" s="15">
        <v>5.6000000000000001E-2</v>
      </c>
      <c r="I1883" s="15">
        <v>5.6000000000000001E-2</v>
      </c>
      <c r="J1883" t="s">
        <v>412</v>
      </c>
      <c r="K1883" t="s">
        <v>551</v>
      </c>
    </row>
    <row r="1884" spans="1:11">
      <c r="A1884" t="s">
        <v>486</v>
      </c>
      <c r="B1884" t="s">
        <v>595</v>
      </c>
      <c r="C1884" t="s">
        <v>594</v>
      </c>
      <c r="D1884" s="15">
        <v>-9.7000000000000003E-2</v>
      </c>
      <c r="E1884" s="15">
        <v>-1.6E-2</v>
      </c>
      <c r="F1884" s="15">
        <v>5.5E-2</v>
      </c>
      <c r="G1884" s="15">
        <v>-5.7000000000000002E-2</v>
      </c>
      <c r="H1884" s="15">
        <v>-1.9E-2</v>
      </c>
      <c r="I1884" s="15">
        <v>5.6000000000000001E-2</v>
      </c>
      <c r="J1884" t="s">
        <v>412</v>
      </c>
      <c r="K1884" t="s">
        <v>510</v>
      </c>
    </row>
    <row r="1885" spans="1:11">
      <c r="A1885" t="s">
        <v>479</v>
      </c>
      <c r="B1885" t="s">
        <v>598</v>
      </c>
      <c r="C1885" t="s">
        <v>477</v>
      </c>
      <c r="D1885" s="15">
        <v>4.5999999999999999E-2</v>
      </c>
      <c r="E1885" s="15">
        <v>-7.9000000000000001E-2</v>
      </c>
      <c r="F1885" s="15">
        <v>-4.2000000000000003E-2</v>
      </c>
      <c r="G1885" s="15">
        <v>-1.6E-2</v>
      </c>
      <c r="H1885" s="15">
        <v>-2.5000000000000001E-2</v>
      </c>
      <c r="I1885" s="15">
        <v>5.6000000000000001E-2</v>
      </c>
      <c r="J1885" t="s">
        <v>412</v>
      </c>
      <c r="K1885" t="s">
        <v>579</v>
      </c>
    </row>
    <row r="1886" spans="1:11">
      <c r="A1886" t="s">
        <v>571</v>
      </c>
      <c r="B1886" t="s">
        <v>523</v>
      </c>
      <c r="C1886" t="s">
        <v>594</v>
      </c>
      <c r="D1886" s="15">
        <v>-8.0000000000000002E-3</v>
      </c>
      <c r="E1886" s="15">
        <v>-0.13200000000000001</v>
      </c>
      <c r="F1886" s="15">
        <v>2.8000000000000001E-2</v>
      </c>
      <c r="G1886" s="15">
        <v>-7.0000000000000007E-2</v>
      </c>
      <c r="H1886" s="15">
        <v>-3.6999999999999998E-2</v>
      </c>
      <c r="I1886" s="15">
        <v>5.6000000000000001E-2</v>
      </c>
      <c r="J1886" t="s">
        <v>412</v>
      </c>
      <c r="K1886" t="s">
        <v>510</v>
      </c>
    </row>
    <row r="1887" spans="1:11">
      <c r="A1887" t="s">
        <v>576</v>
      </c>
      <c r="B1887" t="s">
        <v>597</v>
      </c>
      <c r="C1887" t="s">
        <v>477</v>
      </c>
      <c r="D1887" s="15">
        <v>2.9000000000000001E-2</v>
      </c>
      <c r="E1887" s="15">
        <v>-0.11700000000000001</v>
      </c>
      <c r="F1887" s="15">
        <v>-2.3E-2</v>
      </c>
      <c r="G1887" s="15">
        <v>-4.3999999999999997E-2</v>
      </c>
      <c r="H1887" s="15">
        <v>-3.6999999999999998E-2</v>
      </c>
      <c r="I1887" s="15">
        <v>5.6000000000000001E-2</v>
      </c>
      <c r="J1887" t="s">
        <v>412</v>
      </c>
      <c r="K1887" t="s">
        <v>579</v>
      </c>
    </row>
    <row r="1888" spans="1:11">
      <c r="A1888" t="s">
        <v>479</v>
      </c>
      <c r="B1888" t="s">
        <v>578</v>
      </c>
      <c r="C1888" t="s">
        <v>594</v>
      </c>
      <c r="D1888" s="15">
        <v>8.5000000000000006E-2</v>
      </c>
      <c r="E1888" s="15">
        <v>2.8000000000000001E-2</v>
      </c>
      <c r="F1888" s="15">
        <v>5.1999999999999998E-2</v>
      </c>
      <c r="G1888" s="15">
        <v>5.7000000000000002E-2</v>
      </c>
      <c r="H1888" s="15">
        <v>5.5E-2</v>
      </c>
      <c r="I1888" s="15">
        <v>5.5E-2</v>
      </c>
      <c r="J1888" t="s">
        <v>412</v>
      </c>
      <c r="K1888" t="s">
        <v>551</v>
      </c>
    </row>
    <row r="1889" spans="1:11">
      <c r="A1889" t="s">
        <v>506</v>
      </c>
      <c r="B1889" t="s">
        <v>523</v>
      </c>
      <c r="C1889" t="s">
        <v>594</v>
      </c>
      <c r="D1889" s="15">
        <v>8.2000000000000003E-2</v>
      </c>
      <c r="E1889" s="15">
        <v>5.2999999999999999E-2</v>
      </c>
      <c r="F1889" s="15">
        <v>2.8000000000000001E-2</v>
      </c>
      <c r="G1889" s="15">
        <v>6.8000000000000005E-2</v>
      </c>
      <c r="H1889" s="15">
        <v>5.5E-2</v>
      </c>
      <c r="I1889" s="15">
        <v>5.5E-2</v>
      </c>
      <c r="J1889" t="s">
        <v>412</v>
      </c>
      <c r="K1889" t="s">
        <v>551</v>
      </c>
    </row>
    <row r="1890" spans="1:11">
      <c r="A1890" t="s">
        <v>576</v>
      </c>
      <c r="B1890" t="s">
        <v>523</v>
      </c>
      <c r="C1890" t="s">
        <v>593</v>
      </c>
      <c r="D1890" s="15">
        <v>-1.7000000000000001E-2</v>
      </c>
      <c r="E1890" s="15">
        <v>0.129</v>
      </c>
      <c r="F1890" s="15">
        <v>0.02</v>
      </c>
      <c r="G1890" s="15">
        <v>5.6000000000000001E-2</v>
      </c>
      <c r="H1890" s="15">
        <v>4.3999999999999997E-2</v>
      </c>
      <c r="I1890" s="15">
        <v>5.5E-2</v>
      </c>
      <c r="J1890" t="s">
        <v>412</v>
      </c>
      <c r="K1890" t="s">
        <v>487</v>
      </c>
    </row>
    <row r="1891" spans="1:11">
      <c r="A1891" t="s">
        <v>576</v>
      </c>
      <c r="B1891" t="s">
        <v>550</v>
      </c>
      <c r="C1891" t="s">
        <v>492</v>
      </c>
      <c r="D1891" s="15">
        <v>1.7999999999999999E-2</v>
      </c>
      <c r="E1891" s="15">
        <v>-0.03</v>
      </c>
      <c r="F1891" s="15">
        <v>0.11700000000000001</v>
      </c>
      <c r="G1891" s="15">
        <v>-6.0000000000000001E-3</v>
      </c>
      <c r="H1891" s="15">
        <v>3.5000000000000003E-2</v>
      </c>
      <c r="I1891" s="15">
        <v>5.5E-2</v>
      </c>
      <c r="J1891" t="s">
        <v>412</v>
      </c>
      <c r="K1891" t="s">
        <v>480</v>
      </c>
    </row>
    <row r="1892" spans="1:11">
      <c r="A1892" t="s">
        <v>547</v>
      </c>
      <c r="B1892" t="s">
        <v>592</v>
      </c>
      <c r="C1892" t="s">
        <v>477</v>
      </c>
      <c r="D1892" s="15">
        <v>6.4000000000000001E-2</v>
      </c>
      <c r="E1892" s="15">
        <v>3.5000000000000003E-2</v>
      </c>
      <c r="F1892" s="15">
        <v>-6.6000000000000003E-2</v>
      </c>
      <c r="G1892" s="15">
        <v>4.9000000000000002E-2</v>
      </c>
      <c r="H1892" s="15">
        <v>1.0999999999999999E-2</v>
      </c>
      <c r="I1892" s="15">
        <v>5.5E-2</v>
      </c>
      <c r="J1892" t="s">
        <v>412</v>
      </c>
      <c r="K1892" t="s">
        <v>493</v>
      </c>
    </row>
    <row r="1893" spans="1:11">
      <c r="A1893" t="s">
        <v>573</v>
      </c>
      <c r="B1893" t="s">
        <v>598</v>
      </c>
      <c r="C1893" t="s">
        <v>593</v>
      </c>
      <c r="D1893" s="15">
        <v>2.8000000000000001E-2</v>
      </c>
      <c r="E1893" s="15">
        <v>-2.3E-2</v>
      </c>
      <c r="F1893" s="15">
        <v>-0.115</v>
      </c>
      <c r="G1893" s="15">
        <v>2E-3</v>
      </c>
      <c r="H1893" s="15">
        <v>-3.6999999999999998E-2</v>
      </c>
      <c r="I1893" s="15">
        <v>5.5E-2</v>
      </c>
      <c r="J1893" t="s">
        <v>412</v>
      </c>
      <c r="K1893" t="s">
        <v>579</v>
      </c>
    </row>
    <row r="1894" spans="1:11">
      <c r="A1894" t="s">
        <v>486</v>
      </c>
      <c r="B1894" t="s">
        <v>597</v>
      </c>
      <c r="C1894" t="s">
        <v>594</v>
      </c>
      <c r="D1894" s="15">
        <v>-9.7000000000000003E-2</v>
      </c>
      <c r="E1894" s="15">
        <v>-8.9999999999999993E-3</v>
      </c>
      <c r="F1894" s="15">
        <v>-5.8999999999999997E-2</v>
      </c>
      <c r="G1894" s="15">
        <v>-5.2999999999999999E-2</v>
      </c>
      <c r="H1894" s="15">
        <v>-5.5E-2</v>
      </c>
      <c r="I1894" s="15">
        <v>5.5E-2</v>
      </c>
      <c r="J1894" t="s">
        <v>412</v>
      </c>
      <c r="K1894" t="s">
        <v>589</v>
      </c>
    </row>
    <row r="1895" spans="1:11">
      <c r="A1895" t="s">
        <v>577</v>
      </c>
      <c r="B1895" t="s">
        <v>505</v>
      </c>
      <c r="C1895" t="s">
        <v>575</v>
      </c>
      <c r="D1895" s="15">
        <v>0.14199999999999999</v>
      </c>
      <c r="E1895" s="15">
        <v>1.2E-2</v>
      </c>
      <c r="F1895" s="15">
        <v>8.0000000000000002E-3</v>
      </c>
      <c r="G1895" s="15">
        <v>7.6999999999999999E-2</v>
      </c>
      <c r="H1895" s="15">
        <v>5.3999999999999999E-2</v>
      </c>
      <c r="I1895" s="15">
        <v>5.3999999999999999E-2</v>
      </c>
      <c r="J1895" t="s">
        <v>412</v>
      </c>
      <c r="K1895" t="s">
        <v>551</v>
      </c>
    </row>
    <row r="1896" spans="1:11">
      <c r="A1896" t="s">
        <v>577</v>
      </c>
      <c r="B1896" t="s">
        <v>590</v>
      </c>
      <c r="C1896" t="s">
        <v>593</v>
      </c>
      <c r="D1896" s="15">
        <v>3.7999999999999999E-2</v>
      </c>
      <c r="E1896" s="15">
        <v>4.4999999999999998E-2</v>
      </c>
      <c r="F1896" s="15">
        <v>7.9000000000000001E-2</v>
      </c>
      <c r="G1896" s="15">
        <v>4.1000000000000002E-2</v>
      </c>
      <c r="H1896" s="15">
        <v>5.3999999999999999E-2</v>
      </c>
      <c r="I1896" s="15">
        <v>5.3999999999999999E-2</v>
      </c>
      <c r="J1896" t="s">
        <v>412</v>
      </c>
      <c r="K1896" t="s">
        <v>551</v>
      </c>
    </row>
    <row r="1897" spans="1:11">
      <c r="A1897" t="s">
        <v>576</v>
      </c>
      <c r="B1897" t="s">
        <v>595</v>
      </c>
      <c r="C1897" t="s">
        <v>585</v>
      </c>
      <c r="D1897" s="15">
        <v>0.03</v>
      </c>
      <c r="E1897" s="15">
        <v>-4.2000000000000003E-2</v>
      </c>
      <c r="F1897" s="15">
        <v>8.8999999999999996E-2</v>
      </c>
      <c r="G1897" s="15">
        <v>-6.0000000000000001E-3</v>
      </c>
      <c r="H1897" s="15">
        <v>2.5999999999999999E-2</v>
      </c>
      <c r="I1897" s="15">
        <v>5.3999999999999999E-2</v>
      </c>
      <c r="J1897" t="s">
        <v>412</v>
      </c>
      <c r="K1897" t="s">
        <v>480</v>
      </c>
    </row>
    <row r="1898" spans="1:11">
      <c r="A1898" t="s">
        <v>576</v>
      </c>
      <c r="B1898" t="s">
        <v>586</v>
      </c>
      <c r="C1898" t="s">
        <v>593</v>
      </c>
      <c r="D1898" s="15">
        <v>-1.7000000000000001E-2</v>
      </c>
      <c r="E1898" s="15">
        <v>-3.2000000000000001E-2</v>
      </c>
      <c r="F1898" s="15">
        <v>0.112</v>
      </c>
      <c r="G1898" s="15">
        <v>-2.5000000000000001E-2</v>
      </c>
      <c r="H1898" s="15">
        <v>2.1000000000000001E-2</v>
      </c>
      <c r="I1898" s="15">
        <v>5.3999999999999999E-2</v>
      </c>
      <c r="J1898" t="s">
        <v>412</v>
      </c>
      <c r="K1898" t="s">
        <v>510</v>
      </c>
    </row>
    <row r="1899" spans="1:11">
      <c r="A1899" t="s">
        <v>577</v>
      </c>
      <c r="B1899" t="s">
        <v>580</v>
      </c>
      <c r="C1899" t="s">
        <v>583</v>
      </c>
      <c r="D1899" s="15">
        <v>-0.09</v>
      </c>
      <c r="E1899" s="15">
        <v>0.01</v>
      </c>
      <c r="F1899" s="15">
        <v>6.3E-2</v>
      </c>
      <c r="G1899" s="15">
        <v>-0.04</v>
      </c>
      <c r="H1899" s="15">
        <v>-6.0000000000000001E-3</v>
      </c>
      <c r="I1899" s="15">
        <v>5.3999999999999999E-2</v>
      </c>
      <c r="J1899" t="s">
        <v>412</v>
      </c>
      <c r="K1899" t="s">
        <v>487</v>
      </c>
    </row>
    <row r="1900" spans="1:11">
      <c r="A1900" t="s">
        <v>479</v>
      </c>
      <c r="B1900" t="s">
        <v>517</v>
      </c>
      <c r="C1900" t="s">
        <v>583</v>
      </c>
      <c r="D1900" s="15">
        <v>-0.02</v>
      </c>
      <c r="E1900" s="15">
        <v>-7.3999999999999996E-2</v>
      </c>
      <c r="F1900" s="15">
        <v>6.8000000000000005E-2</v>
      </c>
      <c r="G1900" s="15">
        <v>-4.7E-2</v>
      </c>
      <c r="H1900" s="15">
        <v>-8.9999999999999993E-3</v>
      </c>
      <c r="I1900" s="15">
        <v>5.3999999999999999E-2</v>
      </c>
      <c r="J1900" t="s">
        <v>412</v>
      </c>
      <c r="K1900" t="s">
        <v>510</v>
      </c>
    </row>
    <row r="1901" spans="1:11">
      <c r="A1901" t="s">
        <v>577</v>
      </c>
      <c r="B1901" t="s">
        <v>505</v>
      </c>
      <c r="C1901" t="s">
        <v>572</v>
      </c>
      <c r="D1901" s="15">
        <v>-0.14399999999999999</v>
      </c>
      <c r="E1901" s="15">
        <v>1.2E-2</v>
      </c>
      <c r="F1901" s="15">
        <v>-7.0000000000000001E-3</v>
      </c>
      <c r="G1901" s="15">
        <v>-6.6000000000000003E-2</v>
      </c>
      <c r="H1901" s="15">
        <v>-4.7E-2</v>
      </c>
      <c r="I1901" s="15">
        <v>5.3999999999999999E-2</v>
      </c>
      <c r="J1901" t="s">
        <v>412</v>
      </c>
      <c r="K1901" t="s">
        <v>500</v>
      </c>
    </row>
    <row r="1902" spans="1:11">
      <c r="A1902" t="s">
        <v>573</v>
      </c>
      <c r="B1902" t="s">
        <v>581</v>
      </c>
      <c r="C1902" t="s">
        <v>583</v>
      </c>
      <c r="D1902" s="15">
        <v>7.3999999999999996E-2</v>
      </c>
      <c r="E1902" s="15">
        <v>7.3999999999999996E-2</v>
      </c>
      <c r="F1902" s="15">
        <v>1.0999999999999999E-2</v>
      </c>
      <c r="G1902" s="15">
        <v>7.3999999999999996E-2</v>
      </c>
      <c r="H1902" s="15">
        <v>5.2999999999999999E-2</v>
      </c>
      <c r="I1902" s="15">
        <v>5.2999999999999999E-2</v>
      </c>
      <c r="J1902" t="s">
        <v>412</v>
      </c>
      <c r="K1902" t="s">
        <v>551</v>
      </c>
    </row>
    <row r="1903" spans="1:11">
      <c r="A1903" t="s">
        <v>577</v>
      </c>
      <c r="B1903" t="s">
        <v>509</v>
      </c>
      <c r="C1903" t="s">
        <v>593</v>
      </c>
      <c r="D1903" s="15">
        <v>3.7999999999999999E-2</v>
      </c>
      <c r="E1903" s="15">
        <v>0.104</v>
      </c>
      <c r="F1903" s="15">
        <v>-1.7999999999999999E-2</v>
      </c>
      <c r="G1903" s="15">
        <v>7.0999999999999994E-2</v>
      </c>
      <c r="H1903" s="15">
        <v>4.1000000000000002E-2</v>
      </c>
      <c r="I1903" s="15">
        <v>5.2999999999999999E-2</v>
      </c>
      <c r="J1903" t="s">
        <v>412</v>
      </c>
      <c r="K1903" t="s">
        <v>493</v>
      </c>
    </row>
    <row r="1904" spans="1:11">
      <c r="A1904" t="s">
        <v>486</v>
      </c>
      <c r="B1904" t="s">
        <v>478</v>
      </c>
      <c r="C1904" t="s">
        <v>591</v>
      </c>
      <c r="D1904" s="15">
        <v>-0.02</v>
      </c>
      <c r="E1904" s="15">
        <v>0.104</v>
      </c>
      <c r="F1904" s="15">
        <v>3.4000000000000002E-2</v>
      </c>
      <c r="G1904" s="15">
        <v>4.2000000000000003E-2</v>
      </c>
      <c r="H1904" s="15">
        <v>3.9E-2</v>
      </c>
      <c r="I1904" s="15">
        <v>5.2999999999999999E-2</v>
      </c>
      <c r="J1904" t="s">
        <v>412</v>
      </c>
      <c r="K1904" t="s">
        <v>487</v>
      </c>
    </row>
    <row r="1905" spans="1:11">
      <c r="A1905" t="s">
        <v>576</v>
      </c>
      <c r="B1905" t="s">
        <v>505</v>
      </c>
      <c r="C1905" t="s">
        <v>593</v>
      </c>
      <c r="D1905" s="15">
        <v>-1.7000000000000001E-2</v>
      </c>
      <c r="E1905" s="15">
        <v>0.104</v>
      </c>
      <c r="F1905" s="15">
        <v>-3.7999999999999999E-2</v>
      </c>
      <c r="G1905" s="15">
        <v>4.2999999999999997E-2</v>
      </c>
      <c r="H1905" s="15">
        <v>1.6E-2</v>
      </c>
      <c r="I1905" s="15">
        <v>5.2999999999999999E-2</v>
      </c>
      <c r="J1905" t="s">
        <v>412</v>
      </c>
      <c r="K1905" t="s">
        <v>500</v>
      </c>
    </row>
    <row r="1906" spans="1:11">
      <c r="A1906" t="s">
        <v>506</v>
      </c>
      <c r="B1906" t="s">
        <v>505</v>
      </c>
      <c r="C1906" t="s">
        <v>583</v>
      </c>
      <c r="D1906" s="15">
        <v>4.1000000000000002E-2</v>
      </c>
      <c r="E1906" s="15">
        <v>-6.5000000000000002E-2</v>
      </c>
      <c r="F1906" s="15">
        <v>5.1999999999999998E-2</v>
      </c>
      <c r="G1906" s="15">
        <v>-1.2E-2</v>
      </c>
      <c r="H1906" s="15">
        <v>8.9999999999999993E-3</v>
      </c>
      <c r="I1906" s="15">
        <v>5.2999999999999999E-2</v>
      </c>
      <c r="J1906" t="s">
        <v>412</v>
      </c>
      <c r="K1906" t="s">
        <v>480</v>
      </c>
    </row>
    <row r="1907" spans="1:11">
      <c r="A1907" t="s">
        <v>506</v>
      </c>
      <c r="B1907" t="s">
        <v>590</v>
      </c>
      <c r="C1907" t="s">
        <v>575</v>
      </c>
      <c r="D1907" s="15">
        <v>-0.14399999999999999</v>
      </c>
      <c r="E1907" s="15">
        <v>1E-3</v>
      </c>
      <c r="F1907" s="15">
        <v>1.2999999999999999E-2</v>
      </c>
      <c r="G1907" s="15">
        <v>-7.0999999999999994E-2</v>
      </c>
      <c r="H1907" s="15">
        <v>-4.2999999999999997E-2</v>
      </c>
      <c r="I1907" s="15">
        <v>5.2999999999999999E-2</v>
      </c>
      <c r="J1907" t="s">
        <v>412</v>
      </c>
      <c r="K1907" t="s">
        <v>487</v>
      </c>
    </row>
    <row r="1908" spans="1:11">
      <c r="A1908" t="s">
        <v>486</v>
      </c>
      <c r="B1908" t="s">
        <v>595</v>
      </c>
      <c r="C1908" t="s">
        <v>582</v>
      </c>
      <c r="D1908" s="15">
        <v>-0.129</v>
      </c>
      <c r="E1908" s="15">
        <v>-1.6E-2</v>
      </c>
      <c r="F1908" s="15">
        <v>1.4999999999999999E-2</v>
      </c>
      <c r="G1908" s="15">
        <v>-7.2999999999999995E-2</v>
      </c>
      <c r="H1908" s="15">
        <v>-4.3999999999999997E-2</v>
      </c>
      <c r="I1908" s="15">
        <v>5.2999999999999999E-2</v>
      </c>
      <c r="J1908" t="s">
        <v>412</v>
      </c>
      <c r="K1908" t="s">
        <v>510</v>
      </c>
    </row>
    <row r="1909" spans="1:11">
      <c r="A1909" t="s">
        <v>506</v>
      </c>
      <c r="B1909" t="s">
        <v>580</v>
      </c>
      <c r="C1909" t="s">
        <v>583</v>
      </c>
      <c r="D1909" s="15">
        <v>4.1000000000000002E-2</v>
      </c>
      <c r="E1909" s="15">
        <v>5.0999999999999997E-2</v>
      </c>
      <c r="F1909" s="15">
        <v>6.3E-2</v>
      </c>
      <c r="G1909" s="15">
        <v>4.5999999999999999E-2</v>
      </c>
      <c r="H1909" s="15">
        <v>5.1999999999999998E-2</v>
      </c>
      <c r="I1909" s="15">
        <v>5.1999999999999998E-2</v>
      </c>
      <c r="J1909" t="s">
        <v>412</v>
      </c>
      <c r="K1909" t="s">
        <v>551</v>
      </c>
    </row>
    <row r="1910" spans="1:11">
      <c r="A1910" t="s">
        <v>547</v>
      </c>
      <c r="B1910" t="s">
        <v>592</v>
      </c>
      <c r="C1910" t="s">
        <v>492</v>
      </c>
      <c r="D1910" s="15">
        <v>-6.6000000000000003E-2</v>
      </c>
      <c r="E1910" s="15">
        <v>3.5000000000000003E-2</v>
      </c>
      <c r="F1910" s="15">
        <v>5.5E-2</v>
      </c>
      <c r="G1910" s="15">
        <v>-1.6E-2</v>
      </c>
      <c r="H1910" s="15">
        <v>8.0000000000000002E-3</v>
      </c>
      <c r="I1910" s="15">
        <v>5.1999999999999998E-2</v>
      </c>
      <c r="J1910" t="s">
        <v>412</v>
      </c>
      <c r="K1910" t="s">
        <v>487</v>
      </c>
    </row>
    <row r="1911" spans="1:11">
      <c r="A1911" t="s">
        <v>479</v>
      </c>
      <c r="B1911" t="s">
        <v>498</v>
      </c>
      <c r="C1911" t="s">
        <v>593</v>
      </c>
      <c r="D1911" s="15">
        <v>-8.0000000000000002E-3</v>
      </c>
      <c r="E1911" s="15">
        <v>7.6999999999999999E-2</v>
      </c>
      <c r="F1911" s="15">
        <v>-7.0000000000000007E-2</v>
      </c>
      <c r="G1911" s="15">
        <v>3.5000000000000003E-2</v>
      </c>
      <c r="H1911" s="15">
        <v>0</v>
      </c>
      <c r="I1911" s="15">
        <v>5.1999999999999998E-2</v>
      </c>
      <c r="J1911" t="s">
        <v>412</v>
      </c>
      <c r="K1911" t="s">
        <v>500</v>
      </c>
    </row>
    <row r="1912" spans="1:11">
      <c r="A1912" t="s">
        <v>547</v>
      </c>
      <c r="B1912" t="s">
        <v>598</v>
      </c>
      <c r="C1912" t="s">
        <v>492</v>
      </c>
      <c r="D1912" s="15">
        <v>-6.6000000000000003E-2</v>
      </c>
      <c r="E1912" s="15">
        <v>-3.5999999999999997E-2</v>
      </c>
      <c r="F1912" s="15">
        <v>5.3999999999999999E-2</v>
      </c>
      <c r="G1912" s="15">
        <v>-5.0999999999999997E-2</v>
      </c>
      <c r="H1912" s="15">
        <v>-1.6E-2</v>
      </c>
      <c r="I1912" s="15">
        <v>5.1999999999999998E-2</v>
      </c>
      <c r="J1912" t="s">
        <v>412</v>
      </c>
      <c r="K1912" t="s">
        <v>510</v>
      </c>
    </row>
    <row r="1913" spans="1:11">
      <c r="A1913" t="s">
        <v>547</v>
      </c>
      <c r="B1913" t="s">
        <v>478</v>
      </c>
      <c r="C1913" t="s">
        <v>583</v>
      </c>
      <c r="D1913" s="15">
        <v>-0.03</v>
      </c>
      <c r="E1913" s="15">
        <v>-9.4E-2</v>
      </c>
      <c r="F1913" s="15">
        <v>3.1E-2</v>
      </c>
      <c r="G1913" s="15">
        <v>-6.2E-2</v>
      </c>
      <c r="H1913" s="15">
        <v>-3.1E-2</v>
      </c>
      <c r="I1913" s="15">
        <v>5.1999999999999998E-2</v>
      </c>
      <c r="J1913" t="s">
        <v>412</v>
      </c>
      <c r="K1913" t="s">
        <v>510</v>
      </c>
    </row>
    <row r="1914" spans="1:11">
      <c r="A1914" t="s">
        <v>479</v>
      </c>
      <c r="B1914" t="s">
        <v>580</v>
      </c>
      <c r="C1914" t="s">
        <v>582</v>
      </c>
      <c r="D1914" s="15">
        <v>-0.127</v>
      </c>
      <c r="E1914" s="15">
        <v>-1.9E-2</v>
      </c>
      <c r="F1914" s="15">
        <v>8.9999999999999993E-3</v>
      </c>
      <c r="G1914" s="15">
        <v>-7.2999999999999995E-2</v>
      </c>
      <c r="H1914" s="15">
        <v>-4.5999999999999999E-2</v>
      </c>
      <c r="I1914" s="15">
        <v>5.1999999999999998E-2</v>
      </c>
      <c r="J1914" t="s">
        <v>412</v>
      </c>
      <c r="K1914" t="s">
        <v>510</v>
      </c>
    </row>
    <row r="1915" spans="1:11">
      <c r="A1915" t="s">
        <v>576</v>
      </c>
      <c r="B1915" t="s">
        <v>580</v>
      </c>
      <c r="C1915" t="s">
        <v>593</v>
      </c>
      <c r="D1915" s="15">
        <v>-1.7000000000000001E-2</v>
      </c>
      <c r="E1915" s="15">
        <v>-0.09</v>
      </c>
      <c r="F1915" s="15">
        <v>-4.8000000000000001E-2</v>
      </c>
      <c r="G1915" s="15">
        <v>-5.2999999999999999E-2</v>
      </c>
      <c r="H1915" s="15">
        <v>-5.1999999999999998E-2</v>
      </c>
      <c r="I1915" s="15">
        <v>5.1999999999999998E-2</v>
      </c>
      <c r="J1915" t="s">
        <v>412</v>
      </c>
      <c r="K1915" t="s">
        <v>589</v>
      </c>
    </row>
    <row r="1916" spans="1:11">
      <c r="A1916" t="s">
        <v>576</v>
      </c>
      <c r="B1916" t="s">
        <v>592</v>
      </c>
      <c r="C1916" t="s">
        <v>492</v>
      </c>
      <c r="D1916" s="15">
        <v>1.7999999999999999E-2</v>
      </c>
      <c r="E1916" s="15">
        <v>7.9000000000000001E-2</v>
      </c>
      <c r="F1916" s="15">
        <v>5.5E-2</v>
      </c>
      <c r="G1916" s="15">
        <v>4.9000000000000002E-2</v>
      </c>
      <c r="H1916" s="15">
        <v>5.0999999999999997E-2</v>
      </c>
      <c r="I1916" s="15">
        <v>5.0999999999999997E-2</v>
      </c>
      <c r="J1916" t="s">
        <v>412</v>
      </c>
      <c r="K1916" t="s">
        <v>551</v>
      </c>
    </row>
    <row r="1917" spans="1:11">
      <c r="A1917" t="s">
        <v>577</v>
      </c>
      <c r="B1917" t="s">
        <v>505</v>
      </c>
      <c r="C1917" t="s">
        <v>585</v>
      </c>
      <c r="D1917" s="15">
        <v>-6.0000000000000001E-3</v>
      </c>
      <c r="E1917" s="15">
        <v>1.2E-2</v>
      </c>
      <c r="F1917" s="15">
        <v>0.13500000000000001</v>
      </c>
      <c r="G1917" s="15">
        <v>3.0000000000000001E-3</v>
      </c>
      <c r="H1917" s="15">
        <v>4.7E-2</v>
      </c>
      <c r="I1917" s="15">
        <v>5.0999999999999997E-2</v>
      </c>
      <c r="J1917" t="s">
        <v>412</v>
      </c>
      <c r="K1917" t="s">
        <v>487</v>
      </c>
    </row>
    <row r="1918" spans="1:11">
      <c r="A1918" t="s">
        <v>573</v>
      </c>
      <c r="B1918" t="s">
        <v>598</v>
      </c>
      <c r="C1918" t="s">
        <v>585</v>
      </c>
      <c r="D1918" s="15">
        <v>2.5999999999999999E-2</v>
      </c>
      <c r="E1918" s="15">
        <v>-2.3E-2</v>
      </c>
      <c r="F1918" s="15">
        <v>0.104</v>
      </c>
      <c r="G1918" s="15">
        <v>2E-3</v>
      </c>
      <c r="H1918" s="15">
        <v>3.5999999999999997E-2</v>
      </c>
      <c r="I1918" s="15">
        <v>5.0999999999999997E-2</v>
      </c>
      <c r="J1918" t="s">
        <v>412</v>
      </c>
      <c r="K1918" t="s">
        <v>480</v>
      </c>
    </row>
    <row r="1919" spans="1:11">
      <c r="A1919" t="s">
        <v>576</v>
      </c>
      <c r="B1919" t="s">
        <v>505</v>
      </c>
      <c r="C1919" t="s">
        <v>492</v>
      </c>
      <c r="D1919" s="15">
        <v>1.7999999999999999E-2</v>
      </c>
      <c r="E1919" s="15">
        <v>0.104</v>
      </c>
      <c r="F1919" s="15">
        <v>-0.03</v>
      </c>
      <c r="G1919" s="15">
        <v>6.0999999999999999E-2</v>
      </c>
      <c r="H1919" s="15">
        <v>3.1E-2</v>
      </c>
      <c r="I1919" s="15">
        <v>5.0999999999999997E-2</v>
      </c>
      <c r="J1919" t="s">
        <v>412</v>
      </c>
      <c r="K1919" t="s">
        <v>493</v>
      </c>
    </row>
    <row r="1920" spans="1:11">
      <c r="A1920" t="s">
        <v>547</v>
      </c>
      <c r="B1920" t="s">
        <v>598</v>
      </c>
      <c r="C1920" t="s">
        <v>584</v>
      </c>
      <c r="D1920" s="15">
        <v>0.112</v>
      </c>
      <c r="E1920" s="15">
        <v>-3.5999999999999997E-2</v>
      </c>
      <c r="F1920" s="15">
        <v>-4.0000000000000001E-3</v>
      </c>
      <c r="G1920" s="15">
        <v>3.7999999999999999E-2</v>
      </c>
      <c r="H1920" s="15">
        <v>2.4E-2</v>
      </c>
      <c r="I1920" s="15">
        <v>5.0999999999999997E-2</v>
      </c>
      <c r="J1920" t="s">
        <v>412</v>
      </c>
      <c r="K1920" t="s">
        <v>579</v>
      </c>
    </row>
    <row r="1921" spans="1:11">
      <c r="A1921" t="s">
        <v>571</v>
      </c>
      <c r="B1921" t="s">
        <v>574</v>
      </c>
      <c r="C1921" t="s">
        <v>582</v>
      </c>
      <c r="D1921" s="15">
        <v>9.1999999999999998E-2</v>
      </c>
      <c r="E1921" s="15">
        <v>-4.4999999999999998E-2</v>
      </c>
      <c r="F1921" s="15">
        <v>1.4999999999999999E-2</v>
      </c>
      <c r="G1921" s="15">
        <v>2.3E-2</v>
      </c>
      <c r="H1921" s="15">
        <v>2.1000000000000001E-2</v>
      </c>
      <c r="I1921" s="15">
        <v>5.0999999999999997E-2</v>
      </c>
      <c r="J1921" t="s">
        <v>412</v>
      </c>
      <c r="K1921" t="s">
        <v>480</v>
      </c>
    </row>
    <row r="1922" spans="1:11">
      <c r="A1922" t="s">
        <v>506</v>
      </c>
      <c r="B1922" t="s">
        <v>590</v>
      </c>
      <c r="C1922" t="s">
        <v>593</v>
      </c>
      <c r="D1922" s="15">
        <v>-7.1999999999999995E-2</v>
      </c>
      <c r="E1922" s="15">
        <v>1E-3</v>
      </c>
      <c r="F1922" s="15">
        <v>7.9000000000000001E-2</v>
      </c>
      <c r="G1922" s="15">
        <v>-3.5000000000000003E-2</v>
      </c>
      <c r="H1922" s="15">
        <v>3.0000000000000001E-3</v>
      </c>
      <c r="I1922" s="15">
        <v>5.0999999999999997E-2</v>
      </c>
      <c r="J1922" t="s">
        <v>412</v>
      </c>
      <c r="K1922" t="s">
        <v>487</v>
      </c>
    </row>
    <row r="1923" spans="1:11">
      <c r="A1923" t="s">
        <v>577</v>
      </c>
      <c r="B1923" t="s">
        <v>505</v>
      </c>
      <c r="C1923" t="s">
        <v>583</v>
      </c>
      <c r="D1923" s="15">
        <v>-0.09</v>
      </c>
      <c r="E1923" s="15">
        <v>1.2E-2</v>
      </c>
      <c r="F1923" s="15">
        <v>5.1999999999999998E-2</v>
      </c>
      <c r="G1923" s="15">
        <v>-3.9E-2</v>
      </c>
      <c r="H1923" s="15">
        <v>-8.9999999999999993E-3</v>
      </c>
      <c r="I1923" s="15">
        <v>5.0999999999999997E-2</v>
      </c>
      <c r="J1923" t="s">
        <v>412</v>
      </c>
      <c r="K1923" t="s">
        <v>487</v>
      </c>
    </row>
    <row r="1924" spans="1:11">
      <c r="A1924" t="s">
        <v>486</v>
      </c>
      <c r="B1924" t="s">
        <v>598</v>
      </c>
      <c r="C1924" t="s">
        <v>594</v>
      </c>
      <c r="D1924" s="15">
        <v>-9.7000000000000003E-2</v>
      </c>
      <c r="E1924" s="15">
        <v>-7.0000000000000001E-3</v>
      </c>
      <c r="F1924" s="15">
        <v>4.9000000000000002E-2</v>
      </c>
      <c r="G1924" s="15">
        <v>-5.1999999999999998E-2</v>
      </c>
      <c r="H1924" s="15">
        <v>-1.7999999999999999E-2</v>
      </c>
      <c r="I1924" s="15">
        <v>5.0999999999999997E-2</v>
      </c>
      <c r="J1924" t="s">
        <v>412</v>
      </c>
      <c r="K1924" t="s">
        <v>510</v>
      </c>
    </row>
    <row r="1925" spans="1:11">
      <c r="A1925" t="s">
        <v>479</v>
      </c>
      <c r="B1925" t="s">
        <v>595</v>
      </c>
      <c r="C1925" t="s">
        <v>572</v>
      </c>
      <c r="D1925" s="15">
        <v>-6.8000000000000005E-2</v>
      </c>
      <c r="E1925" s="15">
        <v>-4.7E-2</v>
      </c>
      <c r="F1925" s="15">
        <v>3.7999999999999999E-2</v>
      </c>
      <c r="G1925" s="15">
        <v>-5.7000000000000002E-2</v>
      </c>
      <c r="H1925" s="15">
        <v>-2.5999999999999999E-2</v>
      </c>
      <c r="I1925" s="15">
        <v>5.0999999999999997E-2</v>
      </c>
      <c r="J1925" t="s">
        <v>412</v>
      </c>
      <c r="K1925" t="s">
        <v>510</v>
      </c>
    </row>
    <row r="1926" spans="1:11">
      <c r="A1926" t="s">
        <v>486</v>
      </c>
      <c r="B1926" t="s">
        <v>595</v>
      </c>
      <c r="C1926" t="s">
        <v>584</v>
      </c>
      <c r="D1926" s="15">
        <v>-7.9000000000000001E-2</v>
      </c>
      <c r="E1926" s="15">
        <v>-1.6E-2</v>
      </c>
      <c r="F1926" s="15">
        <v>-5.8999999999999997E-2</v>
      </c>
      <c r="G1926" s="15">
        <v>-4.7E-2</v>
      </c>
      <c r="H1926" s="15">
        <v>-5.0999999999999997E-2</v>
      </c>
      <c r="I1926" s="15">
        <v>5.0999999999999997E-2</v>
      </c>
      <c r="J1926" t="s">
        <v>412</v>
      </c>
      <c r="K1926" t="s">
        <v>589</v>
      </c>
    </row>
    <row r="1927" spans="1:11">
      <c r="A1927" t="s">
        <v>479</v>
      </c>
      <c r="B1927" t="s">
        <v>592</v>
      </c>
      <c r="C1927" t="s">
        <v>583</v>
      </c>
      <c r="D1927" s="15">
        <v>-0.02</v>
      </c>
      <c r="E1927" s="15">
        <v>-0.109</v>
      </c>
      <c r="F1927" s="15">
        <v>-2.3E-2</v>
      </c>
      <c r="G1927" s="15">
        <v>-6.5000000000000002E-2</v>
      </c>
      <c r="H1927" s="15">
        <v>-5.0999999999999997E-2</v>
      </c>
      <c r="I1927" s="15">
        <v>5.0999999999999997E-2</v>
      </c>
      <c r="J1927" t="s">
        <v>412</v>
      </c>
      <c r="K1927" t="s">
        <v>589</v>
      </c>
    </row>
    <row r="1928" spans="1:11">
      <c r="A1928" t="s">
        <v>571</v>
      </c>
      <c r="B1928" t="s">
        <v>499</v>
      </c>
      <c r="C1928" t="s">
        <v>582</v>
      </c>
      <c r="D1928" s="15">
        <v>9.1999999999999998E-2</v>
      </c>
      <c r="E1928" s="15">
        <v>-1E-3</v>
      </c>
      <c r="F1928" s="15">
        <v>5.6000000000000001E-2</v>
      </c>
      <c r="G1928" s="15">
        <v>4.5999999999999999E-2</v>
      </c>
      <c r="H1928" s="15">
        <v>4.9000000000000002E-2</v>
      </c>
      <c r="I1928" s="15">
        <v>0.05</v>
      </c>
      <c r="J1928" t="s">
        <v>412</v>
      </c>
      <c r="K1928" t="s">
        <v>480</v>
      </c>
    </row>
    <row r="1929" spans="1:11">
      <c r="A1929" t="s">
        <v>506</v>
      </c>
      <c r="B1929" t="s">
        <v>580</v>
      </c>
      <c r="C1929" t="s">
        <v>594</v>
      </c>
      <c r="D1929" s="15">
        <v>8.2000000000000003E-2</v>
      </c>
      <c r="E1929" s="15">
        <v>5.0999999999999997E-2</v>
      </c>
      <c r="F1929" s="15">
        <v>-1.7000000000000001E-2</v>
      </c>
      <c r="G1929" s="15">
        <v>6.6000000000000003E-2</v>
      </c>
      <c r="H1929" s="15">
        <v>3.7999999999999999E-2</v>
      </c>
      <c r="I1929" s="15">
        <v>0.05</v>
      </c>
      <c r="J1929" t="s">
        <v>412</v>
      </c>
      <c r="K1929" t="s">
        <v>493</v>
      </c>
    </row>
    <row r="1930" spans="1:11">
      <c r="A1930" t="s">
        <v>547</v>
      </c>
      <c r="B1930" t="s">
        <v>595</v>
      </c>
      <c r="C1930" t="s">
        <v>477</v>
      </c>
      <c r="D1930" s="15">
        <v>6.4000000000000001E-2</v>
      </c>
      <c r="E1930" s="15">
        <v>-4.3999999999999997E-2</v>
      </c>
      <c r="F1930" s="15">
        <v>4.2999999999999997E-2</v>
      </c>
      <c r="G1930" s="15">
        <v>0.01</v>
      </c>
      <c r="H1930" s="15">
        <v>2.1000000000000001E-2</v>
      </c>
      <c r="I1930" s="15">
        <v>0.05</v>
      </c>
      <c r="J1930" t="s">
        <v>412</v>
      </c>
      <c r="K1930" t="s">
        <v>480</v>
      </c>
    </row>
    <row r="1931" spans="1:11">
      <c r="A1931" t="s">
        <v>547</v>
      </c>
      <c r="B1931" t="s">
        <v>550</v>
      </c>
      <c r="C1931" t="s">
        <v>477</v>
      </c>
      <c r="D1931" s="15">
        <v>6.4000000000000001E-2</v>
      </c>
      <c r="E1931" s="15">
        <v>2.7E-2</v>
      </c>
      <c r="F1931" s="15">
        <v>-0.06</v>
      </c>
      <c r="G1931" s="15">
        <v>4.4999999999999998E-2</v>
      </c>
      <c r="H1931" s="15">
        <v>0.01</v>
      </c>
      <c r="I1931" s="15">
        <v>0.05</v>
      </c>
      <c r="J1931" t="s">
        <v>412</v>
      </c>
      <c r="K1931" t="s">
        <v>493</v>
      </c>
    </row>
    <row r="1932" spans="1:11">
      <c r="A1932" t="s">
        <v>486</v>
      </c>
      <c r="B1932" t="s">
        <v>596</v>
      </c>
      <c r="C1932" t="s">
        <v>594</v>
      </c>
      <c r="D1932" s="15">
        <v>-9.7000000000000003E-2</v>
      </c>
      <c r="E1932" s="15">
        <v>-1E-3</v>
      </c>
      <c r="F1932" s="15">
        <v>0.05</v>
      </c>
      <c r="G1932" s="15">
        <v>-4.9000000000000002E-2</v>
      </c>
      <c r="H1932" s="15">
        <v>-1.6E-2</v>
      </c>
      <c r="I1932" s="15">
        <v>0.05</v>
      </c>
      <c r="J1932" t="s">
        <v>412</v>
      </c>
      <c r="K1932" t="s">
        <v>510</v>
      </c>
    </row>
    <row r="1933" spans="1:11">
      <c r="A1933" t="s">
        <v>576</v>
      </c>
      <c r="B1933" t="s">
        <v>597</v>
      </c>
      <c r="C1933" t="s">
        <v>585</v>
      </c>
      <c r="D1933" s="15">
        <v>0.03</v>
      </c>
      <c r="E1933" s="15">
        <v>-0.11700000000000001</v>
      </c>
      <c r="F1933" s="15">
        <v>-3.0000000000000001E-3</v>
      </c>
      <c r="G1933" s="15">
        <v>-4.3999999999999997E-2</v>
      </c>
      <c r="H1933" s="15">
        <v>-0.03</v>
      </c>
      <c r="I1933" s="15">
        <v>0.05</v>
      </c>
      <c r="J1933" t="s">
        <v>412</v>
      </c>
      <c r="K1933" t="s">
        <v>579</v>
      </c>
    </row>
    <row r="1934" spans="1:11">
      <c r="A1934" t="s">
        <v>577</v>
      </c>
      <c r="B1934" t="s">
        <v>550</v>
      </c>
      <c r="C1934" t="s">
        <v>585</v>
      </c>
      <c r="D1934" s="15">
        <v>-6.0000000000000001E-3</v>
      </c>
      <c r="E1934" s="15">
        <v>-0.11600000000000001</v>
      </c>
      <c r="F1934" s="15">
        <v>2.9000000000000001E-2</v>
      </c>
      <c r="G1934" s="15">
        <v>-6.0999999999999999E-2</v>
      </c>
      <c r="H1934" s="15">
        <v>-3.1E-2</v>
      </c>
      <c r="I1934" s="15">
        <v>0.05</v>
      </c>
      <c r="J1934" t="s">
        <v>412</v>
      </c>
      <c r="K1934" t="s">
        <v>510</v>
      </c>
    </row>
    <row r="1935" spans="1:11">
      <c r="A1935" t="s">
        <v>576</v>
      </c>
      <c r="B1935" t="s">
        <v>569</v>
      </c>
      <c r="C1935" t="s">
        <v>594</v>
      </c>
      <c r="D1935" s="15">
        <v>2.1000000000000001E-2</v>
      </c>
      <c r="E1935" s="15">
        <v>-5.3999999999999999E-2</v>
      </c>
      <c r="F1935" s="15">
        <v>-7.3999999999999996E-2</v>
      </c>
      <c r="G1935" s="15">
        <v>-1.6E-2</v>
      </c>
      <c r="H1935" s="15">
        <v>-3.5000000000000003E-2</v>
      </c>
      <c r="I1935" s="15">
        <v>0.05</v>
      </c>
      <c r="J1935" t="s">
        <v>412</v>
      </c>
      <c r="K1935" t="s">
        <v>579</v>
      </c>
    </row>
    <row r="1936" spans="1:11">
      <c r="A1936" t="s">
        <v>571</v>
      </c>
      <c r="B1936" t="s">
        <v>590</v>
      </c>
      <c r="C1936" t="s">
        <v>591</v>
      </c>
      <c r="D1936" s="15">
        <v>6.6000000000000003E-2</v>
      </c>
      <c r="E1936" s="15">
        <v>6.2E-2</v>
      </c>
      <c r="F1936" s="15">
        <v>-1.9E-2</v>
      </c>
      <c r="G1936" s="15">
        <v>6.4000000000000001E-2</v>
      </c>
      <c r="H1936" s="15">
        <v>3.5999999999999997E-2</v>
      </c>
      <c r="I1936" s="15">
        <v>4.9000000000000002E-2</v>
      </c>
      <c r="J1936" t="s">
        <v>412</v>
      </c>
      <c r="K1936" t="s">
        <v>493</v>
      </c>
    </row>
    <row r="1937" spans="1:11">
      <c r="A1937" t="s">
        <v>576</v>
      </c>
      <c r="B1937" t="s">
        <v>592</v>
      </c>
      <c r="C1937" t="s">
        <v>594</v>
      </c>
      <c r="D1937" s="15">
        <v>2.1000000000000001E-2</v>
      </c>
      <c r="E1937" s="15">
        <v>7.9000000000000001E-2</v>
      </c>
      <c r="F1937" s="15">
        <v>-4.5999999999999999E-2</v>
      </c>
      <c r="G1937" s="15">
        <v>0.05</v>
      </c>
      <c r="H1937" s="15">
        <v>1.7999999999999999E-2</v>
      </c>
      <c r="I1937" s="15">
        <v>4.9000000000000002E-2</v>
      </c>
      <c r="J1937" t="s">
        <v>412</v>
      </c>
      <c r="K1937" t="s">
        <v>493</v>
      </c>
    </row>
    <row r="1938" spans="1:11">
      <c r="A1938" t="s">
        <v>547</v>
      </c>
      <c r="B1938" t="s">
        <v>517</v>
      </c>
      <c r="C1938" t="s">
        <v>585</v>
      </c>
      <c r="D1938" s="15">
        <v>-7.1999999999999995E-2</v>
      </c>
      <c r="E1938" s="15">
        <v>-3.0000000000000001E-3</v>
      </c>
      <c r="F1938" s="15">
        <v>7.0999999999999994E-2</v>
      </c>
      <c r="G1938" s="15">
        <v>-3.7999999999999999E-2</v>
      </c>
      <c r="H1938" s="15">
        <v>-1E-3</v>
      </c>
      <c r="I1938" s="15">
        <v>4.9000000000000002E-2</v>
      </c>
      <c r="J1938" t="s">
        <v>412</v>
      </c>
      <c r="K1938" t="s">
        <v>510</v>
      </c>
    </row>
    <row r="1939" spans="1:11">
      <c r="A1939" t="s">
        <v>577</v>
      </c>
      <c r="B1939" t="s">
        <v>596</v>
      </c>
      <c r="C1939" t="s">
        <v>593</v>
      </c>
      <c r="D1939" s="15">
        <v>3.7999999999999999E-2</v>
      </c>
      <c r="E1939" s="15">
        <v>-7.0000000000000007E-2</v>
      </c>
      <c r="F1939" s="15">
        <v>-0.04</v>
      </c>
      <c r="G1939" s="15">
        <v>-1.6E-2</v>
      </c>
      <c r="H1939" s="15">
        <v>-2.4E-2</v>
      </c>
      <c r="I1939" s="15">
        <v>4.9000000000000002E-2</v>
      </c>
      <c r="J1939" t="s">
        <v>412</v>
      </c>
      <c r="K1939" t="s">
        <v>579</v>
      </c>
    </row>
    <row r="1940" spans="1:11">
      <c r="A1940" t="s">
        <v>576</v>
      </c>
      <c r="B1940" t="s">
        <v>597</v>
      </c>
      <c r="C1940" t="s">
        <v>492</v>
      </c>
      <c r="D1940" s="15">
        <v>1.7999999999999999E-2</v>
      </c>
      <c r="E1940" s="15">
        <v>-0.11700000000000001</v>
      </c>
      <c r="F1940" s="15">
        <v>1.0999999999999999E-2</v>
      </c>
      <c r="G1940" s="15">
        <v>-0.05</v>
      </c>
      <c r="H1940" s="15">
        <v>-0.03</v>
      </c>
      <c r="I1940" s="15">
        <v>4.9000000000000002E-2</v>
      </c>
      <c r="J1940" t="s">
        <v>412</v>
      </c>
      <c r="K1940" t="s">
        <v>480</v>
      </c>
    </row>
    <row r="1941" spans="1:11">
      <c r="A1941" t="s">
        <v>576</v>
      </c>
      <c r="B1941" t="s">
        <v>499</v>
      </c>
      <c r="C1941" t="s">
        <v>594</v>
      </c>
      <c r="D1941" s="15">
        <v>2.1000000000000001E-2</v>
      </c>
      <c r="E1941" s="15">
        <v>-7.0999999999999994E-2</v>
      </c>
      <c r="F1941" s="15">
        <v>-5.6000000000000001E-2</v>
      </c>
      <c r="G1941" s="15">
        <v>-2.5000000000000001E-2</v>
      </c>
      <c r="H1941" s="15">
        <v>-3.5000000000000003E-2</v>
      </c>
      <c r="I1941" s="15">
        <v>4.9000000000000002E-2</v>
      </c>
      <c r="J1941" t="s">
        <v>412</v>
      </c>
      <c r="K1941" t="s">
        <v>579</v>
      </c>
    </row>
    <row r="1942" spans="1:11">
      <c r="A1942" t="s">
        <v>577</v>
      </c>
      <c r="B1942" t="s">
        <v>581</v>
      </c>
      <c r="C1942" t="s">
        <v>583</v>
      </c>
      <c r="D1942" s="15">
        <v>-0.09</v>
      </c>
      <c r="E1942" s="15">
        <v>-4.5999999999999999E-2</v>
      </c>
      <c r="F1942" s="15">
        <v>1.0999999999999999E-2</v>
      </c>
      <c r="G1942" s="15">
        <v>-6.8000000000000005E-2</v>
      </c>
      <c r="H1942" s="15">
        <v>-4.1000000000000002E-2</v>
      </c>
      <c r="I1942" s="15">
        <v>4.9000000000000002E-2</v>
      </c>
      <c r="J1942" t="s">
        <v>412</v>
      </c>
      <c r="K1942" t="s">
        <v>510</v>
      </c>
    </row>
    <row r="1943" spans="1:11">
      <c r="A1943" t="s">
        <v>573</v>
      </c>
      <c r="B1943" t="s">
        <v>595</v>
      </c>
      <c r="C1943" t="s">
        <v>575</v>
      </c>
      <c r="D1943" s="15">
        <v>-4.9000000000000002E-2</v>
      </c>
      <c r="E1943" s="15">
        <v>-9.0999999999999998E-2</v>
      </c>
      <c r="F1943" s="15">
        <v>6.0000000000000001E-3</v>
      </c>
      <c r="G1943" s="15">
        <v>-7.0000000000000007E-2</v>
      </c>
      <c r="H1943" s="15">
        <v>-4.4999999999999998E-2</v>
      </c>
      <c r="I1943" s="15">
        <v>4.9000000000000002E-2</v>
      </c>
      <c r="J1943" t="s">
        <v>412</v>
      </c>
      <c r="K1943" t="s">
        <v>510</v>
      </c>
    </row>
    <row r="1944" spans="1:11">
      <c r="A1944" t="s">
        <v>547</v>
      </c>
      <c r="B1944" t="s">
        <v>505</v>
      </c>
      <c r="C1944" t="s">
        <v>572</v>
      </c>
      <c r="D1944" s="15">
        <v>5.0000000000000001E-3</v>
      </c>
      <c r="E1944" s="15">
        <v>-0.13600000000000001</v>
      </c>
      <c r="F1944" s="15">
        <v>-7.0000000000000001E-3</v>
      </c>
      <c r="G1944" s="15">
        <v>-6.6000000000000003E-2</v>
      </c>
      <c r="H1944" s="15">
        <v>-4.5999999999999999E-2</v>
      </c>
      <c r="I1944" s="15">
        <v>4.9000000000000002E-2</v>
      </c>
      <c r="J1944" t="s">
        <v>412</v>
      </c>
      <c r="K1944" t="s">
        <v>579</v>
      </c>
    </row>
    <row r="1945" spans="1:11">
      <c r="A1945" t="s">
        <v>486</v>
      </c>
      <c r="B1945" t="s">
        <v>590</v>
      </c>
      <c r="C1945" t="s">
        <v>591</v>
      </c>
      <c r="D1945" s="15">
        <v>-0.02</v>
      </c>
      <c r="E1945" s="15">
        <v>-0.106</v>
      </c>
      <c r="F1945" s="15">
        <v>-1.9E-2</v>
      </c>
      <c r="G1945" s="15">
        <v>-6.3E-2</v>
      </c>
      <c r="H1945" s="15">
        <v>-4.9000000000000002E-2</v>
      </c>
      <c r="I1945" s="15">
        <v>4.9000000000000002E-2</v>
      </c>
      <c r="J1945" t="s">
        <v>412</v>
      </c>
      <c r="K1945" t="s">
        <v>589</v>
      </c>
    </row>
    <row r="1946" spans="1:11">
      <c r="A1946" t="s">
        <v>577</v>
      </c>
      <c r="B1946" t="s">
        <v>580</v>
      </c>
      <c r="C1946" t="s">
        <v>585</v>
      </c>
      <c r="D1946" s="15">
        <v>-6.0000000000000001E-3</v>
      </c>
      <c r="E1946" s="15">
        <v>0.01</v>
      </c>
      <c r="F1946" s="15">
        <v>0.13</v>
      </c>
      <c r="G1946" s="15">
        <v>2E-3</v>
      </c>
      <c r="H1946" s="15">
        <v>4.4999999999999998E-2</v>
      </c>
      <c r="I1946" s="15">
        <v>4.8000000000000001E-2</v>
      </c>
      <c r="J1946" t="s">
        <v>412</v>
      </c>
      <c r="K1946" t="s">
        <v>487</v>
      </c>
    </row>
    <row r="1947" spans="1:11">
      <c r="A1947" t="s">
        <v>479</v>
      </c>
      <c r="B1947" t="s">
        <v>588</v>
      </c>
      <c r="C1947" t="s">
        <v>594</v>
      </c>
      <c r="D1947" s="15">
        <v>8.5000000000000006E-2</v>
      </c>
      <c r="E1947" s="15">
        <v>-1.7000000000000001E-2</v>
      </c>
      <c r="F1947" s="15">
        <v>4.2999999999999997E-2</v>
      </c>
      <c r="G1947" s="15">
        <v>3.4000000000000002E-2</v>
      </c>
      <c r="H1947" s="15">
        <v>3.6999999999999998E-2</v>
      </c>
      <c r="I1947" s="15">
        <v>4.8000000000000001E-2</v>
      </c>
      <c r="J1947" t="s">
        <v>412</v>
      </c>
      <c r="K1947" t="s">
        <v>480</v>
      </c>
    </row>
    <row r="1948" spans="1:11">
      <c r="A1948" t="s">
        <v>506</v>
      </c>
      <c r="B1948" t="s">
        <v>523</v>
      </c>
      <c r="C1948" t="s">
        <v>593</v>
      </c>
      <c r="D1948" s="15">
        <v>-7.1999999999999995E-2</v>
      </c>
      <c r="E1948" s="15">
        <v>5.2999999999999999E-2</v>
      </c>
      <c r="F1948" s="15">
        <v>0.02</v>
      </c>
      <c r="G1948" s="15">
        <v>-8.9999999999999993E-3</v>
      </c>
      <c r="H1948" s="15">
        <v>1E-3</v>
      </c>
      <c r="I1948" s="15">
        <v>4.8000000000000001E-2</v>
      </c>
      <c r="J1948" t="s">
        <v>412</v>
      </c>
      <c r="K1948" t="s">
        <v>487</v>
      </c>
    </row>
    <row r="1949" spans="1:11">
      <c r="A1949" t="s">
        <v>486</v>
      </c>
      <c r="B1949" t="s">
        <v>509</v>
      </c>
      <c r="C1949" t="s">
        <v>594</v>
      </c>
      <c r="D1949" s="15">
        <v>-9.7000000000000003E-2</v>
      </c>
      <c r="E1949" s="15">
        <v>-5.0000000000000001E-3</v>
      </c>
      <c r="F1949" s="15">
        <v>4.2000000000000003E-2</v>
      </c>
      <c r="G1949" s="15">
        <v>-5.0999999999999997E-2</v>
      </c>
      <c r="H1949" s="15">
        <v>-0.02</v>
      </c>
      <c r="I1949" s="15">
        <v>4.8000000000000001E-2</v>
      </c>
      <c r="J1949" t="s">
        <v>412</v>
      </c>
      <c r="K1949" t="s">
        <v>510</v>
      </c>
    </row>
    <row r="1950" spans="1:11">
      <c r="A1950" t="s">
        <v>576</v>
      </c>
      <c r="B1950" t="s">
        <v>478</v>
      </c>
      <c r="C1950" t="s">
        <v>572</v>
      </c>
      <c r="D1950" s="15">
        <v>-5.8999999999999997E-2</v>
      </c>
      <c r="E1950" s="15">
        <v>-8.1000000000000003E-2</v>
      </c>
      <c r="F1950" s="15">
        <v>4.0000000000000001E-3</v>
      </c>
      <c r="G1950" s="15">
        <v>-7.0000000000000007E-2</v>
      </c>
      <c r="H1950" s="15">
        <v>-4.4999999999999998E-2</v>
      </c>
      <c r="I1950" s="15">
        <v>4.8000000000000001E-2</v>
      </c>
      <c r="J1950" t="s">
        <v>412</v>
      </c>
      <c r="K1950" t="s">
        <v>510</v>
      </c>
    </row>
    <row r="1951" spans="1:11">
      <c r="A1951" t="s">
        <v>506</v>
      </c>
      <c r="B1951" t="s">
        <v>523</v>
      </c>
      <c r="C1951" t="s">
        <v>583</v>
      </c>
      <c r="D1951" s="15">
        <v>4.1000000000000002E-2</v>
      </c>
      <c r="E1951" s="15">
        <v>5.2999999999999999E-2</v>
      </c>
      <c r="F1951" s="15">
        <v>4.5999999999999999E-2</v>
      </c>
      <c r="G1951" s="15">
        <v>4.7E-2</v>
      </c>
      <c r="H1951" s="15">
        <v>4.7E-2</v>
      </c>
      <c r="I1951" s="15">
        <v>4.7E-2</v>
      </c>
      <c r="J1951" t="s">
        <v>412</v>
      </c>
      <c r="K1951" t="s">
        <v>551</v>
      </c>
    </row>
    <row r="1952" spans="1:11">
      <c r="A1952" t="s">
        <v>576</v>
      </c>
      <c r="B1952" t="s">
        <v>517</v>
      </c>
      <c r="C1952" t="s">
        <v>582</v>
      </c>
      <c r="D1952" s="15">
        <v>7.6999999999999999E-2</v>
      </c>
      <c r="E1952" s="15">
        <v>5.0000000000000001E-3</v>
      </c>
      <c r="F1952" s="15">
        <v>5.8000000000000003E-2</v>
      </c>
      <c r="G1952" s="15">
        <v>4.1000000000000002E-2</v>
      </c>
      <c r="H1952" s="15">
        <v>4.7E-2</v>
      </c>
      <c r="I1952" s="15">
        <v>4.7E-2</v>
      </c>
      <c r="J1952" t="s">
        <v>412</v>
      </c>
      <c r="K1952" t="s">
        <v>551</v>
      </c>
    </row>
    <row r="1953" spans="1:11">
      <c r="A1953" t="s">
        <v>576</v>
      </c>
      <c r="B1953" t="s">
        <v>509</v>
      </c>
      <c r="C1953" t="s">
        <v>477</v>
      </c>
      <c r="D1953" s="15">
        <v>2.9000000000000001E-2</v>
      </c>
      <c r="E1953" s="15">
        <v>-2.9000000000000001E-2</v>
      </c>
      <c r="F1953" s="15">
        <v>8.2000000000000003E-2</v>
      </c>
      <c r="G1953" s="15">
        <v>0</v>
      </c>
      <c r="H1953" s="15">
        <v>2.7E-2</v>
      </c>
      <c r="I1953" s="15">
        <v>4.7E-2</v>
      </c>
      <c r="J1953" t="s">
        <v>412</v>
      </c>
      <c r="K1953" t="s">
        <v>480</v>
      </c>
    </row>
    <row r="1954" spans="1:11">
      <c r="A1954" t="s">
        <v>576</v>
      </c>
      <c r="B1954" t="s">
        <v>592</v>
      </c>
      <c r="C1954" t="s">
        <v>572</v>
      </c>
      <c r="D1954" s="15">
        <v>-5.8999999999999997E-2</v>
      </c>
      <c r="E1954" s="15">
        <v>7.9000000000000001E-2</v>
      </c>
      <c r="F1954" s="15">
        <v>-1E-3</v>
      </c>
      <c r="G1954" s="15">
        <v>0.01</v>
      </c>
      <c r="H1954" s="15">
        <v>6.0000000000000001E-3</v>
      </c>
      <c r="I1954" s="15">
        <v>4.7E-2</v>
      </c>
      <c r="J1954" t="s">
        <v>412</v>
      </c>
      <c r="K1954" t="s">
        <v>500</v>
      </c>
    </row>
    <row r="1955" spans="1:11">
      <c r="A1955" t="s">
        <v>573</v>
      </c>
      <c r="B1955" t="s">
        <v>598</v>
      </c>
      <c r="C1955" t="s">
        <v>583</v>
      </c>
      <c r="D1955" s="15">
        <v>7.3999999999999996E-2</v>
      </c>
      <c r="E1955" s="15">
        <v>-2.3E-2</v>
      </c>
      <c r="F1955" s="15">
        <v>-4.2999999999999997E-2</v>
      </c>
      <c r="G1955" s="15">
        <v>2.5999999999999999E-2</v>
      </c>
      <c r="H1955" s="15">
        <v>3.0000000000000001E-3</v>
      </c>
      <c r="I1955" s="15">
        <v>4.7E-2</v>
      </c>
      <c r="J1955" t="s">
        <v>412</v>
      </c>
      <c r="K1955" t="s">
        <v>579</v>
      </c>
    </row>
    <row r="1956" spans="1:11">
      <c r="A1956" t="s">
        <v>577</v>
      </c>
      <c r="B1956" t="s">
        <v>597</v>
      </c>
      <c r="C1956" t="s">
        <v>591</v>
      </c>
      <c r="D1956" s="15">
        <v>-1.4E-2</v>
      </c>
      <c r="E1956" s="15">
        <v>6.6000000000000003E-2</v>
      </c>
      <c r="F1956" s="15">
        <v>-6.2E-2</v>
      </c>
      <c r="G1956" s="15">
        <v>2.5999999999999999E-2</v>
      </c>
      <c r="H1956" s="15">
        <v>-3.0000000000000001E-3</v>
      </c>
      <c r="I1956" s="15">
        <v>4.7E-2</v>
      </c>
      <c r="J1956" t="s">
        <v>412</v>
      </c>
      <c r="K1956" t="s">
        <v>500</v>
      </c>
    </row>
    <row r="1957" spans="1:11">
      <c r="A1957" t="s">
        <v>547</v>
      </c>
      <c r="B1957" t="s">
        <v>598</v>
      </c>
      <c r="C1957" t="s">
        <v>477</v>
      </c>
      <c r="D1957" s="15">
        <v>6.4000000000000001E-2</v>
      </c>
      <c r="E1957" s="15">
        <v>-3.5999999999999997E-2</v>
      </c>
      <c r="F1957" s="15">
        <v>-4.2000000000000003E-2</v>
      </c>
      <c r="G1957" s="15">
        <v>1.4E-2</v>
      </c>
      <c r="H1957" s="15">
        <v>-5.0000000000000001E-3</v>
      </c>
      <c r="I1957" s="15">
        <v>4.7E-2</v>
      </c>
      <c r="J1957" t="s">
        <v>412</v>
      </c>
      <c r="K1957" t="s">
        <v>579</v>
      </c>
    </row>
    <row r="1958" spans="1:11">
      <c r="A1958" t="s">
        <v>506</v>
      </c>
      <c r="B1958" t="s">
        <v>590</v>
      </c>
      <c r="C1958" t="s">
        <v>583</v>
      </c>
      <c r="D1958" s="15">
        <v>4.1000000000000002E-2</v>
      </c>
      <c r="E1958" s="15">
        <v>1E-3</v>
      </c>
      <c r="F1958" s="15">
        <v>-9.9000000000000005E-2</v>
      </c>
      <c r="G1958" s="15">
        <v>2.1000000000000001E-2</v>
      </c>
      <c r="H1958" s="15">
        <v>-1.9E-2</v>
      </c>
      <c r="I1958" s="15">
        <v>4.7E-2</v>
      </c>
      <c r="J1958" t="s">
        <v>412</v>
      </c>
      <c r="K1958" t="s">
        <v>493</v>
      </c>
    </row>
    <row r="1959" spans="1:11">
      <c r="A1959" t="s">
        <v>576</v>
      </c>
      <c r="B1959" t="s">
        <v>595</v>
      </c>
      <c r="C1959" t="s">
        <v>572</v>
      </c>
      <c r="D1959" s="15">
        <v>-5.8999999999999997E-2</v>
      </c>
      <c r="E1959" s="15">
        <v>-4.2000000000000003E-2</v>
      </c>
      <c r="F1959" s="15">
        <v>3.7999999999999999E-2</v>
      </c>
      <c r="G1959" s="15">
        <v>-5.0999999999999997E-2</v>
      </c>
      <c r="H1959" s="15">
        <v>-2.1000000000000001E-2</v>
      </c>
      <c r="I1959" s="15">
        <v>4.7E-2</v>
      </c>
      <c r="J1959" t="s">
        <v>412</v>
      </c>
      <c r="K1959" t="s">
        <v>510</v>
      </c>
    </row>
    <row r="1960" spans="1:11">
      <c r="A1960" t="s">
        <v>479</v>
      </c>
      <c r="B1960" t="s">
        <v>598</v>
      </c>
      <c r="C1960" t="s">
        <v>583</v>
      </c>
      <c r="D1960" s="15">
        <v>-0.02</v>
      </c>
      <c r="E1960" s="15">
        <v>-7.9000000000000001E-2</v>
      </c>
      <c r="F1960" s="15">
        <v>-4.2999999999999997E-2</v>
      </c>
      <c r="G1960" s="15">
        <v>-4.9000000000000002E-2</v>
      </c>
      <c r="H1960" s="15">
        <v>-4.7E-2</v>
      </c>
      <c r="I1960" s="15">
        <v>4.7E-2</v>
      </c>
      <c r="J1960" t="s">
        <v>412</v>
      </c>
      <c r="K1960" t="s">
        <v>589</v>
      </c>
    </row>
    <row r="1961" spans="1:11">
      <c r="A1961" t="s">
        <v>547</v>
      </c>
      <c r="B1961" t="s">
        <v>596</v>
      </c>
      <c r="C1961" t="s">
        <v>585</v>
      </c>
      <c r="D1961" s="15">
        <v>-7.1999999999999995E-2</v>
      </c>
      <c r="E1961" s="15">
        <v>-4.7E-2</v>
      </c>
      <c r="F1961" s="15">
        <v>-2.1000000000000001E-2</v>
      </c>
      <c r="G1961" s="15">
        <v>-0.06</v>
      </c>
      <c r="H1961" s="15">
        <v>-4.7E-2</v>
      </c>
      <c r="I1961" s="15">
        <v>4.7E-2</v>
      </c>
      <c r="J1961" t="s">
        <v>412</v>
      </c>
      <c r="K1961" t="s">
        <v>589</v>
      </c>
    </row>
    <row r="1962" spans="1:11">
      <c r="A1962" t="s">
        <v>506</v>
      </c>
      <c r="B1962" t="s">
        <v>596</v>
      </c>
      <c r="C1962" t="s">
        <v>594</v>
      </c>
      <c r="D1962" s="15">
        <v>8.2000000000000003E-2</v>
      </c>
      <c r="E1962" s="15">
        <v>-6.0000000000000001E-3</v>
      </c>
      <c r="F1962" s="15">
        <v>0.05</v>
      </c>
      <c r="G1962" s="15">
        <v>3.7999999999999999E-2</v>
      </c>
      <c r="H1962" s="15">
        <v>4.2000000000000003E-2</v>
      </c>
      <c r="I1962" s="15">
        <v>4.5999999999999999E-2</v>
      </c>
      <c r="J1962" t="s">
        <v>412</v>
      </c>
      <c r="K1962" t="s">
        <v>480</v>
      </c>
    </row>
    <row r="1963" spans="1:11">
      <c r="A1963" t="s">
        <v>571</v>
      </c>
      <c r="B1963" t="s">
        <v>588</v>
      </c>
      <c r="C1963" t="s">
        <v>582</v>
      </c>
      <c r="D1963" s="15">
        <v>9.1999999999999998E-2</v>
      </c>
      <c r="E1963" s="15">
        <v>-1.9E-2</v>
      </c>
      <c r="F1963" s="15">
        <v>2.5999999999999999E-2</v>
      </c>
      <c r="G1963" s="15">
        <v>3.6999999999999998E-2</v>
      </c>
      <c r="H1963" s="15">
        <v>3.3000000000000002E-2</v>
      </c>
      <c r="I1963" s="15">
        <v>4.5999999999999999E-2</v>
      </c>
      <c r="J1963" t="s">
        <v>412</v>
      </c>
      <c r="K1963" t="s">
        <v>480</v>
      </c>
    </row>
    <row r="1964" spans="1:11">
      <c r="A1964" t="s">
        <v>479</v>
      </c>
      <c r="B1964" t="s">
        <v>509</v>
      </c>
      <c r="C1964" t="s">
        <v>593</v>
      </c>
      <c r="D1964" s="15">
        <v>-8.0000000000000002E-3</v>
      </c>
      <c r="E1964" s="15">
        <v>0.111</v>
      </c>
      <c r="F1964" s="15">
        <v>-1.7999999999999999E-2</v>
      </c>
      <c r="G1964" s="15">
        <v>5.1999999999999998E-2</v>
      </c>
      <c r="H1964" s="15">
        <v>2.8000000000000001E-2</v>
      </c>
      <c r="I1964" s="15">
        <v>4.5999999999999999E-2</v>
      </c>
      <c r="J1964" t="s">
        <v>412</v>
      </c>
      <c r="K1964" t="s">
        <v>500</v>
      </c>
    </row>
    <row r="1965" spans="1:11">
      <c r="A1965" t="s">
        <v>576</v>
      </c>
      <c r="B1965" t="s">
        <v>498</v>
      </c>
      <c r="C1965" t="s">
        <v>593</v>
      </c>
      <c r="D1965" s="15">
        <v>-1.7000000000000001E-2</v>
      </c>
      <c r="E1965" s="15">
        <v>5.0999999999999997E-2</v>
      </c>
      <c r="F1965" s="15">
        <v>-7.0000000000000007E-2</v>
      </c>
      <c r="G1965" s="15">
        <v>1.7000000000000001E-2</v>
      </c>
      <c r="H1965" s="15">
        <v>-1.2E-2</v>
      </c>
      <c r="I1965" s="15">
        <v>4.5999999999999999E-2</v>
      </c>
      <c r="J1965" t="s">
        <v>412</v>
      </c>
      <c r="K1965" t="s">
        <v>500</v>
      </c>
    </row>
    <row r="1966" spans="1:11">
      <c r="A1966" t="s">
        <v>547</v>
      </c>
      <c r="B1966" t="s">
        <v>478</v>
      </c>
      <c r="C1966" t="s">
        <v>591</v>
      </c>
      <c r="D1966" s="15">
        <v>0.01</v>
      </c>
      <c r="E1966" s="15">
        <v>-9.4E-2</v>
      </c>
      <c r="F1966" s="15">
        <v>3.4000000000000002E-2</v>
      </c>
      <c r="G1966" s="15">
        <v>-4.2000000000000003E-2</v>
      </c>
      <c r="H1966" s="15">
        <v>-1.6E-2</v>
      </c>
      <c r="I1966" s="15">
        <v>4.5999999999999999E-2</v>
      </c>
      <c r="J1966" t="s">
        <v>412</v>
      </c>
      <c r="K1966" t="s">
        <v>480</v>
      </c>
    </row>
    <row r="1967" spans="1:11">
      <c r="A1967" t="s">
        <v>547</v>
      </c>
      <c r="B1967" t="s">
        <v>550</v>
      </c>
      <c r="C1967" t="s">
        <v>591</v>
      </c>
      <c r="D1967" s="15">
        <v>0.01</v>
      </c>
      <c r="E1967" s="15">
        <v>2.7E-2</v>
      </c>
      <c r="F1967" s="15">
        <v>9.9000000000000005E-2</v>
      </c>
      <c r="G1967" s="15">
        <v>1.9E-2</v>
      </c>
      <c r="H1967" s="15">
        <v>4.4999999999999998E-2</v>
      </c>
      <c r="I1967" s="15">
        <v>4.4999999999999998E-2</v>
      </c>
      <c r="J1967" t="s">
        <v>412</v>
      </c>
      <c r="K1967" t="s">
        <v>551</v>
      </c>
    </row>
    <row r="1968" spans="1:11">
      <c r="A1968" t="s">
        <v>571</v>
      </c>
      <c r="B1968" t="s">
        <v>586</v>
      </c>
      <c r="C1968" t="s">
        <v>591</v>
      </c>
      <c r="D1968" s="15">
        <v>6.6000000000000003E-2</v>
      </c>
      <c r="E1968" s="15">
        <v>5.6000000000000001E-2</v>
      </c>
      <c r="F1968" s="15">
        <v>1.2E-2</v>
      </c>
      <c r="G1968" s="15">
        <v>6.0999999999999999E-2</v>
      </c>
      <c r="H1968" s="15">
        <v>4.4999999999999998E-2</v>
      </c>
      <c r="I1968" s="15">
        <v>4.4999999999999998E-2</v>
      </c>
      <c r="J1968" t="s">
        <v>412</v>
      </c>
      <c r="K1968" t="s">
        <v>551</v>
      </c>
    </row>
    <row r="1969" spans="1:11">
      <c r="A1969" t="s">
        <v>576</v>
      </c>
      <c r="B1969" t="s">
        <v>595</v>
      </c>
      <c r="C1969" t="s">
        <v>582</v>
      </c>
      <c r="D1969" s="15">
        <v>7.6999999999999999E-2</v>
      </c>
      <c r="E1969" s="15">
        <v>-4.2000000000000003E-2</v>
      </c>
      <c r="F1969" s="15">
        <v>1.4999999999999999E-2</v>
      </c>
      <c r="G1969" s="15">
        <v>1.7000000000000001E-2</v>
      </c>
      <c r="H1969" s="15">
        <v>1.7000000000000001E-2</v>
      </c>
      <c r="I1969" s="15">
        <v>4.4999999999999998E-2</v>
      </c>
      <c r="J1969" t="s">
        <v>412</v>
      </c>
      <c r="K1969" t="s">
        <v>480</v>
      </c>
    </row>
    <row r="1970" spans="1:11">
      <c r="A1970" t="s">
        <v>479</v>
      </c>
      <c r="B1970" t="s">
        <v>595</v>
      </c>
      <c r="C1970" t="s">
        <v>477</v>
      </c>
      <c r="D1970" s="15">
        <v>4.5999999999999999E-2</v>
      </c>
      <c r="E1970" s="15">
        <v>-4.7E-2</v>
      </c>
      <c r="F1970" s="15">
        <v>4.2999999999999997E-2</v>
      </c>
      <c r="G1970" s="15">
        <v>0</v>
      </c>
      <c r="H1970" s="15">
        <v>1.4E-2</v>
      </c>
      <c r="I1970" s="15">
        <v>4.4999999999999998E-2</v>
      </c>
      <c r="J1970" t="s">
        <v>412</v>
      </c>
      <c r="K1970" t="s">
        <v>480</v>
      </c>
    </row>
    <row r="1971" spans="1:11">
      <c r="A1971" t="s">
        <v>486</v>
      </c>
      <c r="B1971" t="s">
        <v>505</v>
      </c>
      <c r="C1971" t="s">
        <v>593</v>
      </c>
      <c r="D1971" s="15">
        <v>-8.6999999999999994E-2</v>
      </c>
      <c r="E1971" s="15">
        <v>8.9999999999999993E-3</v>
      </c>
      <c r="F1971" s="15">
        <v>-3.7999999999999999E-2</v>
      </c>
      <c r="G1971" s="15">
        <v>-3.9E-2</v>
      </c>
      <c r="H1971" s="15">
        <v>-3.9E-2</v>
      </c>
      <c r="I1971" s="15">
        <v>4.4999999999999998E-2</v>
      </c>
      <c r="J1971" t="s">
        <v>412</v>
      </c>
      <c r="K1971" t="s">
        <v>500</v>
      </c>
    </row>
    <row r="1972" spans="1:11">
      <c r="A1972" t="s">
        <v>571</v>
      </c>
      <c r="B1972" t="s">
        <v>509</v>
      </c>
      <c r="C1972" t="s">
        <v>593</v>
      </c>
      <c r="D1972" s="15">
        <v>-0.10100000000000001</v>
      </c>
      <c r="E1972" s="15">
        <v>-1.6E-2</v>
      </c>
      <c r="F1972" s="15">
        <v>-1.7999999999999999E-2</v>
      </c>
      <c r="G1972" s="15">
        <v>-5.8000000000000003E-2</v>
      </c>
      <c r="H1972" s="15">
        <v>-4.4999999999999998E-2</v>
      </c>
      <c r="I1972" s="15">
        <v>4.4999999999999998E-2</v>
      </c>
      <c r="J1972" t="s">
        <v>412</v>
      </c>
      <c r="K1972" t="s">
        <v>589</v>
      </c>
    </row>
    <row r="1973" spans="1:11">
      <c r="A1973" t="s">
        <v>577</v>
      </c>
      <c r="B1973" t="s">
        <v>498</v>
      </c>
      <c r="C1973" t="s">
        <v>594</v>
      </c>
      <c r="D1973" s="15">
        <v>6.6000000000000003E-2</v>
      </c>
      <c r="E1973" s="15">
        <v>-1.2E-2</v>
      </c>
      <c r="F1973" s="15">
        <v>5.3999999999999999E-2</v>
      </c>
      <c r="G1973" s="15">
        <v>2.7E-2</v>
      </c>
      <c r="H1973" s="15">
        <v>3.5999999999999997E-2</v>
      </c>
      <c r="I1973" s="15">
        <v>4.3999999999999997E-2</v>
      </c>
      <c r="J1973" t="s">
        <v>412</v>
      </c>
      <c r="K1973" t="s">
        <v>480</v>
      </c>
    </row>
    <row r="1974" spans="1:11">
      <c r="A1974" t="s">
        <v>573</v>
      </c>
      <c r="B1974" t="s">
        <v>592</v>
      </c>
      <c r="C1974" t="s">
        <v>583</v>
      </c>
      <c r="D1974" s="15">
        <v>7.3999999999999996E-2</v>
      </c>
      <c r="E1974" s="15">
        <v>-3.5000000000000003E-2</v>
      </c>
      <c r="F1974" s="15">
        <v>-2.3E-2</v>
      </c>
      <c r="G1974" s="15">
        <v>1.9E-2</v>
      </c>
      <c r="H1974" s="15">
        <v>5.0000000000000001E-3</v>
      </c>
      <c r="I1974" s="15">
        <v>4.3999999999999997E-2</v>
      </c>
      <c r="J1974" t="s">
        <v>412</v>
      </c>
      <c r="K1974" t="s">
        <v>579</v>
      </c>
    </row>
    <row r="1975" spans="1:11">
      <c r="A1975" t="s">
        <v>576</v>
      </c>
      <c r="B1975" t="s">
        <v>596</v>
      </c>
      <c r="C1975" t="s">
        <v>594</v>
      </c>
      <c r="D1975" s="15">
        <v>2.1000000000000001E-2</v>
      </c>
      <c r="E1975" s="15">
        <v>-6.0999999999999999E-2</v>
      </c>
      <c r="F1975" s="15">
        <v>0.05</v>
      </c>
      <c r="G1975" s="15">
        <v>-0.02</v>
      </c>
      <c r="H1975" s="15">
        <v>3.0000000000000001E-3</v>
      </c>
      <c r="I1975" s="15">
        <v>4.3999999999999997E-2</v>
      </c>
      <c r="J1975" t="s">
        <v>412</v>
      </c>
      <c r="K1975" t="s">
        <v>480</v>
      </c>
    </row>
    <row r="1976" spans="1:11">
      <c r="A1976" t="s">
        <v>571</v>
      </c>
      <c r="B1976" t="s">
        <v>592</v>
      </c>
      <c r="C1976" t="s">
        <v>492</v>
      </c>
      <c r="D1976" s="15">
        <v>-6.5000000000000002E-2</v>
      </c>
      <c r="E1976" s="15">
        <v>1.0999999999999999E-2</v>
      </c>
      <c r="F1976" s="15">
        <v>5.5E-2</v>
      </c>
      <c r="G1976" s="15">
        <v>-2.7E-2</v>
      </c>
      <c r="H1976" s="15">
        <v>0</v>
      </c>
      <c r="I1976" s="15">
        <v>4.3999999999999997E-2</v>
      </c>
      <c r="J1976" t="s">
        <v>412</v>
      </c>
      <c r="K1976" t="s">
        <v>487</v>
      </c>
    </row>
    <row r="1977" spans="1:11">
      <c r="A1977" t="s">
        <v>577</v>
      </c>
      <c r="B1977" t="s">
        <v>499</v>
      </c>
      <c r="C1977" t="s">
        <v>594</v>
      </c>
      <c r="D1977" s="15">
        <v>6.6000000000000003E-2</v>
      </c>
      <c r="E1977" s="15">
        <v>-1.2E-2</v>
      </c>
      <c r="F1977" s="15">
        <v>-5.6000000000000001E-2</v>
      </c>
      <c r="G1977" s="15">
        <v>2.7E-2</v>
      </c>
      <c r="H1977" s="15">
        <v>-1E-3</v>
      </c>
      <c r="I1977" s="15">
        <v>4.3999999999999997E-2</v>
      </c>
      <c r="J1977" t="s">
        <v>412</v>
      </c>
      <c r="K1977" t="s">
        <v>579</v>
      </c>
    </row>
    <row r="1978" spans="1:11">
      <c r="A1978" t="s">
        <v>547</v>
      </c>
      <c r="B1978" t="s">
        <v>509</v>
      </c>
      <c r="C1978" t="s">
        <v>585</v>
      </c>
      <c r="D1978" s="15">
        <v>-7.1999999999999995E-2</v>
      </c>
      <c r="E1978" s="15">
        <v>4.5999999999999999E-2</v>
      </c>
      <c r="F1978" s="15">
        <v>1.2999999999999999E-2</v>
      </c>
      <c r="G1978" s="15">
        <v>-1.2999999999999999E-2</v>
      </c>
      <c r="H1978" s="15">
        <v>-4.0000000000000001E-3</v>
      </c>
      <c r="I1978" s="15">
        <v>4.3999999999999997E-2</v>
      </c>
      <c r="J1978" t="s">
        <v>412</v>
      </c>
      <c r="K1978" t="s">
        <v>487</v>
      </c>
    </row>
    <row r="1979" spans="1:11">
      <c r="A1979" t="s">
        <v>547</v>
      </c>
      <c r="B1979" t="s">
        <v>499</v>
      </c>
      <c r="C1979" t="s">
        <v>594</v>
      </c>
      <c r="D1979" s="15">
        <v>-6.0000000000000001E-3</v>
      </c>
      <c r="E1979" s="15">
        <v>-7.0999999999999994E-2</v>
      </c>
      <c r="F1979" s="15">
        <v>-5.6000000000000001E-2</v>
      </c>
      <c r="G1979" s="15">
        <v>-3.9E-2</v>
      </c>
      <c r="H1979" s="15">
        <v>-4.3999999999999997E-2</v>
      </c>
      <c r="I1979" s="15">
        <v>4.3999999999999997E-2</v>
      </c>
      <c r="J1979" t="s">
        <v>412</v>
      </c>
      <c r="K1979" t="s">
        <v>589</v>
      </c>
    </row>
    <row r="1980" spans="1:11">
      <c r="A1980" t="s">
        <v>576</v>
      </c>
      <c r="B1980" t="s">
        <v>592</v>
      </c>
      <c r="C1980" t="s">
        <v>585</v>
      </c>
      <c r="D1980" s="15">
        <v>0.03</v>
      </c>
      <c r="E1980" s="15">
        <v>7.9000000000000001E-2</v>
      </c>
      <c r="F1980" s="15">
        <v>2.1000000000000001E-2</v>
      </c>
      <c r="G1980" s="15">
        <v>5.3999999999999999E-2</v>
      </c>
      <c r="H1980" s="15">
        <v>4.2999999999999997E-2</v>
      </c>
      <c r="I1980" s="15">
        <v>4.2999999999999997E-2</v>
      </c>
      <c r="J1980" t="s">
        <v>412</v>
      </c>
      <c r="K1980" t="s">
        <v>551</v>
      </c>
    </row>
    <row r="1981" spans="1:11">
      <c r="A1981" t="s">
        <v>576</v>
      </c>
      <c r="B1981" t="s">
        <v>569</v>
      </c>
      <c r="C1981" t="s">
        <v>492</v>
      </c>
      <c r="D1981" s="15">
        <v>1.7999999999999999E-2</v>
      </c>
      <c r="E1981" s="15">
        <v>-5.3999999999999999E-2</v>
      </c>
      <c r="F1981" s="15">
        <v>5.7000000000000002E-2</v>
      </c>
      <c r="G1981" s="15">
        <v>-1.7999999999999999E-2</v>
      </c>
      <c r="H1981" s="15">
        <v>7.0000000000000001E-3</v>
      </c>
      <c r="I1981" s="15">
        <v>4.2999999999999997E-2</v>
      </c>
      <c r="J1981" t="s">
        <v>412</v>
      </c>
      <c r="K1981" t="s">
        <v>480</v>
      </c>
    </row>
    <row r="1982" spans="1:11">
      <c r="A1982" t="s">
        <v>547</v>
      </c>
      <c r="B1982" t="s">
        <v>550</v>
      </c>
      <c r="C1982" t="s">
        <v>585</v>
      </c>
      <c r="D1982" s="15">
        <v>-7.1999999999999995E-2</v>
      </c>
      <c r="E1982" s="15">
        <v>2.7E-2</v>
      </c>
      <c r="F1982" s="15">
        <v>2.9000000000000001E-2</v>
      </c>
      <c r="G1982" s="15">
        <v>-2.3E-2</v>
      </c>
      <c r="H1982" s="15">
        <v>-5.0000000000000001E-3</v>
      </c>
      <c r="I1982" s="15">
        <v>4.2999999999999997E-2</v>
      </c>
      <c r="J1982" t="s">
        <v>412</v>
      </c>
      <c r="K1982" t="s">
        <v>487</v>
      </c>
    </row>
    <row r="1983" spans="1:11">
      <c r="A1983" t="s">
        <v>547</v>
      </c>
      <c r="B1983" t="s">
        <v>592</v>
      </c>
      <c r="C1983" t="s">
        <v>585</v>
      </c>
      <c r="D1983" s="15">
        <v>-7.1999999999999995E-2</v>
      </c>
      <c r="E1983" s="15">
        <v>3.5000000000000003E-2</v>
      </c>
      <c r="F1983" s="15">
        <v>2.1000000000000001E-2</v>
      </c>
      <c r="G1983" s="15">
        <v>-1.9E-2</v>
      </c>
      <c r="H1983" s="15">
        <v>-5.0000000000000001E-3</v>
      </c>
      <c r="I1983" s="15">
        <v>4.2999999999999997E-2</v>
      </c>
      <c r="J1983" t="s">
        <v>412</v>
      </c>
      <c r="K1983" t="s">
        <v>487</v>
      </c>
    </row>
    <row r="1984" spans="1:11">
      <c r="A1984" t="s">
        <v>547</v>
      </c>
      <c r="B1984" t="s">
        <v>509</v>
      </c>
      <c r="C1984" t="s">
        <v>575</v>
      </c>
      <c r="D1984" s="15">
        <v>-6.8000000000000005E-2</v>
      </c>
      <c r="E1984" s="15">
        <v>4.5999999999999999E-2</v>
      </c>
      <c r="F1984" s="15">
        <v>-1.6E-2</v>
      </c>
      <c r="G1984" s="15">
        <v>-1.0999999999999999E-2</v>
      </c>
      <c r="H1984" s="15">
        <v>-1.2999999999999999E-2</v>
      </c>
      <c r="I1984" s="15">
        <v>4.2999999999999997E-2</v>
      </c>
      <c r="J1984" t="s">
        <v>412</v>
      </c>
      <c r="K1984" t="s">
        <v>500</v>
      </c>
    </row>
    <row r="1985" spans="1:11">
      <c r="A1985" t="s">
        <v>577</v>
      </c>
      <c r="B1985" t="s">
        <v>505</v>
      </c>
      <c r="C1985" t="s">
        <v>570</v>
      </c>
      <c r="D1985" s="15">
        <v>-8.8999999999999996E-2</v>
      </c>
      <c r="E1985" s="15">
        <v>1.2E-2</v>
      </c>
      <c r="F1985" s="15">
        <v>2.9000000000000001E-2</v>
      </c>
      <c r="G1985" s="15">
        <v>-3.9E-2</v>
      </c>
      <c r="H1985" s="15">
        <v>-1.6E-2</v>
      </c>
      <c r="I1985" s="15">
        <v>4.2999999999999997E-2</v>
      </c>
      <c r="J1985" t="s">
        <v>412</v>
      </c>
      <c r="K1985" t="s">
        <v>487</v>
      </c>
    </row>
    <row r="1986" spans="1:11">
      <c r="A1986" t="s">
        <v>576</v>
      </c>
      <c r="B1986" t="s">
        <v>580</v>
      </c>
      <c r="C1986" t="s">
        <v>594</v>
      </c>
      <c r="D1986" s="15">
        <v>2.1000000000000001E-2</v>
      </c>
      <c r="E1986" s="15">
        <v>-0.09</v>
      </c>
      <c r="F1986" s="15">
        <v>-1.7000000000000001E-2</v>
      </c>
      <c r="G1986" s="15">
        <v>-3.4000000000000002E-2</v>
      </c>
      <c r="H1986" s="15">
        <v>-2.9000000000000001E-2</v>
      </c>
      <c r="I1986" s="15">
        <v>4.2999999999999997E-2</v>
      </c>
      <c r="J1986" t="s">
        <v>412</v>
      </c>
      <c r="K1986" t="s">
        <v>579</v>
      </c>
    </row>
    <row r="1987" spans="1:11">
      <c r="A1987" t="s">
        <v>547</v>
      </c>
      <c r="B1987" t="s">
        <v>598</v>
      </c>
      <c r="C1987" t="s">
        <v>591</v>
      </c>
      <c r="D1987" s="15">
        <v>0.01</v>
      </c>
      <c r="E1987" s="15">
        <v>-3.5999999999999997E-2</v>
      </c>
      <c r="F1987" s="15">
        <v>-8.2000000000000003E-2</v>
      </c>
      <c r="G1987" s="15">
        <v>-1.2999999999999999E-2</v>
      </c>
      <c r="H1987" s="15">
        <v>-3.5999999999999997E-2</v>
      </c>
      <c r="I1987" s="15">
        <v>4.2999999999999997E-2</v>
      </c>
      <c r="J1987" t="s">
        <v>412</v>
      </c>
      <c r="K1987" t="s">
        <v>579</v>
      </c>
    </row>
    <row r="1988" spans="1:11">
      <c r="A1988" t="s">
        <v>486</v>
      </c>
      <c r="B1988" t="s">
        <v>596</v>
      </c>
      <c r="C1988" t="s">
        <v>593</v>
      </c>
      <c r="D1988" s="15">
        <v>-8.6999999999999994E-2</v>
      </c>
      <c r="E1988" s="15">
        <v>-1E-3</v>
      </c>
      <c r="F1988" s="15">
        <v>-0.04</v>
      </c>
      <c r="G1988" s="15">
        <v>-4.3999999999999997E-2</v>
      </c>
      <c r="H1988" s="15">
        <v>-4.2999999999999997E-2</v>
      </c>
      <c r="I1988" s="15">
        <v>4.2999999999999997E-2</v>
      </c>
      <c r="J1988" t="s">
        <v>412</v>
      </c>
      <c r="K1988" t="s">
        <v>589</v>
      </c>
    </row>
    <row r="1989" spans="1:11">
      <c r="A1989" t="s">
        <v>547</v>
      </c>
      <c r="B1989" t="s">
        <v>595</v>
      </c>
      <c r="C1989" t="s">
        <v>492</v>
      </c>
      <c r="D1989" s="15">
        <v>-6.6000000000000003E-2</v>
      </c>
      <c r="E1989" s="15">
        <v>-4.3999999999999997E-2</v>
      </c>
      <c r="F1989" s="15">
        <v>-1.9E-2</v>
      </c>
      <c r="G1989" s="15">
        <v>-5.5E-2</v>
      </c>
      <c r="H1989" s="15">
        <v>-4.2999999999999997E-2</v>
      </c>
      <c r="I1989" s="15">
        <v>4.2999999999999997E-2</v>
      </c>
      <c r="J1989" t="s">
        <v>412</v>
      </c>
      <c r="K1989" t="s">
        <v>589</v>
      </c>
    </row>
    <row r="1990" spans="1:11">
      <c r="A1990" t="s">
        <v>573</v>
      </c>
      <c r="B1990" t="s">
        <v>509</v>
      </c>
      <c r="C1990" t="s">
        <v>575</v>
      </c>
      <c r="D1990" s="15">
        <v>-4.9000000000000002E-2</v>
      </c>
      <c r="E1990" s="15">
        <v>-6.3E-2</v>
      </c>
      <c r="F1990" s="15">
        <v>-1.6E-2</v>
      </c>
      <c r="G1990" s="15">
        <v>-5.6000000000000001E-2</v>
      </c>
      <c r="H1990" s="15">
        <v>-4.2999999999999997E-2</v>
      </c>
      <c r="I1990" s="15">
        <v>4.2999999999999997E-2</v>
      </c>
      <c r="J1990" t="s">
        <v>412</v>
      </c>
      <c r="K1990" t="s">
        <v>589</v>
      </c>
    </row>
    <row r="1991" spans="1:11">
      <c r="A1991" t="s">
        <v>576</v>
      </c>
      <c r="B1991" t="s">
        <v>498</v>
      </c>
      <c r="C1991" t="s">
        <v>594</v>
      </c>
      <c r="D1991" s="15">
        <v>2.1000000000000001E-2</v>
      </c>
      <c r="E1991" s="15">
        <v>5.0999999999999997E-2</v>
      </c>
      <c r="F1991" s="15">
        <v>5.3999999999999999E-2</v>
      </c>
      <c r="G1991" s="15">
        <v>3.5999999999999997E-2</v>
      </c>
      <c r="H1991" s="15">
        <v>4.2000000000000003E-2</v>
      </c>
      <c r="I1991" s="15">
        <v>4.2000000000000003E-2</v>
      </c>
      <c r="J1991" t="s">
        <v>412</v>
      </c>
      <c r="K1991" t="s">
        <v>551</v>
      </c>
    </row>
    <row r="1992" spans="1:11">
      <c r="A1992" t="s">
        <v>576</v>
      </c>
      <c r="B1992" t="s">
        <v>590</v>
      </c>
      <c r="C1992" t="s">
        <v>593</v>
      </c>
      <c r="D1992" s="15">
        <v>-1.7000000000000001E-2</v>
      </c>
      <c r="E1992" s="15">
        <v>2.8000000000000001E-2</v>
      </c>
      <c r="F1992" s="15">
        <v>7.9000000000000001E-2</v>
      </c>
      <c r="G1992" s="15">
        <v>6.0000000000000001E-3</v>
      </c>
      <c r="H1992" s="15">
        <v>0.03</v>
      </c>
      <c r="I1992" s="15">
        <v>4.2000000000000003E-2</v>
      </c>
      <c r="J1992" t="s">
        <v>412</v>
      </c>
      <c r="K1992" t="s">
        <v>487</v>
      </c>
    </row>
    <row r="1993" spans="1:11">
      <c r="A1993" t="s">
        <v>479</v>
      </c>
      <c r="B1993" t="s">
        <v>523</v>
      </c>
      <c r="C1993" t="s">
        <v>583</v>
      </c>
      <c r="D1993" s="15">
        <v>-0.02</v>
      </c>
      <c r="E1993" s="15">
        <v>0.06</v>
      </c>
      <c r="F1993" s="15">
        <v>4.5999999999999999E-2</v>
      </c>
      <c r="G1993" s="15">
        <v>0.02</v>
      </c>
      <c r="H1993" s="15">
        <v>2.8000000000000001E-2</v>
      </c>
      <c r="I1993" s="15">
        <v>4.2000000000000003E-2</v>
      </c>
      <c r="J1993" t="s">
        <v>412</v>
      </c>
      <c r="K1993" t="s">
        <v>487</v>
      </c>
    </row>
    <row r="1994" spans="1:11">
      <c r="A1994" t="s">
        <v>547</v>
      </c>
      <c r="B1994" t="s">
        <v>580</v>
      </c>
      <c r="C1994" t="s">
        <v>583</v>
      </c>
      <c r="D1994" s="15">
        <v>-0.03</v>
      </c>
      <c r="E1994" s="15">
        <v>3.2000000000000001E-2</v>
      </c>
      <c r="F1994" s="15">
        <v>6.3E-2</v>
      </c>
      <c r="G1994" s="15">
        <v>1E-3</v>
      </c>
      <c r="H1994" s="15">
        <v>2.1999999999999999E-2</v>
      </c>
      <c r="I1994" s="15">
        <v>4.2000000000000003E-2</v>
      </c>
      <c r="J1994" t="s">
        <v>412</v>
      </c>
      <c r="K1994" t="s">
        <v>487</v>
      </c>
    </row>
    <row r="1995" spans="1:11">
      <c r="A1995" t="s">
        <v>577</v>
      </c>
      <c r="B1995" t="s">
        <v>581</v>
      </c>
      <c r="C1995" t="s">
        <v>591</v>
      </c>
      <c r="D1995" s="15">
        <v>-1.4E-2</v>
      </c>
      <c r="E1995" s="15">
        <v>-4.5999999999999999E-2</v>
      </c>
      <c r="F1995" s="15">
        <v>6.5000000000000002E-2</v>
      </c>
      <c r="G1995" s="15">
        <v>-0.03</v>
      </c>
      <c r="H1995" s="15">
        <v>2E-3</v>
      </c>
      <c r="I1995" s="15">
        <v>4.2000000000000003E-2</v>
      </c>
      <c r="J1995" t="s">
        <v>412</v>
      </c>
      <c r="K1995" t="s">
        <v>510</v>
      </c>
    </row>
    <row r="1996" spans="1:11">
      <c r="A1996" t="s">
        <v>576</v>
      </c>
      <c r="B1996" t="s">
        <v>498</v>
      </c>
      <c r="C1996" t="s">
        <v>591</v>
      </c>
      <c r="D1996" s="15">
        <v>-6.5000000000000002E-2</v>
      </c>
      <c r="E1996" s="15">
        <v>5.0999999999999997E-2</v>
      </c>
      <c r="F1996" s="15">
        <v>-0.01</v>
      </c>
      <c r="G1996" s="15">
        <v>-7.0000000000000001E-3</v>
      </c>
      <c r="H1996" s="15">
        <v>-8.0000000000000002E-3</v>
      </c>
      <c r="I1996" s="15">
        <v>4.2000000000000003E-2</v>
      </c>
      <c r="J1996" t="s">
        <v>412</v>
      </c>
      <c r="K1996" t="s">
        <v>500</v>
      </c>
    </row>
    <row r="1997" spans="1:11">
      <c r="A1997" t="s">
        <v>547</v>
      </c>
      <c r="B1997" t="s">
        <v>595</v>
      </c>
      <c r="C1997" t="s">
        <v>591</v>
      </c>
      <c r="D1997" s="15">
        <v>0.01</v>
      </c>
      <c r="E1997" s="15">
        <v>-4.3999999999999997E-2</v>
      </c>
      <c r="F1997" s="15">
        <v>-7.1999999999999995E-2</v>
      </c>
      <c r="G1997" s="15">
        <v>-1.7000000000000001E-2</v>
      </c>
      <c r="H1997" s="15">
        <v>-3.5000000000000003E-2</v>
      </c>
      <c r="I1997" s="15">
        <v>4.2000000000000003E-2</v>
      </c>
      <c r="J1997" t="s">
        <v>412</v>
      </c>
      <c r="K1997" t="s">
        <v>579</v>
      </c>
    </row>
    <row r="1998" spans="1:11">
      <c r="A1998" t="s">
        <v>547</v>
      </c>
      <c r="B1998" t="s">
        <v>580</v>
      </c>
      <c r="C1998" t="s">
        <v>591</v>
      </c>
      <c r="D1998" s="15">
        <v>0.01</v>
      </c>
      <c r="E1998" s="15">
        <v>3.2000000000000001E-2</v>
      </c>
      <c r="F1998" s="15">
        <v>7.9000000000000001E-2</v>
      </c>
      <c r="G1998" s="15">
        <v>2.1000000000000001E-2</v>
      </c>
      <c r="H1998" s="15">
        <v>4.1000000000000002E-2</v>
      </c>
      <c r="I1998" s="15">
        <v>4.1000000000000002E-2</v>
      </c>
      <c r="J1998" t="s">
        <v>412</v>
      </c>
      <c r="K1998" t="s">
        <v>551</v>
      </c>
    </row>
    <row r="1999" spans="1:11">
      <c r="A1999" t="s">
        <v>577</v>
      </c>
      <c r="B1999" t="s">
        <v>509</v>
      </c>
      <c r="C1999" t="s">
        <v>585</v>
      </c>
      <c r="D1999" s="15">
        <v>-6.0000000000000001E-3</v>
      </c>
      <c r="E1999" s="15">
        <v>0.104</v>
      </c>
      <c r="F1999" s="15">
        <v>1.2999999999999999E-2</v>
      </c>
      <c r="G1999" s="15">
        <v>4.9000000000000002E-2</v>
      </c>
      <c r="H1999" s="15">
        <v>3.6999999999999998E-2</v>
      </c>
      <c r="I1999" s="15">
        <v>4.1000000000000002E-2</v>
      </c>
      <c r="J1999" t="s">
        <v>412</v>
      </c>
      <c r="K1999" t="s">
        <v>487</v>
      </c>
    </row>
    <row r="2000" spans="1:11">
      <c r="A2000" t="s">
        <v>479</v>
      </c>
      <c r="B2000" t="s">
        <v>580</v>
      </c>
      <c r="C2000" t="s">
        <v>594</v>
      </c>
      <c r="D2000" s="15">
        <v>8.5000000000000006E-2</v>
      </c>
      <c r="E2000" s="15">
        <v>-1.9E-2</v>
      </c>
      <c r="F2000" s="15">
        <v>-1.7000000000000001E-2</v>
      </c>
      <c r="G2000" s="15">
        <v>3.3000000000000002E-2</v>
      </c>
      <c r="H2000" s="15">
        <v>1.6E-2</v>
      </c>
      <c r="I2000" s="15">
        <v>4.1000000000000002E-2</v>
      </c>
      <c r="J2000" t="s">
        <v>412</v>
      </c>
      <c r="K2000" t="s">
        <v>579</v>
      </c>
    </row>
    <row r="2001" spans="1:11">
      <c r="A2001" t="s">
        <v>573</v>
      </c>
      <c r="B2001" t="s">
        <v>580</v>
      </c>
      <c r="C2001" t="s">
        <v>593</v>
      </c>
      <c r="D2001" s="15">
        <v>2.8000000000000001E-2</v>
      </c>
      <c r="E2001" s="15">
        <v>4.7E-2</v>
      </c>
      <c r="F2001" s="15">
        <v>-4.8000000000000001E-2</v>
      </c>
      <c r="G2001" s="15">
        <v>3.6999999999999998E-2</v>
      </c>
      <c r="H2001" s="15">
        <v>8.9999999999999993E-3</v>
      </c>
      <c r="I2001" s="15">
        <v>4.1000000000000002E-2</v>
      </c>
      <c r="J2001" t="s">
        <v>412</v>
      </c>
      <c r="K2001" t="s">
        <v>493</v>
      </c>
    </row>
    <row r="2002" spans="1:11">
      <c r="A2002" t="s">
        <v>479</v>
      </c>
      <c r="B2002" t="s">
        <v>595</v>
      </c>
      <c r="C2002" t="s">
        <v>492</v>
      </c>
      <c r="D2002" s="15">
        <v>5.8999999999999997E-2</v>
      </c>
      <c r="E2002" s="15">
        <v>-4.7E-2</v>
      </c>
      <c r="F2002" s="15">
        <v>-1.9E-2</v>
      </c>
      <c r="G2002" s="15">
        <v>6.0000000000000001E-3</v>
      </c>
      <c r="H2002" s="15">
        <v>-2E-3</v>
      </c>
      <c r="I2002" s="15">
        <v>4.1000000000000002E-2</v>
      </c>
      <c r="J2002" t="s">
        <v>412</v>
      </c>
      <c r="K2002" t="s">
        <v>579</v>
      </c>
    </row>
    <row r="2003" spans="1:11">
      <c r="A2003" t="s">
        <v>571</v>
      </c>
      <c r="B2003" t="s">
        <v>597</v>
      </c>
      <c r="C2003" t="s">
        <v>492</v>
      </c>
      <c r="D2003" s="15">
        <v>-6.5000000000000002E-2</v>
      </c>
      <c r="E2003" s="15">
        <v>4.7E-2</v>
      </c>
      <c r="F2003" s="15">
        <v>1.0999999999999999E-2</v>
      </c>
      <c r="G2003" s="15">
        <v>-8.9999999999999993E-3</v>
      </c>
      <c r="H2003" s="15">
        <v>-3.0000000000000001E-3</v>
      </c>
      <c r="I2003" s="15">
        <v>4.1000000000000002E-2</v>
      </c>
      <c r="J2003" t="s">
        <v>412</v>
      </c>
      <c r="K2003" t="s">
        <v>487</v>
      </c>
    </row>
    <row r="2004" spans="1:11">
      <c r="A2004" t="s">
        <v>547</v>
      </c>
      <c r="B2004" t="s">
        <v>596</v>
      </c>
      <c r="C2004" t="s">
        <v>593</v>
      </c>
      <c r="D2004" s="15">
        <v>3.5000000000000003E-2</v>
      </c>
      <c r="E2004" s="15">
        <v>-4.7E-2</v>
      </c>
      <c r="F2004" s="15">
        <v>-0.04</v>
      </c>
      <c r="G2004" s="15">
        <v>-6.0000000000000001E-3</v>
      </c>
      <c r="H2004" s="15">
        <v>-1.7000000000000001E-2</v>
      </c>
      <c r="I2004" s="15">
        <v>4.1000000000000002E-2</v>
      </c>
      <c r="J2004" t="s">
        <v>412</v>
      </c>
      <c r="K2004" t="s">
        <v>579</v>
      </c>
    </row>
    <row r="2005" spans="1:11">
      <c r="A2005" t="s">
        <v>547</v>
      </c>
      <c r="B2005" t="s">
        <v>550</v>
      </c>
      <c r="C2005" t="s">
        <v>575</v>
      </c>
      <c r="D2005" s="15">
        <v>-6.8000000000000005E-2</v>
      </c>
      <c r="E2005" s="15">
        <v>2.7E-2</v>
      </c>
      <c r="F2005" s="15">
        <v>-2.8000000000000001E-2</v>
      </c>
      <c r="G2005" s="15">
        <v>-2.1000000000000001E-2</v>
      </c>
      <c r="H2005" s="15">
        <v>-2.3E-2</v>
      </c>
      <c r="I2005" s="15">
        <v>4.1000000000000002E-2</v>
      </c>
      <c r="J2005" t="s">
        <v>412</v>
      </c>
      <c r="K2005" t="s">
        <v>500</v>
      </c>
    </row>
    <row r="2006" spans="1:11">
      <c r="A2006" t="s">
        <v>576</v>
      </c>
      <c r="B2006" t="s">
        <v>595</v>
      </c>
      <c r="C2006" t="s">
        <v>594</v>
      </c>
      <c r="D2006" s="15">
        <v>2.1000000000000001E-2</v>
      </c>
      <c r="E2006" s="15">
        <v>-4.2000000000000003E-2</v>
      </c>
      <c r="F2006" s="15">
        <v>5.5E-2</v>
      </c>
      <c r="G2006" s="15">
        <v>-1.0999999999999999E-2</v>
      </c>
      <c r="H2006" s="15">
        <v>1.0999999999999999E-2</v>
      </c>
      <c r="I2006" s="15">
        <v>0.04</v>
      </c>
      <c r="J2006" t="s">
        <v>412</v>
      </c>
      <c r="K2006" t="s">
        <v>480</v>
      </c>
    </row>
    <row r="2007" spans="1:11">
      <c r="A2007" t="s">
        <v>577</v>
      </c>
      <c r="B2007" t="s">
        <v>498</v>
      </c>
      <c r="C2007" t="s">
        <v>593</v>
      </c>
      <c r="D2007" s="15">
        <v>3.7999999999999999E-2</v>
      </c>
      <c r="E2007" s="15">
        <v>-1.2E-2</v>
      </c>
      <c r="F2007" s="15">
        <v>-7.0000000000000007E-2</v>
      </c>
      <c r="G2007" s="15">
        <v>1.2999999999999999E-2</v>
      </c>
      <c r="H2007" s="15">
        <v>-1.4999999999999999E-2</v>
      </c>
      <c r="I2007" s="15">
        <v>0.04</v>
      </c>
      <c r="J2007" t="s">
        <v>412</v>
      </c>
      <c r="K2007" t="s">
        <v>579</v>
      </c>
    </row>
    <row r="2008" spans="1:11">
      <c r="A2008" t="s">
        <v>576</v>
      </c>
      <c r="B2008" t="s">
        <v>550</v>
      </c>
      <c r="C2008" t="s">
        <v>477</v>
      </c>
      <c r="D2008" s="15">
        <v>2.9000000000000001E-2</v>
      </c>
      <c r="E2008" s="15">
        <v>-0.03</v>
      </c>
      <c r="F2008" s="15">
        <v>-0.06</v>
      </c>
      <c r="G2008" s="15">
        <v>-1E-3</v>
      </c>
      <c r="H2008" s="15">
        <v>-2.1000000000000001E-2</v>
      </c>
      <c r="I2008" s="15">
        <v>0.04</v>
      </c>
      <c r="J2008" t="s">
        <v>412</v>
      </c>
      <c r="K2008" t="s">
        <v>579</v>
      </c>
    </row>
    <row r="2009" spans="1:11">
      <c r="A2009" t="s">
        <v>506</v>
      </c>
      <c r="B2009" t="s">
        <v>596</v>
      </c>
      <c r="C2009" t="s">
        <v>593</v>
      </c>
      <c r="D2009" s="15">
        <v>-7.1999999999999995E-2</v>
      </c>
      <c r="E2009" s="15">
        <v>-6.0000000000000001E-3</v>
      </c>
      <c r="F2009" s="15">
        <v>-0.04</v>
      </c>
      <c r="G2009" s="15">
        <v>-3.9E-2</v>
      </c>
      <c r="H2009" s="15">
        <v>-0.04</v>
      </c>
      <c r="I2009" s="15">
        <v>0.04</v>
      </c>
      <c r="J2009" t="s">
        <v>412</v>
      </c>
      <c r="K2009" t="s">
        <v>589</v>
      </c>
    </row>
    <row r="2010" spans="1:11">
      <c r="A2010" t="s">
        <v>573</v>
      </c>
      <c r="B2010" t="s">
        <v>597</v>
      </c>
      <c r="C2010" t="s">
        <v>575</v>
      </c>
      <c r="D2010" s="15">
        <v>-4.9000000000000002E-2</v>
      </c>
      <c r="E2010" s="15">
        <v>-6.4000000000000001E-2</v>
      </c>
      <c r="F2010" s="15">
        <v>-6.0000000000000001E-3</v>
      </c>
      <c r="G2010" s="15">
        <v>-5.6000000000000001E-2</v>
      </c>
      <c r="H2010" s="15">
        <v>-0.04</v>
      </c>
      <c r="I2010" s="15">
        <v>0.04</v>
      </c>
      <c r="J2010" t="s">
        <v>412</v>
      </c>
      <c r="K2010" t="s">
        <v>589</v>
      </c>
    </row>
    <row r="2011" spans="1:11">
      <c r="A2011" t="s">
        <v>576</v>
      </c>
      <c r="B2011" t="s">
        <v>596</v>
      </c>
      <c r="C2011" t="s">
        <v>593</v>
      </c>
      <c r="D2011" s="15">
        <v>-1.7000000000000001E-2</v>
      </c>
      <c r="E2011" s="15">
        <v>-6.0999999999999999E-2</v>
      </c>
      <c r="F2011" s="15">
        <v>-0.04</v>
      </c>
      <c r="G2011" s="15">
        <v>-3.9E-2</v>
      </c>
      <c r="H2011" s="15">
        <v>-0.04</v>
      </c>
      <c r="I2011" s="15">
        <v>0.04</v>
      </c>
      <c r="J2011" t="s">
        <v>412</v>
      </c>
      <c r="K2011" t="s">
        <v>589</v>
      </c>
    </row>
    <row r="2012" spans="1:11">
      <c r="A2012" t="s">
        <v>571</v>
      </c>
      <c r="B2012" t="s">
        <v>586</v>
      </c>
      <c r="C2012" t="s">
        <v>585</v>
      </c>
      <c r="D2012" s="15">
        <v>-1.2999999999999999E-2</v>
      </c>
      <c r="E2012" s="15">
        <v>5.6000000000000001E-2</v>
      </c>
      <c r="F2012" s="15">
        <v>4.9000000000000002E-2</v>
      </c>
      <c r="G2012" s="15">
        <v>2.1999999999999999E-2</v>
      </c>
      <c r="H2012" s="15">
        <v>3.1E-2</v>
      </c>
      <c r="I2012" s="15">
        <v>3.9E-2</v>
      </c>
      <c r="J2012" t="s">
        <v>412</v>
      </c>
      <c r="K2012" t="s">
        <v>487</v>
      </c>
    </row>
    <row r="2013" spans="1:11">
      <c r="A2013" t="s">
        <v>547</v>
      </c>
      <c r="B2013" t="s">
        <v>595</v>
      </c>
      <c r="C2013" t="s">
        <v>575</v>
      </c>
      <c r="D2013" s="15">
        <v>-6.8000000000000005E-2</v>
      </c>
      <c r="E2013" s="15">
        <v>-4.3999999999999997E-2</v>
      </c>
      <c r="F2013" s="15">
        <v>6.0000000000000001E-3</v>
      </c>
      <c r="G2013" s="15">
        <v>-5.6000000000000001E-2</v>
      </c>
      <c r="H2013" s="15">
        <v>-3.5999999999999997E-2</v>
      </c>
      <c r="I2013" s="15">
        <v>3.9E-2</v>
      </c>
      <c r="J2013" t="s">
        <v>412</v>
      </c>
      <c r="K2013" t="s">
        <v>510</v>
      </c>
    </row>
    <row r="2014" spans="1:11">
      <c r="A2014" t="s">
        <v>576</v>
      </c>
      <c r="B2014" t="s">
        <v>595</v>
      </c>
      <c r="C2014" t="s">
        <v>477</v>
      </c>
      <c r="D2014" s="15">
        <v>2.9000000000000001E-2</v>
      </c>
      <c r="E2014" s="15">
        <v>-4.2000000000000003E-2</v>
      </c>
      <c r="F2014" s="15">
        <v>4.2999999999999997E-2</v>
      </c>
      <c r="G2014" s="15">
        <v>-7.0000000000000001E-3</v>
      </c>
      <c r="H2014" s="15">
        <v>0.01</v>
      </c>
      <c r="I2014" s="15">
        <v>3.7999999999999999E-2</v>
      </c>
      <c r="J2014" t="s">
        <v>412</v>
      </c>
      <c r="K2014" t="s">
        <v>480</v>
      </c>
    </row>
    <row r="2015" spans="1:11">
      <c r="A2015" t="s">
        <v>547</v>
      </c>
      <c r="B2015" t="s">
        <v>580</v>
      </c>
      <c r="C2015" t="s">
        <v>593</v>
      </c>
      <c r="D2015" s="15">
        <v>3.5000000000000003E-2</v>
      </c>
      <c r="E2015" s="15">
        <v>3.2000000000000001E-2</v>
      </c>
      <c r="F2015" s="15">
        <v>-4.8000000000000001E-2</v>
      </c>
      <c r="G2015" s="15">
        <v>3.4000000000000002E-2</v>
      </c>
      <c r="H2015" s="15">
        <v>7.0000000000000001E-3</v>
      </c>
      <c r="I2015" s="15">
        <v>3.7999999999999999E-2</v>
      </c>
      <c r="J2015" t="s">
        <v>412</v>
      </c>
      <c r="K2015" t="s">
        <v>493</v>
      </c>
    </row>
    <row r="2016" spans="1:11">
      <c r="A2016" t="s">
        <v>571</v>
      </c>
      <c r="B2016" t="s">
        <v>578</v>
      </c>
      <c r="C2016" t="s">
        <v>594</v>
      </c>
      <c r="D2016" s="15">
        <v>-8.0000000000000002E-3</v>
      </c>
      <c r="E2016" s="15">
        <v>-5.3999999999999999E-2</v>
      </c>
      <c r="F2016" s="15">
        <v>5.1999999999999998E-2</v>
      </c>
      <c r="G2016" s="15">
        <v>-3.1E-2</v>
      </c>
      <c r="H2016" s="15">
        <v>-3.0000000000000001E-3</v>
      </c>
      <c r="I2016" s="15">
        <v>3.7999999999999999E-2</v>
      </c>
      <c r="J2016" t="s">
        <v>412</v>
      </c>
      <c r="K2016" t="s">
        <v>510</v>
      </c>
    </row>
    <row r="2017" spans="1:11">
      <c r="A2017" t="s">
        <v>547</v>
      </c>
      <c r="B2017" t="s">
        <v>523</v>
      </c>
      <c r="C2017" t="s">
        <v>583</v>
      </c>
      <c r="D2017" s="15">
        <v>-0.03</v>
      </c>
      <c r="E2017" s="15">
        <v>-3.6999999999999998E-2</v>
      </c>
      <c r="F2017" s="15">
        <v>4.5999999999999999E-2</v>
      </c>
      <c r="G2017" s="15">
        <v>-3.4000000000000002E-2</v>
      </c>
      <c r="H2017" s="15">
        <v>-7.0000000000000001E-3</v>
      </c>
      <c r="I2017" s="15">
        <v>3.7999999999999999E-2</v>
      </c>
      <c r="J2017" t="s">
        <v>412</v>
      </c>
      <c r="K2017" t="s">
        <v>510</v>
      </c>
    </row>
    <row r="2018" spans="1:11">
      <c r="A2018" t="s">
        <v>571</v>
      </c>
      <c r="B2018" t="s">
        <v>597</v>
      </c>
      <c r="C2018" t="s">
        <v>594</v>
      </c>
      <c r="D2018" s="15">
        <v>-8.0000000000000002E-3</v>
      </c>
      <c r="E2018" s="15">
        <v>4.7E-2</v>
      </c>
      <c r="F2018" s="15">
        <v>-5.8999999999999997E-2</v>
      </c>
      <c r="G2018" s="15">
        <v>0.02</v>
      </c>
      <c r="H2018" s="15">
        <v>-7.0000000000000001E-3</v>
      </c>
      <c r="I2018" s="15">
        <v>3.7999999999999999E-2</v>
      </c>
      <c r="J2018" t="s">
        <v>412</v>
      </c>
      <c r="K2018" t="s">
        <v>500</v>
      </c>
    </row>
    <row r="2019" spans="1:11">
      <c r="A2019" t="s">
        <v>576</v>
      </c>
      <c r="B2019" t="s">
        <v>590</v>
      </c>
      <c r="C2019" t="s">
        <v>591</v>
      </c>
      <c r="D2019" s="15">
        <v>-6.5000000000000002E-2</v>
      </c>
      <c r="E2019" s="15">
        <v>2.8000000000000001E-2</v>
      </c>
      <c r="F2019" s="15">
        <v>-1.9E-2</v>
      </c>
      <c r="G2019" s="15">
        <v>-1.7999999999999999E-2</v>
      </c>
      <c r="H2019" s="15">
        <v>-1.9E-2</v>
      </c>
      <c r="I2019" s="15">
        <v>3.7999999999999999E-2</v>
      </c>
      <c r="J2019" t="s">
        <v>412</v>
      </c>
      <c r="K2019" t="s">
        <v>500</v>
      </c>
    </row>
    <row r="2020" spans="1:11">
      <c r="A2020" t="s">
        <v>577</v>
      </c>
      <c r="B2020" t="s">
        <v>580</v>
      </c>
      <c r="C2020" t="s">
        <v>570</v>
      </c>
      <c r="D2020" s="15">
        <v>-8.8999999999999996E-2</v>
      </c>
      <c r="E2020" s="15">
        <v>0.01</v>
      </c>
      <c r="F2020" s="15">
        <v>1.6E-2</v>
      </c>
      <c r="G2020" s="15">
        <v>-0.04</v>
      </c>
      <c r="H2020" s="15">
        <v>-2.1000000000000001E-2</v>
      </c>
      <c r="I2020" s="15">
        <v>3.7999999999999999E-2</v>
      </c>
      <c r="J2020" t="s">
        <v>412</v>
      </c>
      <c r="K2020" t="s">
        <v>487</v>
      </c>
    </row>
    <row r="2021" spans="1:11">
      <c r="A2021" t="s">
        <v>576</v>
      </c>
      <c r="B2021" t="s">
        <v>586</v>
      </c>
      <c r="C2021" t="s">
        <v>585</v>
      </c>
      <c r="D2021" s="15">
        <v>0.03</v>
      </c>
      <c r="E2021" s="15">
        <v>-3.2000000000000001E-2</v>
      </c>
      <c r="F2021" s="15">
        <v>4.9000000000000002E-2</v>
      </c>
      <c r="G2021" s="15">
        <v>-1E-3</v>
      </c>
      <c r="H2021" s="15">
        <v>1.4999999999999999E-2</v>
      </c>
      <c r="I2021" s="15">
        <v>3.6999999999999998E-2</v>
      </c>
      <c r="J2021" t="s">
        <v>412</v>
      </c>
      <c r="K2021" t="s">
        <v>480</v>
      </c>
    </row>
    <row r="2022" spans="1:11">
      <c r="A2022" t="s">
        <v>506</v>
      </c>
      <c r="B2022" t="s">
        <v>597</v>
      </c>
      <c r="C2022" t="s">
        <v>585</v>
      </c>
      <c r="D2022" s="15">
        <v>-5.6000000000000001E-2</v>
      </c>
      <c r="E2022" s="15">
        <v>5.0999999999999997E-2</v>
      </c>
      <c r="F2022" s="15">
        <v>-3.0000000000000001E-3</v>
      </c>
      <c r="G2022" s="15">
        <v>-2E-3</v>
      </c>
      <c r="H2022" s="15">
        <v>-3.0000000000000001E-3</v>
      </c>
      <c r="I2022" s="15">
        <v>3.6999999999999998E-2</v>
      </c>
      <c r="J2022" t="s">
        <v>412</v>
      </c>
      <c r="K2022" t="s">
        <v>500</v>
      </c>
    </row>
    <row r="2023" spans="1:11">
      <c r="A2023" t="s">
        <v>576</v>
      </c>
      <c r="B2023" t="s">
        <v>596</v>
      </c>
      <c r="C2023" t="s">
        <v>585</v>
      </c>
      <c r="D2023" s="15">
        <v>0.03</v>
      </c>
      <c r="E2023" s="15">
        <v>-6.0999999999999999E-2</v>
      </c>
      <c r="F2023" s="15">
        <v>-2.1000000000000001E-2</v>
      </c>
      <c r="G2023" s="15">
        <v>-1.4999999999999999E-2</v>
      </c>
      <c r="H2023" s="15">
        <v>-1.7000000000000001E-2</v>
      </c>
      <c r="I2023" s="15">
        <v>3.6999999999999998E-2</v>
      </c>
      <c r="J2023" t="s">
        <v>412</v>
      </c>
      <c r="K2023" t="s">
        <v>579</v>
      </c>
    </row>
    <row r="2024" spans="1:11">
      <c r="A2024" t="s">
        <v>573</v>
      </c>
      <c r="B2024" t="s">
        <v>509</v>
      </c>
      <c r="C2024" t="s">
        <v>593</v>
      </c>
      <c r="D2024" s="15">
        <v>2.8000000000000001E-2</v>
      </c>
      <c r="E2024" s="15">
        <v>-6.3E-2</v>
      </c>
      <c r="F2024" s="15">
        <v>-1.7999999999999999E-2</v>
      </c>
      <c r="G2024" s="15">
        <v>-1.7999999999999999E-2</v>
      </c>
      <c r="H2024" s="15">
        <v>-1.7999999999999999E-2</v>
      </c>
      <c r="I2024" s="15">
        <v>3.6999999999999998E-2</v>
      </c>
      <c r="J2024" t="s">
        <v>412</v>
      </c>
      <c r="K2024" t="s">
        <v>579</v>
      </c>
    </row>
    <row r="2025" spans="1:11">
      <c r="A2025" t="s">
        <v>479</v>
      </c>
      <c r="B2025" t="s">
        <v>581</v>
      </c>
      <c r="C2025" t="s">
        <v>583</v>
      </c>
      <c r="D2025" s="15">
        <v>-0.02</v>
      </c>
      <c r="E2025" s="15">
        <v>-7.8E-2</v>
      </c>
      <c r="F2025" s="15">
        <v>1.0999999999999999E-2</v>
      </c>
      <c r="G2025" s="15">
        <v>-4.9000000000000002E-2</v>
      </c>
      <c r="H2025" s="15">
        <v>-2.9000000000000001E-2</v>
      </c>
      <c r="I2025" s="15">
        <v>3.6999999999999998E-2</v>
      </c>
      <c r="J2025" t="s">
        <v>412</v>
      </c>
      <c r="K2025" t="s">
        <v>510</v>
      </c>
    </row>
    <row r="2026" spans="1:11">
      <c r="A2026" t="s">
        <v>547</v>
      </c>
      <c r="B2026" t="s">
        <v>598</v>
      </c>
      <c r="C2026" t="s">
        <v>575</v>
      </c>
      <c r="D2026" s="15">
        <v>-6.8000000000000005E-2</v>
      </c>
      <c r="E2026" s="15">
        <v>-3.5999999999999997E-2</v>
      </c>
      <c r="F2026" s="15">
        <v>7.0000000000000001E-3</v>
      </c>
      <c r="G2026" s="15">
        <v>-5.1999999999999998E-2</v>
      </c>
      <c r="H2026" s="15">
        <v>-3.2000000000000001E-2</v>
      </c>
      <c r="I2026" s="15">
        <v>3.6999999999999998E-2</v>
      </c>
      <c r="J2026" t="s">
        <v>412</v>
      </c>
      <c r="K2026" t="s">
        <v>510</v>
      </c>
    </row>
    <row r="2027" spans="1:11">
      <c r="A2027" t="s">
        <v>486</v>
      </c>
      <c r="B2027" t="s">
        <v>509</v>
      </c>
      <c r="C2027" t="s">
        <v>593</v>
      </c>
      <c r="D2027" s="15">
        <v>-8.6999999999999994E-2</v>
      </c>
      <c r="E2027" s="15">
        <v>-5.0000000000000001E-3</v>
      </c>
      <c r="F2027" s="15">
        <v>-1.7999999999999999E-2</v>
      </c>
      <c r="G2027" s="15">
        <v>-4.5999999999999999E-2</v>
      </c>
      <c r="H2027" s="15">
        <v>-3.6999999999999998E-2</v>
      </c>
      <c r="I2027" s="15">
        <v>3.6999999999999998E-2</v>
      </c>
      <c r="J2027" t="s">
        <v>412</v>
      </c>
      <c r="K2027" t="s">
        <v>589</v>
      </c>
    </row>
    <row r="2028" spans="1:11">
      <c r="A2028" t="s">
        <v>573</v>
      </c>
      <c r="B2028" t="s">
        <v>596</v>
      </c>
      <c r="C2028" t="s">
        <v>583</v>
      </c>
      <c r="D2028" s="15">
        <v>7.3999999999999996E-2</v>
      </c>
      <c r="E2028" s="15">
        <v>0.02</v>
      </c>
      <c r="F2028" s="15">
        <v>1.4999999999999999E-2</v>
      </c>
      <c r="G2028" s="15">
        <v>4.7E-2</v>
      </c>
      <c r="H2028" s="15">
        <v>3.5999999999999997E-2</v>
      </c>
      <c r="I2028" s="15">
        <v>3.5999999999999997E-2</v>
      </c>
      <c r="J2028" t="s">
        <v>412</v>
      </c>
      <c r="K2028" t="s">
        <v>551</v>
      </c>
    </row>
    <row r="2029" spans="1:11">
      <c r="A2029" t="s">
        <v>576</v>
      </c>
      <c r="B2029" t="s">
        <v>586</v>
      </c>
      <c r="C2029" t="s">
        <v>591</v>
      </c>
      <c r="D2029" s="15">
        <v>-6.5000000000000002E-2</v>
      </c>
      <c r="E2029" s="15">
        <v>-3.2000000000000001E-2</v>
      </c>
      <c r="F2029" s="15">
        <v>1.2E-2</v>
      </c>
      <c r="G2029" s="15">
        <v>-4.9000000000000002E-2</v>
      </c>
      <c r="H2029" s="15">
        <v>-2.9000000000000001E-2</v>
      </c>
      <c r="I2029" s="15">
        <v>3.5999999999999997E-2</v>
      </c>
      <c r="J2029" t="s">
        <v>412</v>
      </c>
      <c r="K2029" t="s">
        <v>510</v>
      </c>
    </row>
    <row r="2030" spans="1:11">
      <c r="A2030" t="s">
        <v>547</v>
      </c>
      <c r="B2030" t="s">
        <v>596</v>
      </c>
      <c r="C2030" t="s">
        <v>572</v>
      </c>
      <c r="D2030" s="15">
        <v>5.0000000000000001E-3</v>
      </c>
      <c r="E2030" s="15">
        <v>-4.7E-2</v>
      </c>
      <c r="F2030" s="15">
        <v>-5.6000000000000001E-2</v>
      </c>
      <c r="G2030" s="15">
        <v>-2.1000000000000001E-2</v>
      </c>
      <c r="H2030" s="15">
        <v>-3.3000000000000002E-2</v>
      </c>
      <c r="I2030" s="15">
        <v>3.5999999999999997E-2</v>
      </c>
      <c r="J2030" t="s">
        <v>412</v>
      </c>
      <c r="K2030" t="s">
        <v>579</v>
      </c>
    </row>
    <row r="2031" spans="1:11">
      <c r="A2031" t="s">
        <v>486</v>
      </c>
      <c r="B2031" t="s">
        <v>595</v>
      </c>
      <c r="C2031" t="s">
        <v>591</v>
      </c>
      <c r="D2031" s="15">
        <v>-0.02</v>
      </c>
      <c r="E2031" s="15">
        <v>-1.6E-2</v>
      </c>
      <c r="F2031" s="15">
        <v>-7.1999999999999995E-2</v>
      </c>
      <c r="G2031" s="15">
        <v>-1.7999999999999999E-2</v>
      </c>
      <c r="H2031" s="15">
        <v>-3.5999999999999997E-2</v>
      </c>
      <c r="I2031" s="15">
        <v>3.5999999999999997E-2</v>
      </c>
      <c r="J2031" t="s">
        <v>412</v>
      </c>
      <c r="K2031" t="s">
        <v>589</v>
      </c>
    </row>
    <row r="2032" spans="1:11">
      <c r="A2032" t="s">
        <v>486</v>
      </c>
      <c r="B2032" t="s">
        <v>598</v>
      </c>
      <c r="C2032" t="s">
        <v>591</v>
      </c>
      <c r="D2032" s="15">
        <v>-0.02</v>
      </c>
      <c r="E2032" s="15">
        <v>-7.0000000000000001E-3</v>
      </c>
      <c r="F2032" s="15">
        <v>-8.2000000000000003E-2</v>
      </c>
      <c r="G2032" s="15">
        <v>-1.2999999999999999E-2</v>
      </c>
      <c r="H2032" s="15">
        <v>-3.5999999999999997E-2</v>
      </c>
      <c r="I2032" s="15">
        <v>3.5999999999999997E-2</v>
      </c>
      <c r="J2032" t="s">
        <v>412</v>
      </c>
      <c r="K2032" t="s">
        <v>589</v>
      </c>
    </row>
    <row r="2033" spans="1:11">
      <c r="A2033" t="s">
        <v>547</v>
      </c>
      <c r="B2033" t="s">
        <v>598</v>
      </c>
      <c r="C2033" t="s">
        <v>583</v>
      </c>
      <c r="D2033" s="15">
        <v>-0.03</v>
      </c>
      <c r="E2033" s="15">
        <v>-3.5999999999999997E-2</v>
      </c>
      <c r="F2033" s="15">
        <v>-4.2999999999999997E-2</v>
      </c>
      <c r="G2033" s="15">
        <v>-3.3000000000000002E-2</v>
      </c>
      <c r="H2033" s="15">
        <v>-3.5999999999999997E-2</v>
      </c>
      <c r="I2033" s="15">
        <v>3.5999999999999997E-2</v>
      </c>
      <c r="J2033" t="s">
        <v>412</v>
      </c>
      <c r="K2033" t="s">
        <v>589</v>
      </c>
    </row>
    <row r="2034" spans="1:11">
      <c r="A2034" t="s">
        <v>576</v>
      </c>
      <c r="B2034" t="s">
        <v>517</v>
      </c>
      <c r="C2034" t="s">
        <v>585</v>
      </c>
      <c r="D2034" s="15">
        <v>0.03</v>
      </c>
      <c r="E2034" s="15">
        <v>5.0000000000000001E-3</v>
      </c>
      <c r="F2034" s="15">
        <v>7.0999999999999994E-2</v>
      </c>
      <c r="G2034" s="15">
        <v>1.7000000000000001E-2</v>
      </c>
      <c r="H2034" s="15">
        <v>3.5000000000000003E-2</v>
      </c>
      <c r="I2034" s="15">
        <v>3.5000000000000003E-2</v>
      </c>
      <c r="J2034" t="s">
        <v>412</v>
      </c>
      <c r="K2034" t="s">
        <v>551</v>
      </c>
    </row>
    <row r="2035" spans="1:11">
      <c r="A2035" t="s">
        <v>576</v>
      </c>
      <c r="B2035" t="s">
        <v>517</v>
      </c>
      <c r="C2035" t="s">
        <v>594</v>
      </c>
      <c r="D2035" s="15">
        <v>2.1000000000000001E-2</v>
      </c>
      <c r="E2035" s="15">
        <v>5.0000000000000001E-3</v>
      </c>
      <c r="F2035" s="15">
        <v>0.08</v>
      </c>
      <c r="G2035" s="15">
        <v>1.2999999999999999E-2</v>
      </c>
      <c r="H2035" s="15">
        <v>3.5000000000000003E-2</v>
      </c>
      <c r="I2035" s="15">
        <v>3.5000000000000003E-2</v>
      </c>
      <c r="J2035" t="s">
        <v>412</v>
      </c>
      <c r="K2035" t="s">
        <v>551</v>
      </c>
    </row>
    <row r="2036" spans="1:11">
      <c r="A2036" t="s">
        <v>571</v>
      </c>
      <c r="B2036" t="s">
        <v>517</v>
      </c>
      <c r="C2036" t="s">
        <v>594</v>
      </c>
      <c r="D2036" s="15">
        <v>-8.0000000000000002E-3</v>
      </c>
      <c r="E2036" s="15">
        <v>1.7999999999999999E-2</v>
      </c>
      <c r="F2036" s="15">
        <v>0.08</v>
      </c>
      <c r="G2036" s="15">
        <v>5.0000000000000001E-3</v>
      </c>
      <c r="H2036" s="15">
        <v>0.03</v>
      </c>
      <c r="I2036" s="15">
        <v>3.5000000000000003E-2</v>
      </c>
      <c r="J2036" t="s">
        <v>412</v>
      </c>
      <c r="K2036" t="s">
        <v>487</v>
      </c>
    </row>
    <row r="2037" spans="1:11">
      <c r="A2037" t="s">
        <v>547</v>
      </c>
      <c r="B2037" t="s">
        <v>595</v>
      </c>
      <c r="C2037" t="s">
        <v>594</v>
      </c>
      <c r="D2037" s="15">
        <v>-6.0000000000000001E-3</v>
      </c>
      <c r="E2037" s="15">
        <v>-4.3999999999999997E-2</v>
      </c>
      <c r="F2037" s="15">
        <v>5.5E-2</v>
      </c>
      <c r="G2037" s="15">
        <v>-2.5000000000000001E-2</v>
      </c>
      <c r="H2037" s="15">
        <v>2E-3</v>
      </c>
      <c r="I2037" s="15">
        <v>3.5000000000000003E-2</v>
      </c>
      <c r="J2037" t="s">
        <v>412</v>
      </c>
      <c r="K2037" t="s">
        <v>510</v>
      </c>
    </row>
    <row r="2038" spans="1:11">
      <c r="A2038" t="s">
        <v>571</v>
      </c>
      <c r="B2038" t="s">
        <v>596</v>
      </c>
      <c r="C2038" t="s">
        <v>594</v>
      </c>
      <c r="D2038" s="15">
        <v>-8.0000000000000002E-3</v>
      </c>
      <c r="E2038" s="15">
        <v>4.5999999999999999E-2</v>
      </c>
      <c r="F2038" s="15">
        <v>0.05</v>
      </c>
      <c r="G2038" s="15">
        <v>1.9E-2</v>
      </c>
      <c r="H2038" s="15">
        <v>2.9000000000000001E-2</v>
      </c>
      <c r="I2038" s="15">
        <v>3.4000000000000002E-2</v>
      </c>
      <c r="J2038" t="s">
        <v>412</v>
      </c>
      <c r="K2038" t="s">
        <v>487</v>
      </c>
    </row>
    <row r="2039" spans="1:11">
      <c r="A2039" t="s">
        <v>571</v>
      </c>
      <c r="B2039" t="s">
        <v>517</v>
      </c>
      <c r="C2039" t="s">
        <v>585</v>
      </c>
      <c r="D2039" s="15">
        <v>-1.2999999999999999E-2</v>
      </c>
      <c r="E2039" s="15">
        <v>1.7999999999999999E-2</v>
      </c>
      <c r="F2039" s="15">
        <v>7.0999999999999994E-2</v>
      </c>
      <c r="G2039" s="15">
        <v>3.0000000000000001E-3</v>
      </c>
      <c r="H2039" s="15">
        <v>2.5000000000000001E-2</v>
      </c>
      <c r="I2039" s="15">
        <v>3.4000000000000002E-2</v>
      </c>
      <c r="J2039" t="s">
        <v>412</v>
      </c>
      <c r="K2039" t="s">
        <v>487</v>
      </c>
    </row>
    <row r="2040" spans="1:11">
      <c r="A2040" t="s">
        <v>577</v>
      </c>
      <c r="B2040" t="s">
        <v>580</v>
      </c>
      <c r="C2040" t="s">
        <v>591</v>
      </c>
      <c r="D2040" s="15">
        <v>-1.4E-2</v>
      </c>
      <c r="E2040" s="15">
        <v>0.01</v>
      </c>
      <c r="F2040" s="15">
        <v>7.9000000000000001E-2</v>
      </c>
      <c r="G2040" s="15">
        <v>-2E-3</v>
      </c>
      <c r="H2040" s="15">
        <v>2.5000000000000001E-2</v>
      </c>
      <c r="I2040" s="15">
        <v>3.4000000000000002E-2</v>
      </c>
      <c r="J2040" t="s">
        <v>412</v>
      </c>
      <c r="K2040" t="s">
        <v>487</v>
      </c>
    </row>
    <row r="2041" spans="1:11">
      <c r="A2041" t="s">
        <v>547</v>
      </c>
      <c r="B2041" t="s">
        <v>517</v>
      </c>
      <c r="C2041" t="s">
        <v>583</v>
      </c>
      <c r="D2041" s="15">
        <v>-0.03</v>
      </c>
      <c r="E2041" s="15">
        <v>-3.0000000000000001E-3</v>
      </c>
      <c r="F2041" s="15">
        <v>6.8000000000000005E-2</v>
      </c>
      <c r="G2041" s="15">
        <v>-1.7000000000000001E-2</v>
      </c>
      <c r="H2041" s="15">
        <v>1.2E-2</v>
      </c>
      <c r="I2041" s="15">
        <v>3.4000000000000002E-2</v>
      </c>
      <c r="J2041" t="s">
        <v>412</v>
      </c>
      <c r="K2041" t="s">
        <v>510</v>
      </c>
    </row>
    <row r="2042" spans="1:11">
      <c r="A2042" t="s">
        <v>479</v>
      </c>
      <c r="B2042" t="s">
        <v>588</v>
      </c>
      <c r="C2042" t="s">
        <v>583</v>
      </c>
      <c r="D2042" s="15">
        <v>-0.02</v>
      </c>
      <c r="E2042" s="15">
        <v>-1.7000000000000001E-2</v>
      </c>
      <c r="F2042" s="15">
        <v>6.5000000000000002E-2</v>
      </c>
      <c r="G2042" s="15">
        <v>-1.7999999999999999E-2</v>
      </c>
      <c r="H2042" s="15">
        <v>8.9999999999999993E-3</v>
      </c>
      <c r="I2042" s="15">
        <v>3.4000000000000002E-2</v>
      </c>
      <c r="J2042" t="s">
        <v>412</v>
      </c>
      <c r="K2042" t="s">
        <v>510</v>
      </c>
    </row>
    <row r="2043" spans="1:11">
      <c r="A2043" t="s">
        <v>479</v>
      </c>
      <c r="B2043" t="s">
        <v>580</v>
      </c>
      <c r="C2043" t="s">
        <v>583</v>
      </c>
      <c r="D2043" s="15">
        <v>-0.02</v>
      </c>
      <c r="E2043" s="15">
        <v>-1.9E-2</v>
      </c>
      <c r="F2043" s="15">
        <v>6.3E-2</v>
      </c>
      <c r="G2043" s="15">
        <v>-0.02</v>
      </c>
      <c r="H2043" s="15">
        <v>8.0000000000000002E-3</v>
      </c>
      <c r="I2043" s="15">
        <v>3.4000000000000002E-2</v>
      </c>
      <c r="J2043" t="s">
        <v>412</v>
      </c>
      <c r="K2043" t="s">
        <v>510</v>
      </c>
    </row>
    <row r="2044" spans="1:11">
      <c r="A2044" t="s">
        <v>547</v>
      </c>
      <c r="B2044" t="s">
        <v>578</v>
      </c>
      <c r="C2044" t="s">
        <v>594</v>
      </c>
      <c r="D2044" s="15">
        <v>-6.0000000000000001E-3</v>
      </c>
      <c r="E2044" s="15">
        <v>-4.2999999999999997E-2</v>
      </c>
      <c r="F2044" s="15">
        <v>5.1999999999999998E-2</v>
      </c>
      <c r="G2044" s="15">
        <v>-2.4E-2</v>
      </c>
      <c r="H2044" s="15">
        <v>1E-3</v>
      </c>
      <c r="I2044" s="15">
        <v>3.4000000000000002E-2</v>
      </c>
      <c r="J2044" t="s">
        <v>412</v>
      </c>
      <c r="K2044" t="s">
        <v>510</v>
      </c>
    </row>
    <row r="2045" spans="1:11">
      <c r="A2045" t="s">
        <v>547</v>
      </c>
      <c r="B2045" t="s">
        <v>596</v>
      </c>
      <c r="C2045" t="s">
        <v>594</v>
      </c>
      <c r="D2045" s="15">
        <v>-6.0000000000000001E-3</v>
      </c>
      <c r="E2045" s="15">
        <v>-4.7E-2</v>
      </c>
      <c r="F2045" s="15">
        <v>0.05</v>
      </c>
      <c r="G2045" s="15">
        <v>-2.7E-2</v>
      </c>
      <c r="H2045" s="15">
        <v>-1E-3</v>
      </c>
      <c r="I2045" s="15">
        <v>3.4000000000000002E-2</v>
      </c>
      <c r="J2045" t="s">
        <v>412</v>
      </c>
      <c r="K2045" t="s">
        <v>510</v>
      </c>
    </row>
    <row r="2046" spans="1:11">
      <c r="A2046" t="s">
        <v>573</v>
      </c>
      <c r="B2046" t="s">
        <v>509</v>
      </c>
      <c r="C2046" t="s">
        <v>585</v>
      </c>
      <c r="D2046" s="15">
        <v>2.5999999999999999E-2</v>
      </c>
      <c r="E2046" s="15">
        <v>-6.3E-2</v>
      </c>
      <c r="F2046" s="15">
        <v>1.2999999999999999E-2</v>
      </c>
      <c r="G2046" s="15">
        <v>-1.9E-2</v>
      </c>
      <c r="H2046" s="15">
        <v>-8.0000000000000002E-3</v>
      </c>
      <c r="I2046" s="15">
        <v>3.4000000000000002E-2</v>
      </c>
      <c r="J2046" t="s">
        <v>412</v>
      </c>
      <c r="K2046" t="s">
        <v>480</v>
      </c>
    </row>
    <row r="2047" spans="1:11">
      <c r="A2047" t="s">
        <v>577</v>
      </c>
      <c r="B2047" t="s">
        <v>478</v>
      </c>
      <c r="C2047" t="s">
        <v>591</v>
      </c>
      <c r="D2047" s="15">
        <v>-1.4E-2</v>
      </c>
      <c r="E2047" s="15">
        <v>-5.3999999999999999E-2</v>
      </c>
      <c r="F2047" s="15">
        <v>3.4000000000000002E-2</v>
      </c>
      <c r="G2047" s="15">
        <v>-3.4000000000000002E-2</v>
      </c>
      <c r="H2047" s="15">
        <v>-1.0999999999999999E-2</v>
      </c>
      <c r="I2047" s="15">
        <v>3.4000000000000002E-2</v>
      </c>
      <c r="J2047" t="s">
        <v>412</v>
      </c>
      <c r="K2047" t="s">
        <v>510</v>
      </c>
    </row>
    <row r="2048" spans="1:11">
      <c r="A2048" t="s">
        <v>486</v>
      </c>
      <c r="B2048" t="s">
        <v>505</v>
      </c>
      <c r="C2048" t="s">
        <v>591</v>
      </c>
      <c r="D2048" s="15">
        <v>-0.02</v>
      </c>
      <c r="E2048" s="15">
        <v>8.9999999999999993E-3</v>
      </c>
      <c r="F2048" s="15">
        <v>-7.2999999999999995E-2</v>
      </c>
      <c r="G2048" s="15">
        <v>-6.0000000000000001E-3</v>
      </c>
      <c r="H2048" s="15">
        <v>-2.8000000000000001E-2</v>
      </c>
      <c r="I2048" s="15">
        <v>3.4000000000000002E-2</v>
      </c>
      <c r="J2048" t="s">
        <v>412</v>
      </c>
      <c r="K2048" t="s">
        <v>500</v>
      </c>
    </row>
    <row r="2049" spans="1:11">
      <c r="A2049" t="s">
        <v>547</v>
      </c>
      <c r="B2049" t="s">
        <v>478</v>
      </c>
      <c r="C2049" t="s">
        <v>572</v>
      </c>
      <c r="D2049" s="15">
        <v>5.0000000000000001E-3</v>
      </c>
      <c r="E2049" s="15">
        <v>-9.4E-2</v>
      </c>
      <c r="F2049" s="15">
        <v>4.0000000000000001E-3</v>
      </c>
      <c r="G2049" s="15">
        <v>-4.4999999999999998E-2</v>
      </c>
      <c r="H2049" s="15">
        <v>-2.8000000000000001E-2</v>
      </c>
      <c r="I2049" s="15">
        <v>3.4000000000000002E-2</v>
      </c>
      <c r="J2049" t="s">
        <v>412</v>
      </c>
      <c r="K2049" t="s">
        <v>480</v>
      </c>
    </row>
    <row r="2050" spans="1:11">
      <c r="A2050" t="s">
        <v>547</v>
      </c>
      <c r="B2050" t="s">
        <v>509</v>
      </c>
      <c r="C2050" t="s">
        <v>593</v>
      </c>
      <c r="D2050" s="15">
        <v>3.5000000000000003E-2</v>
      </c>
      <c r="E2050" s="15">
        <v>4.5999999999999999E-2</v>
      </c>
      <c r="F2050" s="15">
        <v>-1.7999999999999999E-2</v>
      </c>
      <c r="G2050" s="15">
        <v>0.04</v>
      </c>
      <c r="H2050" s="15">
        <v>2.1000000000000001E-2</v>
      </c>
      <c r="I2050" s="15">
        <v>3.3000000000000002E-2</v>
      </c>
      <c r="J2050" t="s">
        <v>412</v>
      </c>
      <c r="K2050" t="s">
        <v>493</v>
      </c>
    </row>
    <row r="2051" spans="1:11">
      <c r="A2051" t="s">
        <v>576</v>
      </c>
      <c r="B2051" t="s">
        <v>550</v>
      </c>
      <c r="C2051" t="s">
        <v>594</v>
      </c>
      <c r="D2051" s="15">
        <v>2.1000000000000001E-2</v>
      </c>
      <c r="E2051" s="15">
        <v>-0.03</v>
      </c>
      <c r="F2051" s="15">
        <v>4.9000000000000002E-2</v>
      </c>
      <c r="G2051" s="15">
        <v>-5.0000000000000001E-3</v>
      </c>
      <c r="H2051" s="15">
        <v>1.2999999999999999E-2</v>
      </c>
      <c r="I2051" s="15">
        <v>3.3000000000000002E-2</v>
      </c>
      <c r="J2051" t="s">
        <v>412</v>
      </c>
      <c r="K2051" t="s">
        <v>480</v>
      </c>
    </row>
    <row r="2052" spans="1:11">
      <c r="A2052" t="s">
        <v>547</v>
      </c>
      <c r="B2052" t="s">
        <v>597</v>
      </c>
      <c r="C2052" t="s">
        <v>477</v>
      </c>
      <c r="D2052" s="15">
        <v>6.4000000000000001E-2</v>
      </c>
      <c r="E2052" s="15">
        <v>-1.0999999999999999E-2</v>
      </c>
      <c r="F2052" s="15">
        <v>-2.3E-2</v>
      </c>
      <c r="G2052" s="15">
        <v>2.7E-2</v>
      </c>
      <c r="H2052" s="15">
        <v>0.01</v>
      </c>
      <c r="I2052" s="15">
        <v>3.3000000000000002E-2</v>
      </c>
      <c r="J2052" t="s">
        <v>412</v>
      </c>
      <c r="K2052" t="s">
        <v>579</v>
      </c>
    </row>
    <row r="2053" spans="1:11">
      <c r="A2053" t="s">
        <v>577</v>
      </c>
      <c r="B2053" t="s">
        <v>505</v>
      </c>
      <c r="C2053" t="s">
        <v>591</v>
      </c>
      <c r="D2053" s="15">
        <v>-1.4E-2</v>
      </c>
      <c r="E2053" s="15">
        <v>1.2E-2</v>
      </c>
      <c r="F2053" s="15">
        <v>-7.2999999999999995E-2</v>
      </c>
      <c r="G2053" s="15">
        <v>-1E-3</v>
      </c>
      <c r="H2053" s="15">
        <v>-2.5000000000000001E-2</v>
      </c>
      <c r="I2053" s="15">
        <v>3.3000000000000002E-2</v>
      </c>
      <c r="J2053" t="s">
        <v>412</v>
      </c>
      <c r="K2053" t="s">
        <v>500</v>
      </c>
    </row>
    <row r="2054" spans="1:11">
      <c r="A2054" t="s">
        <v>571</v>
      </c>
      <c r="B2054" t="s">
        <v>590</v>
      </c>
      <c r="C2054" t="s">
        <v>585</v>
      </c>
      <c r="D2054" s="15">
        <v>-1.2999999999999999E-2</v>
      </c>
      <c r="E2054" s="15">
        <v>6.2E-2</v>
      </c>
      <c r="F2054" s="15">
        <v>2.3E-2</v>
      </c>
      <c r="G2054" s="15">
        <v>2.5000000000000001E-2</v>
      </c>
      <c r="H2054" s="15">
        <v>2.4E-2</v>
      </c>
      <c r="I2054" s="15">
        <v>3.2000000000000001E-2</v>
      </c>
      <c r="J2054" t="s">
        <v>412</v>
      </c>
      <c r="K2054" t="s">
        <v>487</v>
      </c>
    </row>
    <row r="2055" spans="1:11">
      <c r="A2055" t="s">
        <v>577</v>
      </c>
      <c r="B2055" t="s">
        <v>580</v>
      </c>
      <c r="C2055" t="s">
        <v>593</v>
      </c>
      <c r="D2055" s="15">
        <v>3.7999999999999999E-2</v>
      </c>
      <c r="E2055" s="15">
        <v>0.01</v>
      </c>
      <c r="F2055" s="15">
        <v>-4.8000000000000001E-2</v>
      </c>
      <c r="G2055" s="15">
        <v>2.4E-2</v>
      </c>
      <c r="H2055" s="15">
        <v>0</v>
      </c>
      <c r="I2055" s="15">
        <v>3.2000000000000001E-2</v>
      </c>
      <c r="J2055" t="s">
        <v>412</v>
      </c>
      <c r="K2055" t="s">
        <v>493</v>
      </c>
    </row>
    <row r="2056" spans="1:11">
      <c r="A2056" t="s">
        <v>576</v>
      </c>
      <c r="B2056" t="s">
        <v>569</v>
      </c>
      <c r="C2056" t="s">
        <v>585</v>
      </c>
      <c r="D2056" s="15">
        <v>0.03</v>
      </c>
      <c r="E2056" s="15">
        <v>-5.3999999999999999E-2</v>
      </c>
      <c r="F2056" s="15">
        <v>1.4E-2</v>
      </c>
      <c r="G2056" s="15">
        <v>-1.2E-2</v>
      </c>
      <c r="H2056" s="15">
        <v>-3.0000000000000001E-3</v>
      </c>
      <c r="I2056" s="15">
        <v>3.2000000000000001E-2</v>
      </c>
      <c r="J2056" t="s">
        <v>412</v>
      </c>
      <c r="K2056" t="s">
        <v>480</v>
      </c>
    </row>
    <row r="2057" spans="1:11">
      <c r="A2057" t="s">
        <v>577</v>
      </c>
      <c r="B2057" t="s">
        <v>592</v>
      </c>
      <c r="C2057" t="s">
        <v>585</v>
      </c>
      <c r="D2057" s="15">
        <v>-6.0000000000000001E-3</v>
      </c>
      <c r="E2057" s="15">
        <v>-6.9000000000000006E-2</v>
      </c>
      <c r="F2057" s="15">
        <v>2.1000000000000001E-2</v>
      </c>
      <c r="G2057" s="15">
        <v>-3.6999999999999998E-2</v>
      </c>
      <c r="H2057" s="15">
        <v>-1.7999999999999999E-2</v>
      </c>
      <c r="I2057" s="15">
        <v>3.2000000000000001E-2</v>
      </c>
      <c r="J2057" t="s">
        <v>412</v>
      </c>
      <c r="K2057" t="s">
        <v>510</v>
      </c>
    </row>
    <row r="2058" spans="1:11">
      <c r="A2058" t="s">
        <v>577</v>
      </c>
      <c r="B2058" t="s">
        <v>596</v>
      </c>
      <c r="C2058" t="s">
        <v>585</v>
      </c>
      <c r="D2058" s="15">
        <v>-6.0000000000000001E-3</v>
      </c>
      <c r="E2058" s="15">
        <v>-7.0000000000000007E-2</v>
      </c>
      <c r="F2058" s="15">
        <v>-2.1000000000000001E-2</v>
      </c>
      <c r="G2058" s="15">
        <v>-3.7999999999999999E-2</v>
      </c>
      <c r="H2058" s="15">
        <v>-3.2000000000000001E-2</v>
      </c>
      <c r="I2058" s="15">
        <v>3.2000000000000001E-2</v>
      </c>
      <c r="J2058" t="s">
        <v>412</v>
      </c>
      <c r="K2058" t="s">
        <v>589</v>
      </c>
    </row>
    <row r="2059" spans="1:11">
      <c r="A2059" t="s">
        <v>547</v>
      </c>
      <c r="B2059" t="s">
        <v>509</v>
      </c>
      <c r="C2059" t="s">
        <v>594</v>
      </c>
      <c r="D2059" s="15">
        <v>-6.0000000000000001E-3</v>
      </c>
      <c r="E2059" s="15">
        <v>4.5999999999999999E-2</v>
      </c>
      <c r="F2059" s="15">
        <v>4.2000000000000003E-2</v>
      </c>
      <c r="G2059" s="15">
        <v>0.02</v>
      </c>
      <c r="H2059" s="15">
        <v>2.7E-2</v>
      </c>
      <c r="I2059" s="15">
        <v>3.1E-2</v>
      </c>
      <c r="J2059" t="s">
        <v>412</v>
      </c>
      <c r="K2059" t="s">
        <v>487</v>
      </c>
    </row>
    <row r="2060" spans="1:11">
      <c r="A2060" t="s">
        <v>577</v>
      </c>
      <c r="B2060" t="s">
        <v>580</v>
      </c>
      <c r="C2060" t="s">
        <v>594</v>
      </c>
      <c r="D2060" s="15">
        <v>6.6000000000000003E-2</v>
      </c>
      <c r="E2060" s="15">
        <v>0.01</v>
      </c>
      <c r="F2060" s="15">
        <v>-1.7000000000000001E-2</v>
      </c>
      <c r="G2060" s="15">
        <v>3.7999999999999999E-2</v>
      </c>
      <c r="H2060" s="15">
        <v>1.9E-2</v>
      </c>
      <c r="I2060" s="15">
        <v>3.1E-2</v>
      </c>
      <c r="J2060" t="s">
        <v>412</v>
      </c>
      <c r="K2060" t="s">
        <v>493</v>
      </c>
    </row>
    <row r="2061" spans="1:11">
      <c r="A2061" t="s">
        <v>576</v>
      </c>
      <c r="B2061" t="s">
        <v>509</v>
      </c>
      <c r="C2061" t="s">
        <v>594</v>
      </c>
      <c r="D2061" s="15">
        <v>2.1000000000000001E-2</v>
      </c>
      <c r="E2061" s="15">
        <v>-2.9000000000000001E-2</v>
      </c>
      <c r="F2061" s="15">
        <v>4.2000000000000003E-2</v>
      </c>
      <c r="G2061" s="15">
        <v>-4.0000000000000001E-3</v>
      </c>
      <c r="H2061" s="15">
        <v>1.0999999999999999E-2</v>
      </c>
      <c r="I2061" s="15">
        <v>3.1E-2</v>
      </c>
      <c r="J2061" t="s">
        <v>412</v>
      </c>
      <c r="K2061" t="s">
        <v>480</v>
      </c>
    </row>
    <row r="2062" spans="1:11">
      <c r="A2062" t="s">
        <v>547</v>
      </c>
      <c r="B2062" t="s">
        <v>523</v>
      </c>
      <c r="C2062" t="s">
        <v>593</v>
      </c>
      <c r="D2062" s="15">
        <v>3.5000000000000003E-2</v>
      </c>
      <c r="E2062" s="15">
        <v>-3.6999999999999998E-2</v>
      </c>
      <c r="F2062" s="15">
        <v>0.02</v>
      </c>
      <c r="G2062" s="15">
        <v>-1E-3</v>
      </c>
      <c r="H2062" s="15">
        <v>6.0000000000000001E-3</v>
      </c>
      <c r="I2062" s="15">
        <v>3.1E-2</v>
      </c>
      <c r="J2062" t="s">
        <v>412</v>
      </c>
      <c r="K2062" t="s">
        <v>480</v>
      </c>
    </row>
    <row r="2063" spans="1:11">
      <c r="A2063" t="s">
        <v>573</v>
      </c>
      <c r="B2063" t="s">
        <v>597</v>
      </c>
      <c r="C2063" t="s">
        <v>585</v>
      </c>
      <c r="D2063" s="15">
        <v>2.5999999999999999E-2</v>
      </c>
      <c r="E2063" s="15">
        <v>-6.4000000000000001E-2</v>
      </c>
      <c r="F2063" s="15">
        <v>-3.0000000000000001E-3</v>
      </c>
      <c r="G2063" s="15">
        <v>-1.9E-2</v>
      </c>
      <c r="H2063" s="15">
        <v>-1.4E-2</v>
      </c>
      <c r="I2063" s="15">
        <v>3.1E-2</v>
      </c>
      <c r="J2063" t="s">
        <v>412</v>
      </c>
      <c r="K2063" t="s">
        <v>579</v>
      </c>
    </row>
    <row r="2064" spans="1:11">
      <c r="A2064" t="s">
        <v>547</v>
      </c>
      <c r="B2064" t="s">
        <v>596</v>
      </c>
      <c r="C2064" t="s">
        <v>583</v>
      </c>
      <c r="D2064" s="15">
        <v>-0.03</v>
      </c>
      <c r="E2064" s="15">
        <v>-4.7E-2</v>
      </c>
      <c r="F2064" s="15">
        <v>1.4999999999999999E-2</v>
      </c>
      <c r="G2064" s="15">
        <v>-3.9E-2</v>
      </c>
      <c r="H2064" s="15">
        <v>-2.1000000000000001E-2</v>
      </c>
      <c r="I2064" s="15">
        <v>3.1E-2</v>
      </c>
      <c r="J2064" t="s">
        <v>412</v>
      </c>
      <c r="K2064" t="s">
        <v>510</v>
      </c>
    </row>
    <row r="2065" spans="1:11">
      <c r="A2065" t="s">
        <v>576</v>
      </c>
      <c r="B2065" t="s">
        <v>550</v>
      </c>
      <c r="C2065" t="s">
        <v>585</v>
      </c>
      <c r="D2065" s="15">
        <v>0.03</v>
      </c>
      <c r="E2065" s="15">
        <v>-0.03</v>
      </c>
      <c r="F2065" s="15">
        <v>2.9000000000000001E-2</v>
      </c>
      <c r="G2065" s="15">
        <v>0</v>
      </c>
      <c r="H2065" s="15">
        <v>0.01</v>
      </c>
      <c r="I2065" s="15">
        <v>0.03</v>
      </c>
      <c r="J2065" t="s">
        <v>412</v>
      </c>
      <c r="K2065" t="s">
        <v>480</v>
      </c>
    </row>
    <row r="2066" spans="1:11">
      <c r="A2066" t="s">
        <v>547</v>
      </c>
      <c r="B2066" t="s">
        <v>598</v>
      </c>
      <c r="C2066" t="s">
        <v>594</v>
      </c>
      <c r="D2066" s="15">
        <v>-6.0000000000000001E-3</v>
      </c>
      <c r="E2066" s="15">
        <v>-3.5999999999999997E-2</v>
      </c>
      <c r="F2066" s="15">
        <v>4.9000000000000002E-2</v>
      </c>
      <c r="G2066" s="15">
        <v>-2.1000000000000001E-2</v>
      </c>
      <c r="H2066" s="15">
        <v>2E-3</v>
      </c>
      <c r="I2066" s="15">
        <v>0.03</v>
      </c>
      <c r="J2066" t="s">
        <v>412</v>
      </c>
      <c r="K2066" t="s">
        <v>510</v>
      </c>
    </row>
    <row r="2067" spans="1:11">
      <c r="A2067" t="s">
        <v>486</v>
      </c>
      <c r="B2067" t="s">
        <v>597</v>
      </c>
      <c r="C2067" t="s">
        <v>591</v>
      </c>
      <c r="D2067" s="15">
        <v>-0.02</v>
      </c>
      <c r="E2067" s="15">
        <v>-8.9999999999999993E-3</v>
      </c>
      <c r="F2067" s="15">
        <v>-6.2E-2</v>
      </c>
      <c r="G2067" s="15">
        <v>-1.4999999999999999E-2</v>
      </c>
      <c r="H2067" s="15">
        <v>-0.03</v>
      </c>
      <c r="I2067" s="15">
        <v>0.03</v>
      </c>
      <c r="J2067" t="s">
        <v>412</v>
      </c>
      <c r="K2067" t="s">
        <v>589</v>
      </c>
    </row>
    <row r="2068" spans="1:11">
      <c r="A2068" t="s">
        <v>486</v>
      </c>
      <c r="B2068" t="s">
        <v>598</v>
      </c>
      <c r="C2068" t="s">
        <v>584</v>
      </c>
      <c r="D2068" s="15">
        <v>-7.9000000000000001E-2</v>
      </c>
      <c r="E2068" s="15">
        <v>-7.0000000000000001E-3</v>
      </c>
      <c r="F2068" s="15">
        <v>-4.0000000000000001E-3</v>
      </c>
      <c r="G2068" s="15">
        <v>-4.2999999999999997E-2</v>
      </c>
      <c r="H2068" s="15">
        <v>-0.03</v>
      </c>
      <c r="I2068" s="15">
        <v>0.03</v>
      </c>
      <c r="J2068" t="s">
        <v>412</v>
      </c>
      <c r="K2068" t="s">
        <v>589</v>
      </c>
    </row>
    <row r="2069" spans="1:11">
      <c r="A2069" t="s">
        <v>479</v>
      </c>
      <c r="B2069" t="s">
        <v>523</v>
      </c>
      <c r="C2069" t="s">
        <v>593</v>
      </c>
      <c r="D2069" s="15">
        <v>-8.0000000000000002E-3</v>
      </c>
      <c r="E2069" s="15">
        <v>0.06</v>
      </c>
      <c r="F2069" s="15">
        <v>0.02</v>
      </c>
      <c r="G2069" s="15">
        <v>2.5999999999999999E-2</v>
      </c>
      <c r="H2069" s="15">
        <v>2.4E-2</v>
      </c>
      <c r="I2069" s="15">
        <v>2.9000000000000001E-2</v>
      </c>
      <c r="J2069" t="s">
        <v>412</v>
      </c>
      <c r="K2069" t="s">
        <v>487</v>
      </c>
    </row>
    <row r="2070" spans="1:11">
      <c r="A2070" t="s">
        <v>547</v>
      </c>
      <c r="B2070" t="s">
        <v>517</v>
      </c>
      <c r="C2070" t="s">
        <v>594</v>
      </c>
      <c r="D2070" s="15">
        <v>-6.0000000000000001E-3</v>
      </c>
      <c r="E2070" s="15">
        <v>-3.0000000000000001E-3</v>
      </c>
      <c r="F2070" s="15">
        <v>0.08</v>
      </c>
      <c r="G2070" s="15">
        <v>-4.0000000000000001E-3</v>
      </c>
      <c r="H2070" s="15">
        <v>2.4E-2</v>
      </c>
      <c r="I2070" s="15">
        <v>2.9000000000000001E-2</v>
      </c>
      <c r="J2070" t="s">
        <v>412</v>
      </c>
      <c r="K2070" t="s">
        <v>510</v>
      </c>
    </row>
    <row r="2071" spans="1:11">
      <c r="A2071" t="s">
        <v>547</v>
      </c>
      <c r="B2071" t="s">
        <v>598</v>
      </c>
      <c r="C2071" t="s">
        <v>572</v>
      </c>
      <c r="D2071" s="15">
        <v>5.0000000000000001E-3</v>
      </c>
      <c r="E2071" s="15">
        <v>-3.5999999999999997E-2</v>
      </c>
      <c r="F2071" s="15">
        <v>4.5999999999999999E-2</v>
      </c>
      <c r="G2071" s="15">
        <v>-1.4999999999999999E-2</v>
      </c>
      <c r="H2071" s="15">
        <v>5.0000000000000001E-3</v>
      </c>
      <c r="I2071" s="15">
        <v>2.9000000000000001E-2</v>
      </c>
      <c r="J2071" t="s">
        <v>412</v>
      </c>
      <c r="K2071" t="s">
        <v>480</v>
      </c>
    </row>
    <row r="2072" spans="1:11">
      <c r="A2072" t="s">
        <v>577</v>
      </c>
      <c r="B2072" t="s">
        <v>505</v>
      </c>
      <c r="C2072" t="s">
        <v>593</v>
      </c>
      <c r="D2072" s="15">
        <v>3.7999999999999999E-2</v>
      </c>
      <c r="E2072" s="15">
        <v>1.2E-2</v>
      </c>
      <c r="F2072" s="15">
        <v>-3.7999999999999999E-2</v>
      </c>
      <c r="G2072" s="15">
        <v>2.5000000000000001E-2</v>
      </c>
      <c r="H2072" s="15">
        <v>4.0000000000000001E-3</v>
      </c>
      <c r="I2072" s="15">
        <v>2.9000000000000001E-2</v>
      </c>
      <c r="J2072" t="s">
        <v>412</v>
      </c>
      <c r="K2072" t="s">
        <v>493</v>
      </c>
    </row>
    <row r="2073" spans="1:11">
      <c r="A2073" t="s">
        <v>573</v>
      </c>
      <c r="B2073" t="s">
        <v>596</v>
      </c>
      <c r="C2073" t="s">
        <v>593</v>
      </c>
      <c r="D2073" s="15">
        <v>2.8000000000000001E-2</v>
      </c>
      <c r="E2073" s="15">
        <v>0.02</v>
      </c>
      <c r="F2073" s="15">
        <v>-0.04</v>
      </c>
      <c r="G2073" s="15">
        <v>2.4E-2</v>
      </c>
      <c r="H2073" s="15">
        <v>2E-3</v>
      </c>
      <c r="I2073" s="15">
        <v>2.9000000000000001E-2</v>
      </c>
      <c r="J2073" t="s">
        <v>412</v>
      </c>
      <c r="K2073" t="s">
        <v>493</v>
      </c>
    </row>
    <row r="2074" spans="1:11">
      <c r="A2074" t="s">
        <v>547</v>
      </c>
      <c r="B2074" t="s">
        <v>595</v>
      </c>
      <c r="C2074" t="s">
        <v>572</v>
      </c>
      <c r="D2074" s="15">
        <v>5.0000000000000001E-3</v>
      </c>
      <c r="E2074" s="15">
        <v>-4.3999999999999997E-2</v>
      </c>
      <c r="F2074" s="15">
        <v>3.7999999999999999E-2</v>
      </c>
      <c r="G2074" s="15">
        <v>-0.02</v>
      </c>
      <c r="H2074" s="15">
        <v>-1E-3</v>
      </c>
      <c r="I2074" s="15">
        <v>2.9000000000000001E-2</v>
      </c>
      <c r="J2074" t="s">
        <v>412</v>
      </c>
      <c r="K2074" t="s">
        <v>480</v>
      </c>
    </row>
    <row r="2075" spans="1:11">
      <c r="A2075" t="s">
        <v>547</v>
      </c>
      <c r="B2075" t="s">
        <v>592</v>
      </c>
      <c r="C2075" t="s">
        <v>583</v>
      </c>
      <c r="D2075" s="15">
        <v>-0.03</v>
      </c>
      <c r="E2075" s="15">
        <v>3.5000000000000003E-2</v>
      </c>
      <c r="F2075" s="15">
        <v>-2.3E-2</v>
      </c>
      <c r="G2075" s="15">
        <v>2E-3</v>
      </c>
      <c r="H2075" s="15">
        <v>-6.0000000000000001E-3</v>
      </c>
      <c r="I2075" s="15">
        <v>2.9000000000000001E-2</v>
      </c>
      <c r="J2075" t="s">
        <v>412</v>
      </c>
      <c r="K2075" t="s">
        <v>500</v>
      </c>
    </row>
    <row r="2076" spans="1:11">
      <c r="A2076" t="s">
        <v>547</v>
      </c>
      <c r="B2076" t="s">
        <v>592</v>
      </c>
      <c r="C2076" t="s">
        <v>594</v>
      </c>
      <c r="D2076" s="15">
        <v>-6.0000000000000001E-3</v>
      </c>
      <c r="E2076" s="15">
        <v>3.5000000000000003E-2</v>
      </c>
      <c r="F2076" s="15">
        <v>-4.5999999999999999E-2</v>
      </c>
      <c r="G2076" s="15">
        <v>1.4E-2</v>
      </c>
      <c r="H2076" s="15">
        <v>-6.0000000000000001E-3</v>
      </c>
      <c r="I2076" s="15">
        <v>2.9000000000000001E-2</v>
      </c>
      <c r="J2076" t="s">
        <v>412</v>
      </c>
      <c r="K2076" t="s">
        <v>500</v>
      </c>
    </row>
    <row r="2077" spans="1:11">
      <c r="A2077" t="s">
        <v>547</v>
      </c>
      <c r="B2077" t="s">
        <v>597</v>
      </c>
      <c r="C2077" t="s">
        <v>492</v>
      </c>
      <c r="D2077" s="15">
        <v>-6.6000000000000003E-2</v>
      </c>
      <c r="E2077" s="15">
        <v>-1.0999999999999999E-2</v>
      </c>
      <c r="F2077" s="15">
        <v>1.0999999999999999E-2</v>
      </c>
      <c r="G2077" s="15">
        <v>-3.9E-2</v>
      </c>
      <c r="H2077" s="15">
        <v>-2.1999999999999999E-2</v>
      </c>
      <c r="I2077" s="15">
        <v>2.9000000000000001E-2</v>
      </c>
      <c r="J2077" t="s">
        <v>412</v>
      </c>
      <c r="K2077" t="s">
        <v>510</v>
      </c>
    </row>
    <row r="2078" spans="1:11">
      <c r="A2078" t="s">
        <v>547</v>
      </c>
      <c r="B2078" t="s">
        <v>597</v>
      </c>
      <c r="C2078" t="s">
        <v>585</v>
      </c>
      <c r="D2078" s="15">
        <v>-7.1999999999999995E-2</v>
      </c>
      <c r="E2078" s="15">
        <v>-1.0999999999999999E-2</v>
      </c>
      <c r="F2078" s="15">
        <v>-3.0000000000000001E-3</v>
      </c>
      <c r="G2078" s="15">
        <v>-4.2000000000000003E-2</v>
      </c>
      <c r="H2078" s="15">
        <v>-2.9000000000000001E-2</v>
      </c>
      <c r="I2078" s="15">
        <v>2.9000000000000001E-2</v>
      </c>
      <c r="J2078" t="s">
        <v>412</v>
      </c>
      <c r="K2078" t="s">
        <v>589</v>
      </c>
    </row>
    <row r="2079" spans="1:11">
      <c r="A2079" t="s">
        <v>573</v>
      </c>
      <c r="B2079" t="s">
        <v>592</v>
      </c>
      <c r="C2079" t="s">
        <v>585</v>
      </c>
      <c r="D2079" s="15">
        <v>2.5999999999999999E-2</v>
      </c>
      <c r="E2079" s="15">
        <v>-3.5000000000000003E-2</v>
      </c>
      <c r="F2079" s="15">
        <v>2.1000000000000001E-2</v>
      </c>
      <c r="G2079" s="15">
        <v>-5.0000000000000001E-3</v>
      </c>
      <c r="H2079" s="15">
        <v>4.0000000000000001E-3</v>
      </c>
      <c r="I2079" s="15">
        <v>2.8000000000000001E-2</v>
      </c>
      <c r="J2079" t="s">
        <v>412</v>
      </c>
      <c r="K2079" t="s">
        <v>480</v>
      </c>
    </row>
    <row r="2080" spans="1:11">
      <c r="A2080" t="s">
        <v>547</v>
      </c>
      <c r="B2080" t="s">
        <v>597</v>
      </c>
      <c r="C2080" t="s">
        <v>591</v>
      </c>
      <c r="D2080" s="15">
        <v>0.01</v>
      </c>
      <c r="E2080" s="15">
        <v>-1.0999999999999999E-2</v>
      </c>
      <c r="F2080" s="15">
        <v>-6.2E-2</v>
      </c>
      <c r="G2080" s="15">
        <v>0</v>
      </c>
      <c r="H2080" s="15">
        <v>-2.1000000000000001E-2</v>
      </c>
      <c r="I2080" s="15">
        <v>2.8000000000000001E-2</v>
      </c>
      <c r="J2080" t="s">
        <v>412</v>
      </c>
      <c r="K2080" t="s">
        <v>579</v>
      </c>
    </row>
    <row r="2081" spans="1:11">
      <c r="A2081" t="s">
        <v>506</v>
      </c>
      <c r="B2081" t="s">
        <v>596</v>
      </c>
      <c r="C2081" t="s">
        <v>585</v>
      </c>
      <c r="D2081" s="15">
        <v>-5.6000000000000001E-2</v>
      </c>
      <c r="E2081" s="15">
        <v>-6.0000000000000001E-3</v>
      </c>
      <c r="F2081" s="15">
        <v>-2.1000000000000001E-2</v>
      </c>
      <c r="G2081" s="15">
        <v>-3.1E-2</v>
      </c>
      <c r="H2081" s="15">
        <v>-2.8000000000000001E-2</v>
      </c>
      <c r="I2081" s="15">
        <v>2.8000000000000001E-2</v>
      </c>
      <c r="J2081" t="s">
        <v>412</v>
      </c>
      <c r="K2081" t="s">
        <v>589</v>
      </c>
    </row>
    <row r="2082" spans="1:11">
      <c r="A2082" t="s">
        <v>547</v>
      </c>
      <c r="B2082" t="s">
        <v>597</v>
      </c>
      <c r="C2082" t="s">
        <v>575</v>
      </c>
      <c r="D2082" s="15">
        <v>-6.8000000000000005E-2</v>
      </c>
      <c r="E2082" s="15">
        <v>-1.0999999999999999E-2</v>
      </c>
      <c r="F2082" s="15">
        <v>-6.0000000000000001E-3</v>
      </c>
      <c r="G2082" s="15">
        <v>-0.04</v>
      </c>
      <c r="H2082" s="15">
        <v>-2.8000000000000001E-2</v>
      </c>
      <c r="I2082" s="15">
        <v>2.8000000000000001E-2</v>
      </c>
      <c r="J2082" t="s">
        <v>412</v>
      </c>
      <c r="K2082" t="s">
        <v>589</v>
      </c>
    </row>
    <row r="2083" spans="1:11">
      <c r="A2083" t="s">
        <v>576</v>
      </c>
      <c r="B2083" t="s">
        <v>590</v>
      </c>
      <c r="C2083" t="s">
        <v>585</v>
      </c>
      <c r="D2083" s="15">
        <v>0.03</v>
      </c>
      <c r="E2083" s="15">
        <v>2.8000000000000001E-2</v>
      </c>
      <c r="F2083" s="15">
        <v>2.3E-2</v>
      </c>
      <c r="G2083" s="15">
        <v>2.9000000000000001E-2</v>
      </c>
      <c r="H2083" s="15">
        <v>2.7E-2</v>
      </c>
      <c r="I2083" s="15">
        <v>2.7E-2</v>
      </c>
      <c r="J2083" t="s">
        <v>412</v>
      </c>
      <c r="K2083" t="s">
        <v>551</v>
      </c>
    </row>
    <row r="2084" spans="1:11">
      <c r="A2084" t="s">
        <v>547</v>
      </c>
      <c r="B2084" t="s">
        <v>550</v>
      </c>
      <c r="C2084" t="s">
        <v>594</v>
      </c>
      <c r="D2084" s="15">
        <v>-6.0000000000000001E-3</v>
      </c>
      <c r="E2084" s="15">
        <v>2.7E-2</v>
      </c>
      <c r="F2084" s="15">
        <v>4.9000000000000002E-2</v>
      </c>
      <c r="G2084" s="15">
        <v>0.01</v>
      </c>
      <c r="H2084" s="15">
        <v>2.3E-2</v>
      </c>
      <c r="I2084" s="15">
        <v>2.7E-2</v>
      </c>
      <c r="J2084" t="s">
        <v>412</v>
      </c>
      <c r="K2084" t="s">
        <v>487</v>
      </c>
    </row>
    <row r="2085" spans="1:11">
      <c r="A2085" t="s">
        <v>571</v>
      </c>
      <c r="B2085" t="s">
        <v>586</v>
      </c>
      <c r="C2085" t="s">
        <v>594</v>
      </c>
      <c r="D2085" s="15">
        <v>-8.0000000000000002E-3</v>
      </c>
      <c r="E2085" s="15">
        <v>5.6000000000000001E-2</v>
      </c>
      <c r="F2085" s="15">
        <v>1.7999999999999999E-2</v>
      </c>
      <c r="G2085" s="15">
        <v>2.4E-2</v>
      </c>
      <c r="H2085" s="15">
        <v>2.1999999999999999E-2</v>
      </c>
      <c r="I2085" s="15">
        <v>2.7E-2</v>
      </c>
      <c r="J2085" t="s">
        <v>412</v>
      </c>
      <c r="K2085" t="s">
        <v>487</v>
      </c>
    </row>
    <row r="2086" spans="1:11">
      <c r="A2086" t="s">
        <v>506</v>
      </c>
      <c r="B2086" t="s">
        <v>581</v>
      </c>
      <c r="C2086" t="s">
        <v>583</v>
      </c>
      <c r="D2086" s="15">
        <v>4.1000000000000002E-2</v>
      </c>
      <c r="E2086" s="15">
        <v>-0.03</v>
      </c>
      <c r="F2086" s="15">
        <v>1.0999999999999999E-2</v>
      </c>
      <c r="G2086" s="15">
        <v>6.0000000000000001E-3</v>
      </c>
      <c r="H2086" s="15">
        <v>8.0000000000000002E-3</v>
      </c>
      <c r="I2086" s="15">
        <v>2.7E-2</v>
      </c>
      <c r="J2086" t="s">
        <v>412</v>
      </c>
      <c r="K2086" t="s">
        <v>480</v>
      </c>
    </row>
    <row r="2087" spans="1:11">
      <c r="A2087" t="s">
        <v>571</v>
      </c>
      <c r="B2087" t="s">
        <v>550</v>
      </c>
      <c r="C2087" t="s">
        <v>594</v>
      </c>
      <c r="D2087" s="15">
        <v>-8.0000000000000002E-3</v>
      </c>
      <c r="E2087" s="15">
        <v>-2.5000000000000001E-2</v>
      </c>
      <c r="F2087" s="15">
        <v>4.9000000000000002E-2</v>
      </c>
      <c r="G2087" s="15">
        <v>-1.6E-2</v>
      </c>
      <c r="H2087" s="15">
        <v>5.0000000000000001E-3</v>
      </c>
      <c r="I2087" s="15">
        <v>2.7E-2</v>
      </c>
      <c r="J2087" t="s">
        <v>412</v>
      </c>
      <c r="K2087" t="s">
        <v>510</v>
      </c>
    </row>
    <row r="2088" spans="1:11">
      <c r="A2088" t="s">
        <v>571</v>
      </c>
      <c r="B2088" t="s">
        <v>596</v>
      </c>
      <c r="C2088" t="s">
        <v>585</v>
      </c>
      <c r="D2088" s="15">
        <v>-1.2999999999999999E-2</v>
      </c>
      <c r="E2088" s="15">
        <v>4.5999999999999999E-2</v>
      </c>
      <c r="F2088" s="15">
        <v>-2.1000000000000001E-2</v>
      </c>
      <c r="G2088" s="15">
        <v>1.7000000000000001E-2</v>
      </c>
      <c r="H2088" s="15">
        <v>4.0000000000000001E-3</v>
      </c>
      <c r="I2088" s="15">
        <v>2.7E-2</v>
      </c>
      <c r="J2088" t="s">
        <v>412</v>
      </c>
      <c r="K2088" t="s">
        <v>500</v>
      </c>
    </row>
    <row r="2089" spans="1:11">
      <c r="A2089" t="s">
        <v>506</v>
      </c>
      <c r="B2089" t="s">
        <v>590</v>
      </c>
      <c r="C2089" t="s">
        <v>585</v>
      </c>
      <c r="D2089" s="15">
        <v>-5.6000000000000001E-2</v>
      </c>
      <c r="E2089" s="15">
        <v>1E-3</v>
      </c>
      <c r="F2089" s="15">
        <v>2.3E-2</v>
      </c>
      <c r="G2089" s="15">
        <v>-2.7E-2</v>
      </c>
      <c r="H2089" s="15">
        <v>-1.0999999999999999E-2</v>
      </c>
      <c r="I2089" s="15">
        <v>2.7E-2</v>
      </c>
      <c r="J2089" t="s">
        <v>412</v>
      </c>
      <c r="K2089" t="s">
        <v>487</v>
      </c>
    </row>
    <row r="2090" spans="1:11">
      <c r="A2090" t="s">
        <v>577</v>
      </c>
      <c r="B2090" t="s">
        <v>590</v>
      </c>
      <c r="C2090" t="s">
        <v>591</v>
      </c>
      <c r="D2090" s="15">
        <v>-1.4E-2</v>
      </c>
      <c r="E2090" s="15">
        <v>4.4999999999999998E-2</v>
      </c>
      <c r="F2090" s="15">
        <v>-1.9E-2</v>
      </c>
      <c r="G2090" s="15">
        <v>1.6E-2</v>
      </c>
      <c r="H2090" s="15">
        <v>4.0000000000000001E-3</v>
      </c>
      <c r="I2090" s="15">
        <v>2.5999999999999999E-2</v>
      </c>
      <c r="J2090" t="s">
        <v>412</v>
      </c>
      <c r="K2090" t="s">
        <v>500</v>
      </c>
    </row>
    <row r="2091" spans="1:11">
      <c r="A2091" t="s">
        <v>576</v>
      </c>
      <c r="B2091" t="s">
        <v>595</v>
      </c>
      <c r="C2091" t="s">
        <v>492</v>
      </c>
      <c r="D2091" s="15">
        <v>1.7999999999999999E-2</v>
      </c>
      <c r="E2091" s="15">
        <v>-4.2000000000000003E-2</v>
      </c>
      <c r="F2091" s="15">
        <v>-1.9E-2</v>
      </c>
      <c r="G2091" s="15">
        <v>-1.2E-2</v>
      </c>
      <c r="H2091" s="15">
        <v>-1.4E-2</v>
      </c>
      <c r="I2091" s="15">
        <v>2.5999999999999999E-2</v>
      </c>
      <c r="J2091" t="s">
        <v>412</v>
      </c>
      <c r="K2091" t="s">
        <v>579</v>
      </c>
    </row>
    <row r="2092" spans="1:11">
      <c r="A2092" t="s">
        <v>573</v>
      </c>
      <c r="B2092" t="s">
        <v>598</v>
      </c>
      <c r="C2092" t="s">
        <v>575</v>
      </c>
      <c r="D2092" s="15">
        <v>-4.9000000000000002E-2</v>
      </c>
      <c r="E2092" s="15">
        <v>-2.3E-2</v>
      </c>
      <c r="F2092" s="15">
        <v>7.0000000000000001E-3</v>
      </c>
      <c r="G2092" s="15">
        <v>-3.5999999999999997E-2</v>
      </c>
      <c r="H2092" s="15">
        <v>-2.1999999999999999E-2</v>
      </c>
      <c r="I2092" s="15">
        <v>2.5999999999999999E-2</v>
      </c>
      <c r="J2092" t="s">
        <v>412</v>
      </c>
      <c r="K2092" t="s">
        <v>510</v>
      </c>
    </row>
    <row r="2093" spans="1:11">
      <c r="A2093" t="s">
        <v>577</v>
      </c>
      <c r="B2093" t="s">
        <v>597</v>
      </c>
      <c r="C2093" t="s">
        <v>585</v>
      </c>
      <c r="D2093" s="15">
        <v>-6.0000000000000001E-3</v>
      </c>
      <c r="E2093" s="15">
        <v>6.6000000000000003E-2</v>
      </c>
      <c r="F2093" s="15">
        <v>-3.0000000000000001E-3</v>
      </c>
      <c r="G2093" s="15">
        <v>0.03</v>
      </c>
      <c r="H2093" s="15">
        <v>1.9E-2</v>
      </c>
      <c r="I2093" s="15">
        <v>2.5000000000000001E-2</v>
      </c>
      <c r="J2093" t="s">
        <v>412</v>
      </c>
      <c r="K2093" t="s">
        <v>500</v>
      </c>
    </row>
    <row r="2094" spans="1:11">
      <c r="A2094" t="s">
        <v>479</v>
      </c>
      <c r="B2094" t="s">
        <v>580</v>
      </c>
      <c r="C2094" t="s">
        <v>593</v>
      </c>
      <c r="D2094" s="15">
        <v>-8.0000000000000002E-3</v>
      </c>
      <c r="E2094" s="15">
        <v>-1.9E-2</v>
      </c>
      <c r="F2094" s="15">
        <v>-4.8000000000000001E-2</v>
      </c>
      <c r="G2094" s="15">
        <v>-1.2999999999999999E-2</v>
      </c>
      <c r="H2094" s="15">
        <v>-2.5000000000000001E-2</v>
      </c>
      <c r="I2094" s="15">
        <v>2.5000000000000001E-2</v>
      </c>
      <c r="J2094" t="s">
        <v>412</v>
      </c>
      <c r="K2094" t="s">
        <v>589</v>
      </c>
    </row>
    <row r="2095" spans="1:11">
      <c r="A2095" t="s">
        <v>547</v>
      </c>
      <c r="B2095" t="s">
        <v>597</v>
      </c>
      <c r="C2095" t="s">
        <v>594</v>
      </c>
      <c r="D2095" s="15">
        <v>-6.0000000000000001E-3</v>
      </c>
      <c r="E2095" s="15">
        <v>-1.0999999999999999E-2</v>
      </c>
      <c r="F2095" s="15">
        <v>-5.8999999999999997E-2</v>
      </c>
      <c r="G2095" s="15">
        <v>-8.0000000000000002E-3</v>
      </c>
      <c r="H2095" s="15">
        <v>-2.5000000000000001E-2</v>
      </c>
      <c r="I2095" s="15">
        <v>2.5000000000000001E-2</v>
      </c>
      <c r="J2095" t="s">
        <v>412</v>
      </c>
      <c r="K2095" t="s">
        <v>589</v>
      </c>
    </row>
    <row r="2096" spans="1:11">
      <c r="A2096" t="s">
        <v>577</v>
      </c>
      <c r="B2096" t="s">
        <v>590</v>
      </c>
      <c r="C2096" t="s">
        <v>585</v>
      </c>
      <c r="D2096" s="15">
        <v>-6.0000000000000001E-3</v>
      </c>
      <c r="E2096" s="15">
        <v>4.4999999999999998E-2</v>
      </c>
      <c r="F2096" s="15">
        <v>2.3E-2</v>
      </c>
      <c r="G2096" s="15">
        <v>0.02</v>
      </c>
      <c r="H2096" s="15">
        <v>2.1000000000000001E-2</v>
      </c>
      <c r="I2096" s="15">
        <v>2.4E-2</v>
      </c>
      <c r="J2096" t="s">
        <v>412</v>
      </c>
      <c r="K2096" t="s">
        <v>487</v>
      </c>
    </row>
    <row r="2097" spans="1:11">
      <c r="A2097" t="s">
        <v>576</v>
      </c>
      <c r="B2097" t="s">
        <v>509</v>
      </c>
      <c r="C2097" t="s">
        <v>585</v>
      </c>
      <c r="D2097" s="15">
        <v>0.03</v>
      </c>
      <c r="E2097" s="15">
        <v>-2.9000000000000001E-2</v>
      </c>
      <c r="F2097" s="15">
        <v>1.2999999999999999E-2</v>
      </c>
      <c r="G2097" s="15">
        <v>1E-3</v>
      </c>
      <c r="H2097" s="15">
        <v>5.0000000000000001E-3</v>
      </c>
      <c r="I2097" s="15">
        <v>2.4E-2</v>
      </c>
      <c r="J2097" t="s">
        <v>412</v>
      </c>
      <c r="K2097" t="s">
        <v>480</v>
      </c>
    </row>
    <row r="2098" spans="1:11">
      <c r="A2098" t="s">
        <v>576</v>
      </c>
      <c r="B2098" t="s">
        <v>586</v>
      </c>
      <c r="C2098" t="s">
        <v>594</v>
      </c>
      <c r="D2098" s="15">
        <v>2.1000000000000001E-2</v>
      </c>
      <c r="E2098" s="15">
        <v>-3.2000000000000001E-2</v>
      </c>
      <c r="F2098" s="15">
        <v>1.7999999999999999E-2</v>
      </c>
      <c r="G2098" s="15">
        <v>-6.0000000000000001E-3</v>
      </c>
      <c r="H2098" s="15">
        <v>2E-3</v>
      </c>
      <c r="I2098" s="15">
        <v>2.4E-2</v>
      </c>
      <c r="J2098" t="s">
        <v>412</v>
      </c>
      <c r="K2098" t="s">
        <v>480</v>
      </c>
    </row>
    <row r="2099" spans="1:11">
      <c r="A2099" t="s">
        <v>547</v>
      </c>
      <c r="B2099" t="s">
        <v>523</v>
      </c>
      <c r="C2099" t="s">
        <v>594</v>
      </c>
      <c r="D2099" s="15">
        <v>-6.0000000000000001E-3</v>
      </c>
      <c r="E2099" s="15">
        <v>-3.6999999999999998E-2</v>
      </c>
      <c r="F2099" s="15">
        <v>2.8000000000000001E-2</v>
      </c>
      <c r="G2099" s="15">
        <v>-2.1999999999999999E-2</v>
      </c>
      <c r="H2099" s="15">
        <v>-5.0000000000000001E-3</v>
      </c>
      <c r="I2099" s="15">
        <v>2.4E-2</v>
      </c>
      <c r="J2099" t="s">
        <v>412</v>
      </c>
      <c r="K2099" t="s">
        <v>510</v>
      </c>
    </row>
    <row r="2100" spans="1:11">
      <c r="A2100" t="s">
        <v>573</v>
      </c>
      <c r="B2100" t="s">
        <v>596</v>
      </c>
      <c r="C2100" t="s">
        <v>585</v>
      </c>
      <c r="D2100" s="15">
        <v>2.5999999999999999E-2</v>
      </c>
      <c r="E2100" s="15">
        <v>0.02</v>
      </c>
      <c r="F2100" s="15">
        <v>-2.1000000000000001E-2</v>
      </c>
      <c r="G2100" s="15">
        <v>2.3E-2</v>
      </c>
      <c r="H2100" s="15">
        <v>8.0000000000000002E-3</v>
      </c>
      <c r="I2100" s="15">
        <v>2.3E-2</v>
      </c>
      <c r="J2100" t="s">
        <v>412</v>
      </c>
      <c r="K2100" t="s">
        <v>493</v>
      </c>
    </row>
    <row r="2101" spans="1:11">
      <c r="A2101" t="s">
        <v>571</v>
      </c>
      <c r="B2101" t="s">
        <v>588</v>
      </c>
      <c r="C2101" t="s">
        <v>594</v>
      </c>
      <c r="D2101" s="15">
        <v>-8.0000000000000002E-3</v>
      </c>
      <c r="E2101" s="15">
        <v>-1.9E-2</v>
      </c>
      <c r="F2101" s="15">
        <v>4.2999999999999997E-2</v>
      </c>
      <c r="G2101" s="15">
        <v>-1.2999999999999999E-2</v>
      </c>
      <c r="H2101" s="15">
        <v>6.0000000000000001E-3</v>
      </c>
      <c r="I2101" s="15">
        <v>2.3E-2</v>
      </c>
      <c r="J2101" t="s">
        <v>412</v>
      </c>
      <c r="K2101" t="s">
        <v>510</v>
      </c>
    </row>
    <row r="2102" spans="1:11">
      <c r="A2102" t="s">
        <v>571</v>
      </c>
      <c r="B2102" t="s">
        <v>509</v>
      </c>
      <c r="C2102" t="s">
        <v>594</v>
      </c>
      <c r="D2102" s="15">
        <v>-8.0000000000000002E-3</v>
      </c>
      <c r="E2102" s="15">
        <v>-1.6E-2</v>
      </c>
      <c r="F2102" s="15">
        <v>4.2000000000000003E-2</v>
      </c>
      <c r="G2102" s="15">
        <v>-1.2E-2</v>
      </c>
      <c r="H2102" s="15">
        <v>6.0000000000000001E-3</v>
      </c>
      <c r="I2102" s="15">
        <v>2.1999999999999999E-2</v>
      </c>
      <c r="J2102" t="s">
        <v>412</v>
      </c>
      <c r="K2102" t="s">
        <v>510</v>
      </c>
    </row>
    <row r="2103" spans="1:11">
      <c r="A2103" t="s">
        <v>571</v>
      </c>
      <c r="B2103" t="s">
        <v>550</v>
      </c>
      <c r="C2103" t="s">
        <v>585</v>
      </c>
      <c r="D2103" s="15">
        <v>-1.2999999999999999E-2</v>
      </c>
      <c r="E2103" s="15">
        <v>-2.5000000000000001E-2</v>
      </c>
      <c r="F2103" s="15">
        <v>2.9000000000000001E-2</v>
      </c>
      <c r="G2103" s="15">
        <v>-1.9E-2</v>
      </c>
      <c r="H2103" s="15">
        <v>-3.0000000000000001E-3</v>
      </c>
      <c r="I2103" s="15">
        <v>2.1999999999999999E-2</v>
      </c>
      <c r="J2103" t="s">
        <v>412</v>
      </c>
      <c r="K2103" t="s">
        <v>510</v>
      </c>
    </row>
    <row r="2104" spans="1:11">
      <c r="A2104" t="s">
        <v>571</v>
      </c>
      <c r="B2104" t="s">
        <v>592</v>
      </c>
      <c r="C2104" t="s">
        <v>594</v>
      </c>
      <c r="D2104" s="15">
        <v>-8.0000000000000002E-3</v>
      </c>
      <c r="E2104" s="15">
        <v>1.0999999999999999E-2</v>
      </c>
      <c r="F2104" s="15">
        <v>-4.5999999999999999E-2</v>
      </c>
      <c r="G2104" s="15">
        <v>2E-3</v>
      </c>
      <c r="H2104" s="15">
        <v>-1.4E-2</v>
      </c>
      <c r="I2104" s="15">
        <v>2.1999999999999999E-2</v>
      </c>
      <c r="J2104" t="s">
        <v>412</v>
      </c>
      <c r="K2104" t="s">
        <v>500</v>
      </c>
    </row>
    <row r="2105" spans="1:11">
      <c r="A2105" t="s">
        <v>576</v>
      </c>
      <c r="B2105" t="s">
        <v>509</v>
      </c>
      <c r="C2105" t="s">
        <v>593</v>
      </c>
      <c r="D2105" s="15">
        <v>-1.7000000000000001E-2</v>
      </c>
      <c r="E2105" s="15">
        <v>-2.9000000000000001E-2</v>
      </c>
      <c r="F2105" s="15">
        <v>-1.7999999999999999E-2</v>
      </c>
      <c r="G2105" s="15">
        <v>-2.3E-2</v>
      </c>
      <c r="H2105" s="15">
        <v>-2.1999999999999999E-2</v>
      </c>
      <c r="I2105" s="15">
        <v>2.1999999999999999E-2</v>
      </c>
      <c r="J2105" t="s">
        <v>412</v>
      </c>
      <c r="K2105" t="s">
        <v>589</v>
      </c>
    </row>
    <row r="2106" spans="1:11">
      <c r="A2106" t="s">
        <v>506</v>
      </c>
      <c r="B2106" t="s">
        <v>596</v>
      </c>
      <c r="C2106" t="s">
        <v>583</v>
      </c>
      <c r="D2106" s="15">
        <v>4.1000000000000002E-2</v>
      </c>
      <c r="E2106" s="15">
        <v>-6.0000000000000001E-3</v>
      </c>
      <c r="F2106" s="15">
        <v>1.4999999999999999E-2</v>
      </c>
      <c r="G2106" s="15">
        <v>1.7000000000000001E-2</v>
      </c>
      <c r="H2106" s="15">
        <v>1.6E-2</v>
      </c>
      <c r="I2106" s="15">
        <v>2.1000000000000001E-2</v>
      </c>
      <c r="J2106" t="s">
        <v>412</v>
      </c>
      <c r="K2106" t="s">
        <v>480</v>
      </c>
    </row>
    <row r="2107" spans="1:11">
      <c r="A2107" t="s">
        <v>571</v>
      </c>
      <c r="B2107" t="s">
        <v>597</v>
      </c>
      <c r="C2107" t="s">
        <v>585</v>
      </c>
      <c r="D2107" s="15">
        <v>-1.2999999999999999E-2</v>
      </c>
      <c r="E2107" s="15">
        <v>4.7E-2</v>
      </c>
      <c r="F2107" s="15">
        <v>-3.0000000000000001E-3</v>
      </c>
      <c r="G2107" s="15">
        <v>1.7000000000000001E-2</v>
      </c>
      <c r="H2107" s="15">
        <v>0.01</v>
      </c>
      <c r="I2107" s="15">
        <v>2.1000000000000001E-2</v>
      </c>
      <c r="J2107" t="s">
        <v>412</v>
      </c>
      <c r="K2107" t="s">
        <v>500</v>
      </c>
    </row>
    <row r="2108" spans="1:11">
      <c r="A2108" t="s">
        <v>571</v>
      </c>
      <c r="B2108" t="s">
        <v>499</v>
      </c>
      <c r="C2108" t="s">
        <v>594</v>
      </c>
      <c r="D2108" s="15">
        <v>-8.0000000000000002E-3</v>
      </c>
      <c r="E2108" s="15">
        <v>-1E-3</v>
      </c>
      <c r="F2108" s="15">
        <v>-5.6000000000000001E-2</v>
      </c>
      <c r="G2108" s="15">
        <v>-4.0000000000000001E-3</v>
      </c>
      <c r="H2108" s="15">
        <v>-2.1000000000000001E-2</v>
      </c>
      <c r="I2108" s="15">
        <v>2.1000000000000001E-2</v>
      </c>
      <c r="J2108" t="s">
        <v>412</v>
      </c>
      <c r="K2108" t="s">
        <v>589</v>
      </c>
    </row>
    <row r="2109" spans="1:11">
      <c r="A2109" t="s">
        <v>547</v>
      </c>
      <c r="B2109" t="s">
        <v>580</v>
      </c>
      <c r="C2109" t="s">
        <v>594</v>
      </c>
      <c r="D2109" s="15">
        <v>-6.0000000000000001E-3</v>
      </c>
      <c r="E2109" s="15">
        <v>3.2000000000000001E-2</v>
      </c>
      <c r="F2109" s="15">
        <v>-1.7000000000000001E-2</v>
      </c>
      <c r="G2109" s="15">
        <v>1.2999999999999999E-2</v>
      </c>
      <c r="H2109" s="15">
        <v>3.0000000000000001E-3</v>
      </c>
      <c r="I2109" s="15">
        <v>1.7999999999999999E-2</v>
      </c>
      <c r="J2109" t="s">
        <v>412</v>
      </c>
      <c r="K2109" t="s">
        <v>500</v>
      </c>
    </row>
    <row r="2110" spans="1:11">
      <c r="A2110" t="s">
        <v>571</v>
      </c>
      <c r="B2110" t="s">
        <v>592</v>
      </c>
      <c r="C2110" t="s">
        <v>585</v>
      </c>
      <c r="D2110" s="15">
        <v>-1.2999999999999999E-2</v>
      </c>
      <c r="E2110" s="15">
        <v>1.0999999999999999E-2</v>
      </c>
      <c r="F2110" s="15">
        <v>2.1000000000000001E-2</v>
      </c>
      <c r="G2110" s="15">
        <v>-1E-3</v>
      </c>
      <c r="H2110" s="15">
        <v>7.0000000000000001E-3</v>
      </c>
      <c r="I2110" s="15">
        <v>1.4999999999999999E-2</v>
      </c>
      <c r="J2110" t="s">
        <v>412</v>
      </c>
      <c r="K2110" t="s">
        <v>487</v>
      </c>
    </row>
    <row r="2111" spans="1:11">
      <c r="A2111" t="s">
        <v>547</v>
      </c>
      <c r="B2111" t="s">
        <v>592</v>
      </c>
      <c r="C2111" t="s">
        <v>572</v>
      </c>
      <c r="D2111" s="15">
        <v>5.0000000000000001E-3</v>
      </c>
      <c r="E2111" s="15">
        <v>3.5000000000000003E-2</v>
      </c>
      <c r="F2111" s="15">
        <v>-1E-3</v>
      </c>
      <c r="G2111" s="15">
        <v>0.02</v>
      </c>
      <c r="H2111" s="15">
        <v>1.2999999999999999E-2</v>
      </c>
      <c r="I2111" s="15">
        <v>1.4E-2</v>
      </c>
      <c r="J2111" t="s">
        <v>412</v>
      </c>
      <c r="K2111" t="s">
        <v>493</v>
      </c>
    </row>
    <row r="2112" spans="1:11">
      <c r="A2112" t="s">
        <v>571</v>
      </c>
      <c r="B2112" t="s">
        <v>509</v>
      </c>
      <c r="C2112" t="s">
        <v>585</v>
      </c>
      <c r="D2112" s="15">
        <v>-1.2999999999999999E-2</v>
      </c>
      <c r="E2112" s="15">
        <v>-1.6E-2</v>
      </c>
      <c r="F2112" s="15">
        <v>1.2999999999999999E-2</v>
      </c>
      <c r="G2112" s="15">
        <v>-1.4E-2</v>
      </c>
      <c r="H2112" s="15">
        <v>-5.0000000000000001E-3</v>
      </c>
      <c r="I2112" s="15">
        <v>1.4E-2</v>
      </c>
      <c r="J2112" t="s">
        <v>412</v>
      </c>
      <c r="K2112" t="s">
        <v>510</v>
      </c>
    </row>
    <row r="2113" spans="1:11">
      <c r="A2113" t="s">
        <v>577</v>
      </c>
      <c r="B2113" t="s">
        <v>498</v>
      </c>
      <c r="C2113" t="s">
        <v>591</v>
      </c>
      <c r="D2113" s="15">
        <v>-1.4E-2</v>
      </c>
      <c r="E2113" s="15">
        <v>-1.2E-2</v>
      </c>
      <c r="F2113" s="15">
        <v>-0.01</v>
      </c>
      <c r="G2113" s="15">
        <v>-1.2999999999999999E-2</v>
      </c>
      <c r="H2113" s="15">
        <v>-1.2E-2</v>
      </c>
      <c r="I2113" s="15">
        <v>1.2E-2</v>
      </c>
      <c r="J2113" t="s">
        <v>412</v>
      </c>
      <c r="K2113" t="s">
        <v>589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3D3CB-6013-417C-A595-1D7309771AA7}">
  <dimension ref="A1:AO153"/>
  <sheetViews>
    <sheetView workbookViewId="0">
      <selection sqref="A1:XFD1048576"/>
    </sheetView>
  </sheetViews>
  <sheetFormatPr baseColWidth="10" defaultColWidth="9.77734375" defaultRowHeight="14.4"/>
  <cols>
    <col min="1" max="1" width="11.109375" customWidth="1"/>
    <col min="2" max="2" width="20" customWidth="1"/>
    <col min="3" max="3" width="26.6640625" customWidth="1"/>
    <col min="4" max="6" width="15.5546875" customWidth="1"/>
    <col min="7" max="7" width="46.6640625" customWidth="1"/>
    <col min="8" max="9" width="13.33203125" customWidth="1"/>
    <col min="10" max="10" width="46.6640625" customWidth="1"/>
    <col min="11" max="12" width="13.33203125" customWidth="1"/>
    <col min="13" max="13" width="46.6640625" customWidth="1"/>
    <col min="14" max="16" width="13.33203125" customWidth="1"/>
    <col min="17" max="17" width="17.77734375" customWidth="1"/>
    <col min="18" max="18" width="13.33203125" customWidth="1"/>
    <col min="19" max="19" width="17.77734375" customWidth="1"/>
    <col min="20" max="21" width="13.33203125" customWidth="1"/>
    <col min="22" max="22" width="20" customWidth="1"/>
    <col min="23" max="23" width="28.88671875" customWidth="1"/>
    <col min="24" max="24" width="15.5546875" customWidth="1"/>
    <col min="25" max="25" width="24.44140625" customWidth="1"/>
    <col min="26" max="26" width="44.44140625" customWidth="1"/>
    <col min="27" max="27" width="35.5546875" customWidth="1"/>
    <col min="28" max="32" width="15.5546875" customWidth="1"/>
    <col min="33" max="33" width="26.6640625" customWidth="1"/>
    <col min="34" max="34" width="31.109375" customWidth="1"/>
    <col min="35" max="36" width="26.6640625" customWidth="1"/>
    <col min="37" max="39" width="40" customWidth="1"/>
    <col min="40" max="40" width="17.77734375" customWidth="1"/>
    <col min="41" max="41" width="44.44140625" customWidth="1"/>
  </cols>
  <sheetData>
    <row r="1" spans="1:41" ht="69">
      <c r="A1" s="16" t="s">
        <v>1</v>
      </c>
      <c r="B1" s="16" t="s">
        <v>2</v>
      </c>
      <c r="C1" s="16" t="s">
        <v>3</v>
      </c>
      <c r="D1" s="16" t="s">
        <v>444</v>
      </c>
      <c r="E1" s="16" t="s">
        <v>445</v>
      </c>
      <c r="F1" s="16" t="s">
        <v>446</v>
      </c>
      <c r="G1" s="16" t="s">
        <v>6</v>
      </c>
      <c r="H1" s="16" t="s">
        <v>447</v>
      </c>
      <c r="I1" s="16" t="s">
        <v>448</v>
      </c>
      <c r="J1" s="16" t="s">
        <v>449</v>
      </c>
      <c r="K1" s="16" t="s">
        <v>450</v>
      </c>
      <c r="L1" s="16" t="s">
        <v>451</v>
      </c>
      <c r="M1" s="16" t="s">
        <v>452</v>
      </c>
      <c r="N1" s="16" t="s">
        <v>453</v>
      </c>
      <c r="O1" s="16" t="s">
        <v>454</v>
      </c>
      <c r="P1" s="16" t="s">
        <v>455</v>
      </c>
      <c r="Q1" s="16" t="s">
        <v>456</v>
      </c>
      <c r="R1" s="16" t="s">
        <v>457</v>
      </c>
      <c r="S1" s="16" t="s">
        <v>458</v>
      </c>
      <c r="T1" s="16" t="s">
        <v>459</v>
      </c>
      <c r="U1" s="16" t="s">
        <v>460</v>
      </c>
      <c r="V1" s="16" t="s">
        <v>461</v>
      </c>
      <c r="W1" s="16" t="s">
        <v>462</v>
      </c>
      <c r="X1" s="16" t="s">
        <v>463</v>
      </c>
      <c r="Y1" s="16" t="s">
        <v>464</v>
      </c>
      <c r="Z1" s="16" t="s">
        <v>465</v>
      </c>
      <c r="AA1" s="16" t="s">
        <v>466</v>
      </c>
      <c r="AB1" s="16" t="s">
        <v>467</v>
      </c>
      <c r="AC1" s="16" t="s">
        <v>40</v>
      </c>
      <c r="AD1" s="16" t="s">
        <v>468</v>
      </c>
      <c r="AE1" s="16" t="s">
        <v>42</v>
      </c>
      <c r="AF1" s="16" t="s">
        <v>469</v>
      </c>
      <c r="AG1" s="16" t="s">
        <v>599</v>
      </c>
      <c r="AH1" s="16" t="s">
        <v>600</v>
      </c>
      <c r="AI1" s="16" t="s">
        <v>472</v>
      </c>
      <c r="AJ1" s="16" t="s">
        <v>473</v>
      </c>
      <c r="AK1" s="16" t="s">
        <v>49</v>
      </c>
      <c r="AL1" s="16" t="s">
        <v>50</v>
      </c>
      <c r="AM1" s="16" t="s">
        <v>474</v>
      </c>
      <c r="AN1" s="16" t="s">
        <v>475</v>
      </c>
      <c r="AO1" s="16" t="s">
        <v>476</v>
      </c>
    </row>
    <row r="2" spans="1:41" ht="57.6">
      <c r="A2" s="9" t="s">
        <v>311</v>
      </c>
      <c r="B2" s="9" t="s">
        <v>312</v>
      </c>
      <c r="C2" s="9" t="s">
        <v>313</v>
      </c>
      <c r="D2" s="10">
        <v>9700</v>
      </c>
      <c r="E2" s="10">
        <v>7714</v>
      </c>
      <c r="F2" s="10">
        <v>6957</v>
      </c>
      <c r="G2" s="9" t="s">
        <v>601</v>
      </c>
      <c r="H2" s="11">
        <v>0.70979381443298972</v>
      </c>
      <c r="I2" s="11">
        <v>0.56195876288659796</v>
      </c>
      <c r="J2" s="9" t="s">
        <v>602</v>
      </c>
      <c r="K2" s="11">
        <v>0.28545501685247598</v>
      </c>
      <c r="L2" s="11">
        <v>0.10189266269121081</v>
      </c>
      <c r="M2" s="9" t="s">
        <v>603</v>
      </c>
      <c r="N2" s="11">
        <v>0.26563173781802502</v>
      </c>
      <c r="O2" s="11">
        <v>7.6182262469455253E-3</v>
      </c>
      <c r="P2" s="12">
        <v>-0.41089999999999999</v>
      </c>
      <c r="Q2" s="9" t="s">
        <v>73</v>
      </c>
      <c r="R2" s="12">
        <v>0.45390000000000003</v>
      </c>
      <c r="S2" s="9" t="s">
        <v>75</v>
      </c>
      <c r="T2" s="12">
        <v>3.5099999999999999E-2</v>
      </c>
      <c r="U2" s="12">
        <v>0.3</v>
      </c>
      <c r="V2" s="9" t="s">
        <v>412</v>
      </c>
      <c r="W2" s="9" t="s">
        <v>604</v>
      </c>
      <c r="X2" s="9" t="s">
        <v>60</v>
      </c>
      <c r="Y2" s="9" t="s">
        <v>59</v>
      </c>
      <c r="Z2" s="9" t="s">
        <v>605</v>
      </c>
      <c r="AA2" s="9" t="s">
        <v>606</v>
      </c>
      <c r="AB2" s="11">
        <v>0.23891663412622349</v>
      </c>
      <c r="AC2" s="11">
        <v>0.21628037758097729</v>
      </c>
      <c r="AD2" s="11">
        <v>0.12182628928247489</v>
      </c>
      <c r="AE2" s="11">
        <v>0.26094789317779649</v>
      </c>
      <c r="AF2" s="11">
        <v>0.1620288058325276</v>
      </c>
      <c r="AG2" s="9" t="str">
        <f t="shared" ref="AG2:AG65" si="0">CHOOSE(MATCH(MAX(AB2:AF2),AB2:AF2,0),"Protección y orden cotidiano","Estabilidad y continuidad","Supervivencia económica y servicios básicos","Desconfianza y castigo","Pertenencia y dignidad territorial")</f>
        <v>Desconfianza y castigo</v>
      </c>
      <c r="AH2" s="9" t="s">
        <v>607</v>
      </c>
      <c r="AI2" s="9"/>
      <c r="AJ2" s="9" t="str">
        <f t="shared" ref="AJ2:AJ65" si="1">IF(AI2&lt;&gt;"",AI2,AG2)</f>
        <v>Desconfianza y castigo</v>
      </c>
      <c r="AK2" s="9" t="str">
        <f>IFERROR(INDEX('[3]02_Arquetipos_Miedo_Sesgo'!$C$5:$C$9,MATCH(AJ2,'[3]02_Arquetipos_Miedo_Sesgo'!$A$5:$A$9,0)),"")</f>
        <v>Miedo a ser engañado, robado, manipulado o usado electoralmente.</v>
      </c>
      <c r="AL2" s="9" t="str">
        <f>IFERROR(INDEX('[3]02_Arquetipos_Miedo_Sesgo'!$D$5:$D$9,MATCH(AJ2,'[3]02_Arquetipos_Miedo_Sesgo'!$A$5:$A$9,0)),"")</f>
        <v>Sesgo de confirmación + cinismo político + efecto de indignación moral.</v>
      </c>
      <c r="AM2" s="9" t="str">
        <f>IFERROR(INDEX('[3]02_Arquetipos_Miedo_Sesgo'!$E$5:$E$9,MATCH(AJ2,'[3]02_Arquetipos_Miedo_Sesgo'!$A$5:$A$9,0)),"")</f>
        <v>Transparencia, control político, lucha anticorrupción, vigilancia ciudadana, ejecución presupuestal y sanción a abusos.</v>
      </c>
      <c r="AN2" s="9" t="str">
        <f t="shared" ref="AN2:AN65" si="2">IF(OR(X2="Extremo",X2="Alto",X2="Medio-Alto"),"Alta",IF(X2="Medio","Media",IF(X2="Bajo","Baja","Sin clasificar")))</f>
        <v>Alta</v>
      </c>
      <c r="AO2" s="9" t="s">
        <v>608</v>
      </c>
    </row>
    <row r="3" spans="1:41" ht="57.6">
      <c r="A3" s="9" t="s">
        <v>552</v>
      </c>
      <c r="B3" s="9" t="s">
        <v>312</v>
      </c>
      <c r="C3" s="9" t="s">
        <v>553</v>
      </c>
      <c r="D3" s="10">
        <v>1297</v>
      </c>
      <c r="E3" s="10">
        <v>1101</v>
      </c>
      <c r="F3" s="10">
        <v>999</v>
      </c>
      <c r="G3" s="9" t="s">
        <v>601</v>
      </c>
      <c r="H3" s="11">
        <v>0.56052428681572863</v>
      </c>
      <c r="I3" s="11">
        <v>0.31688511950655363</v>
      </c>
      <c r="J3" s="9" t="s">
        <v>602</v>
      </c>
      <c r="K3" s="11">
        <v>0.28519527702089009</v>
      </c>
      <c r="L3" s="11">
        <v>4.5413260672116262E-2</v>
      </c>
      <c r="M3" s="9" t="s">
        <v>609</v>
      </c>
      <c r="N3" s="11">
        <v>0.23623623623623621</v>
      </c>
      <c r="O3" s="11">
        <v>3.003003003003019E-3</v>
      </c>
      <c r="P3" s="12">
        <v>-0.41089999999999999</v>
      </c>
      <c r="Q3" s="9" t="s">
        <v>73</v>
      </c>
      <c r="R3" s="12">
        <v>-0.1671</v>
      </c>
      <c r="S3" s="9" t="s">
        <v>412</v>
      </c>
      <c r="T3" s="12">
        <v>-0.2089</v>
      </c>
      <c r="U3" s="12">
        <v>0.26229999999999998</v>
      </c>
      <c r="V3" s="9" t="s">
        <v>412</v>
      </c>
      <c r="W3" s="9" t="s">
        <v>604</v>
      </c>
      <c r="X3" s="9" t="s">
        <v>60</v>
      </c>
      <c r="Y3" s="9" t="s">
        <v>59</v>
      </c>
      <c r="Z3" s="9" t="s">
        <v>605</v>
      </c>
      <c r="AA3" s="9" t="s">
        <v>606</v>
      </c>
      <c r="AB3" s="11">
        <v>0.19482444247268779</v>
      </c>
      <c r="AC3" s="11">
        <v>0.23813976344578081</v>
      </c>
      <c r="AD3" s="11">
        <v>0.13066136711325541</v>
      </c>
      <c r="AE3" s="11">
        <v>0.2718879503887851</v>
      </c>
      <c r="AF3" s="11">
        <v>0.16448647657949081</v>
      </c>
      <c r="AG3" s="9" t="str">
        <f t="shared" si="0"/>
        <v>Desconfianza y castigo</v>
      </c>
      <c r="AH3" s="9" t="s">
        <v>607</v>
      </c>
      <c r="AI3" s="9"/>
      <c r="AJ3" s="9" t="str">
        <f t="shared" si="1"/>
        <v>Desconfianza y castigo</v>
      </c>
      <c r="AK3" s="9" t="str">
        <f>IFERROR(INDEX('[3]02_Arquetipos_Miedo_Sesgo'!$C$5:$C$9,MATCH(AJ3,'[3]02_Arquetipos_Miedo_Sesgo'!$A$5:$A$9,0)),"")</f>
        <v>Miedo a ser engañado, robado, manipulado o usado electoralmente.</v>
      </c>
      <c r="AL3" s="9" t="str">
        <f>IFERROR(INDEX('[3]02_Arquetipos_Miedo_Sesgo'!$D$5:$D$9,MATCH(AJ3,'[3]02_Arquetipos_Miedo_Sesgo'!$A$5:$A$9,0)),"")</f>
        <v>Sesgo de confirmación + cinismo político + efecto de indignación moral.</v>
      </c>
      <c r="AM3" s="9" t="str">
        <f>IFERROR(INDEX('[3]02_Arquetipos_Miedo_Sesgo'!$E$5:$E$9,MATCH(AJ3,'[3]02_Arquetipos_Miedo_Sesgo'!$A$5:$A$9,0)),"")</f>
        <v>Transparencia, control político, lucha anticorrupción, vigilancia ciudadana, ejecución presupuestal y sanción a abusos.</v>
      </c>
      <c r="AN3" s="9" t="str">
        <f t="shared" si="2"/>
        <v>Alta</v>
      </c>
      <c r="AO3" s="9" t="s">
        <v>608</v>
      </c>
    </row>
    <row r="4" spans="1:41" ht="43.2">
      <c r="A4" s="9" t="s">
        <v>315</v>
      </c>
      <c r="B4" s="9" t="s">
        <v>312</v>
      </c>
      <c r="C4" s="9" t="s">
        <v>312</v>
      </c>
      <c r="D4" s="10">
        <v>4515</v>
      </c>
      <c r="E4" s="10">
        <v>3604</v>
      </c>
      <c r="F4" s="10">
        <v>3293</v>
      </c>
      <c r="G4" s="9" t="s">
        <v>601</v>
      </c>
      <c r="H4" s="11">
        <v>0.68593576965669989</v>
      </c>
      <c r="I4" s="11">
        <v>0.49368770764119602</v>
      </c>
      <c r="J4" s="9" t="s">
        <v>602</v>
      </c>
      <c r="K4" s="11">
        <v>0.27192008879023299</v>
      </c>
      <c r="L4" s="11">
        <v>0.12042175360710319</v>
      </c>
      <c r="M4" s="9" t="s">
        <v>610</v>
      </c>
      <c r="N4" s="11">
        <v>0.32280595201943518</v>
      </c>
      <c r="O4" s="11">
        <v>6.4682660188278174E-2</v>
      </c>
      <c r="P4" s="12">
        <v>-0.41089999999999999</v>
      </c>
      <c r="Q4" s="9" t="s">
        <v>73</v>
      </c>
      <c r="R4" s="12">
        <v>8.48E-2</v>
      </c>
      <c r="S4" s="9" t="s">
        <v>412</v>
      </c>
      <c r="T4" s="12">
        <v>-0.19400000000000001</v>
      </c>
      <c r="U4" s="12">
        <v>0.22989999999999999</v>
      </c>
      <c r="V4" s="9" t="s">
        <v>412</v>
      </c>
      <c r="W4" s="9" t="s">
        <v>604</v>
      </c>
      <c r="X4" s="9" t="s">
        <v>60</v>
      </c>
      <c r="Y4" s="9" t="s">
        <v>59</v>
      </c>
      <c r="Z4" s="9" t="s">
        <v>605</v>
      </c>
      <c r="AA4" s="9" t="s">
        <v>611</v>
      </c>
      <c r="AB4" s="11">
        <v>0.2293081626224806</v>
      </c>
      <c r="AC4" s="11">
        <v>0.23628138376208471</v>
      </c>
      <c r="AD4" s="11">
        <v>0.12953784441508889</v>
      </c>
      <c r="AE4" s="11">
        <v>0.23034541379425</v>
      </c>
      <c r="AF4" s="11">
        <v>0.17452719540609579</v>
      </c>
      <c r="AG4" s="9" t="str">
        <f t="shared" si="0"/>
        <v>Estabilidad y continuidad</v>
      </c>
      <c r="AH4" s="9" t="s">
        <v>612</v>
      </c>
      <c r="AI4" s="9"/>
      <c r="AJ4" s="9" t="str">
        <f t="shared" si="1"/>
        <v>Estabilidad y continuidad</v>
      </c>
      <c r="AK4" s="9" t="str">
        <f>IFERROR(INDEX('[3]02_Arquetipos_Miedo_Sesgo'!$C$5:$C$9,MATCH(AJ4,'[3]02_Arquetipos_Miedo_Sesgo'!$A$5:$A$9,0)),"")</f>
        <v>Miedo a perder beneficios, subsidios, estabilidad institucional o condiciones de vida ya alcanzadas.</v>
      </c>
      <c r="AL4" s="9" t="str">
        <f>IFERROR(INDEX('[3]02_Arquetipos_Miedo_Sesgo'!$D$5:$D$9,MATCH(AJ4,'[3]02_Arquetipos_Miedo_Sesgo'!$A$5:$A$9,0)),"")</f>
        <v>Aversión a la pérdida + sesgo de statu quo + confirmación.</v>
      </c>
      <c r="AM4" s="9" t="str">
        <f>IFERROR(INDEX('[3]02_Arquetipos_Miedo_Sesgo'!$E$5:$E$9,MATCH(AJ4,'[3]02_Arquetipos_Miedo_Sesgo'!$A$5:$A$9,0)),"")</f>
        <v>Continuidad administrativa, servicios públicos, infraestructura, salud, educación y programas sociales.</v>
      </c>
      <c r="AN4" s="9" t="str">
        <f t="shared" si="2"/>
        <v>Alta</v>
      </c>
      <c r="AO4" s="9" t="s">
        <v>608</v>
      </c>
    </row>
    <row r="5" spans="1:41" ht="57.6">
      <c r="A5" s="9" t="s">
        <v>316</v>
      </c>
      <c r="B5" s="9" t="s">
        <v>312</v>
      </c>
      <c r="C5" s="9" t="s">
        <v>317</v>
      </c>
      <c r="D5" s="10">
        <v>4096</v>
      </c>
      <c r="E5" s="10">
        <v>3319</v>
      </c>
      <c r="F5" s="10">
        <v>3107</v>
      </c>
      <c r="G5" s="9" t="s">
        <v>601</v>
      </c>
      <c r="H5" s="11">
        <v>0.670654296875</v>
      </c>
      <c r="I5" s="11">
        <v>0.484375</v>
      </c>
      <c r="J5" s="9" t="s">
        <v>602</v>
      </c>
      <c r="K5" s="11">
        <v>0.2729737872853269</v>
      </c>
      <c r="L5" s="11">
        <v>1.8077734257306299E-3</v>
      </c>
      <c r="M5" s="9" t="s">
        <v>610</v>
      </c>
      <c r="N5" s="11">
        <v>0.33569359510782099</v>
      </c>
      <c r="O5" s="11">
        <v>0.1168329578371419</v>
      </c>
      <c r="P5" s="12">
        <v>-0.41089999999999999</v>
      </c>
      <c r="Q5" s="9" t="s">
        <v>73</v>
      </c>
      <c r="R5" s="12">
        <v>8.48E-2</v>
      </c>
      <c r="S5" s="9" t="s">
        <v>412</v>
      </c>
      <c r="T5" s="12">
        <v>-0.19400000000000001</v>
      </c>
      <c r="U5" s="12">
        <v>0.22989999999999999</v>
      </c>
      <c r="V5" s="9" t="s">
        <v>412</v>
      </c>
      <c r="W5" s="9" t="s">
        <v>604</v>
      </c>
      <c r="X5" s="9" t="s">
        <v>60</v>
      </c>
      <c r="Y5" s="9" t="s">
        <v>59</v>
      </c>
      <c r="Z5" s="9" t="s">
        <v>605</v>
      </c>
      <c r="AA5" s="9" t="s">
        <v>606</v>
      </c>
      <c r="AB5" s="11">
        <v>0.22994495929179989</v>
      </c>
      <c r="AC5" s="11">
        <v>0.2199114904839975</v>
      </c>
      <c r="AD5" s="11">
        <v>0.14407142344581481</v>
      </c>
      <c r="AE5" s="11">
        <v>0.24072035211195669</v>
      </c>
      <c r="AF5" s="11">
        <v>0.16535177466643119</v>
      </c>
      <c r="AG5" s="9" t="str">
        <f t="shared" si="0"/>
        <v>Desconfianza y castigo</v>
      </c>
      <c r="AH5" s="9" t="s">
        <v>607</v>
      </c>
      <c r="AI5" s="9"/>
      <c r="AJ5" s="9" t="str">
        <f t="shared" si="1"/>
        <v>Desconfianza y castigo</v>
      </c>
      <c r="AK5" s="9" t="str">
        <f>IFERROR(INDEX('[3]02_Arquetipos_Miedo_Sesgo'!$C$5:$C$9,MATCH(AJ5,'[3]02_Arquetipos_Miedo_Sesgo'!$A$5:$A$9,0)),"")</f>
        <v>Miedo a ser engañado, robado, manipulado o usado electoralmente.</v>
      </c>
      <c r="AL5" s="9" t="str">
        <f>IFERROR(INDEX('[3]02_Arquetipos_Miedo_Sesgo'!$D$5:$D$9,MATCH(AJ5,'[3]02_Arquetipos_Miedo_Sesgo'!$A$5:$A$9,0)),"")</f>
        <v>Sesgo de confirmación + cinismo político + efecto de indignación moral.</v>
      </c>
      <c r="AM5" s="9" t="str">
        <f>IFERROR(INDEX('[3]02_Arquetipos_Miedo_Sesgo'!$E$5:$E$9,MATCH(AJ5,'[3]02_Arquetipos_Miedo_Sesgo'!$A$5:$A$9,0)),"")</f>
        <v>Transparencia, control político, lucha anticorrupción, vigilancia ciudadana, ejecución presupuestal y sanción a abusos.</v>
      </c>
      <c r="AN5" s="9" t="str">
        <f t="shared" si="2"/>
        <v>Alta</v>
      </c>
      <c r="AO5" s="9" t="s">
        <v>608</v>
      </c>
    </row>
    <row r="6" spans="1:41" ht="43.2">
      <c r="A6" s="9" t="s">
        <v>318</v>
      </c>
      <c r="B6" s="9" t="s">
        <v>312</v>
      </c>
      <c r="C6" s="9" t="s">
        <v>319</v>
      </c>
      <c r="D6" s="10">
        <v>5858</v>
      </c>
      <c r="E6" s="10">
        <v>5022</v>
      </c>
      <c r="F6" s="10">
        <v>4347</v>
      </c>
      <c r="G6" s="9" t="s">
        <v>601</v>
      </c>
      <c r="H6" s="11">
        <v>0.76391259815636736</v>
      </c>
      <c r="I6" s="11">
        <v>0.65722089450324339</v>
      </c>
      <c r="J6" s="9" t="s">
        <v>613</v>
      </c>
      <c r="K6" s="11">
        <v>0.30704898446833928</v>
      </c>
      <c r="L6" s="11">
        <v>6.949422540820388E-2</v>
      </c>
      <c r="M6" s="9" t="s">
        <v>603</v>
      </c>
      <c r="N6" s="11">
        <v>0.28548424200598121</v>
      </c>
      <c r="O6" s="11">
        <v>8.8796871405567079E-2</v>
      </c>
      <c r="P6" s="12">
        <v>-0.30580000000000002</v>
      </c>
      <c r="Q6" s="9" t="s">
        <v>73</v>
      </c>
      <c r="R6" s="12">
        <v>0.45390000000000003</v>
      </c>
      <c r="S6" s="9" t="s">
        <v>75</v>
      </c>
      <c r="T6" s="12">
        <v>-0.35630000000000001</v>
      </c>
      <c r="U6" s="12">
        <v>0.372</v>
      </c>
      <c r="V6" s="9" t="s">
        <v>73</v>
      </c>
      <c r="W6" s="9" t="s">
        <v>604</v>
      </c>
      <c r="X6" s="9" t="s">
        <v>60</v>
      </c>
      <c r="Y6" s="9" t="s">
        <v>59</v>
      </c>
      <c r="Z6" s="9" t="s">
        <v>605</v>
      </c>
      <c r="AA6" s="9" t="s">
        <v>614</v>
      </c>
      <c r="AB6" s="11">
        <v>0.26855451973777927</v>
      </c>
      <c r="AC6" s="11">
        <v>0.19079353145217351</v>
      </c>
      <c r="AD6" s="11">
        <v>0.15320567087210121</v>
      </c>
      <c r="AE6" s="11">
        <v>0.22746417686154291</v>
      </c>
      <c r="AF6" s="11">
        <v>0.1599821010764029</v>
      </c>
      <c r="AG6" s="9" t="str">
        <f t="shared" si="0"/>
        <v>Protección y orden cotidiano</v>
      </c>
      <c r="AH6" s="9" t="s">
        <v>615</v>
      </c>
      <c r="AI6" s="9"/>
      <c r="AJ6" s="9" t="str">
        <f t="shared" si="1"/>
        <v>Protección y orden cotidiano</v>
      </c>
      <c r="AK6" s="9" t="str">
        <f>IFERROR(INDEX('[3]02_Arquetipos_Miedo_Sesgo'!$C$5:$C$9,MATCH(AJ6,'[3]02_Arquetipos_Miedo_Sesgo'!$A$5:$A$9,0)),"")</f>
        <v>Miedo a la inseguridad, al descontrol barrial y a perder la tranquilidad cotidiana.</v>
      </c>
      <c r="AL6" s="9" t="str">
        <f>IFERROR(INDEX('[3]02_Arquetipos_Miedo_Sesgo'!$D$5:$D$9,MATCH(AJ6,'[3]02_Arquetipos_Miedo_Sesgo'!$A$5:$A$9,0)),"")</f>
        <v>Sesgo de disponibilidad + sesgo de negatividad + preferencia por autoridad.</v>
      </c>
      <c r="AM6" s="9" t="str">
        <f>IFERROR(INDEX('[3]02_Arquetipos_Miedo_Sesgo'!$E$5:$E$9,MATCH(AJ6,'[3]02_Arquetipos_Miedo_Sesgo'!$A$5:$A$9,0)),"")</f>
        <v>Seguridad, convivencia, movilidad, alumbrado, reacción institucional rápida, presencia de autoridad.</v>
      </c>
      <c r="AN6" s="9" t="str">
        <f t="shared" si="2"/>
        <v>Alta</v>
      </c>
      <c r="AO6" s="9" t="s">
        <v>608</v>
      </c>
    </row>
    <row r="7" spans="1:41" ht="43.2">
      <c r="A7" s="9" t="s">
        <v>320</v>
      </c>
      <c r="B7" s="9" t="s">
        <v>312</v>
      </c>
      <c r="C7" s="9" t="s">
        <v>321</v>
      </c>
      <c r="D7" s="10">
        <v>3655</v>
      </c>
      <c r="E7" s="10">
        <v>2986</v>
      </c>
      <c r="F7" s="10">
        <v>2787</v>
      </c>
      <c r="G7" s="9" t="s">
        <v>601</v>
      </c>
      <c r="H7" s="11">
        <v>0.73844049247606014</v>
      </c>
      <c r="I7" s="11">
        <v>0.62626538987688096</v>
      </c>
      <c r="J7" s="9" t="s">
        <v>602</v>
      </c>
      <c r="K7" s="11">
        <v>0.29504353650368392</v>
      </c>
      <c r="L7" s="11">
        <v>6.8988613529805759E-2</v>
      </c>
      <c r="M7" s="9" t="s">
        <v>610</v>
      </c>
      <c r="N7" s="11">
        <v>0.32651596698959462</v>
      </c>
      <c r="O7" s="11">
        <v>7.7502691065662016E-2</v>
      </c>
      <c r="P7" s="12">
        <v>-0.41089999999999999</v>
      </c>
      <c r="Q7" s="9" t="s">
        <v>73</v>
      </c>
      <c r="R7" s="12">
        <v>8.48E-2</v>
      </c>
      <c r="S7" s="9" t="s">
        <v>412</v>
      </c>
      <c r="T7" s="12">
        <v>-0.19400000000000001</v>
      </c>
      <c r="U7" s="12">
        <v>0.22989999999999999</v>
      </c>
      <c r="V7" s="9" t="s">
        <v>412</v>
      </c>
      <c r="W7" s="9" t="s">
        <v>604</v>
      </c>
      <c r="X7" s="9" t="s">
        <v>60</v>
      </c>
      <c r="Y7" s="9" t="s">
        <v>59</v>
      </c>
      <c r="Z7" s="9" t="s">
        <v>605</v>
      </c>
      <c r="AA7" s="9" t="s">
        <v>614</v>
      </c>
      <c r="AB7" s="11">
        <v>0.25408606197261208</v>
      </c>
      <c r="AC7" s="11">
        <v>0.20543564552030691</v>
      </c>
      <c r="AD7" s="11">
        <v>0.13420443369841389</v>
      </c>
      <c r="AE7" s="11">
        <v>0.24453985127877231</v>
      </c>
      <c r="AF7" s="11">
        <v>0.16173400752989461</v>
      </c>
      <c r="AG7" s="9" t="str">
        <f t="shared" si="0"/>
        <v>Protección y orden cotidiano</v>
      </c>
      <c r="AH7" s="9" t="s">
        <v>615</v>
      </c>
      <c r="AI7" s="9"/>
      <c r="AJ7" s="9" t="str">
        <f t="shared" si="1"/>
        <v>Protección y orden cotidiano</v>
      </c>
      <c r="AK7" s="9" t="str">
        <f>IFERROR(INDEX('[3]02_Arquetipos_Miedo_Sesgo'!$C$5:$C$9,MATCH(AJ7,'[3]02_Arquetipos_Miedo_Sesgo'!$A$5:$A$9,0)),"")</f>
        <v>Miedo a la inseguridad, al descontrol barrial y a perder la tranquilidad cotidiana.</v>
      </c>
      <c r="AL7" s="9" t="str">
        <f>IFERROR(INDEX('[3]02_Arquetipos_Miedo_Sesgo'!$D$5:$D$9,MATCH(AJ7,'[3]02_Arquetipos_Miedo_Sesgo'!$A$5:$A$9,0)),"")</f>
        <v>Sesgo de disponibilidad + sesgo de negatividad + preferencia por autoridad.</v>
      </c>
      <c r="AM7" s="9" t="str">
        <f>IFERROR(INDEX('[3]02_Arquetipos_Miedo_Sesgo'!$E$5:$E$9,MATCH(AJ7,'[3]02_Arquetipos_Miedo_Sesgo'!$A$5:$A$9,0)),"")</f>
        <v>Seguridad, convivencia, movilidad, alumbrado, reacción institucional rápida, presencia de autoridad.</v>
      </c>
      <c r="AN7" s="9" t="str">
        <f t="shared" si="2"/>
        <v>Alta</v>
      </c>
      <c r="AO7" s="9" t="s">
        <v>608</v>
      </c>
    </row>
    <row r="8" spans="1:41" ht="57.6">
      <c r="A8" s="9" t="s">
        <v>322</v>
      </c>
      <c r="B8" s="9" t="s">
        <v>312</v>
      </c>
      <c r="C8" s="9" t="s">
        <v>323</v>
      </c>
      <c r="D8" s="10">
        <v>2977</v>
      </c>
      <c r="E8" s="10">
        <v>2256</v>
      </c>
      <c r="F8" s="10">
        <v>2076</v>
      </c>
      <c r="G8" s="9" t="s">
        <v>601</v>
      </c>
      <c r="H8" s="11">
        <v>0.68962042324487738</v>
      </c>
      <c r="I8" s="11">
        <v>0.51091703056768556</v>
      </c>
      <c r="J8" s="9" t="s">
        <v>602</v>
      </c>
      <c r="K8" s="11">
        <v>0.33333333333333331</v>
      </c>
      <c r="L8" s="11">
        <v>0.13696808510638289</v>
      </c>
      <c r="M8" s="9" t="s">
        <v>603</v>
      </c>
      <c r="N8" s="11">
        <v>0.30443159922928709</v>
      </c>
      <c r="O8" s="11">
        <v>0.1146435452793834</v>
      </c>
      <c r="P8" s="12">
        <v>-0.41089999999999999</v>
      </c>
      <c r="Q8" s="9" t="s">
        <v>73</v>
      </c>
      <c r="R8" s="12">
        <v>0.45390000000000003</v>
      </c>
      <c r="S8" s="9" t="s">
        <v>75</v>
      </c>
      <c r="T8" s="12">
        <v>3.5099999999999999E-2</v>
      </c>
      <c r="U8" s="12">
        <v>0.3</v>
      </c>
      <c r="V8" s="9" t="s">
        <v>412</v>
      </c>
      <c r="W8" s="9" t="s">
        <v>604</v>
      </c>
      <c r="X8" s="9" t="s">
        <v>60</v>
      </c>
      <c r="Y8" s="9" t="s">
        <v>59</v>
      </c>
      <c r="Z8" s="9" t="s">
        <v>605</v>
      </c>
      <c r="AA8" s="9" t="s">
        <v>606</v>
      </c>
      <c r="AB8" s="11">
        <v>0.2339349721813804</v>
      </c>
      <c r="AC8" s="11">
        <v>0.20001590483080661</v>
      </c>
      <c r="AD8" s="11">
        <v>0.14625908165862789</v>
      </c>
      <c r="AE8" s="11">
        <v>0.27668547599378041</v>
      </c>
      <c r="AF8" s="11">
        <v>0.14310456533540469</v>
      </c>
      <c r="AG8" s="9" t="str">
        <f t="shared" si="0"/>
        <v>Desconfianza y castigo</v>
      </c>
      <c r="AH8" s="9" t="s">
        <v>607</v>
      </c>
      <c r="AI8" s="9"/>
      <c r="AJ8" s="9" t="str">
        <f t="shared" si="1"/>
        <v>Desconfianza y castigo</v>
      </c>
      <c r="AK8" s="9" t="str">
        <f>IFERROR(INDEX('[3]02_Arquetipos_Miedo_Sesgo'!$C$5:$C$9,MATCH(AJ8,'[3]02_Arquetipos_Miedo_Sesgo'!$A$5:$A$9,0)),"")</f>
        <v>Miedo a ser engañado, robado, manipulado o usado electoralmente.</v>
      </c>
      <c r="AL8" s="9" t="str">
        <f>IFERROR(INDEX('[3]02_Arquetipos_Miedo_Sesgo'!$D$5:$D$9,MATCH(AJ8,'[3]02_Arquetipos_Miedo_Sesgo'!$A$5:$A$9,0)),"")</f>
        <v>Sesgo de confirmación + cinismo político + efecto de indignación moral.</v>
      </c>
      <c r="AM8" s="9" t="str">
        <f>IFERROR(INDEX('[3]02_Arquetipos_Miedo_Sesgo'!$E$5:$E$9,MATCH(AJ8,'[3]02_Arquetipos_Miedo_Sesgo'!$A$5:$A$9,0)),"")</f>
        <v>Transparencia, control político, lucha anticorrupción, vigilancia ciudadana, ejecución presupuestal y sanción a abusos.</v>
      </c>
      <c r="AN8" s="9" t="str">
        <f t="shared" si="2"/>
        <v>Alta</v>
      </c>
      <c r="AO8" s="9" t="s">
        <v>608</v>
      </c>
    </row>
    <row r="9" spans="1:41" ht="43.2">
      <c r="A9" s="9" t="s">
        <v>548</v>
      </c>
      <c r="B9" s="9" t="s">
        <v>312</v>
      </c>
      <c r="C9" s="9" t="s">
        <v>549</v>
      </c>
      <c r="D9" s="10">
        <v>491</v>
      </c>
      <c r="E9" s="10">
        <v>503</v>
      </c>
      <c r="F9" s="10">
        <v>462</v>
      </c>
      <c r="G9" s="9" t="s">
        <v>601</v>
      </c>
      <c r="H9" s="11">
        <v>0.68431771894093685</v>
      </c>
      <c r="I9" s="11">
        <v>0.4806517311608961</v>
      </c>
      <c r="J9" s="9" t="s">
        <v>613</v>
      </c>
      <c r="K9" s="11">
        <v>0.57852882703777331</v>
      </c>
      <c r="L9" s="11">
        <v>0.41153081510934392</v>
      </c>
      <c r="M9" s="9" t="s">
        <v>609</v>
      </c>
      <c r="N9" s="11">
        <v>0.58874458874458879</v>
      </c>
      <c r="O9" s="11">
        <v>0.45670995670995668</v>
      </c>
      <c r="P9" s="12">
        <v>-0.30580000000000002</v>
      </c>
      <c r="Q9" s="9" t="s">
        <v>73</v>
      </c>
      <c r="R9" s="12">
        <v>-0.1671</v>
      </c>
      <c r="S9" s="9" t="s">
        <v>412</v>
      </c>
      <c r="T9" s="12">
        <v>0.4844</v>
      </c>
      <c r="U9" s="12">
        <v>0.31909999999999999</v>
      </c>
      <c r="V9" s="9" t="s">
        <v>73</v>
      </c>
      <c r="W9" s="9" t="s">
        <v>604</v>
      </c>
      <c r="X9" s="9" t="s">
        <v>60</v>
      </c>
      <c r="Y9" s="9" t="s">
        <v>59</v>
      </c>
      <c r="Z9" s="9" t="s">
        <v>605</v>
      </c>
      <c r="AA9" s="9" t="s">
        <v>614</v>
      </c>
      <c r="AB9" s="11">
        <v>0.25391029810539839</v>
      </c>
      <c r="AC9" s="11">
        <v>0.18068420471141519</v>
      </c>
      <c r="AD9" s="11">
        <v>0.21608152197923999</v>
      </c>
      <c r="AE9" s="11">
        <v>0.23062895257963389</v>
      </c>
      <c r="AF9" s="11">
        <v>0.1186950226243125</v>
      </c>
      <c r="AG9" s="9" t="str">
        <f t="shared" si="0"/>
        <v>Protección y orden cotidiano</v>
      </c>
      <c r="AH9" s="9" t="s">
        <v>615</v>
      </c>
      <c r="AI9" s="9"/>
      <c r="AJ9" s="9" t="str">
        <f t="shared" si="1"/>
        <v>Protección y orden cotidiano</v>
      </c>
      <c r="AK9" s="9" t="str">
        <f>IFERROR(INDEX('[3]02_Arquetipos_Miedo_Sesgo'!$C$5:$C$9,MATCH(AJ9,'[3]02_Arquetipos_Miedo_Sesgo'!$A$5:$A$9,0)),"")</f>
        <v>Miedo a la inseguridad, al descontrol barrial y a perder la tranquilidad cotidiana.</v>
      </c>
      <c r="AL9" s="9" t="str">
        <f>IFERROR(INDEX('[3]02_Arquetipos_Miedo_Sesgo'!$D$5:$D$9,MATCH(AJ9,'[3]02_Arquetipos_Miedo_Sesgo'!$A$5:$A$9,0)),"")</f>
        <v>Sesgo de disponibilidad + sesgo de negatividad + preferencia por autoridad.</v>
      </c>
      <c r="AM9" s="9" t="str">
        <f>IFERROR(INDEX('[3]02_Arquetipos_Miedo_Sesgo'!$E$5:$E$9,MATCH(AJ9,'[3]02_Arquetipos_Miedo_Sesgo'!$A$5:$A$9,0)),"")</f>
        <v>Seguridad, convivencia, movilidad, alumbrado, reacción institucional rápida, presencia de autoridad.</v>
      </c>
      <c r="AN9" s="9" t="str">
        <f t="shared" si="2"/>
        <v>Alta</v>
      </c>
      <c r="AO9" s="9" t="s">
        <v>608</v>
      </c>
    </row>
    <row r="10" spans="1:41" ht="57.6">
      <c r="A10" s="9" t="s">
        <v>545</v>
      </c>
      <c r="B10" s="9" t="s">
        <v>312</v>
      </c>
      <c r="C10" s="9" t="s">
        <v>546</v>
      </c>
      <c r="D10" s="10">
        <v>549</v>
      </c>
      <c r="E10" s="10">
        <v>417</v>
      </c>
      <c r="F10" s="10">
        <v>407</v>
      </c>
      <c r="G10" s="9" t="s">
        <v>601</v>
      </c>
      <c r="H10" s="11">
        <v>0.59198542805100185</v>
      </c>
      <c r="I10" s="11">
        <v>0.38251366120218577</v>
      </c>
      <c r="J10" s="9" t="s">
        <v>602</v>
      </c>
      <c r="K10" s="11">
        <v>0.33812949640287771</v>
      </c>
      <c r="L10" s="11">
        <v>8.3932853717026412E-2</v>
      </c>
      <c r="M10" s="9" t="s">
        <v>603</v>
      </c>
      <c r="N10" s="11">
        <v>0.33660933660933662</v>
      </c>
      <c r="O10" s="11">
        <v>8.3538083538083563E-2</v>
      </c>
      <c r="P10" s="12">
        <v>-0.41089999999999999</v>
      </c>
      <c r="Q10" s="9" t="s">
        <v>73</v>
      </c>
      <c r="R10" s="12">
        <v>0.45390000000000003</v>
      </c>
      <c r="S10" s="9" t="s">
        <v>75</v>
      </c>
      <c r="T10" s="12">
        <v>3.5099999999999999E-2</v>
      </c>
      <c r="U10" s="12">
        <v>0.3</v>
      </c>
      <c r="V10" s="9" t="s">
        <v>412</v>
      </c>
      <c r="W10" s="9" t="s">
        <v>604</v>
      </c>
      <c r="X10" s="9" t="s">
        <v>60</v>
      </c>
      <c r="Y10" s="9" t="s">
        <v>59</v>
      </c>
      <c r="Z10" s="9" t="s">
        <v>605</v>
      </c>
      <c r="AA10" s="9" t="s">
        <v>606</v>
      </c>
      <c r="AB10" s="11">
        <v>0.19358010525309671</v>
      </c>
      <c r="AC10" s="11">
        <v>0.19928559374703789</v>
      </c>
      <c r="AD10" s="11">
        <v>0.13888370438231129</v>
      </c>
      <c r="AE10" s="11">
        <v>0.31802011247298478</v>
      </c>
      <c r="AF10" s="11">
        <v>0.15023048414456941</v>
      </c>
      <c r="AG10" s="9" t="str">
        <f t="shared" si="0"/>
        <v>Desconfianza y castigo</v>
      </c>
      <c r="AH10" s="9" t="s">
        <v>607</v>
      </c>
      <c r="AI10" s="9"/>
      <c r="AJ10" s="9" t="str">
        <f t="shared" si="1"/>
        <v>Desconfianza y castigo</v>
      </c>
      <c r="AK10" s="9" t="str">
        <f>IFERROR(INDEX('[3]02_Arquetipos_Miedo_Sesgo'!$C$5:$C$9,MATCH(AJ10,'[3]02_Arquetipos_Miedo_Sesgo'!$A$5:$A$9,0)),"")</f>
        <v>Miedo a ser engañado, robado, manipulado o usado electoralmente.</v>
      </c>
      <c r="AL10" s="9" t="str">
        <f>IFERROR(INDEX('[3]02_Arquetipos_Miedo_Sesgo'!$D$5:$D$9,MATCH(AJ10,'[3]02_Arquetipos_Miedo_Sesgo'!$A$5:$A$9,0)),"")</f>
        <v>Sesgo de confirmación + cinismo político + efecto de indignación moral.</v>
      </c>
      <c r="AM10" s="9" t="str">
        <f>IFERROR(INDEX('[3]02_Arquetipos_Miedo_Sesgo'!$E$5:$E$9,MATCH(AJ10,'[3]02_Arquetipos_Miedo_Sesgo'!$A$5:$A$9,0)),"")</f>
        <v>Transparencia, control político, lucha anticorrupción, vigilancia ciudadana, ejecución presupuestal y sanción a abusos.</v>
      </c>
      <c r="AN10" s="9" t="str">
        <f t="shared" si="2"/>
        <v>Alta</v>
      </c>
      <c r="AO10" s="9" t="s">
        <v>608</v>
      </c>
    </row>
    <row r="11" spans="1:41" ht="57.6">
      <c r="A11" s="9" t="s">
        <v>366</v>
      </c>
      <c r="B11" s="9" t="s">
        <v>367</v>
      </c>
      <c r="C11" s="9" t="s">
        <v>368</v>
      </c>
      <c r="D11" s="10">
        <v>6920</v>
      </c>
      <c r="E11" s="10">
        <v>5322</v>
      </c>
      <c r="F11" s="10">
        <v>4495</v>
      </c>
      <c r="G11" s="9" t="s">
        <v>601</v>
      </c>
      <c r="H11" s="11">
        <v>0.72615606936416188</v>
      </c>
      <c r="I11" s="11">
        <v>0.55520231213872839</v>
      </c>
      <c r="J11" s="9" t="s">
        <v>602</v>
      </c>
      <c r="K11" s="11">
        <v>0.3301390454716272</v>
      </c>
      <c r="L11" s="11">
        <v>0.2106350995866216</v>
      </c>
      <c r="M11" s="9" t="s">
        <v>603</v>
      </c>
      <c r="N11" s="11">
        <v>0.33681868743047833</v>
      </c>
      <c r="O11" s="11">
        <v>0.15928809788654061</v>
      </c>
      <c r="P11" s="12">
        <v>-0.41089999999999999</v>
      </c>
      <c r="Q11" s="9" t="s">
        <v>73</v>
      </c>
      <c r="R11" s="12">
        <v>0.45390000000000003</v>
      </c>
      <c r="S11" s="9" t="s">
        <v>75</v>
      </c>
      <c r="T11" s="12">
        <v>3.5099999999999999E-2</v>
      </c>
      <c r="U11" s="12">
        <v>0.3</v>
      </c>
      <c r="V11" s="9" t="s">
        <v>412</v>
      </c>
      <c r="W11" s="9" t="s">
        <v>604</v>
      </c>
      <c r="X11" s="9" t="s">
        <v>131</v>
      </c>
      <c r="Y11" s="9" t="s">
        <v>59</v>
      </c>
      <c r="Z11" s="9" t="s">
        <v>616</v>
      </c>
      <c r="AA11" s="9" t="s">
        <v>606</v>
      </c>
      <c r="AB11" s="11">
        <v>0.2350589048621812</v>
      </c>
      <c r="AC11" s="11">
        <v>0.2180560027860218</v>
      </c>
      <c r="AD11" s="11">
        <v>0.1422314430406228</v>
      </c>
      <c r="AE11" s="11">
        <v>0.25061938757968177</v>
      </c>
      <c r="AF11" s="11">
        <v>0.15403426173149229</v>
      </c>
      <c r="AG11" s="9" t="str">
        <f t="shared" si="0"/>
        <v>Desconfianza y castigo</v>
      </c>
      <c r="AH11" s="9" t="s">
        <v>607</v>
      </c>
      <c r="AI11" s="9"/>
      <c r="AJ11" s="9" t="str">
        <f t="shared" si="1"/>
        <v>Desconfianza y castigo</v>
      </c>
      <c r="AK11" s="9" t="str">
        <f>IFERROR(INDEX('[3]02_Arquetipos_Miedo_Sesgo'!$C$5:$C$9,MATCH(AJ11,'[3]02_Arquetipos_Miedo_Sesgo'!$A$5:$A$9,0)),"")</f>
        <v>Miedo a ser engañado, robado, manipulado o usado electoralmente.</v>
      </c>
      <c r="AL11" s="9" t="str">
        <f>IFERROR(INDEX('[3]02_Arquetipos_Miedo_Sesgo'!$D$5:$D$9,MATCH(AJ11,'[3]02_Arquetipos_Miedo_Sesgo'!$A$5:$A$9,0)),"")</f>
        <v>Sesgo de confirmación + cinismo político + efecto de indignación moral.</v>
      </c>
      <c r="AM11" s="9" t="str">
        <f>IFERROR(INDEX('[3]02_Arquetipos_Miedo_Sesgo'!$E$5:$E$9,MATCH(AJ11,'[3]02_Arquetipos_Miedo_Sesgo'!$A$5:$A$9,0)),"")</f>
        <v>Transparencia, control político, lucha anticorrupción, vigilancia ciudadana, ejecución presupuestal y sanción a abusos.</v>
      </c>
      <c r="AN11" s="9" t="str">
        <f t="shared" si="2"/>
        <v>Media</v>
      </c>
      <c r="AO11" s="9" t="s">
        <v>608</v>
      </c>
    </row>
    <row r="12" spans="1:41" ht="43.2">
      <c r="A12" s="9" t="s">
        <v>373</v>
      </c>
      <c r="B12" s="9" t="s">
        <v>367</v>
      </c>
      <c r="C12" s="9" t="s">
        <v>374</v>
      </c>
      <c r="D12" s="10">
        <v>5581</v>
      </c>
      <c r="E12" s="10">
        <v>4517</v>
      </c>
      <c r="F12" s="10">
        <v>3561</v>
      </c>
      <c r="G12" s="9" t="s">
        <v>601</v>
      </c>
      <c r="H12" s="11">
        <v>0.70220390611001615</v>
      </c>
      <c r="I12" s="11">
        <v>0.51388640028668697</v>
      </c>
      <c r="J12" s="9" t="s">
        <v>602</v>
      </c>
      <c r="K12" s="11">
        <v>0.29134381226477751</v>
      </c>
      <c r="L12" s="11">
        <v>0.19791897276953729</v>
      </c>
      <c r="M12" s="9" t="s">
        <v>603</v>
      </c>
      <c r="N12" s="11">
        <v>0.28755967424880652</v>
      </c>
      <c r="O12" s="11">
        <v>7.3013198539736035E-2</v>
      </c>
      <c r="P12" s="12">
        <v>-0.41089999999999999</v>
      </c>
      <c r="Q12" s="9" t="s">
        <v>73</v>
      </c>
      <c r="R12" s="12">
        <v>0.45390000000000003</v>
      </c>
      <c r="S12" s="9" t="s">
        <v>75</v>
      </c>
      <c r="T12" s="12">
        <v>3.5099999999999999E-2</v>
      </c>
      <c r="U12" s="12">
        <v>0.3</v>
      </c>
      <c r="V12" s="9" t="s">
        <v>412</v>
      </c>
      <c r="W12" s="9" t="s">
        <v>604</v>
      </c>
      <c r="X12" s="9" t="s">
        <v>131</v>
      </c>
      <c r="Y12" s="9" t="s">
        <v>59</v>
      </c>
      <c r="Z12" s="9" t="s">
        <v>616</v>
      </c>
      <c r="AA12" s="9" t="s">
        <v>614</v>
      </c>
      <c r="AB12" s="11">
        <v>0.24202634837077611</v>
      </c>
      <c r="AC12" s="11">
        <v>0.23133496547143639</v>
      </c>
      <c r="AD12" s="11">
        <v>0.1338183908421339</v>
      </c>
      <c r="AE12" s="11">
        <v>0.23352608307004699</v>
      </c>
      <c r="AF12" s="11">
        <v>0.1592942122456065</v>
      </c>
      <c r="AG12" s="9" t="str">
        <f t="shared" si="0"/>
        <v>Protección y orden cotidiano</v>
      </c>
      <c r="AH12" s="9" t="s">
        <v>615</v>
      </c>
      <c r="AI12" s="9"/>
      <c r="AJ12" s="9" t="str">
        <f t="shared" si="1"/>
        <v>Protección y orden cotidiano</v>
      </c>
      <c r="AK12" s="9" t="str">
        <f>IFERROR(INDEX('[3]02_Arquetipos_Miedo_Sesgo'!$C$5:$C$9,MATCH(AJ12,'[3]02_Arquetipos_Miedo_Sesgo'!$A$5:$A$9,0)),"")</f>
        <v>Miedo a la inseguridad, al descontrol barrial y a perder la tranquilidad cotidiana.</v>
      </c>
      <c r="AL12" s="9" t="str">
        <f>IFERROR(INDEX('[3]02_Arquetipos_Miedo_Sesgo'!$D$5:$D$9,MATCH(AJ12,'[3]02_Arquetipos_Miedo_Sesgo'!$A$5:$A$9,0)),"")</f>
        <v>Sesgo de disponibilidad + sesgo de negatividad + preferencia por autoridad.</v>
      </c>
      <c r="AM12" s="9" t="str">
        <f>IFERROR(INDEX('[3]02_Arquetipos_Miedo_Sesgo'!$E$5:$E$9,MATCH(AJ12,'[3]02_Arquetipos_Miedo_Sesgo'!$A$5:$A$9,0)),"")</f>
        <v>Seguridad, convivencia, movilidad, alumbrado, reacción institucional rápida, presencia de autoridad.</v>
      </c>
      <c r="AN12" s="9" t="str">
        <f t="shared" si="2"/>
        <v>Media</v>
      </c>
      <c r="AO12" s="9" t="s">
        <v>608</v>
      </c>
    </row>
    <row r="13" spans="1:41" ht="43.2">
      <c r="A13" s="9" t="s">
        <v>375</v>
      </c>
      <c r="B13" s="9" t="s">
        <v>367</v>
      </c>
      <c r="C13" s="9" t="s">
        <v>376</v>
      </c>
      <c r="D13" s="10">
        <v>3613</v>
      </c>
      <c r="E13" s="10">
        <v>2942</v>
      </c>
      <c r="F13" s="10">
        <v>2566</v>
      </c>
      <c r="G13" s="9" t="s">
        <v>601</v>
      </c>
      <c r="H13" s="11">
        <v>0.74453362856352057</v>
      </c>
      <c r="I13" s="11">
        <v>0.59147522834209787</v>
      </c>
      <c r="J13" s="9" t="s">
        <v>602</v>
      </c>
      <c r="K13" s="11">
        <v>0.23861318830727399</v>
      </c>
      <c r="L13" s="11">
        <v>0.1026512576478586</v>
      </c>
      <c r="M13" s="9" t="s">
        <v>610</v>
      </c>
      <c r="N13" s="11">
        <v>0.32969602494154332</v>
      </c>
      <c r="O13" s="11">
        <v>8.3398285268901029E-2</v>
      </c>
      <c r="P13" s="12">
        <v>-0.41089999999999999</v>
      </c>
      <c r="Q13" s="9" t="s">
        <v>73</v>
      </c>
      <c r="R13" s="12">
        <v>8.48E-2</v>
      </c>
      <c r="S13" s="9" t="s">
        <v>412</v>
      </c>
      <c r="T13" s="12">
        <v>-0.19400000000000001</v>
      </c>
      <c r="U13" s="12">
        <v>0.22989999999999999</v>
      </c>
      <c r="V13" s="9" t="s">
        <v>412</v>
      </c>
      <c r="W13" s="9" t="s">
        <v>604</v>
      </c>
      <c r="X13" s="9" t="s">
        <v>131</v>
      </c>
      <c r="Y13" s="9" t="s">
        <v>59</v>
      </c>
      <c r="Z13" s="9" t="s">
        <v>616</v>
      </c>
      <c r="AA13" s="9" t="s">
        <v>614</v>
      </c>
      <c r="AB13" s="11">
        <v>0.2448753832247807</v>
      </c>
      <c r="AC13" s="11">
        <v>0.22452366157641199</v>
      </c>
      <c r="AD13" s="11">
        <v>0.12688007575165511</v>
      </c>
      <c r="AE13" s="11">
        <v>0.23305741109548661</v>
      </c>
      <c r="AF13" s="11">
        <v>0.1706634683516656</v>
      </c>
      <c r="AG13" s="9" t="str">
        <f t="shared" si="0"/>
        <v>Protección y orden cotidiano</v>
      </c>
      <c r="AH13" s="9" t="s">
        <v>615</v>
      </c>
      <c r="AI13" s="9"/>
      <c r="AJ13" s="9" t="str">
        <f t="shared" si="1"/>
        <v>Protección y orden cotidiano</v>
      </c>
      <c r="AK13" s="9" t="str">
        <f>IFERROR(INDEX('[3]02_Arquetipos_Miedo_Sesgo'!$C$5:$C$9,MATCH(AJ13,'[3]02_Arquetipos_Miedo_Sesgo'!$A$5:$A$9,0)),"")</f>
        <v>Miedo a la inseguridad, al descontrol barrial y a perder la tranquilidad cotidiana.</v>
      </c>
      <c r="AL13" s="9" t="str">
        <f>IFERROR(INDEX('[3]02_Arquetipos_Miedo_Sesgo'!$D$5:$D$9,MATCH(AJ13,'[3]02_Arquetipos_Miedo_Sesgo'!$A$5:$A$9,0)),"")</f>
        <v>Sesgo de disponibilidad + sesgo de negatividad + preferencia por autoridad.</v>
      </c>
      <c r="AM13" s="9" t="str">
        <f>IFERROR(INDEX('[3]02_Arquetipos_Miedo_Sesgo'!$E$5:$E$9,MATCH(AJ13,'[3]02_Arquetipos_Miedo_Sesgo'!$A$5:$A$9,0)),"")</f>
        <v>Seguridad, convivencia, movilidad, alumbrado, reacción institucional rápida, presencia de autoridad.</v>
      </c>
      <c r="AN13" s="9" t="str">
        <f t="shared" si="2"/>
        <v>Media</v>
      </c>
      <c r="AO13" s="9" t="s">
        <v>608</v>
      </c>
    </row>
    <row r="14" spans="1:41" ht="43.2">
      <c r="A14" s="9" t="s">
        <v>377</v>
      </c>
      <c r="B14" s="9" t="s">
        <v>367</v>
      </c>
      <c r="C14" s="9" t="s">
        <v>378</v>
      </c>
      <c r="D14" s="10">
        <v>8369</v>
      </c>
      <c r="E14" s="10">
        <v>6769</v>
      </c>
      <c r="F14" s="10">
        <v>6165</v>
      </c>
      <c r="G14" s="9" t="s">
        <v>601</v>
      </c>
      <c r="H14" s="11">
        <v>0.7526586211016848</v>
      </c>
      <c r="I14" s="11">
        <v>0.60437328235153542</v>
      </c>
      <c r="J14" s="9" t="s">
        <v>602</v>
      </c>
      <c r="K14" s="11">
        <v>0.29118038114935729</v>
      </c>
      <c r="L14" s="11">
        <v>0.1793470231939725</v>
      </c>
      <c r="M14" s="9" t="s">
        <v>603</v>
      </c>
      <c r="N14" s="11">
        <v>0.27364152473641518</v>
      </c>
      <c r="O14" s="11">
        <v>0.113544201135442</v>
      </c>
      <c r="P14" s="12">
        <v>-0.41089999999999999</v>
      </c>
      <c r="Q14" s="9" t="s">
        <v>73</v>
      </c>
      <c r="R14" s="12">
        <v>0.45390000000000003</v>
      </c>
      <c r="S14" s="9" t="s">
        <v>75</v>
      </c>
      <c r="T14" s="12">
        <v>3.5099999999999999E-2</v>
      </c>
      <c r="U14" s="12">
        <v>0.3</v>
      </c>
      <c r="V14" s="9" t="s">
        <v>412</v>
      </c>
      <c r="W14" s="9" t="s">
        <v>604</v>
      </c>
      <c r="X14" s="9" t="s">
        <v>131</v>
      </c>
      <c r="Y14" s="9" t="s">
        <v>59</v>
      </c>
      <c r="Z14" s="9" t="s">
        <v>616</v>
      </c>
      <c r="AA14" s="9" t="s">
        <v>614</v>
      </c>
      <c r="AB14" s="11">
        <v>0.25329094535067559</v>
      </c>
      <c r="AC14" s="11">
        <v>0.20989714489446759</v>
      </c>
      <c r="AD14" s="11">
        <v>0.1478864705972758</v>
      </c>
      <c r="AE14" s="11">
        <v>0.22922188614348099</v>
      </c>
      <c r="AF14" s="11">
        <v>0.15970355301409991</v>
      </c>
      <c r="AG14" s="9" t="str">
        <f t="shared" si="0"/>
        <v>Protección y orden cotidiano</v>
      </c>
      <c r="AH14" s="9" t="s">
        <v>615</v>
      </c>
      <c r="AI14" s="9"/>
      <c r="AJ14" s="9" t="str">
        <f t="shared" si="1"/>
        <v>Protección y orden cotidiano</v>
      </c>
      <c r="AK14" s="9" t="str">
        <f>IFERROR(INDEX('[3]02_Arquetipos_Miedo_Sesgo'!$C$5:$C$9,MATCH(AJ14,'[3]02_Arquetipos_Miedo_Sesgo'!$A$5:$A$9,0)),"")</f>
        <v>Miedo a la inseguridad, al descontrol barrial y a perder la tranquilidad cotidiana.</v>
      </c>
      <c r="AL14" s="9" t="str">
        <f>IFERROR(INDEX('[3]02_Arquetipos_Miedo_Sesgo'!$D$5:$D$9,MATCH(AJ14,'[3]02_Arquetipos_Miedo_Sesgo'!$A$5:$A$9,0)),"")</f>
        <v>Sesgo de disponibilidad + sesgo de negatividad + preferencia por autoridad.</v>
      </c>
      <c r="AM14" s="9" t="str">
        <f>IFERROR(INDEX('[3]02_Arquetipos_Miedo_Sesgo'!$E$5:$E$9,MATCH(AJ14,'[3]02_Arquetipos_Miedo_Sesgo'!$A$5:$A$9,0)),"")</f>
        <v>Seguridad, convivencia, movilidad, alumbrado, reacción institucional rápida, presencia de autoridad.</v>
      </c>
      <c r="AN14" s="9" t="str">
        <f t="shared" si="2"/>
        <v>Media</v>
      </c>
      <c r="AO14" s="9" t="s">
        <v>608</v>
      </c>
    </row>
    <row r="15" spans="1:41" ht="43.2">
      <c r="A15" s="9" t="s">
        <v>379</v>
      </c>
      <c r="B15" s="9" t="s">
        <v>367</v>
      </c>
      <c r="C15" s="9" t="s">
        <v>380</v>
      </c>
      <c r="D15" s="10">
        <v>3965</v>
      </c>
      <c r="E15" s="10">
        <v>3194</v>
      </c>
      <c r="F15" s="10">
        <v>2770</v>
      </c>
      <c r="G15" s="9" t="s">
        <v>601</v>
      </c>
      <c r="H15" s="11">
        <v>0.74602774274905426</v>
      </c>
      <c r="I15" s="11">
        <v>0.58335435056746532</v>
      </c>
      <c r="J15" s="9" t="s">
        <v>602</v>
      </c>
      <c r="K15" s="11">
        <v>0.29461490294301818</v>
      </c>
      <c r="L15" s="11">
        <v>0.16718847839699441</v>
      </c>
      <c r="M15" s="9" t="s">
        <v>603</v>
      </c>
      <c r="N15" s="11">
        <v>0.30685920577617332</v>
      </c>
      <c r="O15" s="11">
        <v>0.11444043321299641</v>
      </c>
      <c r="P15" s="12">
        <v>-0.41089999999999999</v>
      </c>
      <c r="Q15" s="9" t="s">
        <v>73</v>
      </c>
      <c r="R15" s="12">
        <v>0.45390000000000003</v>
      </c>
      <c r="S15" s="9" t="s">
        <v>75</v>
      </c>
      <c r="T15" s="12">
        <v>3.5099999999999999E-2</v>
      </c>
      <c r="U15" s="12">
        <v>0.3</v>
      </c>
      <c r="V15" s="9" t="s">
        <v>412</v>
      </c>
      <c r="W15" s="9" t="s">
        <v>604</v>
      </c>
      <c r="X15" s="9" t="s">
        <v>131</v>
      </c>
      <c r="Y15" s="9" t="s">
        <v>59</v>
      </c>
      <c r="Z15" s="9" t="s">
        <v>616</v>
      </c>
      <c r="AA15" s="9" t="s">
        <v>614</v>
      </c>
      <c r="AB15" s="11">
        <v>0.24717795823549649</v>
      </c>
      <c r="AC15" s="11">
        <v>0.22365122903305329</v>
      </c>
      <c r="AD15" s="11">
        <v>0.14039178249021181</v>
      </c>
      <c r="AE15" s="11">
        <v>0.22351668842514191</v>
      </c>
      <c r="AF15" s="11">
        <v>0.1652623418160967</v>
      </c>
      <c r="AG15" s="9" t="str">
        <f t="shared" si="0"/>
        <v>Protección y orden cotidiano</v>
      </c>
      <c r="AH15" s="9" t="s">
        <v>615</v>
      </c>
      <c r="AI15" s="9"/>
      <c r="AJ15" s="9" t="str">
        <f t="shared" si="1"/>
        <v>Protección y orden cotidiano</v>
      </c>
      <c r="AK15" s="9" t="str">
        <f>IFERROR(INDEX('[3]02_Arquetipos_Miedo_Sesgo'!$C$5:$C$9,MATCH(AJ15,'[3]02_Arquetipos_Miedo_Sesgo'!$A$5:$A$9,0)),"")</f>
        <v>Miedo a la inseguridad, al descontrol barrial y a perder la tranquilidad cotidiana.</v>
      </c>
      <c r="AL15" s="9" t="str">
        <f>IFERROR(INDEX('[3]02_Arquetipos_Miedo_Sesgo'!$D$5:$D$9,MATCH(AJ15,'[3]02_Arquetipos_Miedo_Sesgo'!$A$5:$A$9,0)),"")</f>
        <v>Sesgo de disponibilidad + sesgo de negatividad + preferencia por autoridad.</v>
      </c>
      <c r="AM15" s="9" t="str">
        <f>IFERROR(INDEX('[3]02_Arquetipos_Miedo_Sesgo'!$E$5:$E$9,MATCH(AJ15,'[3]02_Arquetipos_Miedo_Sesgo'!$A$5:$A$9,0)),"")</f>
        <v>Seguridad, convivencia, movilidad, alumbrado, reacción institucional rápida, presencia de autoridad.</v>
      </c>
      <c r="AN15" s="9" t="str">
        <f t="shared" si="2"/>
        <v>Media</v>
      </c>
      <c r="AO15" s="9" t="s">
        <v>608</v>
      </c>
    </row>
    <row r="16" spans="1:41" ht="43.2">
      <c r="A16" s="9" t="s">
        <v>294</v>
      </c>
      <c r="B16" s="9" t="s">
        <v>295</v>
      </c>
      <c r="C16" s="9" t="s">
        <v>296</v>
      </c>
      <c r="D16" s="10">
        <v>6547</v>
      </c>
      <c r="E16" s="10">
        <v>5324</v>
      </c>
      <c r="F16" s="10">
        <v>4678</v>
      </c>
      <c r="G16" s="9" t="s">
        <v>601</v>
      </c>
      <c r="H16" s="11">
        <v>0.7553077745532305</v>
      </c>
      <c r="I16" s="11">
        <v>0.62303345043531388</v>
      </c>
      <c r="J16" s="9" t="s">
        <v>602</v>
      </c>
      <c r="K16" s="11">
        <v>0.26765589782118709</v>
      </c>
      <c r="L16" s="11">
        <v>0.1194590533433509</v>
      </c>
      <c r="M16" s="9" t="s">
        <v>603</v>
      </c>
      <c r="N16" s="11">
        <v>0.3056861906797777</v>
      </c>
      <c r="O16" s="11">
        <v>0.1030354852501069</v>
      </c>
      <c r="P16" s="12">
        <v>-0.41089999999999999</v>
      </c>
      <c r="Q16" s="9" t="s">
        <v>73</v>
      </c>
      <c r="R16" s="12">
        <v>0.45390000000000003</v>
      </c>
      <c r="S16" s="9" t="s">
        <v>75</v>
      </c>
      <c r="T16" s="12">
        <v>3.5099999999999999E-2</v>
      </c>
      <c r="U16" s="12">
        <v>0.3</v>
      </c>
      <c r="V16" s="9" t="s">
        <v>412</v>
      </c>
      <c r="W16" s="9" t="s">
        <v>604</v>
      </c>
      <c r="X16" s="9" t="s">
        <v>60</v>
      </c>
      <c r="Y16" s="9" t="s">
        <v>59</v>
      </c>
      <c r="Z16" s="9" t="s">
        <v>617</v>
      </c>
      <c r="AA16" s="9" t="s">
        <v>614</v>
      </c>
      <c r="AB16" s="11">
        <v>0.26740311006040057</v>
      </c>
      <c r="AC16" s="11">
        <v>0.2147247943894815</v>
      </c>
      <c r="AD16" s="11">
        <v>0.14842779770520759</v>
      </c>
      <c r="AE16" s="11">
        <v>0.2013923950982538</v>
      </c>
      <c r="AF16" s="11">
        <v>0.1680519027466563</v>
      </c>
      <c r="AG16" s="9" t="str">
        <f t="shared" si="0"/>
        <v>Protección y orden cotidiano</v>
      </c>
      <c r="AH16" s="9" t="s">
        <v>615</v>
      </c>
      <c r="AI16" s="9"/>
      <c r="AJ16" s="9" t="str">
        <f t="shared" si="1"/>
        <v>Protección y orden cotidiano</v>
      </c>
      <c r="AK16" s="9" t="str">
        <f>IFERROR(INDEX('[3]02_Arquetipos_Miedo_Sesgo'!$C$5:$C$9,MATCH(AJ16,'[3]02_Arquetipos_Miedo_Sesgo'!$A$5:$A$9,0)),"")</f>
        <v>Miedo a la inseguridad, al descontrol barrial y a perder la tranquilidad cotidiana.</v>
      </c>
      <c r="AL16" s="9" t="str">
        <f>IFERROR(INDEX('[3]02_Arquetipos_Miedo_Sesgo'!$D$5:$D$9,MATCH(AJ16,'[3]02_Arquetipos_Miedo_Sesgo'!$A$5:$A$9,0)),"")</f>
        <v>Sesgo de disponibilidad + sesgo de negatividad + preferencia por autoridad.</v>
      </c>
      <c r="AM16" s="9" t="str">
        <f>IFERROR(INDEX('[3]02_Arquetipos_Miedo_Sesgo'!$E$5:$E$9,MATCH(AJ16,'[3]02_Arquetipos_Miedo_Sesgo'!$A$5:$A$9,0)),"")</f>
        <v>Seguridad, convivencia, movilidad, alumbrado, reacción institucional rápida, presencia de autoridad.</v>
      </c>
      <c r="AN16" s="9" t="str">
        <f t="shared" si="2"/>
        <v>Alta</v>
      </c>
      <c r="AO16" s="9" t="s">
        <v>608</v>
      </c>
    </row>
    <row r="17" spans="1:41" ht="43.2">
      <c r="A17" s="9" t="s">
        <v>299</v>
      </c>
      <c r="B17" s="9" t="s">
        <v>295</v>
      </c>
      <c r="C17" s="9" t="s">
        <v>300</v>
      </c>
      <c r="D17" s="10">
        <v>6907</v>
      </c>
      <c r="E17" s="10">
        <v>5376</v>
      </c>
      <c r="F17" s="10">
        <v>4867</v>
      </c>
      <c r="G17" s="9" t="s">
        <v>601</v>
      </c>
      <c r="H17" s="11">
        <v>0.75112205009410737</v>
      </c>
      <c r="I17" s="11">
        <v>0.61647603880121604</v>
      </c>
      <c r="J17" s="9" t="s">
        <v>602</v>
      </c>
      <c r="K17" s="11">
        <v>0.29892113095238088</v>
      </c>
      <c r="L17" s="11">
        <v>0.13151041666666671</v>
      </c>
      <c r="M17" s="9" t="s">
        <v>603</v>
      </c>
      <c r="N17" s="11">
        <v>0.29545921512225187</v>
      </c>
      <c r="O17" s="11">
        <v>5.1160879391822511E-2</v>
      </c>
      <c r="P17" s="12">
        <v>-0.41089999999999999</v>
      </c>
      <c r="Q17" s="9" t="s">
        <v>73</v>
      </c>
      <c r="R17" s="12">
        <v>0.45390000000000003</v>
      </c>
      <c r="S17" s="9" t="s">
        <v>75</v>
      </c>
      <c r="T17" s="12">
        <v>3.5099999999999999E-2</v>
      </c>
      <c r="U17" s="12">
        <v>0.3</v>
      </c>
      <c r="V17" s="9" t="s">
        <v>412</v>
      </c>
      <c r="W17" s="9" t="s">
        <v>604</v>
      </c>
      <c r="X17" s="9" t="s">
        <v>60</v>
      </c>
      <c r="Y17" s="9" t="s">
        <v>59</v>
      </c>
      <c r="Z17" s="9" t="s">
        <v>617</v>
      </c>
      <c r="AA17" s="9" t="s">
        <v>614</v>
      </c>
      <c r="AB17" s="11">
        <v>0.25655825446570441</v>
      </c>
      <c r="AC17" s="11">
        <v>0.20380983205388159</v>
      </c>
      <c r="AD17" s="11">
        <v>0.13326382401979761</v>
      </c>
      <c r="AE17" s="11">
        <v>0.24919875930201121</v>
      </c>
      <c r="AF17" s="11">
        <v>0.15716933015860529</v>
      </c>
      <c r="AG17" s="9" t="str">
        <f t="shared" si="0"/>
        <v>Protección y orden cotidiano</v>
      </c>
      <c r="AH17" s="9" t="s">
        <v>615</v>
      </c>
      <c r="AI17" s="9"/>
      <c r="AJ17" s="9" t="str">
        <f t="shared" si="1"/>
        <v>Protección y orden cotidiano</v>
      </c>
      <c r="AK17" s="9" t="str">
        <f>IFERROR(INDEX('[3]02_Arquetipos_Miedo_Sesgo'!$C$5:$C$9,MATCH(AJ17,'[3]02_Arquetipos_Miedo_Sesgo'!$A$5:$A$9,0)),"")</f>
        <v>Miedo a la inseguridad, al descontrol barrial y a perder la tranquilidad cotidiana.</v>
      </c>
      <c r="AL17" s="9" t="str">
        <f>IFERROR(INDEX('[3]02_Arquetipos_Miedo_Sesgo'!$D$5:$D$9,MATCH(AJ17,'[3]02_Arquetipos_Miedo_Sesgo'!$A$5:$A$9,0)),"")</f>
        <v>Sesgo de disponibilidad + sesgo de negatividad + preferencia por autoridad.</v>
      </c>
      <c r="AM17" s="9" t="str">
        <f>IFERROR(INDEX('[3]02_Arquetipos_Miedo_Sesgo'!$E$5:$E$9,MATCH(AJ17,'[3]02_Arquetipos_Miedo_Sesgo'!$A$5:$A$9,0)),"")</f>
        <v>Seguridad, convivencia, movilidad, alumbrado, reacción institucional rápida, presencia de autoridad.</v>
      </c>
      <c r="AN17" s="9" t="str">
        <f t="shared" si="2"/>
        <v>Alta</v>
      </c>
      <c r="AO17" s="9" t="s">
        <v>608</v>
      </c>
    </row>
    <row r="18" spans="1:41" ht="43.2">
      <c r="A18" s="9" t="s">
        <v>301</v>
      </c>
      <c r="B18" s="9" t="s">
        <v>295</v>
      </c>
      <c r="C18" s="9" t="s">
        <v>302</v>
      </c>
      <c r="D18" s="10">
        <v>4558</v>
      </c>
      <c r="E18" s="10">
        <v>3728</v>
      </c>
      <c r="F18" s="10">
        <v>3333</v>
      </c>
      <c r="G18" s="9" t="s">
        <v>601</v>
      </c>
      <c r="H18" s="11">
        <v>0.74550241333918388</v>
      </c>
      <c r="I18" s="11">
        <v>0.60048266783677051</v>
      </c>
      <c r="J18" s="9" t="s">
        <v>602</v>
      </c>
      <c r="K18" s="11">
        <v>0.2947961373390558</v>
      </c>
      <c r="L18" s="11">
        <v>0.19313304721030039</v>
      </c>
      <c r="M18" s="9" t="s">
        <v>603</v>
      </c>
      <c r="N18" s="11">
        <v>0.27602760276027599</v>
      </c>
      <c r="O18" s="11">
        <v>0.10411041104110411</v>
      </c>
      <c r="P18" s="12">
        <v>-0.41089999999999999</v>
      </c>
      <c r="Q18" s="9" t="s">
        <v>73</v>
      </c>
      <c r="R18" s="12">
        <v>0.45390000000000003</v>
      </c>
      <c r="S18" s="9" t="s">
        <v>75</v>
      </c>
      <c r="T18" s="12">
        <v>3.5099999999999999E-2</v>
      </c>
      <c r="U18" s="12">
        <v>0.3</v>
      </c>
      <c r="V18" s="9" t="s">
        <v>412</v>
      </c>
      <c r="W18" s="9" t="s">
        <v>604</v>
      </c>
      <c r="X18" s="9" t="s">
        <v>60</v>
      </c>
      <c r="Y18" s="9" t="s">
        <v>59</v>
      </c>
      <c r="Z18" s="9" t="s">
        <v>617</v>
      </c>
      <c r="AA18" s="9" t="s">
        <v>614</v>
      </c>
      <c r="AB18" s="11">
        <v>0.27241570817316701</v>
      </c>
      <c r="AC18" s="11">
        <v>0.2150087954356259</v>
      </c>
      <c r="AD18" s="11">
        <v>0.14981395903072811</v>
      </c>
      <c r="AE18" s="11">
        <v>0.21034433471944361</v>
      </c>
      <c r="AF18" s="11">
        <v>0.15241720264103539</v>
      </c>
      <c r="AG18" s="9" t="str">
        <f t="shared" si="0"/>
        <v>Protección y orden cotidiano</v>
      </c>
      <c r="AH18" s="9" t="s">
        <v>615</v>
      </c>
      <c r="AI18" s="9"/>
      <c r="AJ18" s="9" t="str">
        <f t="shared" si="1"/>
        <v>Protección y orden cotidiano</v>
      </c>
      <c r="AK18" s="9" t="str">
        <f>IFERROR(INDEX('[3]02_Arquetipos_Miedo_Sesgo'!$C$5:$C$9,MATCH(AJ18,'[3]02_Arquetipos_Miedo_Sesgo'!$A$5:$A$9,0)),"")</f>
        <v>Miedo a la inseguridad, al descontrol barrial y a perder la tranquilidad cotidiana.</v>
      </c>
      <c r="AL18" s="9" t="str">
        <f>IFERROR(INDEX('[3]02_Arquetipos_Miedo_Sesgo'!$D$5:$D$9,MATCH(AJ18,'[3]02_Arquetipos_Miedo_Sesgo'!$A$5:$A$9,0)),"")</f>
        <v>Sesgo de disponibilidad + sesgo de negatividad + preferencia por autoridad.</v>
      </c>
      <c r="AM18" s="9" t="str">
        <f>IFERROR(INDEX('[3]02_Arquetipos_Miedo_Sesgo'!$E$5:$E$9,MATCH(AJ18,'[3]02_Arquetipos_Miedo_Sesgo'!$A$5:$A$9,0)),"")</f>
        <v>Seguridad, convivencia, movilidad, alumbrado, reacción institucional rápida, presencia de autoridad.</v>
      </c>
      <c r="AN18" s="9" t="str">
        <f t="shared" si="2"/>
        <v>Alta</v>
      </c>
      <c r="AO18" s="9" t="s">
        <v>608</v>
      </c>
    </row>
    <row r="19" spans="1:41" ht="57.6">
      <c r="A19" s="9" t="s">
        <v>303</v>
      </c>
      <c r="B19" s="9" t="s">
        <v>295</v>
      </c>
      <c r="C19" s="9" t="s">
        <v>304</v>
      </c>
      <c r="D19" s="10">
        <v>1591</v>
      </c>
      <c r="E19" s="10">
        <v>1194</v>
      </c>
      <c r="F19" s="10">
        <v>979</v>
      </c>
      <c r="G19" s="9" t="s">
        <v>601</v>
      </c>
      <c r="H19" s="11">
        <v>0.62413576367064738</v>
      </c>
      <c r="I19" s="11">
        <v>0.4016341923318667</v>
      </c>
      <c r="J19" s="9" t="s">
        <v>602</v>
      </c>
      <c r="K19" s="11">
        <v>0.41038525963149081</v>
      </c>
      <c r="L19" s="11">
        <v>0.30653266331658291</v>
      </c>
      <c r="M19" s="9" t="s">
        <v>603</v>
      </c>
      <c r="N19" s="11">
        <v>0.3442288049029622</v>
      </c>
      <c r="O19" s="11">
        <v>0.1818181818181818</v>
      </c>
      <c r="P19" s="12">
        <v>-0.41089999999999999</v>
      </c>
      <c r="Q19" s="9" t="s">
        <v>73</v>
      </c>
      <c r="R19" s="12">
        <v>0.45390000000000003</v>
      </c>
      <c r="S19" s="9" t="s">
        <v>75</v>
      </c>
      <c r="T19" s="12">
        <v>3.5099999999999999E-2</v>
      </c>
      <c r="U19" s="12">
        <v>0.3</v>
      </c>
      <c r="V19" s="9" t="s">
        <v>412</v>
      </c>
      <c r="W19" s="9" t="s">
        <v>604</v>
      </c>
      <c r="X19" s="9" t="s">
        <v>60</v>
      </c>
      <c r="Y19" s="9" t="s">
        <v>59</v>
      </c>
      <c r="Z19" s="9" t="s">
        <v>617</v>
      </c>
      <c r="AA19" s="9" t="s">
        <v>606</v>
      </c>
      <c r="AB19" s="11">
        <v>0.2095506624313678</v>
      </c>
      <c r="AC19" s="11">
        <v>0.2218041223381722</v>
      </c>
      <c r="AD19" s="11">
        <v>0.155466823344063</v>
      </c>
      <c r="AE19" s="11">
        <v>0.26978313303266033</v>
      </c>
      <c r="AF19" s="11">
        <v>0.14339525885373691</v>
      </c>
      <c r="AG19" s="9" t="str">
        <f t="shared" si="0"/>
        <v>Desconfianza y castigo</v>
      </c>
      <c r="AH19" s="9" t="s">
        <v>607</v>
      </c>
      <c r="AI19" s="9"/>
      <c r="AJ19" s="9" t="str">
        <f t="shared" si="1"/>
        <v>Desconfianza y castigo</v>
      </c>
      <c r="AK19" s="9" t="str">
        <f>IFERROR(INDEX('[3]02_Arquetipos_Miedo_Sesgo'!$C$5:$C$9,MATCH(AJ19,'[3]02_Arquetipos_Miedo_Sesgo'!$A$5:$A$9,0)),"")</f>
        <v>Miedo a ser engañado, robado, manipulado o usado electoralmente.</v>
      </c>
      <c r="AL19" s="9" t="str">
        <f>IFERROR(INDEX('[3]02_Arquetipos_Miedo_Sesgo'!$D$5:$D$9,MATCH(AJ19,'[3]02_Arquetipos_Miedo_Sesgo'!$A$5:$A$9,0)),"")</f>
        <v>Sesgo de confirmación + cinismo político + efecto de indignación moral.</v>
      </c>
      <c r="AM19" s="9" t="str">
        <f>IFERROR(INDEX('[3]02_Arquetipos_Miedo_Sesgo'!$E$5:$E$9,MATCH(AJ19,'[3]02_Arquetipos_Miedo_Sesgo'!$A$5:$A$9,0)),"")</f>
        <v>Transparencia, control político, lucha anticorrupción, vigilancia ciudadana, ejecución presupuestal y sanción a abusos.</v>
      </c>
      <c r="AN19" s="9" t="str">
        <f t="shared" si="2"/>
        <v>Alta</v>
      </c>
      <c r="AO19" s="9" t="s">
        <v>608</v>
      </c>
    </row>
    <row r="20" spans="1:41" ht="43.2">
      <c r="A20" s="9" t="s">
        <v>305</v>
      </c>
      <c r="B20" s="9" t="s">
        <v>295</v>
      </c>
      <c r="C20" s="9" t="s">
        <v>306</v>
      </c>
      <c r="D20" s="10">
        <v>7947</v>
      </c>
      <c r="E20" s="10">
        <v>6687</v>
      </c>
      <c r="F20" s="10">
        <v>5626</v>
      </c>
      <c r="G20" s="9" t="s">
        <v>601</v>
      </c>
      <c r="H20" s="11">
        <v>0.75198187995469989</v>
      </c>
      <c r="I20" s="11">
        <v>0.61469737007675851</v>
      </c>
      <c r="J20" s="9" t="s">
        <v>602</v>
      </c>
      <c r="K20" s="11">
        <v>0.3091072229699417</v>
      </c>
      <c r="L20" s="11">
        <v>0.18827575893524751</v>
      </c>
      <c r="M20" s="9" t="s">
        <v>603</v>
      </c>
      <c r="N20" s="11">
        <v>0.34838250977603979</v>
      </c>
      <c r="O20" s="11">
        <v>0.15037326697476</v>
      </c>
      <c r="P20" s="12">
        <v>-0.41089999999999999</v>
      </c>
      <c r="Q20" s="9" t="s">
        <v>73</v>
      </c>
      <c r="R20" s="12">
        <v>0.45390000000000003</v>
      </c>
      <c r="S20" s="9" t="s">
        <v>75</v>
      </c>
      <c r="T20" s="12">
        <v>3.5099999999999999E-2</v>
      </c>
      <c r="U20" s="12">
        <v>0.3</v>
      </c>
      <c r="V20" s="9" t="s">
        <v>412</v>
      </c>
      <c r="W20" s="9" t="s">
        <v>604</v>
      </c>
      <c r="X20" s="9" t="s">
        <v>60</v>
      </c>
      <c r="Y20" s="9" t="s">
        <v>59</v>
      </c>
      <c r="Z20" s="9" t="s">
        <v>617</v>
      </c>
      <c r="AA20" s="9" t="s">
        <v>614</v>
      </c>
      <c r="AB20" s="11">
        <v>0.26863230937160121</v>
      </c>
      <c r="AC20" s="11">
        <v>0.21399883444272519</v>
      </c>
      <c r="AD20" s="11">
        <v>0.15756611275771401</v>
      </c>
      <c r="AE20" s="11">
        <v>0.1948760387950875</v>
      </c>
      <c r="AF20" s="11">
        <v>0.16492670463287221</v>
      </c>
      <c r="AG20" s="9" t="str">
        <f t="shared" si="0"/>
        <v>Protección y orden cotidiano</v>
      </c>
      <c r="AH20" s="9" t="s">
        <v>615</v>
      </c>
      <c r="AI20" s="9"/>
      <c r="AJ20" s="9" t="str">
        <f t="shared" si="1"/>
        <v>Protección y orden cotidiano</v>
      </c>
      <c r="AK20" s="9" t="str">
        <f>IFERROR(INDEX('[3]02_Arquetipos_Miedo_Sesgo'!$C$5:$C$9,MATCH(AJ20,'[3]02_Arquetipos_Miedo_Sesgo'!$A$5:$A$9,0)),"")</f>
        <v>Miedo a la inseguridad, al descontrol barrial y a perder la tranquilidad cotidiana.</v>
      </c>
      <c r="AL20" s="9" t="str">
        <f>IFERROR(INDEX('[3]02_Arquetipos_Miedo_Sesgo'!$D$5:$D$9,MATCH(AJ20,'[3]02_Arquetipos_Miedo_Sesgo'!$A$5:$A$9,0)),"")</f>
        <v>Sesgo de disponibilidad + sesgo de negatividad + preferencia por autoridad.</v>
      </c>
      <c r="AM20" s="9" t="str">
        <f>IFERROR(INDEX('[3]02_Arquetipos_Miedo_Sesgo'!$E$5:$E$9,MATCH(AJ20,'[3]02_Arquetipos_Miedo_Sesgo'!$A$5:$A$9,0)),"")</f>
        <v>Seguridad, convivencia, movilidad, alumbrado, reacción institucional rápida, presencia de autoridad.</v>
      </c>
      <c r="AN20" s="9" t="str">
        <f t="shared" si="2"/>
        <v>Alta</v>
      </c>
      <c r="AO20" s="9" t="s">
        <v>608</v>
      </c>
    </row>
    <row r="21" spans="1:41" ht="43.2">
      <c r="A21" s="9" t="s">
        <v>307</v>
      </c>
      <c r="B21" s="9" t="s">
        <v>295</v>
      </c>
      <c r="C21" s="9" t="s">
        <v>308</v>
      </c>
      <c r="D21" s="10">
        <v>9924</v>
      </c>
      <c r="E21" s="10">
        <v>7908</v>
      </c>
      <c r="F21" s="10">
        <v>6935</v>
      </c>
      <c r="G21" s="9" t="s">
        <v>601</v>
      </c>
      <c r="H21" s="11">
        <v>0.76592099959693671</v>
      </c>
      <c r="I21" s="11">
        <v>0.65185409109230152</v>
      </c>
      <c r="J21" s="9" t="s">
        <v>602</v>
      </c>
      <c r="K21" s="11">
        <v>0.3161355589276682</v>
      </c>
      <c r="L21" s="11">
        <v>0.21269600404653519</v>
      </c>
      <c r="M21" s="9" t="s">
        <v>603</v>
      </c>
      <c r="N21" s="11">
        <v>0.38586878154289828</v>
      </c>
      <c r="O21" s="11">
        <v>0.24585436193222779</v>
      </c>
      <c r="P21" s="12">
        <v>-0.41089999999999999</v>
      </c>
      <c r="Q21" s="9" t="s">
        <v>73</v>
      </c>
      <c r="R21" s="12">
        <v>0.45390000000000003</v>
      </c>
      <c r="S21" s="9" t="s">
        <v>75</v>
      </c>
      <c r="T21" s="12">
        <v>3.5099999999999999E-2</v>
      </c>
      <c r="U21" s="12">
        <v>0.3</v>
      </c>
      <c r="V21" s="9" t="s">
        <v>412</v>
      </c>
      <c r="W21" s="9" t="s">
        <v>604</v>
      </c>
      <c r="X21" s="9" t="s">
        <v>60</v>
      </c>
      <c r="Y21" s="9" t="s">
        <v>59</v>
      </c>
      <c r="Z21" s="9" t="s">
        <v>617</v>
      </c>
      <c r="AA21" s="9" t="s">
        <v>614</v>
      </c>
      <c r="AB21" s="11">
        <v>0.26130493430186108</v>
      </c>
      <c r="AC21" s="11">
        <v>0.19414085477486179</v>
      </c>
      <c r="AD21" s="11">
        <v>0.1676153643419212</v>
      </c>
      <c r="AE21" s="11">
        <v>0.22386260250492249</v>
      </c>
      <c r="AF21" s="11">
        <v>0.15307624407643339</v>
      </c>
      <c r="AG21" s="9" t="str">
        <f t="shared" si="0"/>
        <v>Protección y orden cotidiano</v>
      </c>
      <c r="AH21" s="9" t="s">
        <v>615</v>
      </c>
      <c r="AI21" s="9"/>
      <c r="AJ21" s="9" t="str">
        <f t="shared" si="1"/>
        <v>Protección y orden cotidiano</v>
      </c>
      <c r="AK21" s="9" t="str">
        <f>IFERROR(INDEX('[3]02_Arquetipos_Miedo_Sesgo'!$C$5:$C$9,MATCH(AJ21,'[3]02_Arquetipos_Miedo_Sesgo'!$A$5:$A$9,0)),"")</f>
        <v>Miedo a la inseguridad, al descontrol barrial y a perder la tranquilidad cotidiana.</v>
      </c>
      <c r="AL21" s="9" t="str">
        <f>IFERROR(INDEX('[3]02_Arquetipos_Miedo_Sesgo'!$D$5:$D$9,MATCH(AJ21,'[3]02_Arquetipos_Miedo_Sesgo'!$A$5:$A$9,0)),"")</f>
        <v>Sesgo de disponibilidad + sesgo de negatividad + preferencia por autoridad.</v>
      </c>
      <c r="AM21" s="9" t="str">
        <f>IFERROR(INDEX('[3]02_Arquetipos_Miedo_Sesgo'!$E$5:$E$9,MATCH(AJ21,'[3]02_Arquetipos_Miedo_Sesgo'!$A$5:$A$9,0)),"")</f>
        <v>Seguridad, convivencia, movilidad, alumbrado, reacción institucional rápida, presencia de autoridad.</v>
      </c>
      <c r="AN21" s="9" t="str">
        <f t="shared" si="2"/>
        <v>Alta</v>
      </c>
      <c r="AO21" s="9" t="s">
        <v>608</v>
      </c>
    </row>
    <row r="22" spans="1:41" ht="43.2">
      <c r="A22" s="9" t="s">
        <v>309</v>
      </c>
      <c r="B22" s="9" t="s">
        <v>295</v>
      </c>
      <c r="C22" s="9" t="s">
        <v>310</v>
      </c>
      <c r="D22" s="10">
        <v>6330</v>
      </c>
      <c r="E22" s="10">
        <v>5117</v>
      </c>
      <c r="F22" s="10">
        <v>4368</v>
      </c>
      <c r="G22" s="9" t="s">
        <v>601</v>
      </c>
      <c r="H22" s="11">
        <v>0.71437598736176933</v>
      </c>
      <c r="I22" s="11">
        <v>0.56887835703001577</v>
      </c>
      <c r="J22" s="9" t="s">
        <v>602</v>
      </c>
      <c r="K22" s="11">
        <v>0.31424662888411181</v>
      </c>
      <c r="L22" s="11">
        <v>0.21008403361344541</v>
      </c>
      <c r="M22" s="9" t="s">
        <v>603</v>
      </c>
      <c r="N22" s="11">
        <v>0.32852564102564102</v>
      </c>
      <c r="O22" s="11">
        <v>0.18498168498168499</v>
      </c>
      <c r="P22" s="12">
        <v>-0.41089999999999999</v>
      </c>
      <c r="Q22" s="9" t="s">
        <v>73</v>
      </c>
      <c r="R22" s="12">
        <v>0.45390000000000003</v>
      </c>
      <c r="S22" s="9" t="s">
        <v>75</v>
      </c>
      <c r="T22" s="12">
        <v>3.5099999999999999E-2</v>
      </c>
      <c r="U22" s="12">
        <v>0.3</v>
      </c>
      <c r="V22" s="9" t="s">
        <v>412</v>
      </c>
      <c r="W22" s="9" t="s">
        <v>604</v>
      </c>
      <c r="X22" s="9" t="s">
        <v>60</v>
      </c>
      <c r="Y22" s="9" t="s">
        <v>59</v>
      </c>
      <c r="Z22" s="9" t="s">
        <v>617</v>
      </c>
      <c r="AA22" s="9" t="s">
        <v>614</v>
      </c>
      <c r="AB22" s="11">
        <v>0.25826240359581609</v>
      </c>
      <c r="AC22" s="11">
        <v>0.2175557905790802</v>
      </c>
      <c r="AD22" s="11">
        <v>0.16365914535491111</v>
      </c>
      <c r="AE22" s="11">
        <v>0.2037930797009451</v>
      </c>
      <c r="AF22" s="11">
        <v>0.1567295807692474</v>
      </c>
      <c r="AG22" s="9" t="str">
        <f t="shared" si="0"/>
        <v>Protección y orden cotidiano</v>
      </c>
      <c r="AH22" s="9" t="s">
        <v>615</v>
      </c>
      <c r="AI22" s="9"/>
      <c r="AJ22" s="9" t="str">
        <f t="shared" si="1"/>
        <v>Protección y orden cotidiano</v>
      </c>
      <c r="AK22" s="9" t="str">
        <f>IFERROR(INDEX('[3]02_Arquetipos_Miedo_Sesgo'!$C$5:$C$9,MATCH(AJ22,'[3]02_Arquetipos_Miedo_Sesgo'!$A$5:$A$9,0)),"")</f>
        <v>Miedo a la inseguridad, al descontrol barrial y a perder la tranquilidad cotidiana.</v>
      </c>
      <c r="AL22" s="9" t="str">
        <f>IFERROR(INDEX('[3]02_Arquetipos_Miedo_Sesgo'!$D$5:$D$9,MATCH(AJ22,'[3]02_Arquetipos_Miedo_Sesgo'!$A$5:$A$9,0)),"")</f>
        <v>Sesgo de disponibilidad + sesgo de negatividad + preferencia por autoridad.</v>
      </c>
      <c r="AM22" s="9" t="str">
        <f>IFERROR(INDEX('[3]02_Arquetipos_Miedo_Sesgo'!$E$5:$E$9,MATCH(AJ22,'[3]02_Arquetipos_Miedo_Sesgo'!$A$5:$A$9,0)),"")</f>
        <v>Seguridad, convivencia, movilidad, alumbrado, reacción institucional rápida, presencia de autoridad.</v>
      </c>
      <c r="AN22" s="9" t="str">
        <f t="shared" si="2"/>
        <v>Alta</v>
      </c>
      <c r="AO22" s="9" t="s">
        <v>608</v>
      </c>
    </row>
    <row r="23" spans="1:41" ht="57.6">
      <c r="A23" s="9" t="s">
        <v>543</v>
      </c>
      <c r="B23" s="9" t="s">
        <v>295</v>
      </c>
      <c r="C23" s="9" t="s">
        <v>544</v>
      </c>
      <c r="D23" s="10">
        <v>582</v>
      </c>
      <c r="E23" s="10">
        <v>462</v>
      </c>
      <c r="F23" s="10">
        <v>466</v>
      </c>
      <c r="G23" s="9" t="s">
        <v>601</v>
      </c>
      <c r="H23" s="11">
        <v>0.62199312714776633</v>
      </c>
      <c r="I23" s="11">
        <v>0.4175257731958763</v>
      </c>
      <c r="J23" s="9" t="s">
        <v>602</v>
      </c>
      <c r="K23" s="11">
        <v>0.46753246753246752</v>
      </c>
      <c r="L23" s="11">
        <v>0.32683982683982682</v>
      </c>
      <c r="M23" s="9" t="s">
        <v>603</v>
      </c>
      <c r="N23" s="11">
        <v>0.40557939914163088</v>
      </c>
      <c r="O23" s="11">
        <v>0.1244635193133047</v>
      </c>
      <c r="P23" s="12">
        <v>-0.41089999999999999</v>
      </c>
      <c r="Q23" s="9" t="s">
        <v>73</v>
      </c>
      <c r="R23" s="12">
        <v>0.45390000000000003</v>
      </c>
      <c r="S23" s="9" t="s">
        <v>75</v>
      </c>
      <c r="T23" s="12">
        <v>3.5099999999999999E-2</v>
      </c>
      <c r="U23" s="12">
        <v>0.3</v>
      </c>
      <c r="V23" s="9" t="s">
        <v>412</v>
      </c>
      <c r="W23" s="9" t="s">
        <v>604</v>
      </c>
      <c r="X23" s="9" t="s">
        <v>60</v>
      </c>
      <c r="Y23" s="9" t="s">
        <v>59</v>
      </c>
      <c r="Z23" s="9" t="s">
        <v>617</v>
      </c>
      <c r="AA23" s="9" t="s">
        <v>606</v>
      </c>
      <c r="AB23" s="11">
        <v>0.2124293611600909</v>
      </c>
      <c r="AC23" s="11">
        <v>0.22563306249121071</v>
      </c>
      <c r="AD23" s="11">
        <v>0.1447857712413359</v>
      </c>
      <c r="AE23" s="11">
        <v>0.26259950289591028</v>
      </c>
      <c r="AF23" s="11">
        <v>0.1545523022114523</v>
      </c>
      <c r="AG23" s="9" t="str">
        <f t="shared" si="0"/>
        <v>Desconfianza y castigo</v>
      </c>
      <c r="AH23" s="9" t="s">
        <v>607</v>
      </c>
      <c r="AI23" s="9"/>
      <c r="AJ23" s="9" t="str">
        <f t="shared" si="1"/>
        <v>Desconfianza y castigo</v>
      </c>
      <c r="AK23" s="9" t="str">
        <f>IFERROR(INDEX('[3]02_Arquetipos_Miedo_Sesgo'!$C$5:$C$9,MATCH(AJ23,'[3]02_Arquetipos_Miedo_Sesgo'!$A$5:$A$9,0)),"")</f>
        <v>Miedo a ser engañado, robado, manipulado o usado electoralmente.</v>
      </c>
      <c r="AL23" s="9" t="str">
        <f>IFERROR(INDEX('[3]02_Arquetipos_Miedo_Sesgo'!$D$5:$D$9,MATCH(AJ23,'[3]02_Arquetipos_Miedo_Sesgo'!$A$5:$A$9,0)),"")</f>
        <v>Sesgo de confirmación + cinismo político + efecto de indignación moral.</v>
      </c>
      <c r="AM23" s="9" t="str">
        <f>IFERROR(INDEX('[3]02_Arquetipos_Miedo_Sesgo'!$E$5:$E$9,MATCH(AJ23,'[3]02_Arquetipos_Miedo_Sesgo'!$A$5:$A$9,0)),"")</f>
        <v>Transparencia, control político, lucha anticorrupción, vigilancia ciudadana, ejecución presupuestal y sanción a abusos.</v>
      </c>
      <c r="AN23" s="9" t="str">
        <f t="shared" si="2"/>
        <v>Alta</v>
      </c>
      <c r="AO23" s="9" t="s">
        <v>608</v>
      </c>
    </row>
    <row r="24" spans="1:41" ht="43.2">
      <c r="A24" s="9" t="s">
        <v>54</v>
      </c>
      <c r="B24" s="9" t="s">
        <v>55</v>
      </c>
      <c r="C24" s="9" t="s">
        <v>56</v>
      </c>
      <c r="D24" s="10">
        <v>7082</v>
      </c>
      <c r="E24" s="10">
        <v>5898</v>
      </c>
      <c r="F24" s="10">
        <v>5089</v>
      </c>
      <c r="G24" s="9" t="s">
        <v>601</v>
      </c>
      <c r="H24" s="11">
        <v>0.80429257271957078</v>
      </c>
      <c r="I24" s="11">
        <v>0.69867269133013277</v>
      </c>
      <c r="J24" s="9" t="s">
        <v>602</v>
      </c>
      <c r="K24" s="11">
        <v>0.30637504238724989</v>
      </c>
      <c r="L24" s="11">
        <v>0.192099016615802</v>
      </c>
      <c r="M24" s="9" t="s">
        <v>603</v>
      </c>
      <c r="N24" s="11">
        <v>0.35252505403812151</v>
      </c>
      <c r="O24" s="11">
        <v>0.13774808410296721</v>
      </c>
      <c r="P24" s="12">
        <v>-0.41089999999999999</v>
      </c>
      <c r="Q24" s="9" t="s">
        <v>73</v>
      </c>
      <c r="R24" s="12">
        <v>0.45390000000000003</v>
      </c>
      <c r="S24" s="9" t="s">
        <v>75</v>
      </c>
      <c r="T24" s="12">
        <v>3.5099999999999999E-2</v>
      </c>
      <c r="U24" s="12">
        <v>0.3</v>
      </c>
      <c r="V24" s="9" t="s">
        <v>412</v>
      </c>
      <c r="W24" s="9" t="s">
        <v>604</v>
      </c>
      <c r="X24" s="9" t="s">
        <v>60</v>
      </c>
      <c r="Y24" s="9" t="s">
        <v>59</v>
      </c>
      <c r="Z24" s="9" t="s">
        <v>618</v>
      </c>
      <c r="AA24" s="9" t="s">
        <v>614</v>
      </c>
      <c r="AB24" s="11">
        <v>0.27671018933812791</v>
      </c>
      <c r="AC24" s="11">
        <v>0.2070743230098013</v>
      </c>
      <c r="AD24" s="11">
        <v>0.1470904724562708</v>
      </c>
      <c r="AE24" s="11">
        <v>0.20551308019881251</v>
      </c>
      <c r="AF24" s="11">
        <v>0.16361193499698751</v>
      </c>
      <c r="AG24" s="9" t="str">
        <f t="shared" si="0"/>
        <v>Protección y orden cotidiano</v>
      </c>
      <c r="AH24" s="9" t="s">
        <v>615</v>
      </c>
      <c r="AI24" s="9"/>
      <c r="AJ24" s="9" t="str">
        <f t="shared" si="1"/>
        <v>Protección y orden cotidiano</v>
      </c>
      <c r="AK24" s="9" t="str">
        <f>IFERROR(INDEX('[3]02_Arquetipos_Miedo_Sesgo'!$C$5:$C$9,MATCH(AJ24,'[3]02_Arquetipos_Miedo_Sesgo'!$A$5:$A$9,0)),"")</f>
        <v>Miedo a la inseguridad, al descontrol barrial y a perder la tranquilidad cotidiana.</v>
      </c>
      <c r="AL24" s="9" t="str">
        <f>IFERROR(INDEX('[3]02_Arquetipos_Miedo_Sesgo'!$D$5:$D$9,MATCH(AJ24,'[3]02_Arquetipos_Miedo_Sesgo'!$A$5:$A$9,0)),"")</f>
        <v>Sesgo de disponibilidad + sesgo de negatividad + preferencia por autoridad.</v>
      </c>
      <c r="AM24" s="9" t="str">
        <f>IFERROR(INDEX('[3]02_Arquetipos_Miedo_Sesgo'!$E$5:$E$9,MATCH(AJ24,'[3]02_Arquetipos_Miedo_Sesgo'!$A$5:$A$9,0)),"")</f>
        <v>Seguridad, convivencia, movilidad, alumbrado, reacción institucional rápida, presencia de autoridad.</v>
      </c>
      <c r="AN24" s="9" t="str">
        <f t="shared" si="2"/>
        <v>Alta</v>
      </c>
      <c r="AO24" s="9" t="s">
        <v>608</v>
      </c>
    </row>
    <row r="25" spans="1:41" ht="43.2">
      <c r="A25" s="9" t="s">
        <v>78</v>
      </c>
      <c r="B25" s="9" t="s">
        <v>55</v>
      </c>
      <c r="C25" s="9" t="s">
        <v>79</v>
      </c>
      <c r="D25" s="10">
        <v>6533</v>
      </c>
      <c r="E25" s="10">
        <v>5478</v>
      </c>
      <c r="F25" s="10">
        <v>4720</v>
      </c>
      <c r="G25" s="9" t="s">
        <v>601</v>
      </c>
      <c r="H25" s="11">
        <v>0.74100719424460426</v>
      </c>
      <c r="I25" s="11">
        <v>0.59452012857798864</v>
      </c>
      <c r="J25" s="9" t="s">
        <v>602</v>
      </c>
      <c r="K25" s="11">
        <v>0.30905439941584523</v>
      </c>
      <c r="L25" s="11">
        <v>0.19258853596202991</v>
      </c>
      <c r="M25" s="9" t="s">
        <v>603</v>
      </c>
      <c r="N25" s="11">
        <v>0.31440677966101688</v>
      </c>
      <c r="O25" s="11">
        <v>0.1044491525423729</v>
      </c>
      <c r="P25" s="12">
        <v>-0.41089999999999999</v>
      </c>
      <c r="Q25" s="9" t="s">
        <v>73</v>
      </c>
      <c r="R25" s="12">
        <v>0.45390000000000003</v>
      </c>
      <c r="S25" s="9" t="s">
        <v>75</v>
      </c>
      <c r="T25" s="12">
        <v>3.5099999999999999E-2</v>
      </c>
      <c r="U25" s="12">
        <v>0.3</v>
      </c>
      <c r="V25" s="9" t="s">
        <v>412</v>
      </c>
      <c r="W25" s="9" t="s">
        <v>604</v>
      </c>
      <c r="X25" s="9" t="s">
        <v>60</v>
      </c>
      <c r="Y25" s="9" t="s">
        <v>59</v>
      </c>
      <c r="Z25" s="9" t="s">
        <v>618</v>
      </c>
      <c r="AA25" s="9" t="s">
        <v>614</v>
      </c>
      <c r="AB25" s="11">
        <v>0.26335136189284719</v>
      </c>
      <c r="AC25" s="11">
        <v>0.22109283030287821</v>
      </c>
      <c r="AD25" s="11">
        <v>0.14524265516413271</v>
      </c>
      <c r="AE25" s="11">
        <v>0.20827998172755111</v>
      </c>
      <c r="AF25" s="11">
        <v>0.16203317091259059</v>
      </c>
      <c r="AG25" s="9" t="str">
        <f t="shared" si="0"/>
        <v>Protección y orden cotidiano</v>
      </c>
      <c r="AH25" s="9" t="s">
        <v>615</v>
      </c>
      <c r="AI25" s="9"/>
      <c r="AJ25" s="9" t="str">
        <f t="shared" si="1"/>
        <v>Protección y orden cotidiano</v>
      </c>
      <c r="AK25" s="9" t="str">
        <f>IFERROR(INDEX('[3]02_Arquetipos_Miedo_Sesgo'!$C$5:$C$9,MATCH(AJ25,'[3]02_Arquetipos_Miedo_Sesgo'!$A$5:$A$9,0)),"")</f>
        <v>Miedo a la inseguridad, al descontrol barrial y a perder la tranquilidad cotidiana.</v>
      </c>
      <c r="AL25" s="9" t="str">
        <f>IFERROR(INDEX('[3]02_Arquetipos_Miedo_Sesgo'!$D$5:$D$9,MATCH(AJ25,'[3]02_Arquetipos_Miedo_Sesgo'!$A$5:$A$9,0)),"")</f>
        <v>Sesgo de disponibilidad + sesgo de negatividad + preferencia por autoridad.</v>
      </c>
      <c r="AM25" s="9" t="str">
        <f>IFERROR(INDEX('[3]02_Arquetipos_Miedo_Sesgo'!$E$5:$E$9,MATCH(AJ25,'[3]02_Arquetipos_Miedo_Sesgo'!$A$5:$A$9,0)),"")</f>
        <v>Seguridad, convivencia, movilidad, alumbrado, reacción institucional rápida, presencia de autoridad.</v>
      </c>
      <c r="AN25" s="9" t="str">
        <f t="shared" si="2"/>
        <v>Alta</v>
      </c>
      <c r="AO25" s="9" t="s">
        <v>608</v>
      </c>
    </row>
    <row r="26" spans="1:41" ht="43.2">
      <c r="A26" s="9" t="s">
        <v>619</v>
      </c>
      <c r="B26" s="9" t="s">
        <v>55</v>
      </c>
      <c r="C26" s="9" t="s">
        <v>620</v>
      </c>
      <c r="D26" s="10">
        <v>497</v>
      </c>
      <c r="E26" s="10">
        <v>413</v>
      </c>
      <c r="F26" s="10">
        <v>345</v>
      </c>
      <c r="G26" s="9" t="s">
        <v>601</v>
      </c>
      <c r="H26" s="11">
        <v>0.62776659959758552</v>
      </c>
      <c r="I26" s="11">
        <v>0.35814889336016098</v>
      </c>
      <c r="J26" s="9" t="s">
        <v>602</v>
      </c>
      <c r="K26" s="11">
        <v>0.31476997578692489</v>
      </c>
      <c r="L26" s="11">
        <v>0.20823244552058109</v>
      </c>
      <c r="M26" s="9" t="s">
        <v>603</v>
      </c>
      <c r="N26" s="11">
        <v>0.29855072463768118</v>
      </c>
      <c r="O26" s="11">
        <v>7.8260869565217411E-2</v>
      </c>
      <c r="P26" s="12">
        <v>-0.41089999999999999</v>
      </c>
      <c r="Q26" s="9" t="s">
        <v>73</v>
      </c>
      <c r="R26" s="12">
        <v>0.45390000000000003</v>
      </c>
      <c r="S26" s="9" t="s">
        <v>75</v>
      </c>
      <c r="T26" s="12">
        <v>3.5099999999999999E-2</v>
      </c>
      <c r="U26" s="12">
        <v>0.3</v>
      </c>
      <c r="V26" s="9" t="s">
        <v>412</v>
      </c>
      <c r="W26" s="9" t="s">
        <v>604</v>
      </c>
      <c r="X26" s="9" t="s">
        <v>60</v>
      </c>
      <c r="Y26" s="9" t="s">
        <v>59</v>
      </c>
      <c r="Z26" s="9" t="s">
        <v>618</v>
      </c>
      <c r="AA26" s="9" t="s">
        <v>611</v>
      </c>
      <c r="AB26" s="11">
        <v>0.2265465150446582</v>
      </c>
      <c r="AC26" s="11">
        <v>0.25567085055601563</v>
      </c>
      <c r="AD26" s="11">
        <v>0.14878228375385669</v>
      </c>
      <c r="AE26" s="11">
        <v>0.20028389555383491</v>
      </c>
      <c r="AF26" s="11">
        <v>0.16871645509163469</v>
      </c>
      <c r="AG26" s="9" t="str">
        <f t="shared" si="0"/>
        <v>Estabilidad y continuidad</v>
      </c>
      <c r="AH26" s="9" t="s">
        <v>612</v>
      </c>
      <c r="AI26" s="9"/>
      <c r="AJ26" s="9" t="str">
        <f t="shared" si="1"/>
        <v>Estabilidad y continuidad</v>
      </c>
      <c r="AK26" s="9" t="str">
        <f>IFERROR(INDEX('[3]02_Arquetipos_Miedo_Sesgo'!$C$5:$C$9,MATCH(AJ26,'[3]02_Arquetipos_Miedo_Sesgo'!$A$5:$A$9,0)),"")</f>
        <v>Miedo a perder beneficios, subsidios, estabilidad institucional o condiciones de vida ya alcanzadas.</v>
      </c>
      <c r="AL26" s="9" t="str">
        <f>IFERROR(INDEX('[3]02_Arquetipos_Miedo_Sesgo'!$D$5:$D$9,MATCH(AJ26,'[3]02_Arquetipos_Miedo_Sesgo'!$A$5:$A$9,0)),"")</f>
        <v>Aversión a la pérdida + sesgo de statu quo + confirmación.</v>
      </c>
      <c r="AM26" s="9" t="str">
        <f>IFERROR(INDEX('[3]02_Arquetipos_Miedo_Sesgo'!$E$5:$E$9,MATCH(AJ26,'[3]02_Arquetipos_Miedo_Sesgo'!$A$5:$A$9,0)),"")</f>
        <v>Continuidad administrativa, servicios públicos, infraestructura, salud, educación y programas sociales.</v>
      </c>
      <c r="AN26" s="9" t="str">
        <f t="shared" si="2"/>
        <v>Alta</v>
      </c>
      <c r="AO26" s="9" t="s">
        <v>608</v>
      </c>
    </row>
    <row r="27" spans="1:41" ht="43.2">
      <c r="A27" s="9" t="s">
        <v>80</v>
      </c>
      <c r="B27" s="9" t="s">
        <v>55</v>
      </c>
      <c r="C27" s="9" t="s">
        <v>81</v>
      </c>
      <c r="D27" s="10">
        <v>2149</v>
      </c>
      <c r="E27" s="10">
        <v>1719</v>
      </c>
      <c r="F27" s="10">
        <v>1415</v>
      </c>
      <c r="G27" s="9" t="s">
        <v>601</v>
      </c>
      <c r="H27" s="11">
        <v>0.64867380176826428</v>
      </c>
      <c r="I27" s="11">
        <v>0.4248487668683108</v>
      </c>
      <c r="J27" s="9" t="s">
        <v>602</v>
      </c>
      <c r="K27" s="11">
        <v>0.31820826061663759</v>
      </c>
      <c r="L27" s="11">
        <v>0.21349621873182081</v>
      </c>
      <c r="M27" s="9" t="s">
        <v>603</v>
      </c>
      <c r="N27" s="11">
        <v>0.27632508833922259</v>
      </c>
      <c r="O27" s="11">
        <v>2.4734982332155431E-2</v>
      </c>
      <c r="P27" s="12">
        <v>-0.41089999999999999</v>
      </c>
      <c r="Q27" s="9" t="s">
        <v>73</v>
      </c>
      <c r="R27" s="12">
        <v>0.45390000000000003</v>
      </c>
      <c r="S27" s="9" t="s">
        <v>75</v>
      </c>
      <c r="T27" s="12">
        <v>3.5099999999999999E-2</v>
      </c>
      <c r="U27" s="12">
        <v>0.3</v>
      </c>
      <c r="V27" s="9" t="s">
        <v>412</v>
      </c>
      <c r="W27" s="9" t="s">
        <v>604</v>
      </c>
      <c r="X27" s="9" t="s">
        <v>60</v>
      </c>
      <c r="Y27" s="9" t="s">
        <v>59</v>
      </c>
      <c r="Z27" s="9" t="s">
        <v>618</v>
      </c>
      <c r="AA27" s="9" t="s">
        <v>611</v>
      </c>
      <c r="AB27" s="11">
        <v>0.22906057515300149</v>
      </c>
      <c r="AC27" s="11">
        <v>0.24489739020697379</v>
      </c>
      <c r="AD27" s="11">
        <v>0.129608003956802</v>
      </c>
      <c r="AE27" s="11">
        <v>0.23319188263266841</v>
      </c>
      <c r="AF27" s="11">
        <v>0.16324214805055429</v>
      </c>
      <c r="AG27" s="9" t="str">
        <f t="shared" si="0"/>
        <v>Estabilidad y continuidad</v>
      </c>
      <c r="AH27" s="9" t="s">
        <v>612</v>
      </c>
      <c r="AI27" s="9"/>
      <c r="AJ27" s="9" t="str">
        <f t="shared" si="1"/>
        <v>Estabilidad y continuidad</v>
      </c>
      <c r="AK27" s="9" t="str">
        <f>IFERROR(INDEX('[3]02_Arquetipos_Miedo_Sesgo'!$C$5:$C$9,MATCH(AJ27,'[3]02_Arquetipos_Miedo_Sesgo'!$A$5:$A$9,0)),"")</f>
        <v>Miedo a perder beneficios, subsidios, estabilidad institucional o condiciones de vida ya alcanzadas.</v>
      </c>
      <c r="AL27" s="9" t="str">
        <f>IFERROR(INDEX('[3]02_Arquetipos_Miedo_Sesgo'!$D$5:$D$9,MATCH(AJ27,'[3]02_Arquetipos_Miedo_Sesgo'!$A$5:$A$9,0)),"")</f>
        <v>Aversión a la pérdida + sesgo de statu quo + confirmación.</v>
      </c>
      <c r="AM27" s="9" t="str">
        <f>IFERROR(INDEX('[3]02_Arquetipos_Miedo_Sesgo'!$E$5:$E$9,MATCH(AJ27,'[3]02_Arquetipos_Miedo_Sesgo'!$A$5:$A$9,0)),"")</f>
        <v>Continuidad administrativa, servicios públicos, infraestructura, salud, educación y programas sociales.</v>
      </c>
      <c r="AN27" s="9" t="str">
        <f t="shared" si="2"/>
        <v>Alta</v>
      </c>
      <c r="AO27" s="9" t="s">
        <v>608</v>
      </c>
    </row>
    <row r="28" spans="1:41" ht="43.2">
      <c r="A28" s="9" t="s">
        <v>86</v>
      </c>
      <c r="B28" s="9" t="s">
        <v>55</v>
      </c>
      <c r="C28" s="9" t="s">
        <v>87</v>
      </c>
      <c r="D28" s="10">
        <v>5159</v>
      </c>
      <c r="E28" s="10">
        <v>4288</v>
      </c>
      <c r="F28" s="10">
        <v>3160</v>
      </c>
      <c r="G28" s="9" t="s">
        <v>601</v>
      </c>
      <c r="H28" s="11">
        <v>0.62880403178910638</v>
      </c>
      <c r="I28" s="11">
        <v>0.41500290754022101</v>
      </c>
      <c r="J28" s="9" t="s">
        <v>602</v>
      </c>
      <c r="K28" s="11">
        <v>0.38992537313432829</v>
      </c>
      <c r="L28" s="11">
        <v>0.27868470149253732</v>
      </c>
      <c r="M28" s="9" t="s">
        <v>603</v>
      </c>
      <c r="N28" s="11">
        <v>0.35727848101265819</v>
      </c>
      <c r="O28" s="11">
        <v>0.1215189873417722</v>
      </c>
      <c r="P28" s="12">
        <v>-0.41089999999999999</v>
      </c>
      <c r="Q28" s="9" t="s">
        <v>73</v>
      </c>
      <c r="R28" s="12">
        <v>0.45390000000000003</v>
      </c>
      <c r="S28" s="9" t="s">
        <v>75</v>
      </c>
      <c r="T28" s="12">
        <v>3.5099999999999999E-2</v>
      </c>
      <c r="U28" s="12">
        <v>0.3</v>
      </c>
      <c r="V28" s="9" t="s">
        <v>412</v>
      </c>
      <c r="W28" s="9" t="s">
        <v>604</v>
      </c>
      <c r="X28" s="9" t="s">
        <v>60</v>
      </c>
      <c r="Y28" s="9" t="s">
        <v>59</v>
      </c>
      <c r="Z28" s="9" t="s">
        <v>618</v>
      </c>
      <c r="AA28" s="9" t="s">
        <v>611</v>
      </c>
      <c r="AB28" s="11">
        <v>0.22134969279559341</v>
      </c>
      <c r="AC28" s="11">
        <v>0.24840922150707551</v>
      </c>
      <c r="AD28" s="11">
        <v>0.1452700303355807</v>
      </c>
      <c r="AE28" s="11">
        <v>0.21780253822293269</v>
      </c>
      <c r="AF28" s="11">
        <v>0.16716851713881789</v>
      </c>
      <c r="AG28" s="9" t="str">
        <f t="shared" si="0"/>
        <v>Estabilidad y continuidad</v>
      </c>
      <c r="AH28" s="9" t="s">
        <v>612</v>
      </c>
      <c r="AI28" s="9"/>
      <c r="AJ28" s="9" t="str">
        <f t="shared" si="1"/>
        <v>Estabilidad y continuidad</v>
      </c>
      <c r="AK28" s="9" t="str">
        <f>IFERROR(INDEX('[3]02_Arquetipos_Miedo_Sesgo'!$C$5:$C$9,MATCH(AJ28,'[3]02_Arquetipos_Miedo_Sesgo'!$A$5:$A$9,0)),"")</f>
        <v>Miedo a perder beneficios, subsidios, estabilidad institucional o condiciones de vida ya alcanzadas.</v>
      </c>
      <c r="AL28" s="9" t="str">
        <f>IFERROR(INDEX('[3]02_Arquetipos_Miedo_Sesgo'!$D$5:$D$9,MATCH(AJ28,'[3]02_Arquetipos_Miedo_Sesgo'!$A$5:$A$9,0)),"")</f>
        <v>Aversión a la pérdida + sesgo de statu quo + confirmación.</v>
      </c>
      <c r="AM28" s="9" t="str">
        <f>IFERROR(INDEX('[3]02_Arquetipos_Miedo_Sesgo'!$E$5:$E$9,MATCH(AJ28,'[3]02_Arquetipos_Miedo_Sesgo'!$A$5:$A$9,0)),"")</f>
        <v>Continuidad administrativa, servicios públicos, infraestructura, salud, educación y programas sociales.</v>
      </c>
      <c r="AN28" s="9" t="str">
        <f t="shared" si="2"/>
        <v>Alta</v>
      </c>
      <c r="AO28" s="9" t="s">
        <v>608</v>
      </c>
    </row>
    <row r="29" spans="1:41" ht="43.2">
      <c r="A29" s="9" t="s">
        <v>88</v>
      </c>
      <c r="B29" s="9" t="s">
        <v>55</v>
      </c>
      <c r="C29" s="9" t="s">
        <v>89</v>
      </c>
      <c r="D29" s="10">
        <v>3390</v>
      </c>
      <c r="E29" s="10">
        <v>2932</v>
      </c>
      <c r="F29" s="10">
        <v>2471</v>
      </c>
      <c r="G29" s="9" t="s">
        <v>601</v>
      </c>
      <c r="H29" s="11">
        <v>0.73126843657817109</v>
      </c>
      <c r="I29" s="11">
        <v>0.59882005899705015</v>
      </c>
      <c r="J29" s="9" t="s">
        <v>602</v>
      </c>
      <c r="K29" s="11">
        <v>0.31002728512960442</v>
      </c>
      <c r="L29" s="11">
        <v>0.1875852660300136</v>
      </c>
      <c r="M29" s="9" t="s">
        <v>603</v>
      </c>
      <c r="N29" s="11">
        <v>0.32982598138405511</v>
      </c>
      <c r="O29" s="11">
        <v>0.12343180898421691</v>
      </c>
      <c r="P29" s="12">
        <v>-0.41089999999999999</v>
      </c>
      <c r="Q29" s="9" t="s">
        <v>73</v>
      </c>
      <c r="R29" s="12">
        <v>0.45390000000000003</v>
      </c>
      <c r="S29" s="9" t="s">
        <v>75</v>
      </c>
      <c r="T29" s="12">
        <v>3.5099999999999999E-2</v>
      </c>
      <c r="U29" s="12">
        <v>0.3</v>
      </c>
      <c r="V29" s="9" t="s">
        <v>412</v>
      </c>
      <c r="W29" s="9" t="s">
        <v>604</v>
      </c>
      <c r="X29" s="9" t="s">
        <v>60</v>
      </c>
      <c r="Y29" s="9" t="s">
        <v>59</v>
      </c>
      <c r="Z29" s="9" t="s">
        <v>618</v>
      </c>
      <c r="AA29" s="9" t="s">
        <v>614</v>
      </c>
      <c r="AB29" s="11">
        <v>0.26760291806122249</v>
      </c>
      <c r="AC29" s="11">
        <v>0.21843984679289141</v>
      </c>
      <c r="AD29" s="11">
        <v>0.15568648325424439</v>
      </c>
      <c r="AE29" s="11">
        <v>0.18797078136123291</v>
      </c>
      <c r="AF29" s="11">
        <v>0.1702999705304088</v>
      </c>
      <c r="AG29" s="9" t="str">
        <f t="shared" si="0"/>
        <v>Protección y orden cotidiano</v>
      </c>
      <c r="AH29" s="9" t="s">
        <v>615</v>
      </c>
      <c r="AI29" s="9"/>
      <c r="AJ29" s="9" t="str">
        <f t="shared" si="1"/>
        <v>Protección y orden cotidiano</v>
      </c>
      <c r="AK29" s="9" t="str">
        <f>IFERROR(INDEX('[3]02_Arquetipos_Miedo_Sesgo'!$C$5:$C$9,MATCH(AJ29,'[3]02_Arquetipos_Miedo_Sesgo'!$A$5:$A$9,0)),"")</f>
        <v>Miedo a la inseguridad, al descontrol barrial y a perder la tranquilidad cotidiana.</v>
      </c>
      <c r="AL29" s="9" t="str">
        <f>IFERROR(INDEX('[3]02_Arquetipos_Miedo_Sesgo'!$D$5:$D$9,MATCH(AJ29,'[3]02_Arquetipos_Miedo_Sesgo'!$A$5:$A$9,0)),"")</f>
        <v>Sesgo de disponibilidad + sesgo de negatividad + preferencia por autoridad.</v>
      </c>
      <c r="AM29" s="9" t="str">
        <f>IFERROR(INDEX('[3]02_Arquetipos_Miedo_Sesgo'!$E$5:$E$9,MATCH(AJ29,'[3]02_Arquetipos_Miedo_Sesgo'!$A$5:$A$9,0)),"")</f>
        <v>Seguridad, convivencia, movilidad, alumbrado, reacción institucional rápida, presencia de autoridad.</v>
      </c>
      <c r="AN29" s="9" t="str">
        <f t="shared" si="2"/>
        <v>Alta</v>
      </c>
      <c r="AO29" s="9" t="s">
        <v>608</v>
      </c>
    </row>
    <row r="30" spans="1:41" ht="43.2">
      <c r="A30" s="9" t="s">
        <v>90</v>
      </c>
      <c r="B30" s="9" t="s">
        <v>55</v>
      </c>
      <c r="C30" s="9" t="s">
        <v>91</v>
      </c>
      <c r="D30" s="10">
        <v>10353</v>
      </c>
      <c r="E30" s="10">
        <v>8862</v>
      </c>
      <c r="F30" s="10">
        <v>7339</v>
      </c>
      <c r="G30" s="9" t="s">
        <v>601</v>
      </c>
      <c r="H30" s="11">
        <v>0.76441611127209508</v>
      </c>
      <c r="I30" s="11">
        <v>0.64309861875784802</v>
      </c>
      <c r="J30" s="9" t="s">
        <v>602</v>
      </c>
      <c r="K30" s="11">
        <v>0.28526292033401041</v>
      </c>
      <c r="L30" s="11">
        <v>0.15888061385691721</v>
      </c>
      <c r="M30" s="9" t="s">
        <v>603</v>
      </c>
      <c r="N30" s="11">
        <v>0.31407548712358629</v>
      </c>
      <c r="O30" s="11">
        <v>0.15942226461370759</v>
      </c>
      <c r="P30" s="12">
        <v>-0.41089999999999999</v>
      </c>
      <c r="Q30" s="9" t="s">
        <v>73</v>
      </c>
      <c r="R30" s="12">
        <v>0.45390000000000003</v>
      </c>
      <c r="S30" s="9" t="s">
        <v>75</v>
      </c>
      <c r="T30" s="12">
        <v>3.5099999999999999E-2</v>
      </c>
      <c r="U30" s="12">
        <v>0.3</v>
      </c>
      <c r="V30" s="9" t="s">
        <v>412</v>
      </c>
      <c r="W30" s="9" t="s">
        <v>604</v>
      </c>
      <c r="X30" s="9" t="s">
        <v>60</v>
      </c>
      <c r="Y30" s="9" t="s">
        <v>59</v>
      </c>
      <c r="Z30" s="9" t="s">
        <v>618</v>
      </c>
      <c r="AA30" s="9" t="s">
        <v>614</v>
      </c>
      <c r="AB30" s="11">
        <v>0.28054960812532159</v>
      </c>
      <c r="AC30" s="11">
        <v>0.20543549723176119</v>
      </c>
      <c r="AD30" s="11">
        <v>0.16454903244491681</v>
      </c>
      <c r="AE30" s="11">
        <v>0.19060882917257979</v>
      </c>
      <c r="AF30" s="11">
        <v>0.1588570330254204</v>
      </c>
      <c r="AG30" s="9" t="str">
        <f t="shared" si="0"/>
        <v>Protección y orden cotidiano</v>
      </c>
      <c r="AH30" s="9" t="s">
        <v>615</v>
      </c>
      <c r="AI30" s="9"/>
      <c r="AJ30" s="9" t="str">
        <f t="shared" si="1"/>
        <v>Protección y orden cotidiano</v>
      </c>
      <c r="AK30" s="9" t="str">
        <f>IFERROR(INDEX('[3]02_Arquetipos_Miedo_Sesgo'!$C$5:$C$9,MATCH(AJ30,'[3]02_Arquetipos_Miedo_Sesgo'!$A$5:$A$9,0)),"")</f>
        <v>Miedo a la inseguridad, al descontrol barrial y a perder la tranquilidad cotidiana.</v>
      </c>
      <c r="AL30" s="9" t="str">
        <f>IFERROR(INDEX('[3]02_Arquetipos_Miedo_Sesgo'!$D$5:$D$9,MATCH(AJ30,'[3]02_Arquetipos_Miedo_Sesgo'!$A$5:$A$9,0)),"")</f>
        <v>Sesgo de disponibilidad + sesgo de negatividad + preferencia por autoridad.</v>
      </c>
      <c r="AM30" s="9" t="str">
        <f>IFERROR(INDEX('[3]02_Arquetipos_Miedo_Sesgo'!$E$5:$E$9,MATCH(AJ30,'[3]02_Arquetipos_Miedo_Sesgo'!$A$5:$A$9,0)),"")</f>
        <v>Seguridad, convivencia, movilidad, alumbrado, reacción institucional rápida, presencia de autoridad.</v>
      </c>
      <c r="AN30" s="9" t="str">
        <f t="shared" si="2"/>
        <v>Alta</v>
      </c>
      <c r="AO30" s="9" t="s">
        <v>608</v>
      </c>
    </row>
    <row r="31" spans="1:41" ht="43.2">
      <c r="A31" s="9" t="s">
        <v>92</v>
      </c>
      <c r="B31" s="9" t="s">
        <v>55</v>
      </c>
      <c r="C31" s="9" t="s">
        <v>55</v>
      </c>
      <c r="D31" s="10">
        <v>6716</v>
      </c>
      <c r="E31" s="10">
        <v>5651</v>
      </c>
      <c r="F31" s="10">
        <v>4651</v>
      </c>
      <c r="G31" s="9" t="s">
        <v>601</v>
      </c>
      <c r="H31" s="11">
        <v>0.75804050029779635</v>
      </c>
      <c r="I31" s="11">
        <v>0.62492555092316859</v>
      </c>
      <c r="J31" s="9" t="s">
        <v>602</v>
      </c>
      <c r="K31" s="11">
        <v>0.29552291629800043</v>
      </c>
      <c r="L31" s="11">
        <v>0.1665192001415679</v>
      </c>
      <c r="M31" s="9" t="s">
        <v>603</v>
      </c>
      <c r="N31" s="11">
        <v>0.32788647602666088</v>
      </c>
      <c r="O31" s="11">
        <v>0.14599010965383791</v>
      </c>
      <c r="P31" s="12">
        <v>-0.41089999999999999</v>
      </c>
      <c r="Q31" s="9" t="s">
        <v>73</v>
      </c>
      <c r="R31" s="12">
        <v>0.45390000000000003</v>
      </c>
      <c r="S31" s="9" t="s">
        <v>75</v>
      </c>
      <c r="T31" s="12">
        <v>3.5099999999999999E-2</v>
      </c>
      <c r="U31" s="12">
        <v>0.3</v>
      </c>
      <c r="V31" s="9" t="s">
        <v>412</v>
      </c>
      <c r="W31" s="9" t="s">
        <v>604</v>
      </c>
      <c r="X31" s="9" t="s">
        <v>60</v>
      </c>
      <c r="Y31" s="9" t="s">
        <v>59</v>
      </c>
      <c r="Z31" s="9" t="s">
        <v>618</v>
      </c>
      <c r="AA31" s="9" t="s">
        <v>614</v>
      </c>
      <c r="AB31" s="11">
        <v>0.27501699940158492</v>
      </c>
      <c r="AC31" s="11">
        <v>0.21701022627470959</v>
      </c>
      <c r="AD31" s="11">
        <v>0.1584540708887161</v>
      </c>
      <c r="AE31" s="11">
        <v>0.184276505377759</v>
      </c>
      <c r="AF31" s="11">
        <v>0.16524219805723039</v>
      </c>
      <c r="AG31" s="9" t="str">
        <f t="shared" si="0"/>
        <v>Protección y orden cotidiano</v>
      </c>
      <c r="AH31" s="9" t="s">
        <v>615</v>
      </c>
      <c r="AI31" s="9"/>
      <c r="AJ31" s="9" t="str">
        <f t="shared" si="1"/>
        <v>Protección y orden cotidiano</v>
      </c>
      <c r="AK31" s="9" t="str">
        <f>IFERROR(INDEX('[3]02_Arquetipos_Miedo_Sesgo'!$C$5:$C$9,MATCH(AJ31,'[3]02_Arquetipos_Miedo_Sesgo'!$A$5:$A$9,0)),"")</f>
        <v>Miedo a la inseguridad, al descontrol barrial y a perder la tranquilidad cotidiana.</v>
      </c>
      <c r="AL31" s="9" t="str">
        <f>IFERROR(INDEX('[3]02_Arquetipos_Miedo_Sesgo'!$D$5:$D$9,MATCH(AJ31,'[3]02_Arquetipos_Miedo_Sesgo'!$A$5:$A$9,0)),"")</f>
        <v>Sesgo de disponibilidad + sesgo de negatividad + preferencia por autoridad.</v>
      </c>
      <c r="AM31" s="9" t="str">
        <f>IFERROR(INDEX('[3]02_Arquetipos_Miedo_Sesgo'!$E$5:$E$9,MATCH(AJ31,'[3]02_Arquetipos_Miedo_Sesgo'!$A$5:$A$9,0)),"")</f>
        <v>Seguridad, convivencia, movilidad, alumbrado, reacción institucional rápida, presencia de autoridad.</v>
      </c>
      <c r="AN31" s="9" t="str">
        <f t="shared" si="2"/>
        <v>Alta</v>
      </c>
      <c r="AO31" s="9" t="s">
        <v>608</v>
      </c>
    </row>
    <row r="32" spans="1:41" ht="43.2">
      <c r="A32" s="9" t="s">
        <v>93</v>
      </c>
      <c r="B32" s="9" t="s">
        <v>55</v>
      </c>
      <c r="C32" s="9" t="s">
        <v>94</v>
      </c>
      <c r="D32" s="10">
        <v>8356</v>
      </c>
      <c r="E32" s="10">
        <v>6741</v>
      </c>
      <c r="F32" s="10">
        <v>5455</v>
      </c>
      <c r="G32" s="9" t="s">
        <v>601</v>
      </c>
      <c r="H32" s="11">
        <v>0.74832455720440405</v>
      </c>
      <c r="I32" s="11">
        <v>0.60698898994734329</v>
      </c>
      <c r="J32" s="9" t="s">
        <v>602</v>
      </c>
      <c r="K32" s="11">
        <v>0.31686693368936358</v>
      </c>
      <c r="L32" s="11">
        <v>0.20738762794837559</v>
      </c>
      <c r="M32" s="9" t="s">
        <v>603</v>
      </c>
      <c r="N32" s="11">
        <v>0.32978918423464709</v>
      </c>
      <c r="O32" s="11">
        <v>0.14628780934922089</v>
      </c>
      <c r="P32" s="12">
        <v>-0.41089999999999999</v>
      </c>
      <c r="Q32" s="9" t="s">
        <v>73</v>
      </c>
      <c r="R32" s="12">
        <v>0.45390000000000003</v>
      </c>
      <c r="S32" s="9" t="s">
        <v>75</v>
      </c>
      <c r="T32" s="12">
        <v>3.5099999999999999E-2</v>
      </c>
      <c r="U32" s="12">
        <v>0.3</v>
      </c>
      <c r="V32" s="9" t="s">
        <v>412</v>
      </c>
      <c r="W32" s="9" t="s">
        <v>604</v>
      </c>
      <c r="X32" s="9" t="s">
        <v>60</v>
      </c>
      <c r="Y32" s="9" t="s">
        <v>59</v>
      </c>
      <c r="Z32" s="9" t="s">
        <v>618</v>
      </c>
      <c r="AA32" s="9" t="s">
        <v>614</v>
      </c>
      <c r="AB32" s="11">
        <v>0.25438500907331929</v>
      </c>
      <c r="AC32" s="11">
        <v>0.2141677621762437</v>
      </c>
      <c r="AD32" s="11">
        <v>0.14720436478034041</v>
      </c>
      <c r="AE32" s="11">
        <v>0.2259374937543383</v>
      </c>
      <c r="AF32" s="11">
        <v>0.15830537021575841</v>
      </c>
      <c r="AG32" s="9" t="str">
        <f t="shared" si="0"/>
        <v>Protección y orden cotidiano</v>
      </c>
      <c r="AH32" s="9" t="s">
        <v>615</v>
      </c>
      <c r="AI32" s="9"/>
      <c r="AJ32" s="9" t="str">
        <f t="shared" si="1"/>
        <v>Protección y orden cotidiano</v>
      </c>
      <c r="AK32" s="9" t="str">
        <f>IFERROR(INDEX('[3]02_Arquetipos_Miedo_Sesgo'!$C$5:$C$9,MATCH(AJ32,'[3]02_Arquetipos_Miedo_Sesgo'!$A$5:$A$9,0)),"")</f>
        <v>Miedo a la inseguridad, al descontrol barrial y a perder la tranquilidad cotidiana.</v>
      </c>
      <c r="AL32" s="9" t="str">
        <f>IFERROR(INDEX('[3]02_Arquetipos_Miedo_Sesgo'!$D$5:$D$9,MATCH(AJ32,'[3]02_Arquetipos_Miedo_Sesgo'!$A$5:$A$9,0)),"")</f>
        <v>Sesgo de disponibilidad + sesgo de negatividad + preferencia por autoridad.</v>
      </c>
      <c r="AM32" s="9" t="str">
        <f>IFERROR(INDEX('[3]02_Arquetipos_Miedo_Sesgo'!$E$5:$E$9,MATCH(AJ32,'[3]02_Arquetipos_Miedo_Sesgo'!$A$5:$A$9,0)),"")</f>
        <v>Seguridad, convivencia, movilidad, alumbrado, reacción institucional rápida, presencia de autoridad.</v>
      </c>
      <c r="AN32" s="9" t="str">
        <f t="shared" si="2"/>
        <v>Alta</v>
      </c>
      <c r="AO32" s="9" t="s">
        <v>608</v>
      </c>
    </row>
    <row r="33" spans="1:41" ht="43.2">
      <c r="A33" s="9" t="s">
        <v>507</v>
      </c>
      <c r="B33" s="9" t="s">
        <v>150</v>
      </c>
      <c r="C33" s="9" t="s">
        <v>508</v>
      </c>
      <c r="D33" s="10">
        <v>1239</v>
      </c>
      <c r="E33" s="10">
        <v>1077</v>
      </c>
      <c r="F33" s="10">
        <v>942</v>
      </c>
      <c r="G33" s="9" t="s">
        <v>601</v>
      </c>
      <c r="H33" s="11">
        <v>0.70217917675544794</v>
      </c>
      <c r="I33" s="11">
        <v>0.51412429378531077</v>
      </c>
      <c r="J33" s="9" t="s">
        <v>602</v>
      </c>
      <c r="K33" s="11">
        <v>0.27298050139275759</v>
      </c>
      <c r="L33" s="11">
        <v>0.15041782729805009</v>
      </c>
      <c r="M33" s="9" t="s">
        <v>603</v>
      </c>
      <c r="N33" s="11">
        <v>0.26114649681528662</v>
      </c>
      <c r="O33" s="11">
        <v>1.38004246284501E-2</v>
      </c>
      <c r="P33" s="12">
        <v>-0.41089999999999999</v>
      </c>
      <c r="Q33" s="9" t="s">
        <v>73</v>
      </c>
      <c r="R33" s="12">
        <v>0.45390000000000003</v>
      </c>
      <c r="S33" s="9" t="s">
        <v>75</v>
      </c>
      <c r="T33" s="12">
        <v>3.5099999999999999E-2</v>
      </c>
      <c r="U33" s="12">
        <v>0.3</v>
      </c>
      <c r="V33" s="9" t="s">
        <v>412</v>
      </c>
      <c r="W33" s="9" t="s">
        <v>604</v>
      </c>
      <c r="X33" s="9" t="s">
        <v>131</v>
      </c>
      <c r="Y33" s="9" t="s">
        <v>152</v>
      </c>
      <c r="Z33" s="9" t="s">
        <v>621</v>
      </c>
      <c r="AA33" s="9" t="s">
        <v>611</v>
      </c>
      <c r="AB33" s="11">
        <v>0.2421068534284164</v>
      </c>
      <c r="AC33" s="11">
        <v>0.24285302545960971</v>
      </c>
      <c r="AD33" s="11">
        <v>0.12172093450241971</v>
      </c>
      <c r="AE33" s="11">
        <v>0.2245222711882891</v>
      </c>
      <c r="AF33" s="11">
        <v>0.16879691542126499</v>
      </c>
      <c r="AG33" s="9" t="str">
        <f t="shared" si="0"/>
        <v>Estabilidad y continuidad</v>
      </c>
      <c r="AH33" s="9" t="s">
        <v>612</v>
      </c>
      <c r="AI33" s="9"/>
      <c r="AJ33" s="9" t="str">
        <f t="shared" si="1"/>
        <v>Estabilidad y continuidad</v>
      </c>
      <c r="AK33" s="9" t="str">
        <f>IFERROR(INDEX('[3]02_Arquetipos_Miedo_Sesgo'!$C$5:$C$9,MATCH(AJ33,'[3]02_Arquetipos_Miedo_Sesgo'!$A$5:$A$9,0)),"")</f>
        <v>Miedo a perder beneficios, subsidios, estabilidad institucional o condiciones de vida ya alcanzadas.</v>
      </c>
      <c r="AL33" s="9" t="str">
        <f>IFERROR(INDEX('[3]02_Arquetipos_Miedo_Sesgo'!$D$5:$D$9,MATCH(AJ33,'[3]02_Arquetipos_Miedo_Sesgo'!$A$5:$A$9,0)),"")</f>
        <v>Aversión a la pérdida + sesgo de statu quo + confirmación.</v>
      </c>
      <c r="AM33" s="9" t="str">
        <f>IFERROR(INDEX('[3]02_Arquetipos_Miedo_Sesgo'!$E$5:$E$9,MATCH(AJ33,'[3]02_Arquetipos_Miedo_Sesgo'!$A$5:$A$9,0)),"")</f>
        <v>Continuidad administrativa, servicios públicos, infraestructura, salud, educación y programas sociales.</v>
      </c>
      <c r="AN33" s="9" t="str">
        <f t="shared" si="2"/>
        <v>Media</v>
      </c>
      <c r="AO33" s="9" t="s">
        <v>608</v>
      </c>
    </row>
    <row r="34" spans="1:41" ht="43.2">
      <c r="A34" s="9" t="s">
        <v>149</v>
      </c>
      <c r="B34" s="9" t="s">
        <v>150</v>
      </c>
      <c r="C34" s="9" t="s">
        <v>151</v>
      </c>
      <c r="D34" s="10">
        <v>7942</v>
      </c>
      <c r="E34" s="10">
        <v>7050</v>
      </c>
      <c r="F34" s="10">
        <v>6245</v>
      </c>
      <c r="G34" s="9" t="s">
        <v>601</v>
      </c>
      <c r="H34" s="11">
        <v>0.78607403676655752</v>
      </c>
      <c r="I34" s="11">
        <v>0.67237471669604632</v>
      </c>
      <c r="J34" s="9" t="s">
        <v>602</v>
      </c>
      <c r="K34" s="11">
        <v>0.2390070921985816</v>
      </c>
      <c r="L34" s="11">
        <v>7.2198581560283692E-2</v>
      </c>
      <c r="M34" s="9" t="s">
        <v>603</v>
      </c>
      <c r="N34" s="11">
        <v>0.26469175340272222</v>
      </c>
      <c r="O34" s="11">
        <v>2.3058446757405902E-2</v>
      </c>
      <c r="P34" s="12">
        <v>-0.41089999999999999</v>
      </c>
      <c r="Q34" s="9" t="s">
        <v>73</v>
      </c>
      <c r="R34" s="12">
        <v>0.45390000000000003</v>
      </c>
      <c r="S34" s="9" t="s">
        <v>75</v>
      </c>
      <c r="T34" s="12">
        <v>3.5099999999999999E-2</v>
      </c>
      <c r="U34" s="12">
        <v>0.3</v>
      </c>
      <c r="V34" s="9" t="s">
        <v>412</v>
      </c>
      <c r="W34" s="9" t="s">
        <v>604</v>
      </c>
      <c r="X34" s="9" t="s">
        <v>131</v>
      </c>
      <c r="Y34" s="9" t="s">
        <v>152</v>
      </c>
      <c r="Z34" s="9" t="s">
        <v>621</v>
      </c>
      <c r="AA34" s="9" t="s">
        <v>614</v>
      </c>
      <c r="AB34" s="11">
        <v>0.28496636775648548</v>
      </c>
      <c r="AC34" s="11">
        <v>0.2337286254792936</v>
      </c>
      <c r="AD34" s="11">
        <v>0.12589751300158569</v>
      </c>
      <c r="AE34" s="11">
        <v>0.1818231044860206</v>
      </c>
      <c r="AF34" s="11">
        <v>0.1735843892766146</v>
      </c>
      <c r="AG34" s="9" t="str">
        <f t="shared" si="0"/>
        <v>Protección y orden cotidiano</v>
      </c>
      <c r="AH34" s="9" t="s">
        <v>615</v>
      </c>
      <c r="AI34" s="9"/>
      <c r="AJ34" s="9" t="str">
        <f t="shared" si="1"/>
        <v>Protección y orden cotidiano</v>
      </c>
      <c r="AK34" s="9" t="str">
        <f>IFERROR(INDEX('[3]02_Arquetipos_Miedo_Sesgo'!$C$5:$C$9,MATCH(AJ34,'[3]02_Arquetipos_Miedo_Sesgo'!$A$5:$A$9,0)),"")</f>
        <v>Miedo a la inseguridad, al descontrol barrial y a perder la tranquilidad cotidiana.</v>
      </c>
      <c r="AL34" s="9" t="str">
        <f>IFERROR(INDEX('[3]02_Arquetipos_Miedo_Sesgo'!$D$5:$D$9,MATCH(AJ34,'[3]02_Arquetipos_Miedo_Sesgo'!$A$5:$A$9,0)),"")</f>
        <v>Sesgo de disponibilidad + sesgo de negatividad + preferencia por autoridad.</v>
      </c>
      <c r="AM34" s="9" t="str">
        <f>IFERROR(INDEX('[3]02_Arquetipos_Miedo_Sesgo'!$E$5:$E$9,MATCH(AJ34,'[3]02_Arquetipos_Miedo_Sesgo'!$A$5:$A$9,0)),"")</f>
        <v>Seguridad, convivencia, movilidad, alumbrado, reacción institucional rápida, presencia de autoridad.</v>
      </c>
      <c r="AN34" s="9" t="str">
        <f t="shared" si="2"/>
        <v>Media</v>
      </c>
      <c r="AO34" s="9" t="s">
        <v>608</v>
      </c>
    </row>
    <row r="35" spans="1:41" ht="43.2">
      <c r="A35" s="9" t="s">
        <v>158</v>
      </c>
      <c r="B35" s="9" t="s">
        <v>150</v>
      </c>
      <c r="C35" s="9" t="s">
        <v>159</v>
      </c>
      <c r="D35" s="10">
        <v>5665</v>
      </c>
      <c r="E35" s="10">
        <v>5046</v>
      </c>
      <c r="F35" s="10">
        <v>4368</v>
      </c>
      <c r="G35" s="9" t="s">
        <v>601</v>
      </c>
      <c r="H35" s="11">
        <v>0.80812003530450127</v>
      </c>
      <c r="I35" s="11">
        <v>0.70785525154457185</v>
      </c>
      <c r="J35" s="9" t="s">
        <v>602</v>
      </c>
      <c r="K35" s="11">
        <v>0.22592152199762189</v>
      </c>
      <c r="L35" s="11">
        <v>7.1343638525564801E-2</v>
      </c>
      <c r="M35" s="9" t="s">
        <v>603</v>
      </c>
      <c r="N35" s="11">
        <v>0.26442307692307693</v>
      </c>
      <c r="O35" s="11">
        <v>6.3186813186813184E-2</v>
      </c>
      <c r="P35" s="12">
        <v>-0.41089999999999999</v>
      </c>
      <c r="Q35" s="9" t="s">
        <v>73</v>
      </c>
      <c r="R35" s="12">
        <v>0.45390000000000003</v>
      </c>
      <c r="S35" s="9" t="s">
        <v>75</v>
      </c>
      <c r="T35" s="12">
        <v>3.5099999999999999E-2</v>
      </c>
      <c r="U35" s="12">
        <v>0.3</v>
      </c>
      <c r="V35" s="9" t="s">
        <v>412</v>
      </c>
      <c r="W35" s="9" t="s">
        <v>604</v>
      </c>
      <c r="X35" s="9" t="s">
        <v>131</v>
      </c>
      <c r="Y35" s="9" t="s">
        <v>152</v>
      </c>
      <c r="Z35" s="9" t="s">
        <v>621</v>
      </c>
      <c r="AA35" s="9" t="s">
        <v>614</v>
      </c>
      <c r="AB35" s="11">
        <v>0.28278889460229639</v>
      </c>
      <c r="AC35" s="11">
        <v>0.2215413498137925</v>
      </c>
      <c r="AD35" s="11">
        <v>0.1399552975277254</v>
      </c>
      <c r="AE35" s="11">
        <v>0.17487631538133</v>
      </c>
      <c r="AF35" s="11">
        <v>0.1808381426748556</v>
      </c>
      <c r="AG35" s="9" t="str">
        <f t="shared" si="0"/>
        <v>Protección y orden cotidiano</v>
      </c>
      <c r="AH35" s="9" t="s">
        <v>615</v>
      </c>
      <c r="AI35" s="9"/>
      <c r="AJ35" s="9" t="str">
        <f t="shared" si="1"/>
        <v>Protección y orden cotidiano</v>
      </c>
      <c r="AK35" s="9" t="str">
        <f>IFERROR(INDEX('[3]02_Arquetipos_Miedo_Sesgo'!$C$5:$C$9,MATCH(AJ35,'[3]02_Arquetipos_Miedo_Sesgo'!$A$5:$A$9,0)),"")</f>
        <v>Miedo a la inseguridad, al descontrol barrial y a perder la tranquilidad cotidiana.</v>
      </c>
      <c r="AL35" s="9" t="str">
        <f>IFERROR(INDEX('[3]02_Arquetipos_Miedo_Sesgo'!$D$5:$D$9,MATCH(AJ35,'[3]02_Arquetipos_Miedo_Sesgo'!$A$5:$A$9,0)),"")</f>
        <v>Sesgo de disponibilidad + sesgo de negatividad + preferencia por autoridad.</v>
      </c>
      <c r="AM35" s="9" t="str">
        <f>IFERROR(INDEX('[3]02_Arquetipos_Miedo_Sesgo'!$E$5:$E$9,MATCH(AJ35,'[3]02_Arquetipos_Miedo_Sesgo'!$A$5:$A$9,0)),"")</f>
        <v>Seguridad, convivencia, movilidad, alumbrado, reacción institucional rápida, presencia de autoridad.</v>
      </c>
      <c r="AN35" s="9" t="str">
        <f t="shared" si="2"/>
        <v>Media</v>
      </c>
      <c r="AO35" s="9" t="s">
        <v>608</v>
      </c>
    </row>
    <row r="36" spans="1:41" ht="43.2">
      <c r="A36" s="9" t="s">
        <v>160</v>
      </c>
      <c r="B36" s="9" t="s">
        <v>150</v>
      </c>
      <c r="C36" s="9" t="s">
        <v>161</v>
      </c>
      <c r="D36" s="10">
        <v>4786</v>
      </c>
      <c r="E36" s="10">
        <v>4042</v>
      </c>
      <c r="F36" s="10">
        <v>3228</v>
      </c>
      <c r="G36" s="9" t="s">
        <v>601</v>
      </c>
      <c r="H36" s="11">
        <v>0.7496865858754701</v>
      </c>
      <c r="I36" s="11">
        <v>0.61596322607605514</v>
      </c>
      <c r="J36" s="9" t="s">
        <v>602</v>
      </c>
      <c r="K36" s="11">
        <v>0.28995546759030177</v>
      </c>
      <c r="L36" s="11">
        <v>0.1553686293913904</v>
      </c>
      <c r="M36" s="9" t="s">
        <v>603</v>
      </c>
      <c r="N36" s="11">
        <v>0.31195786864931851</v>
      </c>
      <c r="O36" s="11">
        <v>6.8773234200743494E-2</v>
      </c>
      <c r="P36" s="12">
        <v>-0.41089999999999999</v>
      </c>
      <c r="Q36" s="9" t="s">
        <v>73</v>
      </c>
      <c r="R36" s="12">
        <v>0.45390000000000003</v>
      </c>
      <c r="S36" s="9" t="s">
        <v>75</v>
      </c>
      <c r="T36" s="12">
        <v>3.5099999999999999E-2</v>
      </c>
      <c r="U36" s="12">
        <v>0.3</v>
      </c>
      <c r="V36" s="9" t="s">
        <v>412</v>
      </c>
      <c r="W36" s="9" t="s">
        <v>604</v>
      </c>
      <c r="X36" s="9" t="s">
        <v>131</v>
      </c>
      <c r="Y36" s="9" t="s">
        <v>152</v>
      </c>
      <c r="Z36" s="9" t="s">
        <v>621</v>
      </c>
      <c r="AA36" s="9" t="s">
        <v>614</v>
      </c>
      <c r="AB36" s="11">
        <v>0.26258356823357287</v>
      </c>
      <c r="AC36" s="11">
        <v>0.22146741662255279</v>
      </c>
      <c r="AD36" s="11">
        <v>0.13687140929245659</v>
      </c>
      <c r="AE36" s="11">
        <v>0.20861591291471679</v>
      </c>
      <c r="AF36" s="11">
        <v>0.17046169293670091</v>
      </c>
      <c r="AG36" s="9" t="str">
        <f t="shared" si="0"/>
        <v>Protección y orden cotidiano</v>
      </c>
      <c r="AH36" s="9" t="s">
        <v>615</v>
      </c>
      <c r="AI36" s="9"/>
      <c r="AJ36" s="9" t="str">
        <f t="shared" si="1"/>
        <v>Protección y orden cotidiano</v>
      </c>
      <c r="AK36" s="9" t="str">
        <f>IFERROR(INDEX('[3]02_Arquetipos_Miedo_Sesgo'!$C$5:$C$9,MATCH(AJ36,'[3]02_Arquetipos_Miedo_Sesgo'!$A$5:$A$9,0)),"")</f>
        <v>Miedo a la inseguridad, al descontrol barrial y a perder la tranquilidad cotidiana.</v>
      </c>
      <c r="AL36" s="9" t="str">
        <f>IFERROR(INDEX('[3]02_Arquetipos_Miedo_Sesgo'!$D$5:$D$9,MATCH(AJ36,'[3]02_Arquetipos_Miedo_Sesgo'!$A$5:$A$9,0)),"")</f>
        <v>Sesgo de disponibilidad + sesgo de negatividad + preferencia por autoridad.</v>
      </c>
      <c r="AM36" s="9" t="str">
        <f>IFERROR(INDEX('[3]02_Arquetipos_Miedo_Sesgo'!$E$5:$E$9,MATCH(AJ36,'[3]02_Arquetipos_Miedo_Sesgo'!$A$5:$A$9,0)),"")</f>
        <v>Seguridad, convivencia, movilidad, alumbrado, reacción institucional rápida, presencia de autoridad.</v>
      </c>
      <c r="AN36" s="9" t="str">
        <f t="shared" si="2"/>
        <v>Media</v>
      </c>
      <c r="AO36" s="9" t="s">
        <v>608</v>
      </c>
    </row>
    <row r="37" spans="1:41" ht="43.2">
      <c r="A37" s="9" t="s">
        <v>162</v>
      </c>
      <c r="B37" s="9" t="s">
        <v>150</v>
      </c>
      <c r="C37" s="9" t="s">
        <v>163</v>
      </c>
      <c r="D37" s="10">
        <v>7783</v>
      </c>
      <c r="E37" s="10">
        <v>6644</v>
      </c>
      <c r="F37" s="10">
        <v>5733</v>
      </c>
      <c r="G37" s="9" t="s">
        <v>601</v>
      </c>
      <c r="H37" s="11">
        <v>0.73442117435436205</v>
      </c>
      <c r="I37" s="11">
        <v>0.57998201207760502</v>
      </c>
      <c r="J37" s="9" t="s">
        <v>602</v>
      </c>
      <c r="K37" s="11">
        <v>0.28521974714027692</v>
      </c>
      <c r="L37" s="11">
        <v>0.15638169777242619</v>
      </c>
      <c r="M37" s="9" t="s">
        <v>610</v>
      </c>
      <c r="N37" s="11">
        <v>0.30350601779173209</v>
      </c>
      <c r="O37" s="11">
        <v>1.5698587127158551E-2</v>
      </c>
      <c r="P37" s="12">
        <v>-0.41089999999999999</v>
      </c>
      <c r="Q37" s="9" t="s">
        <v>73</v>
      </c>
      <c r="R37" s="12">
        <v>8.48E-2</v>
      </c>
      <c r="S37" s="9" t="s">
        <v>412</v>
      </c>
      <c r="T37" s="12">
        <v>-0.19400000000000001</v>
      </c>
      <c r="U37" s="12">
        <v>0.22989999999999999</v>
      </c>
      <c r="V37" s="9" t="s">
        <v>412</v>
      </c>
      <c r="W37" s="9" t="s">
        <v>604</v>
      </c>
      <c r="X37" s="9" t="s">
        <v>131</v>
      </c>
      <c r="Y37" s="9" t="s">
        <v>152</v>
      </c>
      <c r="Z37" s="9" t="s">
        <v>621</v>
      </c>
      <c r="AA37" s="9" t="s">
        <v>614</v>
      </c>
      <c r="AB37" s="11">
        <v>0.25778263910595139</v>
      </c>
      <c r="AC37" s="11">
        <v>0.24265523917734369</v>
      </c>
      <c r="AD37" s="11">
        <v>0.1224919589515843</v>
      </c>
      <c r="AE37" s="11">
        <v>0.1975635237879457</v>
      </c>
      <c r="AF37" s="11">
        <v>0.17950663897717489</v>
      </c>
      <c r="AG37" s="9" t="str">
        <f t="shared" si="0"/>
        <v>Protección y orden cotidiano</v>
      </c>
      <c r="AH37" s="9" t="s">
        <v>615</v>
      </c>
      <c r="AI37" s="9"/>
      <c r="AJ37" s="9" t="str">
        <f t="shared" si="1"/>
        <v>Protección y orden cotidiano</v>
      </c>
      <c r="AK37" s="9" t="str">
        <f>IFERROR(INDEX('[3]02_Arquetipos_Miedo_Sesgo'!$C$5:$C$9,MATCH(AJ37,'[3]02_Arquetipos_Miedo_Sesgo'!$A$5:$A$9,0)),"")</f>
        <v>Miedo a la inseguridad, al descontrol barrial y a perder la tranquilidad cotidiana.</v>
      </c>
      <c r="AL37" s="9" t="str">
        <f>IFERROR(INDEX('[3]02_Arquetipos_Miedo_Sesgo'!$D$5:$D$9,MATCH(AJ37,'[3]02_Arquetipos_Miedo_Sesgo'!$A$5:$A$9,0)),"")</f>
        <v>Sesgo de disponibilidad + sesgo de negatividad + preferencia por autoridad.</v>
      </c>
      <c r="AM37" s="9" t="str">
        <f>IFERROR(INDEX('[3]02_Arquetipos_Miedo_Sesgo'!$E$5:$E$9,MATCH(AJ37,'[3]02_Arquetipos_Miedo_Sesgo'!$A$5:$A$9,0)),"")</f>
        <v>Seguridad, convivencia, movilidad, alumbrado, reacción institucional rápida, presencia de autoridad.</v>
      </c>
      <c r="AN37" s="9" t="str">
        <f t="shared" si="2"/>
        <v>Media</v>
      </c>
      <c r="AO37" s="9" t="s">
        <v>608</v>
      </c>
    </row>
    <row r="38" spans="1:41" ht="43.2">
      <c r="A38" s="9" t="s">
        <v>511</v>
      </c>
      <c r="B38" s="9" t="s">
        <v>150</v>
      </c>
      <c r="C38" s="9" t="s">
        <v>512</v>
      </c>
      <c r="D38" s="10">
        <v>4150</v>
      </c>
      <c r="E38" s="10">
        <v>3571</v>
      </c>
      <c r="F38" s="10">
        <v>3047</v>
      </c>
      <c r="G38" s="9" t="s">
        <v>601</v>
      </c>
      <c r="H38" s="11">
        <v>0.6826506024096386</v>
      </c>
      <c r="I38" s="11">
        <v>0.48506024096385553</v>
      </c>
      <c r="J38" s="9" t="s">
        <v>602</v>
      </c>
      <c r="K38" s="11">
        <v>0.28255390646877632</v>
      </c>
      <c r="L38" s="11">
        <v>0.1442173060767292</v>
      </c>
      <c r="M38" s="9" t="s">
        <v>603</v>
      </c>
      <c r="N38" s="11">
        <v>0.27797833935018051</v>
      </c>
      <c r="O38" s="11">
        <v>5.7105349524122113E-2</v>
      </c>
      <c r="P38" s="12">
        <v>-0.41089999999999999</v>
      </c>
      <c r="Q38" s="9" t="s">
        <v>73</v>
      </c>
      <c r="R38" s="12">
        <v>0.45390000000000003</v>
      </c>
      <c r="S38" s="9" t="s">
        <v>75</v>
      </c>
      <c r="T38" s="12">
        <v>3.5099999999999999E-2</v>
      </c>
      <c r="U38" s="12">
        <v>0.3</v>
      </c>
      <c r="V38" s="9" t="s">
        <v>412</v>
      </c>
      <c r="W38" s="9" t="s">
        <v>604</v>
      </c>
      <c r="X38" s="9" t="s">
        <v>131</v>
      </c>
      <c r="Y38" s="9" t="s">
        <v>152</v>
      </c>
      <c r="Z38" s="9" t="s">
        <v>621</v>
      </c>
      <c r="AA38" s="9" t="s">
        <v>611</v>
      </c>
      <c r="AB38" s="11">
        <v>0.23468144401543631</v>
      </c>
      <c r="AC38" s="11">
        <v>0.25057403626214853</v>
      </c>
      <c r="AD38" s="11">
        <v>0.13427543938298239</v>
      </c>
      <c r="AE38" s="11">
        <v>0.20117395663299259</v>
      </c>
      <c r="AF38" s="11">
        <v>0.1792951237064401</v>
      </c>
      <c r="AG38" s="9" t="str">
        <f t="shared" si="0"/>
        <v>Estabilidad y continuidad</v>
      </c>
      <c r="AH38" s="9" t="s">
        <v>612</v>
      </c>
      <c r="AI38" s="9"/>
      <c r="AJ38" s="9" t="str">
        <f t="shared" si="1"/>
        <v>Estabilidad y continuidad</v>
      </c>
      <c r="AK38" s="9" t="str">
        <f>IFERROR(INDEX('[3]02_Arquetipos_Miedo_Sesgo'!$C$5:$C$9,MATCH(AJ38,'[3]02_Arquetipos_Miedo_Sesgo'!$A$5:$A$9,0)),"")</f>
        <v>Miedo a perder beneficios, subsidios, estabilidad institucional o condiciones de vida ya alcanzadas.</v>
      </c>
      <c r="AL38" s="9" t="str">
        <f>IFERROR(INDEX('[3]02_Arquetipos_Miedo_Sesgo'!$D$5:$D$9,MATCH(AJ38,'[3]02_Arquetipos_Miedo_Sesgo'!$A$5:$A$9,0)),"")</f>
        <v>Aversión a la pérdida + sesgo de statu quo + confirmación.</v>
      </c>
      <c r="AM38" s="9" t="str">
        <f>IFERROR(INDEX('[3]02_Arquetipos_Miedo_Sesgo'!$E$5:$E$9,MATCH(AJ38,'[3]02_Arquetipos_Miedo_Sesgo'!$A$5:$A$9,0)),"")</f>
        <v>Continuidad administrativa, servicios públicos, infraestructura, salud, educación y programas sociales.</v>
      </c>
      <c r="AN38" s="9" t="str">
        <f t="shared" si="2"/>
        <v>Media</v>
      </c>
      <c r="AO38" s="9" t="s">
        <v>608</v>
      </c>
    </row>
    <row r="39" spans="1:41" ht="43.2">
      <c r="A39" s="9" t="s">
        <v>164</v>
      </c>
      <c r="B39" s="9" t="s">
        <v>150</v>
      </c>
      <c r="C39" s="9" t="s">
        <v>165</v>
      </c>
      <c r="D39" s="10">
        <v>6921</v>
      </c>
      <c r="E39" s="10">
        <v>5750</v>
      </c>
      <c r="F39" s="10">
        <v>5199</v>
      </c>
      <c r="G39" s="9" t="s">
        <v>601</v>
      </c>
      <c r="H39" s="11">
        <v>0.77026441265713053</v>
      </c>
      <c r="I39" s="11">
        <v>0.65077300968068208</v>
      </c>
      <c r="J39" s="9" t="s">
        <v>602</v>
      </c>
      <c r="K39" s="11">
        <v>0.30904347826086959</v>
      </c>
      <c r="L39" s="11">
        <v>0.17652173913043481</v>
      </c>
      <c r="M39" s="9" t="s">
        <v>603</v>
      </c>
      <c r="N39" s="11">
        <v>0.28928640123100602</v>
      </c>
      <c r="O39" s="11">
        <v>4.6547412964031532E-2</v>
      </c>
      <c r="P39" s="12">
        <v>-0.41089999999999999</v>
      </c>
      <c r="Q39" s="9" t="s">
        <v>73</v>
      </c>
      <c r="R39" s="12">
        <v>0.45390000000000003</v>
      </c>
      <c r="S39" s="9" t="s">
        <v>75</v>
      </c>
      <c r="T39" s="12">
        <v>3.5099999999999999E-2</v>
      </c>
      <c r="U39" s="12">
        <v>0.3</v>
      </c>
      <c r="V39" s="9" t="s">
        <v>412</v>
      </c>
      <c r="W39" s="9" t="s">
        <v>604</v>
      </c>
      <c r="X39" s="9" t="s">
        <v>131</v>
      </c>
      <c r="Y39" s="9" t="s">
        <v>152</v>
      </c>
      <c r="Z39" s="9" t="s">
        <v>621</v>
      </c>
      <c r="AA39" s="9" t="s">
        <v>614</v>
      </c>
      <c r="AB39" s="11">
        <v>0.26679374242362902</v>
      </c>
      <c r="AC39" s="11">
        <v>0.22893707981444561</v>
      </c>
      <c r="AD39" s="11">
        <v>0.12900668549855479</v>
      </c>
      <c r="AE39" s="11">
        <v>0.20356471650673741</v>
      </c>
      <c r="AF39" s="11">
        <v>0.17169777575663339</v>
      </c>
      <c r="AG39" s="9" t="str">
        <f t="shared" si="0"/>
        <v>Protección y orden cotidiano</v>
      </c>
      <c r="AH39" s="9" t="s">
        <v>615</v>
      </c>
      <c r="AI39" s="9"/>
      <c r="AJ39" s="9" t="str">
        <f t="shared" si="1"/>
        <v>Protección y orden cotidiano</v>
      </c>
      <c r="AK39" s="9" t="str">
        <f>IFERROR(INDEX('[3]02_Arquetipos_Miedo_Sesgo'!$C$5:$C$9,MATCH(AJ39,'[3]02_Arquetipos_Miedo_Sesgo'!$A$5:$A$9,0)),"")</f>
        <v>Miedo a la inseguridad, al descontrol barrial y a perder la tranquilidad cotidiana.</v>
      </c>
      <c r="AL39" s="9" t="str">
        <f>IFERROR(INDEX('[3]02_Arquetipos_Miedo_Sesgo'!$D$5:$D$9,MATCH(AJ39,'[3]02_Arquetipos_Miedo_Sesgo'!$A$5:$A$9,0)),"")</f>
        <v>Sesgo de disponibilidad + sesgo de negatividad + preferencia por autoridad.</v>
      </c>
      <c r="AM39" s="9" t="str">
        <f>IFERROR(INDEX('[3]02_Arquetipos_Miedo_Sesgo'!$E$5:$E$9,MATCH(AJ39,'[3]02_Arquetipos_Miedo_Sesgo'!$A$5:$A$9,0)),"")</f>
        <v>Seguridad, convivencia, movilidad, alumbrado, reacción institucional rápida, presencia de autoridad.</v>
      </c>
      <c r="AN39" s="9" t="str">
        <f t="shared" si="2"/>
        <v>Media</v>
      </c>
      <c r="AO39" s="9" t="s">
        <v>608</v>
      </c>
    </row>
    <row r="40" spans="1:41" ht="43.2">
      <c r="A40" s="9" t="s">
        <v>166</v>
      </c>
      <c r="B40" s="9" t="s">
        <v>150</v>
      </c>
      <c r="C40" s="9" t="s">
        <v>167</v>
      </c>
      <c r="D40" s="10">
        <v>8708</v>
      </c>
      <c r="E40" s="10">
        <v>7210</v>
      </c>
      <c r="F40" s="10">
        <v>6133</v>
      </c>
      <c r="G40" s="9" t="s">
        <v>601</v>
      </c>
      <c r="H40" s="11">
        <v>0.77147450620119429</v>
      </c>
      <c r="I40" s="11">
        <v>0.64492420762517222</v>
      </c>
      <c r="J40" s="9" t="s">
        <v>602</v>
      </c>
      <c r="K40" s="11">
        <v>0.27475728155339812</v>
      </c>
      <c r="L40" s="11">
        <v>0.1029126213592233</v>
      </c>
      <c r="M40" s="9" t="s">
        <v>603</v>
      </c>
      <c r="N40" s="11">
        <v>0.30327735203000161</v>
      </c>
      <c r="O40" s="11">
        <v>8.2830588618946654E-2</v>
      </c>
      <c r="P40" s="12">
        <v>-0.41089999999999999</v>
      </c>
      <c r="Q40" s="9" t="s">
        <v>73</v>
      </c>
      <c r="R40" s="12">
        <v>0.45390000000000003</v>
      </c>
      <c r="S40" s="9" t="s">
        <v>75</v>
      </c>
      <c r="T40" s="12">
        <v>3.5099999999999999E-2</v>
      </c>
      <c r="U40" s="12">
        <v>0.3</v>
      </c>
      <c r="V40" s="9" t="s">
        <v>412</v>
      </c>
      <c r="W40" s="9" t="s">
        <v>604</v>
      </c>
      <c r="X40" s="9" t="s">
        <v>131</v>
      </c>
      <c r="Y40" s="9" t="s">
        <v>152</v>
      </c>
      <c r="Z40" s="9" t="s">
        <v>621</v>
      </c>
      <c r="AA40" s="9" t="s">
        <v>614</v>
      </c>
      <c r="AB40" s="11">
        <v>0.26600054531658351</v>
      </c>
      <c r="AC40" s="11">
        <v>0.22452833405587119</v>
      </c>
      <c r="AD40" s="11">
        <v>0.13604491967429691</v>
      </c>
      <c r="AE40" s="11">
        <v>0.20253120646432549</v>
      </c>
      <c r="AF40" s="11">
        <v>0.17089499448892301</v>
      </c>
      <c r="AG40" s="9" t="str">
        <f t="shared" si="0"/>
        <v>Protección y orden cotidiano</v>
      </c>
      <c r="AH40" s="9" t="s">
        <v>615</v>
      </c>
      <c r="AI40" s="9"/>
      <c r="AJ40" s="9" t="str">
        <f t="shared" si="1"/>
        <v>Protección y orden cotidiano</v>
      </c>
      <c r="AK40" s="9" t="str">
        <f>IFERROR(INDEX('[3]02_Arquetipos_Miedo_Sesgo'!$C$5:$C$9,MATCH(AJ40,'[3]02_Arquetipos_Miedo_Sesgo'!$A$5:$A$9,0)),"")</f>
        <v>Miedo a la inseguridad, al descontrol barrial y a perder la tranquilidad cotidiana.</v>
      </c>
      <c r="AL40" s="9" t="str">
        <f>IFERROR(INDEX('[3]02_Arquetipos_Miedo_Sesgo'!$D$5:$D$9,MATCH(AJ40,'[3]02_Arquetipos_Miedo_Sesgo'!$A$5:$A$9,0)),"")</f>
        <v>Sesgo de disponibilidad + sesgo de negatividad + preferencia por autoridad.</v>
      </c>
      <c r="AM40" s="9" t="str">
        <f>IFERROR(INDEX('[3]02_Arquetipos_Miedo_Sesgo'!$E$5:$E$9,MATCH(AJ40,'[3]02_Arquetipos_Miedo_Sesgo'!$A$5:$A$9,0)),"")</f>
        <v>Seguridad, convivencia, movilidad, alumbrado, reacción institucional rápida, presencia de autoridad.</v>
      </c>
      <c r="AN40" s="9" t="str">
        <f t="shared" si="2"/>
        <v>Media</v>
      </c>
      <c r="AO40" s="9" t="s">
        <v>608</v>
      </c>
    </row>
    <row r="41" spans="1:41" ht="43.2">
      <c r="A41" s="9" t="s">
        <v>190</v>
      </c>
      <c r="B41" s="9" t="s">
        <v>191</v>
      </c>
      <c r="C41" s="9" t="s">
        <v>192</v>
      </c>
      <c r="D41" s="10">
        <v>8953</v>
      </c>
      <c r="E41" s="10">
        <v>7492</v>
      </c>
      <c r="F41" s="10">
        <v>6873</v>
      </c>
      <c r="G41" s="9" t="s">
        <v>601</v>
      </c>
      <c r="H41" s="11">
        <v>0.78889757623143075</v>
      </c>
      <c r="I41" s="11">
        <v>0.67686808890874561</v>
      </c>
      <c r="J41" s="9" t="s">
        <v>602</v>
      </c>
      <c r="K41" s="11">
        <v>0.25987720234917239</v>
      </c>
      <c r="L41" s="11">
        <v>7.5013347570742128E-2</v>
      </c>
      <c r="M41" s="9" t="s">
        <v>603</v>
      </c>
      <c r="N41" s="11">
        <v>0.26873272224647171</v>
      </c>
      <c r="O41" s="11">
        <v>8.3078713807653137E-2</v>
      </c>
      <c r="P41" s="12">
        <v>-0.41089999999999999</v>
      </c>
      <c r="Q41" s="9" t="s">
        <v>73</v>
      </c>
      <c r="R41" s="12">
        <v>0.45390000000000003</v>
      </c>
      <c r="S41" s="9" t="s">
        <v>75</v>
      </c>
      <c r="T41" s="12">
        <v>3.5099999999999999E-2</v>
      </c>
      <c r="U41" s="12">
        <v>0.3</v>
      </c>
      <c r="V41" s="9" t="s">
        <v>412</v>
      </c>
      <c r="W41" s="9" t="s">
        <v>604</v>
      </c>
      <c r="X41" s="9" t="s">
        <v>131</v>
      </c>
      <c r="Y41" s="9" t="s">
        <v>152</v>
      </c>
      <c r="Z41" s="9" t="s">
        <v>622</v>
      </c>
      <c r="AA41" s="9" t="s">
        <v>614</v>
      </c>
      <c r="AB41" s="11">
        <v>0.26846416197919343</v>
      </c>
      <c r="AC41" s="11">
        <v>0.21645003013152361</v>
      </c>
      <c r="AD41" s="11">
        <v>0.13107758123244781</v>
      </c>
      <c r="AE41" s="11">
        <v>0.22592784069352981</v>
      </c>
      <c r="AF41" s="11">
        <v>0.1580803859633054</v>
      </c>
      <c r="AG41" s="9" t="str">
        <f t="shared" si="0"/>
        <v>Protección y orden cotidiano</v>
      </c>
      <c r="AH41" s="9" t="s">
        <v>615</v>
      </c>
      <c r="AI41" s="9"/>
      <c r="AJ41" s="9" t="str">
        <f t="shared" si="1"/>
        <v>Protección y orden cotidiano</v>
      </c>
      <c r="AK41" s="9" t="str">
        <f>IFERROR(INDEX('[3]02_Arquetipos_Miedo_Sesgo'!$C$5:$C$9,MATCH(AJ41,'[3]02_Arquetipos_Miedo_Sesgo'!$A$5:$A$9,0)),"")</f>
        <v>Miedo a la inseguridad, al descontrol barrial y a perder la tranquilidad cotidiana.</v>
      </c>
      <c r="AL41" s="9" t="str">
        <f>IFERROR(INDEX('[3]02_Arquetipos_Miedo_Sesgo'!$D$5:$D$9,MATCH(AJ41,'[3]02_Arquetipos_Miedo_Sesgo'!$A$5:$A$9,0)),"")</f>
        <v>Sesgo de disponibilidad + sesgo de negatividad + preferencia por autoridad.</v>
      </c>
      <c r="AM41" s="9" t="str">
        <f>IFERROR(INDEX('[3]02_Arquetipos_Miedo_Sesgo'!$E$5:$E$9,MATCH(AJ41,'[3]02_Arquetipos_Miedo_Sesgo'!$A$5:$A$9,0)),"")</f>
        <v>Seguridad, convivencia, movilidad, alumbrado, reacción institucional rápida, presencia de autoridad.</v>
      </c>
      <c r="AN41" s="9" t="str">
        <f t="shared" si="2"/>
        <v>Media</v>
      </c>
      <c r="AO41" s="9" t="s">
        <v>608</v>
      </c>
    </row>
    <row r="42" spans="1:41" ht="57.6">
      <c r="A42" s="9" t="s">
        <v>195</v>
      </c>
      <c r="B42" s="9" t="s">
        <v>191</v>
      </c>
      <c r="C42" s="9" t="s">
        <v>196</v>
      </c>
      <c r="D42" s="10">
        <v>4316</v>
      </c>
      <c r="E42" s="10">
        <v>3394</v>
      </c>
      <c r="F42" s="10">
        <v>2995</v>
      </c>
      <c r="G42" s="9" t="s">
        <v>601</v>
      </c>
      <c r="H42" s="11">
        <v>0.75741427247451343</v>
      </c>
      <c r="I42" s="11">
        <v>0.61654309545875807</v>
      </c>
      <c r="J42" s="9" t="s">
        <v>602</v>
      </c>
      <c r="K42" s="11">
        <v>0.30819092516205071</v>
      </c>
      <c r="L42" s="11">
        <v>0.18974661166764881</v>
      </c>
      <c r="M42" s="9" t="s">
        <v>603</v>
      </c>
      <c r="N42" s="11">
        <v>0.34691151919866442</v>
      </c>
      <c r="O42" s="11">
        <v>0.15091819699499159</v>
      </c>
      <c r="P42" s="12">
        <v>-0.41089999999999999</v>
      </c>
      <c r="Q42" s="9" t="s">
        <v>73</v>
      </c>
      <c r="R42" s="12">
        <v>0.45390000000000003</v>
      </c>
      <c r="S42" s="9" t="s">
        <v>75</v>
      </c>
      <c r="T42" s="12">
        <v>3.5099999999999999E-2</v>
      </c>
      <c r="U42" s="12">
        <v>0.3</v>
      </c>
      <c r="V42" s="9" t="s">
        <v>412</v>
      </c>
      <c r="W42" s="9" t="s">
        <v>604</v>
      </c>
      <c r="X42" s="9" t="s">
        <v>131</v>
      </c>
      <c r="Y42" s="9" t="s">
        <v>152</v>
      </c>
      <c r="Z42" s="9" t="s">
        <v>622</v>
      </c>
      <c r="AA42" s="9" t="s">
        <v>606</v>
      </c>
      <c r="AB42" s="11">
        <v>0.24255242674938121</v>
      </c>
      <c r="AC42" s="11">
        <v>0.21383418325989401</v>
      </c>
      <c r="AD42" s="11">
        <v>0.13700737363624649</v>
      </c>
      <c r="AE42" s="11">
        <v>0.24869259256898049</v>
      </c>
      <c r="AF42" s="11">
        <v>0.15791342378549789</v>
      </c>
      <c r="AG42" s="9" t="str">
        <f t="shared" si="0"/>
        <v>Desconfianza y castigo</v>
      </c>
      <c r="AH42" s="9" t="s">
        <v>607</v>
      </c>
      <c r="AI42" s="9"/>
      <c r="AJ42" s="9" t="str">
        <f t="shared" si="1"/>
        <v>Desconfianza y castigo</v>
      </c>
      <c r="AK42" s="9" t="str">
        <f>IFERROR(INDEX('[3]02_Arquetipos_Miedo_Sesgo'!$C$5:$C$9,MATCH(AJ42,'[3]02_Arquetipos_Miedo_Sesgo'!$A$5:$A$9,0)),"")</f>
        <v>Miedo a ser engañado, robado, manipulado o usado electoralmente.</v>
      </c>
      <c r="AL42" s="9" t="str">
        <f>IFERROR(INDEX('[3]02_Arquetipos_Miedo_Sesgo'!$D$5:$D$9,MATCH(AJ42,'[3]02_Arquetipos_Miedo_Sesgo'!$A$5:$A$9,0)),"")</f>
        <v>Sesgo de confirmación + cinismo político + efecto de indignación moral.</v>
      </c>
      <c r="AM42" s="9" t="str">
        <f>IFERROR(INDEX('[3]02_Arquetipos_Miedo_Sesgo'!$E$5:$E$9,MATCH(AJ42,'[3]02_Arquetipos_Miedo_Sesgo'!$A$5:$A$9,0)),"")</f>
        <v>Transparencia, control político, lucha anticorrupción, vigilancia ciudadana, ejecución presupuestal y sanción a abusos.</v>
      </c>
      <c r="AN42" s="9" t="str">
        <f t="shared" si="2"/>
        <v>Media</v>
      </c>
      <c r="AO42" s="9" t="s">
        <v>608</v>
      </c>
    </row>
    <row r="43" spans="1:41" ht="43.2">
      <c r="A43" s="9" t="s">
        <v>197</v>
      </c>
      <c r="B43" s="9" t="s">
        <v>191</v>
      </c>
      <c r="C43" s="9" t="s">
        <v>198</v>
      </c>
      <c r="D43" s="10">
        <v>6395</v>
      </c>
      <c r="E43" s="10">
        <v>5391</v>
      </c>
      <c r="F43" s="10">
        <v>4756</v>
      </c>
      <c r="G43" s="9" t="s">
        <v>601</v>
      </c>
      <c r="H43" s="11">
        <v>0.73229085222830337</v>
      </c>
      <c r="I43" s="11">
        <v>0.58483189992181395</v>
      </c>
      <c r="J43" s="9" t="s">
        <v>602</v>
      </c>
      <c r="K43" s="11">
        <v>0.26006306807642371</v>
      </c>
      <c r="L43" s="11">
        <v>6.7148951956965297E-2</v>
      </c>
      <c r="M43" s="9" t="s">
        <v>603</v>
      </c>
      <c r="N43" s="11">
        <v>0.31686291000841038</v>
      </c>
      <c r="O43" s="11">
        <v>0.10323801513877209</v>
      </c>
      <c r="P43" s="12">
        <v>-0.41089999999999999</v>
      </c>
      <c r="Q43" s="9" t="s">
        <v>73</v>
      </c>
      <c r="R43" s="12">
        <v>0.45390000000000003</v>
      </c>
      <c r="S43" s="9" t="s">
        <v>75</v>
      </c>
      <c r="T43" s="12">
        <v>3.5099999999999999E-2</v>
      </c>
      <c r="U43" s="12">
        <v>0.3</v>
      </c>
      <c r="V43" s="9" t="s">
        <v>412</v>
      </c>
      <c r="W43" s="9" t="s">
        <v>604</v>
      </c>
      <c r="X43" s="9" t="s">
        <v>131</v>
      </c>
      <c r="Y43" s="9" t="s">
        <v>152</v>
      </c>
      <c r="Z43" s="9" t="s">
        <v>622</v>
      </c>
      <c r="AA43" s="9" t="s">
        <v>614</v>
      </c>
      <c r="AB43" s="11">
        <v>0.24147535231819439</v>
      </c>
      <c r="AC43" s="11">
        <v>0.22943789118685279</v>
      </c>
      <c r="AD43" s="11">
        <v>0.1303387959089439</v>
      </c>
      <c r="AE43" s="11">
        <v>0.2294642428703548</v>
      </c>
      <c r="AF43" s="11">
        <v>0.16928371771565409</v>
      </c>
      <c r="AG43" s="9" t="str">
        <f t="shared" si="0"/>
        <v>Protección y orden cotidiano</v>
      </c>
      <c r="AH43" s="9" t="s">
        <v>615</v>
      </c>
      <c r="AI43" s="9"/>
      <c r="AJ43" s="9" t="str">
        <f t="shared" si="1"/>
        <v>Protección y orden cotidiano</v>
      </c>
      <c r="AK43" s="9" t="str">
        <f>IFERROR(INDEX('[3]02_Arquetipos_Miedo_Sesgo'!$C$5:$C$9,MATCH(AJ43,'[3]02_Arquetipos_Miedo_Sesgo'!$A$5:$A$9,0)),"")</f>
        <v>Miedo a la inseguridad, al descontrol barrial y a perder la tranquilidad cotidiana.</v>
      </c>
      <c r="AL43" s="9" t="str">
        <f>IFERROR(INDEX('[3]02_Arquetipos_Miedo_Sesgo'!$D$5:$D$9,MATCH(AJ43,'[3]02_Arquetipos_Miedo_Sesgo'!$A$5:$A$9,0)),"")</f>
        <v>Sesgo de disponibilidad + sesgo de negatividad + preferencia por autoridad.</v>
      </c>
      <c r="AM43" s="9" t="str">
        <f>IFERROR(INDEX('[3]02_Arquetipos_Miedo_Sesgo'!$E$5:$E$9,MATCH(AJ43,'[3]02_Arquetipos_Miedo_Sesgo'!$A$5:$A$9,0)),"")</f>
        <v>Seguridad, convivencia, movilidad, alumbrado, reacción institucional rápida, presencia de autoridad.</v>
      </c>
      <c r="AN43" s="9" t="str">
        <f t="shared" si="2"/>
        <v>Media</v>
      </c>
      <c r="AO43" s="9" t="s">
        <v>608</v>
      </c>
    </row>
    <row r="44" spans="1:41" ht="43.2">
      <c r="A44" s="9" t="s">
        <v>199</v>
      </c>
      <c r="B44" s="9" t="s">
        <v>191</v>
      </c>
      <c r="C44" s="9" t="s">
        <v>200</v>
      </c>
      <c r="D44" s="10">
        <v>13273</v>
      </c>
      <c r="E44" s="10">
        <v>11070</v>
      </c>
      <c r="F44" s="10">
        <v>9729</v>
      </c>
      <c r="G44" s="9" t="s">
        <v>601</v>
      </c>
      <c r="H44" s="11">
        <v>0.76139531379492198</v>
      </c>
      <c r="I44" s="11">
        <v>0.63218564002109545</v>
      </c>
      <c r="J44" s="9" t="s">
        <v>602</v>
      </c>
      <c r="K44" s="11">
        <v>0.2827461607949413</v>
      </c>
      <c r="L44" s="11">
        <v>0.1511291779584463</v>
      </c>
      <c r="M44" s="9" t="s">
        <v>603</v>
      </c>
      <c r="N44" s="11">
        <v>0.32161578785075551</v>
      </c>
      <c r="O44" s="11">
        <v>8.0892178024462913E-2</v>
      </c>
      <c r="P44" s="12">
        <v>-0.41089999999999999</v>
      </c>
      <c r="Q44" s="9" t="s">
        <v>73</v>
      </c>
      <c r="R44" s="12">
        <v>0.45390000000000003</v>
      </c>
      <c r="S44" s="9" t="s">
        <v>75</v>
      </c>
      <c r="T44" s="12">
        <v>3.5099999999999999E-2</v>
      </c>
      <c r="U44" s="12">
        <v>0.3</v>
      </c>
      <c r="V44" s="9" t="s">
        <v>412</v>
      </c>
      <c r="W44" s="9" t="s">
        <v>604</v>
      </c>
      <c r="X44" s="9" t="s">
        <v>131</v>
      </c>
      <c r="Y44" s="9" t="s">
        <v>152</v>
      </c>
      <c r="Z44" s="9" t="s">
        <v>622</v>
      </c>
      <c r="AA44" s="9" t="s">
        <v>614</v>
      </c>
      <c r="AB44" s="11">
        <v>0.26000913453180302</v>
      </c>
      <c r="AC44" s="11">
        <v>0.22906439413471799</v>
      </c>
      <c r="AD44" s="11">
        <v>0.13082042609093761</v>
      </c>
      <c r="AE44" s="11">
        <v>0.2081436296402692</v>
      </c>
      <c r="AF44" s="11">
        <v>0.1719624156022721</v>
      </c>
      <c r="AG44" s="9" t="str">
        <f t="shared" si="0"/>
        <v>Protección y orden cotidiano</v>
      </c>
      <c r="AH44" s="9" t="s">
        <v>615</v>
      </c>
      <c r="AI44" s="9"/>
      <c r="AJ44" s="9" t="str">
        <f t="shared" si="1"/>
        <v>Protección y orden cotidiano</v>
      </c>
      <c r="AK44" s="9" t="str">
        <f>IFERROR(INDEX('[3]02_Arquetipos_Miedo_Sesgo'!$C$5:$C$9,MATCH(AJ44,'[3]02_Arquetipos_Miedo_Sesgo'!$A$5:$A$9,0)),"")</f>
        <v>Miedo a la inseguridad, al descontrol barrial y a perder la tranquilidad cotidiana.</v>
      </c>
      <c r="AL44" s="9" t="str">
        <f>IFERROR(INDEX('[3]02_Arquetipos_Miedo_Sesgo'!$D$5:$D$9,MATCH(AJ44,'[3]02_Arquetipos_Miedo_Sesgo'!$A$5:$A$9,0)),"")</f>
        <v>Sesgo de disponibilidad + sesgo de negatividad + preferencia por autoridad.</v>
      </c>
      <c r="AM44" s="9" t="str">
        <f>IFERROR(INDEX('[3]02_Arquetipos_Miedo_Sesgo'!$E$5:$E$9,MATCH(AJ44,'[3]02_Arquetipos_Miedo_Sesgo'!$A$5:$A$9,0)),"")</f>
        <v>Seguridad, convivencia, movilidad, alumbrado, reacción institucional rápida, presencia de autoridad.</v>
      </c>
      <c r="AN44" s="9" t="str">
        <f t="shared" si="2"/>
        <v>Media</v>
      </c>
      <c r="AO44" s="9" t="s">
        <v>608</v>
      </c>
    </row>
    <row r="45" spans="1:41" ht="43.2">
      <c r="A45" s="9" t="s">
        <v>521</v>
      </c>
      <c r="B45" s="9" t="s">
        <v>191</v>
      </c>
      <c r="C45" s="9" t="s">
        <v>522</v>
      </c>
      <c r="D45" s="10">
        <v>1579</v>
      </c>
      <c r="E45" s="10">
        <v>1336</v>
      </c>
      <c r="F45" s="10">
        <v>1192</v>
      </c>
      <c r="G45" s="9" t="s">
        <v>601</v>
      </c>
      <c r="H45" s="11">
        <v>0.72704243191893603</v>
      </c>
      <c r="I45" s="11">
        <v>0.55794806839772004</v>
      </c>
      <c r="J45" s="9" t="s">
        <v>602</v>
      </c>
      <c r="K45" s="11">
        <v>0.25449101796407192</v>
      </c>
      <c r="L45" s="11">
        <v>0.1190119760479042</v>
      </c>
      <c r="M45" s="9" t="s">
        <v>603</v>
      </c>
      <c r="N45" s="11">
        <v>0.28523489932885898</v>
      </c>
      <c r="O45" s="11">
        <v>0.1057046979865772</v>
      </c>
      <c r="P45" s="12">
        <v>-0.41089999999999999</v>
      </c>
      <c r="Q45" s="9" t="s">
        <v>73</v>
      </c>
      <c r="R45" s="12">
        <v>0.45390000000000003</v>
      </c>
      <c r="S45" s="9" t="s">
        <v>75</v>
      </c>
      <c r="T45" s="12">
        <v>3.5099999999999999E-2</v>
      </c>
      <c r="U45" s="12">
        <v>0.3</v>
      </c>
      <c r="V45" s="9" t="s">
        <v>412</v>
      </c>
      <c r="W45" s="9" t="s">
        <v>604</v>
      </c>
      <c r="X45" s="9" t="s">
        <v>131</v>
      </c>
      <c r="Y45" s="9" t="s">
        <v>152</v>
      </c>
      <c r="Z45" s="9" t="s">
        <v>622</v>
      </c>
      <c r="AA45" s="9" t="s">
        <v>614</v>
      </c>
      <c r="AB45" s="11">
        <v>0.25475442272942689</v>
      </c>
      <c r="AC45" s="11">
        <v>0.21869745895604489</v>
      </c>
      <c r="AD45" s="11">
        <v>0.1416287707684411</v>
      </c>
      <c r="AE45" s="11">
        <v>0.23149542851860219</v>
      </c>
      <c r="AF45" s="11">
        <v>0.15342391902748501</v>
      </c>
      <c r="AG45" s="9" t="str">
        <f t="shared" si="0"/>
        <v>Protección y orden cotidiano</v>
      </c>
      <c r="AH45" s="9" t="s">
        <v>615</v>
      </c>
      <c r="AI45" s="9"/>
      <c r="AJ45" s="9" t="str">
        <f t="shared" si="1"/>
        <v>Protección y orden cotidiano</v>
      </c>
      <c r="AK45" s="9" t="str">
        <f>IFERROR(INDEX('[3]02_Arquetipos_Miedo_Sesgo'!$C$5:$C$9,MATCH(AJ45,'[3]02_Arquetipos_Miedo_Sesgo'!$A$5:$A$9,0)),"")</f>
        <v>Miedo a la inseguridad, al descontrol barrial y a perder la tranquilidad cotidiana.</v>
      </c>
      <c r="AL45" s="9" t="str">
        <f>IFERROR(INDEX('[3]02_Arquetipos_Miedo_Sesgo'!$D$5:$D$9,MATCH(AJ45,'[3]02_Arquetipos_Miedo_Sesgo'!$A$5:$A$9,0)),"")</f>
        <v>Sesgo de disponibilidad + sesgo de negatividad + preferencia por autoridad.</v>
      </c>
      <c r="AM45" s="9" t="str">
        <f>IFERROR(INDEX('[3]02_Arquetipos_Miedo_Sesgo'!$E$5:$E$9,MATCH(AJ45,'[3]02_Arquetipos_Miedo_Sesgo'!$A$5:$A$9,0)),"")</f>
        <v>Seguridad, convivencia, movilidad, alumbrado, reacción institucional rápida, presencia de autoridad.</v>
      </c>
      <c r="AN45" s="9" t="str">
        <f t="shared" si="2"/>
        <v>Media</v>
      </c>
      <c r="AO45" s="9" t="s">
        <v>608</v>
      </c>
    </row>
    <row r="46" spans="1:41" ht="43.2">
      <c r="A46" s="9" t="s">
        <v>201</v>
      </c>
      <c r="B46" s="9" t="s">
        <v>191</v>
      </c>
      <c r="C46" s="9" t="s">
        <v>202</v>
      </c>
      <c r="D46" s="10">
        <v>3212</v>
      </c>
      <c r="E46" s="10">
        <v>2582</v>
      </c>
      <c r="F46" s="10">
        <v>2226</v>
      </c>
      <c r="G46" s="9" t="s">
        <v>601</v>
      </c>
      <c r="H46" s="11">
        <v>0.78362391033623913</v>
      </c>
      <c r="I46" s="11">
        <v>0.65566625155666247</v>
      </c>
      <c r="J46" s="9" t="s">
        <v>602</v>
      </c>
      <c r="K46" s="11">
        <v>0.28117738187451591</v>
      </c>
      <c r="L46" s="11">
        <v>0.15724244771494961</v>
      </c>
      <c r="M46" s="9" t="s">
        <v>603</v>
      </c>
      <c r="N46" s="11">
        <v>0.33423180592991908</v>
      </c>
      <c r="O46" s="11">
        <v>0.17070979335130279</v>
      </c>
      <c r="P46" s="12">
        <v>-0.41089999999999999</v>
      </c>
      <c r="Q46" s="9" t="s">
        <v>73</v>
      </c>
      <c r="R46" s="12">
        <v>0.45390000000000003</v>
      </c>
      <c r="S46" s="9" t="s">
        <v>75</v>
      </c>
      <c r="T46" s="12">
        <v>3.5099999999999999E-2</v>
      </c>
      <c r="U46" s="12">
        <v>0.3</v>
      </c>
      <c r="V46" s="9" t="s">
        <v>412</v>
      </c>
      <c r="W46" s="9" t="s">
        <v>604</v>
      </c>
      <c r="X46" s="9" t="s">
        <v>131</v>
      </c>
      <c r="Y46" s="9" t="s">
        <v>152</v>
      </c>
      <c r="Z46" s="9" t="s">
        <v>622</v>
      </c>
      <c r="AA46" s="9" t="s">
        <v>614</v>
      </c>
      <c r="AB46" s="11">
        <v>0.2523223074720064</v>
      </c>
      <c r="AC46" s="11">
        <v>0.20559780382883561</v>
      </c>
      <c r="AD46" s="11">
        <v>0.1430073143674872</v>
      </c>
      <c r="AE46" s="11">
        <v>0.24402055619892429</v>
      </c>
      <c r="AF46" s="11">
        <v>0.1550520181327463</v>
      </c>
      <c r="AG46" s="9" t="str">
        <f t="shared" si="0"/>
        <v>Protección y orden cotidiano</v>
      </c>
      <c r="AH46" s="9" t="s">
        <v>615</v>
      </c>
      <c r="AI46" s="9"/>
      <c r="AJ46" s="9" t="str">
        <f t="shared" si="1"/>
        <v>Protección y orden cotidiano</v>
      </c>
      <c r="AK46" s="9" t="str">
        <f>IFERROR(INDEX('[3]02_Arquetipos_Miedo_Sesgo'!$C$5:$C$9,MATCH(AJ46,'[3]02_Arquetipos_Miedo_Sesgo'!$A$5:$A$9,0)),"")</f>
        <v>Miedo a la inseguridad, al descontrol barrial y a perder la tranquilidad cotidiana.</v>
      </c>
      <c r="AL46" s="9" t="str">
        <f>IFERROR(INDEX('[3]02_Arquetipos_Miedo_Sesgo'!$D$5:$D$9,MATCH(AJ46,'[3]02_Arquetipos_Miedo_Sesgo'!$A$5:$A$9,0)),"")</f>
        <v>Sesgo de disponibilidad + sesgo de negatividad + preferencia por autoridad.</v>
      </c>
      <c r="AM46" s="9" t="str">
        <f>IFERROR(INDEX('[3]02_Arquetipos_Miedo_Sesgo'!$E$5:$E$9,MATCH(AJ46,'[3]02_Arquetipos_Miedo_Sesgo'!$A$5:$A$9,0)),"")</f>
        <v>Seguridad, convivencia, movilidad, alumbrado, reacción institucional rápida, presencia de autoridad.</v>
      </c>
      <c r="AN46" s="9" t="str">
        <f t="shared" si="2"/>
        <v>Media</v>
      </c>
      <c r="AO46" s="9" t="s">
        <v>608</v>
      </c>
    </row>
    <row r="47" spans="1:41" ht="43.2">
      <c r="A47" s="9" t="s">
        <v>203</v>
      </c>
      <c r="B47" s="9" t="s">
        <v>191</v>
      </c>
      <c r="C47" s="9" t="s">
        <v>204</v>
      </c>
      <c r="D47" s="10">
        <v>10606</v>
      </c>
      <c r="E47" s="10">
        <v>8592</v>
      </c>
      <c r="F47" s="10">
        <v>7766</v>
      </c>
      <c r="G47" s="9" t="s">
        <v>601</v>
      </c>
      <c r="H47" s="11">
        <v>0.76730152743729962</v>
      </c>
      <c r="I47" s="11">
        <v>0.6454836884782198</v>
      </c>
      <c r="J47" s="9" t="s">
        <v>602</v>
      </c>
      <c r="K47" s="11">
        <v>0.2488361266294227</v>
      </c>
      <c r="L47" s="11">
        <v>8.1354748603351956E-2</v>
      </c>
      <c r="M47" s="9" t="s">
        <v>603</v>
      </c>
      <c r="N47" s="11">
        <v>0.30208601596703583</v>
      </c>
      <c r="O47" s="11">
        <v>0.12026783414885391</v>
      </c>
      <c r="P47" s="12">
        <v>-0.41089999999999999</v>
      </c>
      <c r="Q47" s="9" t="s">
        <v>73</v>
      </c>
      <c r="R47" s="12">
        <v>0.45390000000000003</v>
      </c>
      <c r="S47" s="9" t="s">
        <v>75</v>
      </c>
      <c r="T47" s="12">
        <v>3.5099999999999999E-2</v>
      </c>
      <c r="U47" s="12">
        <v>0.3</v>
      </c>
      <c r="V47" s="9" t="s">
        <v>412</v>
      </c>
      <c r="W47" s="9" t="s">
        <v>604</v>
      </c>
      <c r="X47" s="9" t="s">
        <v>131</v>
      </c>
      <c r="Y47" s="9" t="s">
        <v>152</v>
      </c>
      <c r="Z47" s="9" t="s">
        <v>622</v>
      </c>
      <c r="AA47" s="9" t="s">
        <v>614</v>
      </c>
      <c r="AB47" s="11">
        <v>0.25856153438715479</v>
      </c>
      <c r="AC47" s="11">
        <v>0.21804507864866959</v>
      </c>
      <c r="AD47" s="11">
        <v>0.14031932552299289</v>
      </c>
      <c r="AE47" s="11">
        <v>0.21539748389114949</v>
      </c>
      <c r="AF47" s="11">
        <v>0.16767657755003321</v>
      </c>
      <c r="AG47" s="9" t="str">
        <f t="shared" si="0"/>
        <v>Protección y orden cotidiano</v>
      </c>
      <c r="AH47" s="9" t="s">
        <v>615</v>
      </c>
      <c r="AI47" s="9"/>
      <c r="AJ47" s="9" t="str">
        <f t="shared" si="1"/>
        <v>Protección y orden cotidiano</v>
      </c>
      <c r="AK47" s="9" t="str">
        <f>IFERROR(INDEX('[3]02_Arquetipos_Miedo_Sesgo'!$C$5:$C$9,MATCH(AJ47,'[3]02_Arquetipos_Miedo_Sesgo'!$A$5:$A$9,0)),"")</f>
        <v>Miedo a la inseguridad, al descontrol barrial y a perder la tranquilidad cotidiana.</v>
      </c>
      <c r="AL47" s="9" t="str">
        <f>IFERROR(INDEX('[3]02_Arquetipos_Miedo_Sesgo'!$D$5:$D$9,MATCH(AJ47,'[3]02_Arquetipos_Miedo_Sesgo'!$A$5:$A$9,0)),"")</f>
        <v>Sesgo de disponibilidad + sesgo de negatividad + preferencia por autoridad.</v>
      </c>
      <c r="AM47" s="9" t="str">
        <f>IFERROR(INDEX('[3]02_Arquetipos_Miedo_Sesgo'!$E$5:$E$9,MATCH(AJ47,'[3]02_Arquetipos_Miedo_Sesgo'!$A$5:$A$9,0)),"")</f>
        <v>Seguridad, convivencia, movilidad, alumbrado, reacción institucional rápida, presencia de autoridad.</v>
      </c>
      <c r="AN47" s="9" t="str">
        <f t="shared" si="2"/>
        <v>Media</v>
      </c>
      <c r="AO47" s="9" t="s">
        <v>608</v>
      </c>
    </row>
    <row r="48" spans="1:41" ht="43.2">
      <c r="A48" s="9" t="s">
        <v>524</v>
      </c>
      <c r="B48" s="9" t="s">
        <v>191</v>
      </c>
      <c r="C48" s="9" t="s">
        <v>525</v>
      </c>
      <c r="D48" s="10">
        <v>1802</v>
      </c>
      <c r="E48" s="10">
        <v>1508</v>
      </c>
      <c r="F48" s="10">
        <v>1371</v>
      </c>
      <c r="G48" s="9" t="s">
        <v>601</v>
      </c>
      <c r="H48" s="11">
        <v>0.72863485016648166</v>
      </c>
      <c r="I48" s="11">
        <v>0.55660377358490565</v>
      </c>
      <c r="J48" s="9" t="s">
        <v>602</v>
      </c>
      <c r="K48" s="11">
        <v>0.31366047745358089</v>
      </c>
      <c r="L48" s="11">
        <v>0.18633952254641911</v>
      </c>
      <c r="M48" s="9" t="s">
        <v>603</v>
      </c>
      <c r="N48" s="11">
        <v>0.39679066374908828</v>
      </c>
      <c r="O48" s="11">
        <v>0.22684172137126191</v>
      </c>
      <c r="P48" s="12">
        <v>-0.41089999999999999</v>
      </c>
      <c r="Q48" s="9" t="s">
        <v>73</v>
      </c>
      <c r="R48" s="12">
        <v>0.45390000000000003</v>
      </c>
      <c r="S48" s="9" t="s">
        <v>75</v>
      </c>
      <c r="T48" s="12">
        <v>3.5099999999999999E-2</v>
      </c>
      <c r="U48" s="12">
        <v>0.3</v>
      </c>
      <c r="V48" s="9" t="s">
        <v>412</v>
      </c>
      <c r="W48" s="9" t="s">
        <v>604</v>
      </c>
      <c r="X48" s="9" t="s">
        <v>131</v>
      </c>
      <c r="Y48" s="9" t="s">
        <v>152</v>
      </c>
      <c r="Z48" s="9" t="s">
        <v>622</v>
      </c>
      <c r="AA48" s="9" t="s">
        <v>614</v>
      </c>
      <c r="AB48" s="11">
        <v>0.24189851326577799</v>
      </c>
      <c r="AC48" s="11">
        <v>0.22751855620371239</v>
      </c>
      <c r="AD48" s="11">
        <v>0.15897971078946829</v>
      </c>
      <c r="AE48" s="11">
        <v>0.2030414114548271</v>
      </c>
      <c r="AF48" s="11">
        <v>0.16856180828621431</v>
      </c>
      <c r="AG48" s="9" t="str">
        <f t="shared" si="0"/>
        <v>Protección y orden cotidiano</v>
      </c>
      <c r="AH48" s="9" t="s">
        <v>615</v>
      </c>
      <c r="AI48" s="9"/>
      <c r="AJ48" s="9" t="str">
        <f t="shared" si="1"/>
        <v>Protección y orden cotidiano</v>
      </c>
      <c r="AK48" s="9" t="str">
        <f>IFERROR(INDEX('[3]02_Arquetipos_Miedo_Sesgo'!$C$5:$C$9,MATCH(AJ48,'[3]02_Arquetipos_Miedo_Sesgo'!$A$5:$A$9,0)),"")</f>
        <v>Miedo a la inseguridad, al descontrol barrial y a perder la tranquilidad cotidiana.</v>
      </c>
      <c r="AL48" s="9" t="str">
        <f>IFERROR(INDEX('[3]02_Arquetipos_Miedo_Sesgo'!$D$5:$D$9,MATCH(AJ48,'[3]02_Arquetipos_Miedo_Sesgo'!$A$5:$A$9,0)),"")</f>
        <v>Sesgo de disponibilidad + sesgo de negatividad + preferencia por autoridad.</v>
      </c>
      <c r="AM48" s="9" t="str">
        <f>IFERROR(INDEX('[3]02_Arquetipos_Miedo_Sesgo'!$E$5:$E$9,MATCH(AJ48,'[3]02_Arquetipos_Miedo_Sesgo'!$A$5:$A$9,0)),"")</f>
        <v>Seguridad, convivencia, movilidad, alumbrado, reacción institucional rápida, presencia de autoridad.</v>
      </c>
      <c r="AN48" s="9" t="str">
        <f t="shared" si="2"/>
        <v>Media</v>
      </c>
      <c r="AO48" s="9" t="s">
        <v>608</v>
      </c>
    </row>
    <row r="49" spans="1:41" ht="43.2">
      <c r="A49" s="9" t="s">
        <v>324</v>
      </c>
      <c r="B49" s="9" t="s">
        <v>325</v>
      </c>
      <c r="C49" s="9" t="s">
        <v>326</v>
      </c>
      <c r="D49" s="10">
        <v>2862</v>
      </c>
      <c r="E49" s="10">
        <v>2620</v>
      </c>
      <c r="F49" s="10">
        <v>2283</v>
      </c>
      <c r="G49" s="9" t="s">
        <v>601</v>
      </c>
      <c r="H49" s="11">
        <v>0.75401816911250874</v>
      </c>
      <c r="I49" s="11">
        <v>0.63766596785464713</v>
      </c>
      <c r="J49" s="9" t="s">
        <v>602</v>
      </c>
      <c r="K49" s="11">
        <v>0.27022900763358781</v>
      </c>
      <c r="L49" s="11">
        <v>0.14923664122137401</v>
      </c>
      <c r="M49" s="9" t="s">
        <v>603</v>
      </c>
      <c r="N49" s="11">
        <v>0.34472185720543153</v>
      </c>
      <c r="O49" s="11">
        <v>0.1651335961454227</v>
      </c>
      <c r="P49" s="12">
        <v>-0.41089999999999999</v>
      </c>
      <c r="Q49" s="9" t="s">
        <v>73</v>
      </c>
      <c r="R49" s="12">
        <v>0.45390000000000003</v>
      </c>
      <c r="S49" s="9" t="s">
        <v>75</v>
      </c>
      <c r="T49" s="12">
        <v>3.5099999999999999E-2</v>
      </c>
      <c r="U49" s="12">
        <v>0.3</v>
      </c>
      <c r="V49" s="9" t="s">
        <v>412</v>
      </c>
      <c r="W49" s="9" t="s">
        <v>604</v>
      </c>
      <c r="X49" s="9" t="s">
        <v>60</v>
      </c>
      <c r="Y49" s="9" t="s">
        <v>152</v>
      </c>
      <c r="Z49" s="9" t="s">
        <v>623</v>
      </c>
      <c r="AA49" s="9" t="s">
        <v>614</v>
      </c>
      <c r="AB49" s="11">
        <v>0.28145303909551589</v>
      </c>
      <c r="AC49" s="11">
        <v>0.2125600265265134</v>
      </c>
      <c r="AD49" s="11">
        <v>0.16427209474939711</v>
      </c>
      <c r="AE49" s="11">
        <v>0.17436454871514481</v>
      </c>
      <c r="AF49" s="11">
        <v>0.16735029091342871</v>
      </c>
      <c r="AG49" s="9" t="str">
        <f t="shared" si="0"/>
        <v>Protección y orden cotidiano</v>
      </c>
      <c r="AH49" s="9" t="s">
        <v>615</v>
      </c>
      <c r="AI49" s="9"/>
      <c r="AJ49" s="9" t="str">
        <f t="shared" si="1"/>
        <v>Protección y orden cotidiano</v>
      </c>
      <c r="AK49" s="9" t="str">
        <f>IFERROR(INDEX('[3]02_Arquetipos_Miedo_Sesgo'!$C$5:$C$9,MATCH(AJ49,'[3]02_Arquetipos_Miedo_Sesgo'!$A$5:$A$9,0)),"")</f>
        <v>Miedo a la inseguridad, al descontrol barrial y a perder la tranquilidad cotidiana.</v>
      </c>
      <c r="AL49" s="9" t="str">
        <f>IFERROR(INDEX('[3]02_Arquetipos_Miedo_Sesgo'!$D$5:$D$9,MATCH(AJ49,'[3]02_Arquetipos_Miedo_Sesgo'!$A$5:$A$9,0)),"")</f>
        <v>Sesgo de disponibilidad + sesgo de negatividad + preferencia por autoridad.</v>
      </c>
      <c r="AM49" s="9" t="str">
        <f>IFERROR(INDEX('[3]02_Arquetipos_Miedo_Sesgo'!$E$5:$E$9,MATCH(AJ49,'[3]02_Arquetipos_Miedo_Sesgo'!$A$5:$A$9,0)),"")</f>
        <v>Seguridad, convivencia, movilidad, alumbrado, reacción institucional rápida, presencia de autoridad.</v>
      </c>
      <c r="AN49" s="9" t="str">
        <f t="shared" si="2"/>
        <v>Alta</v>
      </c>
      <c r="AO49" s="9" t="s">
        <v>608</v>
      </c>
    </row>
    <row r="50" spans="1:41" ht="43.2">
      <c r="A50" s="9" t="s">
        <v>328</v>
      </c>
      <c r="B50" s="9" t="s">
        <v>325</v>
      </c>
      <c r="C50" s="9" t="s">
        <v>329</v>
      </c>
      <c r="D50" s="10">
        <v>10727</v>
      </c>
      <c r="E50" s="10">
        <v>9683</v>
      </c>
      <c r="F50" s="10">
        <v>8083</v>
      </c>
      <c r="G50" s="9" t="s">
        <v>601</v>
      </c>
      <c r="H50" s="11">
        <v>0.75435816164817748</v>
      </c>
      <c r="I50" s="11">
        <v>0.63326186258972683</v>
      </c>
      <c r="J50" s="9" t="s">
        <v>602</v>
      </c>
      <c r="K50" s="11">
        <v>0.26768563461737072</v>
      </c>
      <c r="L50" s="11">
        <v>0.1103996695239079</v>
      </c>
      <c r="M50" s="9" t="s">
        <v>603</v>
      </c>
      <c r="N50" s="11">
        <v>0.33007546702956819</v>
      </c>
      <c r="O50" s="11">
        <v>0.15897562786094269</v>
      </c>
      <c r="P50" s="12">
        <v>-0.41089999999999999</v>
      </c>
      <c r="Q50" s="9" t="s">
        <v>73</v>
      </c>
      <c r="R50" s="12">
        <v>0.45390000000000003</v>
      </c>
      <c r="S50" s="9" t="s">
        <v>75</v>
      </c>
      <c r="T50" s="12">
        <v>3.5099999999999999E-2</v>
      </c>
      <c r="U50" s="12">
        <v>0.3</v>
      </c>
      <c r="V50" s="9" t="s">
        <v>412</v>
      </c>
      <c r="W50" s="9" t="s">
        <v>604</v>
      </c>
      <c r="X50" s="9" t="s">
        <v>60</v>
      </c>
      <c r="Y50" s="9" t="s">
        <v>152</v>
      </c>
      <c r="Z50" s="9" t="s">
        <v>623</v>
      </c>
      <c r="AA50" s="9" t="s">
        <v>614</v>
      </c>
      <c r="AB50" s="11">
        <v>0.27005288146750539</v>
      </c>
      <c r="AC50" s="11">
        <v>0.22545112480513249</v>
      </c>
      <c r="AD50" s="11">
        <v>0.15932128715114041</v>
      </c>
      <c r="AE50" s="11">
        <v>0.1660145572451138</v>
      </c>
      <c r="AF50" s="11">
        <v>0.17916014933110791</v>
      </c>
      <c r="AG50" s="9" t="str">
        <f t="shared" si="0"/>
        <v>Protección y orden cotidiano</v>
      </c>
      <c r="AH50" s="9" t="s">
        <v>615</v>
      </c>
      <c r="AI50" s="9"/>
      <c r="AJ50" s="9" t="str">
        <f t="shared" si="1"/>
        <v>Protección y orden cotidiano</v>
      </c>
      <c r="AK50" s="9" t="str">
        <f>IFERROR(INDEX('[3]02_Arquetipos_Miedo_Sesgo'!$C$5:$C$9,MATCH(AJ50,'[3]02_Arquetipos_Miedo_Sesgo'!$A$5:$A$9,0)),"")</f>
        <v>Miedo a la inseguridad, al descontrol barrial y a perder la tranquilidad cotidiana.</v>
      </c>
      <c r="AL50" s="9" t="str">
        <f>IFERROR(INDEX('[3]02_Arquetipos_Miedo_Sesgo'!$D$5:$D$9,MATCH(AJ50,'[3]02_Arquetipos_Miedo_Sesgo'!$A$5:$A$9,0)),"")</f>
        <v>Sesgo de disponibilidad + sesgo de negatividad + preferencia por autoridad.</v>
      </c>
      <c r="AM50" s="9" t="str">
        <f>IFERROR(INDEX('[3]02_Arquetipos_Miedo_Sesgo'!$E$5:$E$9,MATCH(AJ50,'[3]02_Arquetipos_Miedo_Sesgo'!$A$5:$A$9,0)),"")</f>
        <v>Seguridad, convivencia, movilidad, alumbrado, reacción institucional rápida, presencia de autoridad.</v>
      </c>
      <c r="AN50" s="9" t="str">
        <f t="shared" si="2"/>
        <v>Alta</v>
      </c>
      <c r="AO50" s="9" t="s">
        <v>608</v>
      </c>
    </row>
    <row r="51" spans="1:41" ht="43.2">
      <c r="A51" s="9" t="s">
        <v>330</v>
      </c>
      <c r="B51" s="9" t="s">
        <v>325</v>
      </c>
      <c r="C51" s="9" t="s">
        <v>331</v>
      </c>
      <c r="D51" s="10">
        <v>8505</v>
      </c>
      <c r="E51" s="10">
        <v>7382</v>
      </c>
      <c r="F51" s="10">
        <v>6423</v>
      </c>
      <c r="G51" s="9" t="s">
        <v>601</v>
      </c>
      <c r="H51" s="11">
        <v>0.7682539682539683</v>
      </c>
      <c r="I51" s="11">
        <v>0.63445032333921225</v>
      </c>
      <c r="J51" s="9" t="s">
        <v>602</v>
      </c>
      <c r="K51" s="11">
        <v>0.27147114603088601</v>
      </c>
      <c r="L51" s="11">
        <v>0.13614196694662689</v>
      </c>
      <c r="M51" s="9" t="s">
        <v>603</v>
      </c>
      <c r="N51" s="11">
        <v>0.30312937879495561</v>
      </c>
      <c r="O51" s="11">
        <v>0.1454149151486844</v>
      </c>
      <c r="P51" s="12">
        <v>-0.41089999999999999</v>
      </c>
      <c r="Q51" s="9" t="s">
        <v>73</v>
      </c>
      <c r="R51" s="12">
        <v>0.45390000000000003</v>
      </c>
      <c r="S51" s="9" t="s">
        <v>75</v>
      </c>
      <c r="T51" s="12">
        <v>3.5099999999999999E-2</v>
      </c>
      <c r="U51" s="12">
        <v>0.3</v>
      </c>
      <c r="V51" s="9" t="s">
        <v>412</v>
      </c>
      <c r="W51" s="9" t="s">
        <v>604</v>
      </c>
      <c r="X51" s="9" t="s">
        <v>60</v>
      </c>
      <c r="Y51" s="9" t="s">
        <v>152</v>
      </c>
      <c r="Z51" s="9" t="s">
        <v>623</v>
      </c>
      <c r="AA51" s="9" t="s">
        <v>614</v>
      </c>
      <c r="AB51" s="11">
        <v>0.27046137184391028</v>
      </c>
      <c r="AC51" s="11">
        <v>0.2161971772479688</v>
      </c>
      <c r="AD51" s="11">
        <v>0.1527092352750172</v>
      </c>
      <c r="AE51" s="11">
        <v>0.19919641658716919</v>
      </c>
      <c r="AF51" s="11">
        <v>0.16143579904593441</v>
      </c>
      <c r="AG51" s="9" t="str">
        <f t="shared" si="0"/>
        <v>Protección y orden cotidiano</v>
      </c>
      <c r="AH51" s="9" t="s">
        <v>615</v>
      </c>
      <c r="AI51" s="9"/>
      <c r="AJ51" s="9" t="str">
        <f t="shared" si="1"/>
        <v>Protección y orden cotidiano</v>
      </c>
      <c r="AK51" s="9" t="str">
        <f>IFERROR(INDEX('[3]02_Arquetipos_Miedo_Sesgo'!$C$5:$C$9,MATCH(AJ51,'[3]02_Arquetipos_Miedo_Sesgo'!$A$5:$A$9,0)),"")</f>
        <v>Miedo a la inseguridad, al descontrol barrial y a perder la tranquilidad cotidiana.</v>
      </c>
      <c r="AL51" s="9" t="str">
        <f>IFERROR(INDEX('[3]02_Arquetipos_Miedo_Sesgo'!$D$5:$D$9,MATCH(AJ51,'[3]02_Arquetipos_Miedo_Sesgo'!$A$5:$A$9,0)),"")</f>
        <v>Sesgo de disponibilidad + sesgo de negatividad + preferencia por autoridad.</v>
      </c>
      <c r="AM51" s="9" t="str">
        <f>IFERROR(INDEX('[3]02_Arquetipos_Miedo_Sesgo'!$E$5:$E$9,MATCH(AJ51,'[3]02_Arquetipos_Miedo_Sesgo'!$A$5:$A$9,0)),"")</f>
        <v>Seguridad, convivencia, movilidad, alumbrado, reacción institucional rápida, presencia de autoridad.</v>
      </c>
      <c r="AN51" s="9" t="str">
        <f t="shared" si="2"/>
        <v>Alta</v>
      </c>
      <c r="AO51" s="9" t="s">
        <v>608</v>
      </c>
    </row>
    <row r="52" spans="1:41" ht="43.2">
      <c r="A52" s="9" t="s">
        <v>332</v>
      </c>
      <c r="B52" s="9" t="s">
        <v>325</v>
      </c>
      <c r="C52" s="9" t="s">
        <v>333</v>
      </c>
      <c r="D52" s="10">
        <v>2522</v>
      </c>
      <c r="E52" s="10">
        <v>2031</v>
      </c>
      <c r="F52" s="10">
        <v>1796</v>
      </c>
      <c r="G52" s="9" t="s">
        <v>601</v>
      </c>
      <c r="H52" s="11">
        <v>0.71927042030134813</v>
      </c>
      <c r="I52" s="11">
        <v>0.54044409199048371</v>
      </c>
      <c r="J52" s="9" t="s">
        <v>602</v>
      </c>
      <c r="K52" s="11">
        <v>0.35795174790743478</v>
      </c>
      <c r="L52" s="11">
        <v>0.25258493353028072</v>
      </c>
      <c r="M52" s="9" t="s">
        <v>603</v>
      </c>
      <c r="N52" s="11">
        <v>0.30345211581291759</v>
      </c>
      <c r="O52" s="11">
        <v>8.6859688195991075E-2</v>
      </c>
      <c r="P52" s="12">
        <v>-0.41089999999999999</v>
      </c>
      <c r="Q52" s="9" t="s">
        <v>73</v>
      </c>
      <c r="R52" s="12">
        <v>0.45390000000000003</v>
      </c>
      <c r="S52" s="9" t="s">
        <v>75</v>
      </c>
      <c r="T52" s="12">
        <v>3.5099999999999999E-2</v>
      </c>
      <c r="U52" s="12">
        <v>0.3</v>
      </c>
      <c r="V52" s="9" t="s">
        <v>412</v>
      </c>
      <c r="W52" s="9" t="s">
        <v>604</v>
      </c>
      <c r="X52" s="9" t="s">
        <v>60</v>
      </c>
      <c r="Y52" s="9" t="s">
        <v>152</v>
      </c>
      <c r="Z52" s="9" t="s">
        <v>623</v>
      </c>
      <c r="AA52" s="9" t="s">
        <v>614</v>
      </c>
      <c r="AB52" s="11">
        <v>0.24502977632627149</v>
      </c>
      <c r="AC52" s="11">
        <v>0.22775186298086561</v>
      </c>
      <c r="AD52" s="11">
        <v>0.1358967162981492</v>
      </c>
      <c r="AE52" s="11">
        <v>0.23552097961395441</v>
      </c>
      <c r="AF52" s="11">
        <v>0.15580066478075921</v>
      </c>
      <c r="AG52" s="9" t="str">
        <f t="shared" si="0"/>
        <v>Protección y orden cotidiano</v>
      </c>
      <c r="AH52" s="9" t="s">
        <v>615</v>
      </c>
      <c r="AI52" s="9"/>
      <c r="AJ52" s="9" t="str">
        <f t="shared" si="1"/>
        <v>Protección y orden cotidiano</v>
      </c>
      <c r="AK52" s="9" t="str">
        <f>IFERROR(INDEX('[3]02_Arquetipos_Miedo_Sesgo'!$C$5:$C$9,MATCH(AJ52,'[3]02_Arquetipos_Miedo_Sesgo'!$A$5:$A$9,0)),"")</f>
        <v>Miedo a la inseguridad, al descontrol barrial y a perder la tranquilidad cotidiana.</v>
      </c>
      <c r="AL52" s="9" t="str">
        <f>IFERROR(INDEX('[3]02_Arquetipos_Miedo_Sesgo'!$D$5:$D$9,MATCH(AJ52,'[3]02_Arquetipos_Miedo_Sesgo'!$A$5:$A$9,0)),"")</f>
        <v>Sesgo de disponibilidad + sesgo de negatividad + preferencia por autoridad.</v>
      </c>
      <c r="AM52" s="9" t="str">
        <f>IFERROR(INDEX('[3]02_Arquetipos_Miedo_Sesgo'!$E$5:$E$9,MATCH(AJ52,'[3]02_Arquetipos_Miedo_Sesgo'!$A$5:$A$9,0)),"")</f>
        <v>Seguridad, convivencia, movilidad, alumbrado, reacción institucional rápida, presencia de autoridad.</v>
      </c>
      <c r="AN52" s="9" t="str">
        <f t="shared" si="2"/>
        <v>Alta</v>
      </c>
      <c r="AO52" s="9" t="s">
        <v>608</v>
      </c>
    </row>
    <row r="53" spans="1:41" ht="43.2">
      <c r="A53" s="9" t="s">
        <v>334</v>
      </c>
      <c r="B53" s="9" t="s">
        <v>325</v>
      </c>
      <c r="C53" s="9" t="s">
        <v>335</v>
      </c>
      <c r="D53" s="10">
        <v>9602</v>
      </c>
      <c r="E53" s="10">
        <v>7824</v>
      </c>
      <c r="F53" s="10">
        <v>7079</v>
      </c>
      <c r="G53" s="9" t="s">
        <v>601</v>
      </c>
      <c r="H53" s="11">
        <v>0.75723807540095811</v>
      </c>
      <c r="I53" s="11">
        <v>0.61778796084149135</v>
      </c>
      <c r="J53" s="9" t="s">
        <v>602</v>
      </c>
      <c r="K53" s="11">
        <v>0.29320040899795502</v>
      </c>
      <c r="L53" s="11">
        <v>0.17714723926380371</v>
      </c>
      <c r="M53" s="9" t="s">
        <v>603</v>
      </c>
      <c r="N53" s="11">
        <v>0.29975985308659409</v>
      </c>
      <c r="O53" s="11">
        <v>0.1090549512643029</v>
      </c>
      <c r="P53" s="12">
        <v>-0.41089999999999999</v>
      </c>
      <c r="Q53" s="9" t="s">
        <v>73</v>
      </c>
      <c r="R53" s="12">
        <v>0.45390000000000003</v>
      </c>
      <c r="S53" s="9" t="s">
        <v>75</v>
      </c>
      <c r="T53" s="12">
        <v>3.5099999999999999E-2</v>
      </c>
      <c r="U53" s="12">
        <v>0.3</v>
      </c>
      <c r="V53" s="9" t="s">
        <v>412</v>
      </c>
      <c r="W53" s="9" t="s">
        <v>604</v>
      </c>
      <c r="X53" s="9" t="s">
        <v>60</v>
      </c>
      <c r="Y53" s="9" t="s">
        <v>152</v>
      </c>
      <c r="Z53" s="9" t="s">
        <v>623</v>
      </c>
      <c r="AA53" s="9" t="s">
        <v>614</v>
      </c>
      <c r="AB53" s="11">
        <v>0.26515967693114001</v>
      </c>
      <c r="AC53" s="11">
        <v>0.2165906560860679</v>
      </c>
      <c r="AD53" s="11">
        <v>0.14381113291059799</v>
      </c>
      <c r="AE53" s="11">
        <v>0.21570691281286949</v>
      </c>
      <c r="AF53" s="11">
        <v>0.15873162125932469</v>
      </c>
      <c r="AG53" s="9" t="str">
        <f t="shared" si="0"/>
        <v>Protección y orden cotidiano</v>
      </c>
      <c r="AH53" s="9" t="s">
        <v>615</v>
      </c>
      <c r="AI53" s="9"/>
      <c r="AJ53" s="9" t="str">
        <f t="shared" si="1"/>
        <v>Protección y orden cotidiano</v>
      </c>
      <c r="AK53" s="9" t="str">
        <f>IFERROR(INDEX('[3]02_Arquetipos_Miedo_Sesgo'!$C$5:$C$9,MATCH(AJ53,'[3]02_Arquetipos_Miedo_Sesgo'!$A$5:$A$9,0)),"")</f>
        <v>Miedo a la inseguridad, al descontrol barrial y a perder la tranquilidad cotidiana.</v>
      </c>
      <c r="AL53" s="9" t="str">
        <f>IFERROR(INDEX('[3]02_Arquetipos_Miedo_Sesgo'!$D$5:$D$9,MATCH(AJ53,'[3]02_Arquetipos_Miedo_Sesgo'!$A$5:$A$9,0)),"")</f>
        <v>Sesgo de disponibilidad + sesgo de negatividad + preferencia por autoridad.</v>
      </c>
      <c r="AM53" s="9" t="str">
        <f>IFERROR(INDEX('[3]02_Arquetipos_Miedo_Sesgo'!$E$5:$E$9,MATCH(AJ53,'[3]02_Arquetipos_Miedo_Sesgo'!$A$5:$A$9,0)),"")</f>
        <v>Seguridad, convivencia, movilidad, alumbrado, reacción institucional rápida, presencia de autoridad.</v>
      </c>
      <c r="AN53" s="9" t="str">
        <f t="shared" si="2"/>
        <v>Alta</v>
      </c>
      <c r="AO53" s="9" t="s">
        <v>608</v>
      </c>
    </row>
    <row r="54" spans="1:41" ht="43.2">
      <c r="A54" s="9" t="s">
        <v>336</v>
      </c>
      <c r="B54" s="9" t="s">
        <v>325</v>
      </c>
      <c r="C54" s="9" t="s">
        <v>337</v>
      </c>
      <c r="D54" s="10">
        <v>5787</v>
      </c>
      <c r="E54" s="10">
        <v>5143</v>
      </c>
      <c r="F54" s="10">
        <v>4179</v>
      </c>
      <c r="G54" s="9" t="s">
        <v>601</v>
      </c>
      <c r="H54" s="11">
        <v>0.71401416969068598</v>
      </c>
      <c r="I54" s="11">
        <v>0.54881631242439943</v>
      </c>
      <c r="J54" s="9" t="s">
        <v>602</v>
      </c>
      <c r="K54" s="11">
        <v>0.28932529651954109</v>
      </c>
      <c r="L54" s="11">
        <v>0.15341240521096641</v>
      </c>
      <c r="M54" s="9" t="s">
        <v>603</v>
      </c>
      <c r="N54" s="11">
        <v>0.35630533620483368</v>
      </c>
      <c r="O54" s="11">
        <v>0.16104331179708059</v>
      </c>
      <c r="P54" s="12">
        <v>-0.41089999999999999</v>
      </c>
      <c r="Q54" s="9" t="s">
        <v>73</v>
      </c>
      <c r="R54" s="12">
        <v>0.45390000000000003</v>
      </c>
      <c r="S54" s="9" t="s">
        <v>75</v>
      </c>
      <c r="T54" s="12">
        <v>3.5099999999999999E-2</v>
      </c>
      <c r="U54" s="12">
        <v>0.3</v>
      </c>
      <c r="V54" s="9" t="s">
        <v>412</v>
      </c>
      <c r="W54" s="9" t="s">
        <v>604</v>
      </c>
      <c r="X54" s="9" t="s">
        <v>60</v>
      </c>
      <c r="Y54" s="9" t="s">
        <v>152</v>
      </c>
      <c r="Z54" s="9" t="s">
        <v>623</v>
      </c>
      <c r="AA54" s="9" t="s">
        <v>614</v>
      </c>
      <c r="AB54" s="11">
        <v>0.25451920494512198</v>
      </c>
      <c r="AC54" s="11">
        <v>0.2344592229780692</v>
      </c>
      <c r="AD54" s="11">
        <v>0.1574895619035564</v>
      </c>
      <c r="AE54" s="11">
        <v>0.1773035848383116</v>
      </c>
      <c r="AF54" s="11">
        <v>0.1762284253349409</v>
      </c>
      <c r="AG54" s="9" t="str">
        <f t="shared" si="0"/>
        <v>Protección y orden cotidiano</v>
      </c>
      <c r="AH54" s="9" t="s">
        <v>615</v>
      </c>
      <c r="AI54" s="9"/>
      <c r="AJ54" s="9" t="str">
        <f t="shared" si="1"/>
        <v>Protección y orden cotidiano</v>
      </c>
      <c r="AK54" s="9" t="str">
        <f>IFERROR(INDEX('[3]02_Arquetipos_Miedo_Sesgo'!$C$5:$C$9,MATCH(AJ54,'[3]02_Arquetipos_Miedo_Sesgo'!$A$5:$A$9,0)),"")</f>
        <v>Miedo a la inseguridad, al descontrol barrial y a perder la tranquilidad cotidiana.</v>
      </c>
      <c r="AL54" s="9" t="str">
        <f>IFERROR(INDEX('[3]02_Arquetipos_Miedo_Sesgo'!$D$5:$D$9,MATCH(AJ54,'[3]02_Arquetipos_Miedo_Sesgo'!$A$5:$A$9,0)),"")</f>
        <v>Sesgo de disponibilidad + sesgo de negatividad + preferencia por autoridad.</v>
      </c>
      <c r="AM54" s="9" t="str">
        <f>IFERROR(INDEX('[3]02_Arquetipos_Miedo_Sesgo'!$E$5:$E$9,MATCH(AJ54,'[3]02_Arquetipos_Miedo_Sesgo'!$A$5:$A$9,0)),"")</f>
        <v>Seguridad, convivencia, movilidad, alumbrado, reacción institucional rápida, presencia de autoridad.</v>
      </c>
      <c r="AN54" s="9" t="str">
        <f t="shared" si="2"/>
        <v>Alta</v>
      </c>
      <c r="AO54" s="9" t="s">
        <v>608</v>
      </c>
    </row>
    <row r="55" spans="1:41" ht="43.2">
      <c r="A55" s="9" t="s">
        <v>338</v>
      </c>
      <c r="B55" s="9" t="s">
        <v>325</v>
      </c>
      <c r="C55" s="9" t="s">
        <v>325</v>
      </c>
      <c r="D55" s="10">
        <v>8272</v>
      </c>
      <c r="E55" s="10">
        <v>7259</v>
      </c>
      <c r="F55" s="10">
        <v>6044</v>
      </c>
      <c r="G55" s="9" t="s">
        <v>601</v>
      </c>
      <c r="H55" s="11">
        <v>0.76680367504835589</v>
      </c>
      <c r="I55" s="11">
        <v>0.64615570599613148</v>
      </c>
      <c r="J55" s="9" t="s">
        <v>602</v>
      </c>
      <c r="K55" s="11">
        <v>0.29756164760986359</v>
      </c>
      <c r="L55" s="11">
        <v>0.15759746521559451</v>
      </c>
      <c r="M55" s="9" t="s">
        <v>603</v>
      </c>
      <c r="N55" s="11">
        <v>0.37061548643282588</v>
      </c>
      <c r="O55" s="11">
        <v>0.192422236929186</v>
      </c>
      <c r="P55" s="12">
        <v>-0.41089999999999999</v>
      </c>
      <c r="Q55" s="9" t="s">
        <v>73</v>
      </c>
      <c r="R55" s="12">
        <v>0.45390000000000003</v>
      </c>
      <c r="S55" s="9" t="s">
        <v>75</v>
      </c>
      <c r="T55" s="12">
        <v>3.5099999999999999E-2</v>
      </c>
      <c r="U55" s="12">
        <v>0.3</v>
      </c>
      <c r="V55" s="9" t="s">
        <v>412</v>
      </c>
      <c r="W55" s="9" t="s">
        <v>604</v>
      </c>
      <c r="X55" s="9" t="s">
        <v>60</v>
      </c>
      <c r="Y55" s="9" t="s">
        <v>152</v>
      </c>
      <c r="Z55" s="9" t="s">
        <v>623</v>
      </c>
      <c r="AA55" s="9" t="s">
        <v>614</v>
      </c>
      <c r="AB55" s="11">
        <v>0.27288916383649531</v>
      </c>
      <c r="AC55" s="11">
        <v>0.21947302956121439</v>
      </c>
      <c r="AD55" s="11">
        <v>0.1615463808909515</v>
      </c>
      <c r="AE55" s="11">
        <v>0.1752830159636215</v>
      </c>
      <c r="AF55" s="11">
        <v>0.17080840974771741</v>
      </c>
      <c r="AG55" s="9" t="str">
        <f t="shared" si="0"/>
        <v>Protección y orden cotidiano</v>
      </c>
      <c r="AH55" s="9" t="s">
        <v>615</v>
      </c>
      <c r="AI55" s="9"/>
      <c r="AJ55" s="9" t="str">
        <f t="shared" si="1"/>
        <v>Protección y orden cotidiano</v>
      </c>
      <c r="AK55" s="9" t="str">
        <f>IFERROR(INDEX('[3]02_Arquetipos_Miedo_Sesgo'!$C$5:$C$9,MATCH(AJ55,'[3]02_Arquetipos_Miedo_Sesgo'!$A$5:$A$9,0)),"")</f>
        <v>Miedo a la inseguridad, al descontrol barrial y a perder la tranquilidad cotidiana.</v>
      </c>
      <c r="AL55" s="9" t="str">
        <f>IFERROR(INDEX('[3]02_Arquetipos_Miedo_Sesgo'!$D$5:$D$9,MATCH(AJ55,'[3]02_Arquetipos_Miedo_Sesgo'!$A$5:$A$9,0)),"")</f>
        <v>Sesgo de disponibilidad + sesgo de negatividad + preferencia por autoridad.</v>
      </c>
      <c r="AM55" s="9" t="str">
        <f>IFERROR(INDEX('[3]02_Arquetipos_Miedo_Sesgo'!$E$5:$E$9,MATCH(AJ55,'[3]02_Arquetipos_Miedo_Sesgo'!$A$5:$A$9,0)),"")</f>
        <v>Seguridad, convivencia, movilidad, alumbrado, reacción institucional rápida, presencia de autoridad.</v>
      </c>
      <c r="AN55" s="9" t="str">
        <f t="shared" si="2"/>
        <v>Alta</v>
      </c>
      <c r="AO55" s="9" t="s">
        <v>608</v>
      </c>
    </row>
    <row r="56" spans="1:41" ht="43.2">
      <c r="A56" s="9" t="s">
        <v>339</v>
      </c>
      <c r="B56" s="9" t="s">
        <v>325</v>
      </c>
      <c r="C56" s="9" t="s">
        <v>340</v>
      </c>
      <c r="D56" s="10">
        <v>1402</v>
      </c>
      <c r="E56" s="10">
        <v>1155</v>
      </c>
      <c r="F56" s="10">
        <v>989</v>
      </c>
      <c r="G56" s="9" t="s">
        <v>601</v>
      </c>
      <c r="H56" s="11">
        <v>0.7068473609129815</v>
      </c>
      <c r="I56" s="11">
        <v>0.53138373751783174</v>
      </c>
      <c r="J56" s="9" t="s">
        <v>602</v>
      </c>
      <c r="K56" s="11">
        <v>0.31688311688311688</v>
      </c>
      <c r="L56" s="11">
        <v>0.20086580086580089</v>
      </c>
      <c r="M56" s="9" t="s">
        <v>603</v>
      </c>
      <c r="N56" s="11">
        <v>0.3104145601617796</v>
      </c>
      <c r="O56" s="11">
        <v>0.1203235591506573</v>
      </c>
      <c r="P56" s="12">
        <v>-0.41089999999999999</v>
      </c>
      <c r="Q56" s="9" t="s">
        <v>73</v>
      </c>
      <c r="R56" s="12">
        <v>0.45390000000000003</v>
      </c>
      <c r="S56" s="9" t="s">
        <v>75</v>
      </c>
      <c r="T56" s="12">
        <v>3.5099999999999999E-2</v>
      </c>
      <c r="U56" s="12">
        <v>0.3</v>
      </c>
      <c r="V56" s="9" t="s">
        <v>412</v>
      </c>
      <c r="W56" s="9" t="s">
        <v>604</v>
      </c>
      <c r="X56" s="9" t="s">
        <v>60</v>
      </c>
      <c r="Y56" s="9" t="s">
        <v>152</v>
      </c>
      <c r="Z56" s="9" t="s">
        <v>623</v>
      </c>
      <c r="AA56" s="9" t="s">
        <v>614</v>
      </c>
      <c r="AB56" s="11">
        <v>0.2486299626599246</v>
      </c>
      <c r="AC56" s="11">
        <v>0.22951288381150781</v>
      </c>
      <c r="AD56" s="11">
        <v>0.14453549307093749</v>
      </c>
      <c r="AE56" s="11">
        <v>0.21959477193370139</v>
      </c>
      <c r="AF56" s="11">
        <v>0.15772688852392869</v>
      </c>
      <c r="AG56" s="9" t="str">
        <f t="shared" si="0"/>
        <v>Protección y orden cotidiano</v>
      </c>
      <c r="AH56" s="9" t="s">
        <v>615</v>
      </c>
      <c r="AI56" s="9"/>
      <c r="AJ56" s="9" t="str">
        <f t="shared" si="1"/>
        <v>Protección y orden cotidiano</v>
      </c>
      <c r="AK56" s="9" t="str">
        <f>IFERROR(INDEX('[3]02_Arquetipos_Miedo_Sesgo'!$C$5:$C$9,MATCH(AJ56,'[3]02_Arquetipos_Miedo_Sesgo'!$A$5:$A$9,0)),"")</f>
        <v>Miedo a la inseguridad, al descontrol barrial y a perder la tranquilidad cotidiana.</v>
      </c>
      <c r="AL56" s="9" t="str">
        <f>IFERROR(INDEX('[3]02_Arquetipos_Miedo_Sesgo'!$D$5:$D$9,MATCH(AJ56,'[3]02_Arquetipos_Miedo_Sesgo'!$A$5:$A$9,0)),"")</f>
        <v>Sesgo de disponibilidad + sesgo de negatividad + preferencia por autoridad.</v>
      </c>
      <c r="AM56" s="9" t="str">
        <f>IFERROR(INDEX('[3]02_Arquetipos_Miedo_Sesgo'!$E$5:$E$9,MATCH(AJ56,'[3]02_Arquetipos_Miedo_Sesgo'!$A$5:$A$9,0)),"")</f>
        <v>Seguridad, convivencia, movilidad, alumbrado, reacción institucional rápida, presencia de autoridad.</v>
      </c>
      <c r="AN56" s="9" t="str">
        <f t="shared" si="2"/>
        <v>Alta</v>
      </c>
      <c r="AO56" s="9" t="s">
        <v>608</v>
      </c>
    </row>
    <row r="57" spans="1:41" ht="43.2">
      <c r="A57" s="9" t="s">
        <v>341</v>
      </c>
      <c r="B57" s="9" t="s">
        <v>325</v>
      </c>
      <c r="C57" s="9" t="s">
        <v>342</v>
      </c>
      <c r="D57" s="10">
        <v>3036</v>
      </c>
      <c r="E57" s="10">
        <v>2358</v>
      </c>
      <c r="F57" s="10">
        <v>2070</v>
      </c>
      <c r="G57" s="9" t="s">
        <v>601</v>
      </c>
      <c r="H57" s="11">
        <v>0.7700922266139657</v>
      </c>
      <c r="I57" s="11">
        <v>0.63537549407114624</v>
      </c>
      <c r="J57" s="9" t="s">
        <v>602</v>
      </c>
      <c r="K57" s="11">
        <v>0.30958439355385919</v>
      </c>
      <c r="L57" s="11">
        <v>0.1806615776081425</v>
      </c>
      <c r="M57" s="9" t="s">
        <v>610</v>
      </c>
      <c r="N57" s="11">
        <v>0.32270531400966179</v>
      </c>
      <c r="O57" s="11">
        <v>7.2463768115942351E-3</v>
      </c>
      <c r="P57" s="12">
        <v>-0.41089999999999999</v>
      </c>
      <c r="Q57" s="9" t="s">
        <v>73</v>
      </c>
      <c r="R57" s="12">
        <v>8.48E-2</v>
      </c>
      <c r="S57" s="9" t="s">
        <v>412</v>
      </c>
      <c r="T57" s="12">
        <v>-0.19400000000000001</v>
      </c>
      <c r="U57" s="12">
        <v>0.22989999999999999</v>
      </c>
      <c r="V57" s="9" t="s">
        <v>412</v>
      </c>
      <c r="W57" s="9" t="s">
        <v>604</v>
      </c>
      <c r="X57" s="9" t="s">
        <v>60</v>
      </c>
      <c r="Y57" s="9" t="s">
        <v>152</v>
      </c>
      <c r="Z57" s="9" t="s">
        <v>623</v>
      </c>
      <c r="AA57" s="9" t="s">
        <v>614</v>
      </c>
      <c r="AB57" s="11">
        <v>0.25416888934926601</v>
      </c>
      <c r="AC57" s="11">
        <v>0.2170252218705887</v>
      </c>
      <c r="AD57" s="11">
        <v>0.1129339613188379</v>
      </c>
      <c r="AE57" s="11">
        <v>0.25288091329191698</v>
      </c>
      <c r="AF57" s="11">
        <v>0.1629910141693903</v>
      </c>
      <c r="AG57" s="9" t="str">
        <f t="shared" si="0"/>
        <v>Protección y orden cotidiano</v>
      </c>
      <c r="AH57" s="9" t="s">
        <v>615</v>
      </c>
      <c r="AI57" s="9"/>
      <c r="AJ57" s="9" t="str">
        <f t="shared" si="1"/>
        <v>Protección y orden cotidiano</v>
      </c>
      <c r="AK57" s="9" t="str">
        <f>IFERROR(INDEX('[3]02_Arquetipos_Miedo_Sesgo'!$C$5:$C$9,MATCH(AJ57,'[3]02_Arquetipos_Miedo_Sesgo'!$A$5:$A$9,0)),"")</f>
        <v>Miedo a la inseguridad, al descontrol barrial y a perder la tranquilidad cotidiana.</v>
      </c>
      <c r="AL57" s="9" t="str">
        <f>IFERROR(INDEX('[3]02_Arquetipos_Miedo_Sesgo'!$D$5:$D$9,MATCH(AJ57,'[3]02_Arquetipos_Miedo_Sesgo'!$A$5:$A$9,0)),"")</f>
        <v>Sesgo de disponibilidad + sesgo de negatividad + preferencia por autoridad.</v>
      </c>
      <c r="AM57" s="9" t="str">
        <f>IFERROR(INDEX('[3]02_Arquetipos_Miedo_Sesgo'!$E$5:$E$9,MATCH(AJ57,'[3]02_Arquetipos_Miedo_Sesgo'!$A$5:$A$9,0)),"")</f>
        <v>Seguridad, convivencia, movilidad, alumbrado, reacción institucional rápida, presencia de autoridad.</v>
      </c>
      <c r="AN57" s="9" t="str">
        <f t="shared" si="2"/>
        <v>Alta</v>
      </c>
      <c r="AO57" s="9" t="s">
        <v>608</v>
      </c>
    </row>
    <row r="58" spans="1:41" ht="43.2">
      <c r="A58" s="9" t="s">
        <v>556</v>
      </c>
      <c r="B58" s="9" t="s">
        <v>325</v>
      </c>
      <c r="C58" s="9" t="s">
        <v>557</v>
      </c>
      <c r="D58" s="10">
        <v>700</v>
      </c>
      <c r="E58" s="10">
        <v>515</v>
      </c>
      <c r="F58" s="10">
        <v>412</v>
      </c>
      <c r="G58" s="9" t="s">
        <v>601</v>
      </c>
      <c r="H58" s="11">
        <v>0.7</v>
      </c>
      <c r="I58" s="11">
        <v>0.50571428571428567</v>
      </c>
      <c r="J58" s="9" t="s">
        <v>602</v>
      </c>
      <c r="K58" s="11">
        <v>0.32233009708737859</v>
      </c>
      <c r="L58" s="11">
        <v>0.2349514563106796</v>
      </c>
      <c r="M58" s="9" t="s">
        <v>610</v>
      </c>
      <c r="N58" s="11">
        <v>0.29611650485436891</v>
      </c>
      <c r="O58" s="11">
        <v>2.427184466019416E-3</v>
      </c>
      <c r="P58" s="12">
        <v>-0.41089999999999999</v>
      </c>
      <c r="Q58" s="9" t="s">
        <v>73</v>
      </c>
      <c r="R58" s="12">
        <v>8.48E-2</v>
      </c>
      <c r="S58" s="9" t="s">
        <v>412</v>
      </c>
      <c r="T58" s="12">
        <v>-0.19400000000000001</v>
      </c>
      <c r="U58" s="12">
        <v>0.22989999999999999</v>
      </c>
      <c r="V58" s="9" t="s">
        <v>412</v>
      </c>
      <c r="W58" s="9" t="s">
        <v>604</v>
      </c>
      <c r="X58" s="9" t="s">
        <v>60</v>
      </c>
      <c r="Y58" s="9" t="s">
        <v>152</v>
      </c>
      <c r="Z58" s="9" t="s">
        <v>623</v>
      </c>
      <c r="AA58" s="9" t="s">
        <v>614</v>
      </c>
      <c r="AB58" s="11">
        <v>0.2408474667671911</v>
      </c>
      <c r="AC58" s="11">
        <v>0.22978504859550161</v>
      </c>
      <c r="AD58" s="11">
        <v>0.1245189837583378</v>
      </c>
      <c r="AE58" s="11">
        <v>0.23880314666852889</v>
      </c>
      <c r="AF58" s="11">
        <v>0.16604535421044039</v>
      </c>
      <c r="AG58" s="9" t="str">
        <f t="shared" si="0"/>
        <v>Protección y orden cotidiano</v>
      </c>
      <c r="AH58" s="9" t="s">
        <v>615</v>
      </c>
      <c r="AI58" s="9"/>
      <c r="AJ58" s="9" t="str">
        <f t="shared" si="1"/>
        <v>Protección y orden cotidiano</v>
      </c>
      <c r="AK58" s="9" t="str">
        <f>IFERROR(INDEX('[3]02_Arquetipos_Miedo_Sesgo'!$C$5:$C$9,MATCH(AJ58,'[3]02_Arquetipos_Miedo_Sesgo'!$A$5:$A$9,0)),"")</f>
        <v>Miedo a la inseguridad, al descontrol barrial y a perder la tranquilidad cotidiana.</v>
      </c>
      <c r="AL58" s="9" t="str">
        <f>IFERROR(INDEX('[3]02_Arquetipos_Miedo_Sesgo'!$D$5:$D$9,MATCH(AJ58,'[3]02_Arquetipos_Miedo_Sesgo'!$A$5:$A$9,0)),"")</f>
        <v>Sesgo de disponibilidad + sesgo de negatividad + preferencia por autoridad.</v>
      </c>
      <c r="AM58" s="9" t="str">
        <f>IFERROR(INDEX('[3]02_Arquetipos_Miedo_Sesgo'!$E$5:$E$9,MATCH(AJ58,'[3]02_Arquetipos_Miedo_Sesgo'!$A$5:$A$9,0)),"")</f>
        <v>Seguridad, convivencia, movilidad, alumbrado, reacción institucional rápida, presencia de autoridad.</v>
      </c>
      <c r="AN58" s="9" t="str">
        <f t="shared" si="2"/>
        <v>Alta</v>
      </c>
      <c r="AO58" s="9" t="s">
        <v>608</v>
      </c>
    </row>
    <row r="59" spans="1:41" ht="43.2">
      <c r="A59" s="9" t="s">
        <v>343</v>
      </c>
      <c r="B59" s="9" t="s">
        <v>325</v>
      </c>
      <c r="C59" s="9" t="s">
        <v>344</v>
      </c>
      <c r="D59" s="10">
        <v>88</v>
      </c>
      <c r="E59" s="10">
        <v>67</v>
      </c>
      <c r="F59" s="10"/>
      <c r="G59" s="9" t="s">
        <v>601</v>
      </c>
      <c r="H59" s="11">
        <v>0.70454545454545459</v>
      </c>
      <c r="I59" s="11">
        <v>0.5</v>
      </c>
      <c r="J59" s="9" t="s">
        <v>602</v>
      </c>
      <c r="K59" s="11">
        <v>0.37313432835820898</v>
      </c>
      <c r="L59" s="11">
        <v>0.20895522388059701</v>
      </c>
      <c r="M59" s="9" t="s">
        <v>603</v>
      </c>
      <c r="N59" s="11">
        <v>0</v>
      </c>
      <c r="O59" s="11">
        <v>0</v>
      </c>
      <c r="P59" s="12">
        <v>-0.41089999999999999</v>
      </c>
      <c r="Q59" s="9" t="s">
        <v>73</v>
      </c>
      <c r="R59" s="12">
        <v>0.45390000000000003</v>
      </c>
      <c r="S59" s="9" t="s">
        <v>75</v>
      </c>
      <c r="T59" s="12">
        <v>3.5099999999999999E-2</v>
      </c>
      <c r="U59" s="12">
        <v>0.3</v>
      </c>
      <c r="V59" s="9" t="s">
        <v>412</v>
      </c>
      <c r="W59" s="9" t="s">
        <v>604</v>
      </c>
      <c r="X59" s="9" t="s">
        <v>60</v>
      </c>
      <c r="Y59" s="9" t="s">
        <v>152</v>
      </c>
      <c r="Z59" s="9" t="s">
        <v>623</v>
      </c>
      <c r="AA59" s="9" t="s">
        <v>614</v>
      </c>
      <c r="AB59" s="11">
        <v>0.30852568903769478</v>
      </c>
      <c r="AC59" s="11">
        <v>0.22696249473599331</v>
      </c>
      <c r="AD59" s="11">
        <v>0.1633016059005839</v>
      </c>
      <c r="AE59" s="11">
        <v>0.2525515409741117</v>
      </c>
      <c r="AF59" s="11">
        <v>4.8658669351616259E-2</v>
      </c>
      <c r="AG59" s="9" t="str">
        <f t="shared" si="0"/>
        <v>Protección y orden cotidiano</v>
      </c>
      <c r="AH59" s="9" t="s">
        <v>615</v>
      </c>
      <c r="AI59" s="9"/>
      <c r="AJ59" s="9" t="str">
        <f t="shared" si="1"/>
        <v>Protección y orden cotidiano</v>
      </c>
      <c r="AK59" s="9" t="str">
        <f>IFERROR(INDEX('[3]02_Arquetipos_Miedo_Sesgo'!$C$5:$C$9,MATCH(AJ59,'[3]02_Arquetipos_Miedo_Sesgo'!$A$5:$A$9,0)),"")</f>
        <v>Miedo a la inseguridad, al descontrol barrial y a perder la tranquilidad cotidiana.</v>
      </c>
      <c r="AL59" s="9" t="str">
        <f>IFERROR(INDEX('[3]02_Arquetipos_Miedo_Sesgo'!$D$5:$D$9,MATCH(AJ59,'[3]02_Arquetipos_Miedo_Sesgo'!$A$5:$A$9,0)),"")</f>
        <v>Sesgo de disponibilidad + sesgo de negatividad + preferencia por autoridad.</v>
      </c>
      <c r="AM59" s="9" t="str">
        <f>IFERROR(INDEX('[3]02_Arquetipos_Miedo_Sesgo'!$E$5:$E$9,MATCH(AJ59,'[3]02_Arquetipos_Miedo_Sesgo'!$A$5:$A$9,0)),"")</f>
        <v>Seguridad, convivencia, movilidad, alumbrado, reacción institucional rápida, presencia de autoridad.</v>
      </c>
      <c r="AN59" s="9" t="str">
        <f t="shared" si="2"/>
        <v>Alta</v>
      </c>
      <c r="AO59" s="9" t="s">
        <v>608</v>
      </c>
    </row>
    <row r="60" spans="1:41" ht="43.2">
      <c r="A60" s="9" t="s">
        <v>381</v>
      </c>
      <c r="B60" s="9" t="s">
        <v>382</v>
      </c>
      <c r="C60" s="9" t="s">
        <v>382</v>
      </c>
      <c r="D60" s="10">
        <v>5170</v>
      </c>
      <c r="E60" s="10">
        <v>4526</v>
      </c>
      <c r="F60" s="10">
        <v>3958</v>
      </c>
      <c r="G60" s="9" t="s">
        <v>601</v>
      </c>
      <c r="H60" s="11">
        <v>0.79555125725338494</v>
      </c>
      <c r="I60" s="11">
        <v>0.69729206963249513</v>
      </c>
      <c r="J60" s="9" t="s">
        <v>602</v>
      </c>
      <c r="K60" s="11">
        <v>0.26911179849756961</v>
      </c>
      <c r="L60" s="11">
        <v>0.13853292090145819</v>
      </c>
      <c r="M60" s="9" t="s">
        <v>603</v>
      </c>
      <c r="N60" s="11">
        <v>0.29585649317837293</v>
      </c>
      <c r="O60" s="11">
        <v>0.1235472460838808</v>
      </c>
      <c r="P60" s="12">
        <v>-0.41089999999999999</v>
      </c>
      <c r="Q60" s="9" t="s">
        <v>73</v>
      </c>
      <c r="R60" s="12">
        <v>0.45390000000000003</v>
      </c>
      <c r="S60" s="9" t="s">
        <v>75</v>
      </c>
      <c r="T60" s="12">
        <v>3.5099999999999999E-2</v>
      </c>
      <c r="U60" s="12">
        <v>0.3</v>
      </c>
      <c r="V60" s="9" t="s">
        <v>412</v>
      </c>
      <c r="W60" s="9" t="s">
        <v>604</v>
      </c>
      <c r="X60" s="9" t="s">
        <v>60</v>
      </c>
      <c r="Y60" s="9" t="s">
        <v>624</v>
      </c>
      <c r="Z60" s="9" t="s">
        <v>625</v>
      </c>
      <c r="AA60" s="9" t="s">
        <v>614</v>
      </c>
      <c r="AB60" s="11">
        <v>0.28654331006893619</v>
      </c>
      <c r="AC60" s="11">
        <v>0.2218861730959629</v>
      </c>
      <c r="AD60" s="11">
        <v>0.14639916886162141</v>
      </c>
      <c r="AE60" s="11">
        <v>0.17911897657184869</v>
      </c>
      <c r="AF60" s="11">
        <v>0.16605237140163071</v>
      </c>
      <c r="AG60" s="9" t="str">
        <f t="shared" si="0"/>
        <v>Protección y orden cotidiano</v>
      </c>
      <c r="AH60" s="9" t="s">
        <v>615</v>
      </c>
      <c r="AI60" s="9"/>
      <c r="AJ60" s="9" t="str">
        <f t="shared" si="1"/>
        <v>Protección y orden cotidiano</v>
      </c>
      <c r="AK60" s="9" t="str">
        <f>IFERROR(INDEX('[3]02_Arquetipos_Miedo_Sesgo'!$C$5:$C$9,MATCH(AJ60,'[3]02_Arquetipos_Miedo_Sesgo'!$A$5:$A$9,0)),"")</f>
        <v>Miedo a la inseguridad, al descontrol barrial y a perder la tranquilidad cotidiana.</v>
      </c>
      <c r="AL60" s="9" t="str">
        <f>IFERROR(INDEX('[3]02_Arquetipos_Miedo_Sesgo'!$D$5:$D$9,MATCH(AJ60,'[3]02_Arquetipos_Miedo_Sesgo'!$A$5:$A$9,0)),"")</f>
        <v>Sesgo de disponibilidad + sesgo de negatividad + preferencia por autoridad.</v>
      </c>
      <c r="AM60" s="9" t="str">
        <f>IFERROR(INDEX('[3]02_Arquetipos_Miedo_Sesgo'!$E$5:$E$9,MATCH(AJ60,'[3]02_Arquetipos_Miedo_Sesgo'!$A$5:$A$9,0)),"")</f>
        <v>Seguridad, convivencia, movilidad, alumbrado, reacción institucional rápida, presencia de autoridad.</v>
      </c>
      <c r="AN60" s="9" t="str">
        <f t="shared" si="2"/>
        <v>Alta</v>
      </c>
      <c r="AO60" s="9" t="s">
        <v>608</v>
      </c>
    </row>
    <row r="61" spans="1:41" ht="43.2">
      <c r="A61" s="9" t="s">
        <v>385</v>
      </c>
      <c r="B61" s="9" t="s">
        <v>382</v>
      </c>
      <c r="C61" s="9" t="s">
        <v>386</v>
      </c>
      <c r="D61" s="10">
        <v>2392</v>
      </c>
      <c r="E61" s="10">
        <v>2120</v>
      </c>
      <c r="F61" s="10">
        <v>1704</v>
      </c>
      <c r="G61" s="9" t="s">
        <v>601</v>
      </c>
      <c r="H61" s="11">
        <v>0.75209030100334451</v>
      </c>
      <c r="I61" s="11">
        <v>0.62123745819397991</v>
      </c>
      <c r="J61" s="9" t="s">
        <v>602</v>
      </c>
      <c r="K61" s="11">
        <v>0.29056603773584899</v>
      </c>
      <c r="L61" s="11">
        <v>0.1773584905660377</v>
      </c>
      <c r="M61" s="9" t="s">
        <v>603</v>
      </c>
      <c r="N61" s="11">
        <v>0.36032863849765262</v>
      </c>
      <c r="O61" s="11">
        <v>0.17018779342723001</v>
      </c>
      <c r="P61" s="12">
        <v>-0.41089999999999999</v>
      </c>
      <c r="Q61" s="9" t="s">
        <v>73</v>
      </c>
      <c r="R61" s="12">
        <v>0.45390000000000003</v>
      </c>
      <c r="S61" s="9" t="s">
        <v>75</v>
      </c>
      <c r="T61" s="12">
        <v>3.5099999999999999E-2</v>
      </c>
      <c r="U61" s="12">
        <v>0.3</v>
      </c>
      <c r="V61" s="9" t="s">
        <v>412</v>
      </c>
      <c r="W61" s="9" t="s">
        <v>604</v>
      </c>
      <c r="X61" s="9" t="s">
        <v>60</v>
      </c>
      <c r="Y61" s="9" t="s">
        <v>624</v>
      </c>
      <c r="Z61" s="9" t="s">
        <v>625</v>
      </c>
      <c r="AA61" s="9" t="s">
        <v>614</v>
      </c>
      <c r="AB61" s="11">
        <v>0.27535534804091549</v>
      </c>
      <c r="AC61" s="11">
        <v>0.2242861136073579</v>
      </c>
      <c r="AD61" s="11">
        <v>0.16337495686914</v>
      </c>
      <c r="AE61" s="11">
        <v>0.16232152766142269</v>
      </c>
      <c r="AF61" s="11">
        <v>0.1746620538211639</v>
      </c>
      <c r="AG61" s="9" t="str">
        <f t="shared" si="0"/>
        <v>Protección y orden cotidiano</v>
      </c>
      <c r="AH61" s="9" t="s">
        <v>615</v>
      </c>
      <c r="AI61" s="9"/>
      <c r="AJ61" s="9" t="str">
        <f t="shared" si="1"/>
        <v>Protección y orden cotidiano</v>
      </c>
      <c r="AK61" s="9" t="str">
        <f>IFERROR(INDEX('[3]02_Arquetipos_Miedo_Sesgo'!$C$5:$C$9,MATCH(AJ61,'[3]02_Arquetipos_Miedo_Sesgo'!$A$5:$A$9,0)),"")</f>
        <v>Miedo a la inseguridad, al descontrol barrial y a perder la tranquilidad cotidiana.</v>
      </c>
      <c r="AL61" s="9" t="str">
        <f>IFERROR(INDEX('[3]02_Arquetipos_Miedo_Sesgo'!$D$5:$D$9,MATCH(AJ61,'[3]02_Arquetipos_Miedo_Sesgo'!$A$5:$A$9,0)),"")</f>
        <v>Sesgo de disponibilidad + sesgo de negatividad + preferencia por autoridad.</v>
      </c>
      <c r="AM61" s="9" t="str">
        <f>IFERROR(INDEX('[3]02_Arquetipos_Miedo_Sesgo'!$E$5:$E$9,MATCH(AJ61,'[3]02_Arquetipos_Miedo_Sesgo'!$A$5:$A$9,0)),"")</f>
        <v>Seguridad, convivencia, movilidad, alumbrado, reacción institucional rápida, presencia de autoridad.</v>
      </c>
      <c r="AN61" s="9" t="str">
        <f t="shared" si="2"/>
        <v>Alta</v>
      </c>
      <c r="AO61" s="9" t="s">
        <v>608</v>
      </c>
    </row>
    <row r="62" spans="1:41" ht="43.2">
      <c r="A62" s="9" t="s">
        <v>387</v>
      </c>
      <c r="B62" s="9" t="s">
        <v>382</v>
      </c>
      <c r="C62" s="9" t="s">
        <v>388</v>
      </c>
      <c r="D62" s="10">
        <v>3010</v>
      </c>
      <c r="E62" s="10">
        <v>2635</v>
      </c>
      <c r="F62" s="10">
        <v>2285</v>
      </c>
      <c r="G62" s="9" t="s">
        <v>601</v>
      </c>
      <c r="H62" s="11">
        <v>0.79634551495016614</v>
      </c>
      <c r="I62" s="11">
        <v>0.70066445182724257</v>
      </c>
      <c r="J62" s="9" t="s">
        <v>602</v>
      </c>
      <c r="K62" s="11">
        <v>0.30777988614800761</v>
      </c>
      <c r="L62" s="11">
        <v>0.1726755218216319</v>
      </c>
      <c r="M62" s="9" t="s">
        <v>603</v>
      </c>
      <c r="N62" s="11">
        <v>0.39212253829321658</v>
      </c>
      <c r="O62" s="11">
        <v>0.23807439824945301</v>
      </c>
      <c r="P62" s="12">
        <v>-0.41089999999999999</v>
      </c>
      <c r="Q62" s="9" t="s">
        <v>73</v>
      </c>
      <c r="R62" s="12">
        <v>0.45390000000000003</v>
      </c>
      <c r="S62" s="9" t="s">
        <v>75</v>
      </c>
      <c r="T62" s="12">
        <v>3.5099999999999999E-2</v>
      </c>
      <c r="U62" s="12">
        <v>0.3</v>
      </c>
      <c r="V62" s="9" t="s">
        <v>412</v>
      </c>
      <c r="W62" s="9" t="s">
        <v>604</v>
      </c>
      <c r="X62" s="9" t="s">
        <v>60</v>
      </c>
      <c r="Y62" s="9" t="s">
        <v>624</v>
      </c>
      <c r="Z62" s="9" t="s">
        <v>625</v>
      </c>
      <c r="AA62" s="9" t="s">
        <v>614</v>
      </c>
      <c r="AB62" s="11">
        <v>0.28782060280391902</v>
      </c>
      <c r="AC62" s="11">
        <v>0.2161878647861665</v>
      </c>
      <c r="AD62" s="11">
        <v>0.17245189334948141</v>
      </c>
      <c r="AE62" s="11">
        <v>0.1513959505101492</v>
      </c>
      <c r="AF62" s="11">
        <v>0.17214368855028389</v>
      </c>
      <c r="AG62" s="9" t="str">
        <f t="shared" si="0"/>
        <v>Protección y orden cotidiano</v>
      </c>
      <c r="AH62" s="9" t="s">
        <v>615</v>
      </c>
      <c r="AI62" s="9"/>
      <c r="AJ62" s="9" t="str">
        <f t="shared" si="1"/>
        <v>Protección y orden cotidiano</v>
      </c>
      <c r="AK62" s="9" t="str">
        <f>IFERROR(INDEX('[3]02_Arquetipos_Miedo_Sesgo'!$C$5:$C$9,MATCH(AJ62,'[3]02_Arquetipos_Miedo_Sesgo'!$A$5:$A$9,0)),"")</f>
        <v>Miedo a la inseguridad, al descontrol barrial y a perder la tranquilidad cotidiana.</v>
      </c>
      <c r="AL62" s="9" t="str">
        <f>IFERROR(INDEX('[3]02_Arquetipos_Miedo_Sesgo'!$D$5:$D$9,MATCH(AJ62,'[3]02_Arquetipos_Miedo_Sesgo'!$A$5:$A$9,0)),"")</f>
        <v>Sesgo de disponibilidad + sesgo de negatividad + preferencia por autoridad.</v>
      </c>
      <c r="AM62" s="9" t="str">
        <f>IFERROR(INDEX('[3]02_Arquetipos_Miedo_Sesgo'!$E$5:$E$9,MATCH(AJ62,'[3]02_Arquetipos_Miedo_Sesgo'!$A$5:$A$9,0)),"")</f>
        <v>Seguridad, convivencia, movilidad, alumbrado, reacción institucional rápida, presencia de autoridad.</v>
      </c>
      <c r="AN62" s="9" t="str">
        <f t="shared" si="2"/>
        <v>Alta</v>
      </c>
      <c r="AO62" s="9" t="s">
        <v>608</v>
      </c>
    </row>
    <row r="63" spans="1:41" ht="43.2">
      <c r="A63" s="9" t="s">
        <v>626</v>
      </c>
      <c r="B63" s="9" t="s">
        <v>382</v>
      </c>
      <c r="C63" s="9" t="s">
        <v>627</v>
      </c>
      <c r="D63" s="10">
        <v>772</v>
      </c>
      <c r="E63" s="10">
        <v>657</v>
      </c>
      <c r="F63" s="10">
        <v>495</v>
      </c>
      <c r="G63" s="9" t="s">
        <v>601</v>
      </c>
      <c r="H63" s="11">
        <v>0.69430051813471505</v>
      </c>
      <c r="I63" s="11">
        <v>0.52979274611398963</v>
      </c>
      <c r="J63" s="9" t="s">
        <v>602</v>
      </c>
      <c r="K63" s="11">
        <v>0.26940639269406391</v>
      </c>
      <c r="L63" s="11">
        <v>0.14155251141552511</v>
      </c>
      <c r="M63" s="9" t="s">
        <v>603</v>
      </c>
      <c r="N63" s="11">
        <v>0.27070707070707067</v>
      </c>
      <c r="O63" s="11">
        <v>0.11313131313131319</v>
      </c>
      <c r="P63" s="12">
        <v>-0.41089999999999999</v>
      </c>
      <c r="Q63" s="9" t="s">
        <v>73</v>
      </c>
      <c r="R63" s="12">
        <v>0.45390000000000003</v>
      </c>
      <c r="S63" s="9" t="s">
        <v>75</v>
      </c>
      <c r="T63" s="12">
        <v>3.5099999999999999E-2</v>
      </c>
      <c r="U63" s="12">
        <v>0.3</v>
      </c>
      <c r="V63" s="9" t="s">
        <v>412</v>
      </c>
      <c r="W63" s="9" t="s">
        <v>604</v>
      </c>
      <c r="X63" s="9" t="s">
        <v>60</v>
      </c>
      <c r="Y63" s="9" t="s">
        <v>624</v>
      </c>
      <c r="Z63" s="9" t="s">
        <v>625</v>
      </c>
      <c r="AA63" s="9" t="s">
        <v>614</v>
      </c>
      <c r="AB63" s="11">
        <v>0.25304322400752149</v>
      </c>
      <c r="AC63" s="11">
        <v>0.2325054857477922</v>
      </c>
      <c r="AD63" s="11">
        <v>0.14952429994286651</v>
      </c>
      <c r="AE63" s="11">
        <v>0.20255594131490509</v>
      </c>
      <c r="AF63" s="11">
        <v>0.1623710489869146</v>
      </c>
      <c r="AG63" s="9" t="str">
        <f t="shared" si="0"/>
        <v>Protección y orden cotidiano</v>
      </c>
      <c r="AH63" s="9" t="s">
        <v>615</v>
      </c>
      <c r="AI63" s="9"/>
      <c r="AJ63" s="9" t="str">
        <f t="shared" si="1"/>
        <v>Protección y orden cotidiano</v>
      </c>
      <c r="AK63" s="9" t="str">
        <f>IFERROR(INDEX('[3]02_Arquetipos_Miedo_Sesgo'!$C$5:$C$9,MATCH(AJ63,'[3]02_Arquetipos_Miedo_Sesgo'!$A$5:$A$9,0)),"")</f>
        <v>Miedo a la inseguridad, al descontrol barrial y a perder la tranquilidad cotidiana.</v>
      </c>
      <c r="AL63" s="9" t="str">
        <f>IFERROR(INDEX('[3]02_Arquetipos_Miedo_Sesgo'!$D$5:$D$9,MATCH(AJ63,'[3]02_Arquetipos_Miedo_Sesgo'!$A$5:$A$9,0)),"")</f>
        <v>Sesgo de disponibilidad + sesgo de negatividad + preferencia por autoridad.</v>
      </c>
      <c r="AM63" s="9" t="str">
        <f>IFERROR(INDEX('[3]02_Arquetipos_Miedo_Sesgo'!$E$5:$E$9,MATCH(AJ63,'[3]02_Arquetipos_Miedo_Sesgo'!$A$5:$A$9,0)),"")</f>
        <v>Seguridad, convivencia, movilidad, alumbrado, reacción institucional rápida, presencia de autoridad.</v>
      </c>
      <c r="AN63" s="9" t="str">
        <f t="shared" si="2"/>
        <v>Alta</v>
      </c>
      <c r="AO63" s="9" t="s">
        <v>608</v>
      </c>
    </row>
    <row r="64" spans="1:41" ht="43.2">
      <c r="A64" s="9" t="s">
        <v>389</v>
      </c>
      <c r="B64" s="9" t="s">
        <v>382</v>
      </c>
      <c r="C64" s="9" t="s">
        <v>390</v>
      </c>
      <c r="D64" s="10">
        <v>3147</v>
      </c>
      <c r="E64" s="10">
        <v>2598</v>
      </c>
      <c r="F64" s="10">
        <v>2232</v>
      </c>
      <c r="G64" s="9" t="s">
        <v>601</v>
      </c>
      <c r="H64" s="11">
        <v>0.69176993962503974</v>
      </c>
      <c r="I64" s="11">
        <v>0.52144899904671116</v>
      </c>
      <c r="J64" s="9" t="s">
        <v>602</v>
      </c>
      <c r="K64" s="11">
        <v>0.3229407236335643</v>
      </c>
      <c r="L64" s="11">
        <v>0.24133949191685911</v>
      </c>
      <c r="M64" s="9" t="s">
        <v>603</v>
      </c>
      <c r="N64" s="11">
        <v>0.30600358422939072</v>
      </c>
      <c r="O64" s="11">
        <v>9.5878136200716835E-2</v>
      </c>
      <c r="P64" s="12">
        <v>-0.41089999999999999</v>
      </c>
      <c r="Q64" s="9" t="s">
        <v>73</v>
      </c>
      <c r="R64" s="12">
        <v>0.45390000000000003</v>
      </c>
      <c r="S64" s="9" t="s">
        <v>75</v>
      </c>
      <c r="T64" s="12">
        <v>3.5099999999999999E-2</v>
      </c>
      <c r="U64" s="12">
        <v>0.3</v>
      </c>
      <c r="V64" s="9" t="s">
        <v>412</v>
      </c>
      <c r="W64" s="9" t="s">
        <v>604</v>
      </c>
      <c r="X64" s="9" t="s">
        <v>60</v>
      </c>
      <c r="Y64" s="9" t="s">
        <v>624</v>
      </c>
      <c r="Z64" s="9" t="s">
        <v>625</v>
      </c>
      <c r="AA64" s="9" t="s">
        <v>614</v>
      </c>
      <c r="AB64" s="11">
        <v>0.2430791689649146</v>
      </c>
      <c r="AC64" s="11">
        <v>0.22282959352941659</v>
      </c>
      <c r="AD64" s="11">
        <v>0.14135946934948629</v>
      </c>
      <c r="AE64" s="11">
        <v>0.23628197093512909</v>
      </c>
      <c r="AF64" s="11">
        <v>0.15644979722105351</v>
      </c>
      <c r="AG64" s="9" t="str">
        <f t="shared" si="0"/>
        <v>Protección y orden cotidiano</v>
      </c>
      <c r="AH64" s="9" t="s">
        <v>615</v>
      </c>
      <c r="AI64" s="9"/>
      <c r="AJ64" s="9" t="str">
        <f t="shared" si="1"/>
        <v>Protección y orden cotidiano</v>
      </c>
      <c r="AK64" s="9" t="str">
        <f>IFERROR(INDEX('[3]02_Arquetipos_Miedo_Sesgo'!$C$5:$C$9,MATCH(AJ64,'[3]02_Arquetipos_Miedo_Sesgo'!$A$5:$A$9,0)),"")</f>
        <v>Miedo a la inseguridad, al descontrol barrial y a perder la tranquilidad cotidiana.</v>
      </c>
      <c r="AL64" s="9" t="str">
        <f>IFERROR(INDEX('[3]02_Arquetipos_Miedo_Sesgo'!$D$5:$D$9,MATCH(AJ64,'[3]02_Arquetipos_Miedo_Sesgo'!$A$5:$A$9,0)),"")</f>
        <v>Sesgo de disponibilidad + sesgo de negatividad + preferencia por autoridad.</v>
      </c>
      <c r="AM64" s="9" t="str">
        <f>IFERROR(INDEX('[3]02_Arquetipos_Miedo_Sesgo'!$E$5:$E$9,MATCH(AJ64,'[3]02_Arquetipos_Miedo_Sesgo'!$A$5:$A$9,0)),"")</f>
        <v>Seguridad, convivencia, movilidad, alumbrado, reacción institucional rápida, presencia de autoridad.</v>
      </c>
      <c r="AN64" s="9" t="str">
        <f t="shared" si="2"/>
        <v>Alta</v>
      </c>
      <c r="AO64" s="9" t="s">
        <v>608</v>
      </c>
    </row>
    <row r="65" spans="1:41" ht="43.2">
      <c r="A65" s="9" t="s">
        <v>391</v>
      </c>
      <c r="B65" s="9" t="s">
        <v>382</v>
      </c>
      <c r="C65" s="9" t="s">
        <v>392</v>
      </c>
      <c r="D65" s="10">
        <v>8912</v>
      </c>
      <c r="E65" s="10">
        <v>7057</v>
      </c>
      <c r="F65" s="10">
        <v>6209</v>
      </c>
      <c r="G65" s="9" t="s">
        <v>601</v>
      </c>
      <c r="H65" s="11">
        <v>0.77345152603231593</v>
      </c>
      <c r="I65" s="11">
        <v>0.66337522441651697</v>
      </c>
      <c r="J65" s="9" t="s">
        <v>602</v>
      </c>
      <c r="K65" s="11">
        <v>0.31996599121439712</v>
      </c>
      <c r="L65" s="11">
        <v>0.22403287515941619</v>
      </c>
      <c r="M65" s="9" t="s">
        <v>603</v>
      </c>
      <c r="N65" s="11">
        <v>0.31679819616685462</v>
      </c>
      <c r="O65" s="11">
        <v>0.11563858914478981</v>
      </c>
      <c r="P65" s="12">
        <v>-0.41089999999999999</v>
      </c>
      <c r="Q65" s="9" t="s">
        <v>73</v>
      </c>
      <c r="R65" s="12">
        <v>0.45390000000000003</v>
      </c>
      <c r="S65" s="9" t="s">
        <v>75</v>
      </c>
      <c r="T65" s="12">
        <v>3.5099999999999999E-2</v>
      </c>
      <c r="U65" s="12">
        <v>0.3</v>
      </c>
      <c r="V65" s="9" t="s">
        <v>412</v>
      </c>
      <c r="W65" s="9" t="s">
        <v>604</v>
      </c>
      <c r="X65" s="9" t="s">
        <v>60</v>
      </c>
      <c r="Y65" s="9" t="s">
        <v>624</v>
      </c>
      <c r="Z65" s="9" t="s">
        <v>625</v>
      </c>
      <c r="AA65" s="9" t="s">
        <v>614</v>
      </c>
      <c r="AB65" s="11">
        <v>0.26241438922620308</v>
      </c>
      <c r="AC65" s="11">
        <v>0.2032963469659726</v>
      </c>
      <c r="AD65" s="11">
        <v>0.13971974422240399</v>
      </c>
      <c r="AE65" s="11">
        <v>0.24141192346014889</v>
      </c>
      <c r="AF65" s="11">
        <v>0.15315759612527119</v>
      </c>
      <c r="AG65" s="9" t="str">
        <f t="shared" si="0"/>
        <v>Protección y orden cotidiano</v>
      </c>
      <c r="AH65" s="9" t="s">
        <v>615</v>
      </c>
      <c r="AI65" s="9"/>
      <c r="AJ65" s="9" t="str">
        <f t="shared" si="1"/>
        <v>Protección y orden cotidiano</v>
      </c>
      <c r="AK65" s="9" t="str">
        <f>IFERROR(INDEX('[3]02_Arquetipos_Miedo_Sesgo'!$C$5:$C$9,MATCH(AJ65,'[3]02_Arquetipos_Miedo_Sesgo'!$A$5:$A$9,0)),"")</f>
        <v>Miedo a la inseguridad, al descontrol barrial y a perder la tranquilidad cotidiana.</v>
      </c>
      <c r="AL65" s="9" t="str">
        <f>IFERROR(INDEX('[3]02_Arquetipos_Miedo_Sesgo'!$D$5:$D$9,MATCH(AJ65,'[3]02_Arquetipos_Miedo_Sesgo'!$A$5:$A$9,0)),"")</f>
        <v>Sesgo de disponibilidad + sesgo de negatividad + preferencia por autoridad.</v>
      </c>
      <c r="AM65" s="9" t="str">
        <f>IFERROR(INDEX('[3]02_Arquetipos_Miedo_Sesgo'!$E$5:$E$9,MATCH(AJ65,'[3]02_Arquetipos_Miedo_Sesgo'!$A$5:$A$9,0)),"")</f>
        <v>Seguridad, convivencia, movilidad, alumbrado, reacción institucional rápida, presencia de autoridad.</v>
      </c>
      <c r="AN65" s="9" t="str">
        <f t="shared" si="2"/>
        <v>Alta</v>
      </c>
      <c r="AO65" s="9" t="s">
        <v>608</v>
      </c>
    </row>
    <row r="66" spans="1:41" ht="43.2">
      <c r="A66" s="9" t="s">
        <v>393</v>
      </c>
      <c r="B66" s="9" t="s">
        <v>382</v>
      </c>
      <c r="C66" s="9" t="s">
        <v>394</v>
      </c>
      <c r="D66" s="10">
        <v>1051</v>
      </c>
      <c r="E66" s="10">
        <v>920</v>
      </c>
      <c r="F66" s="10">
        <v>767</v>
      </c>
      <c r="G66" s="9" t="s">
        <v>601</v>
      </c>
      <c r="H66" s="11">
        <v>0.6631779257849667</v>
      </c>
      <c r="I66" s="11">
        <v>0.45480494766888679</v>
      </c>
      <c r="J66" s="9" t="s">
        <v>602</v>
      </c>
      <c r="K66" s="11">
        <v>0.29782608695652169</v>
      </c>
      <c r="L66" s="11">
        <v>0.19891304347826089</v>
      </c>
      <c r="M66" s="9" t="s">
        <v>603</v>
      </c>
      <c r="N66" s="11">
        <v>0.31160365058670142</v>
      </c>
      <c r="O66" s="11">
        <v>8.4745762711864403E-2</v>
      </c>
      <c r="P66" s="12">
        <v>-0.41089999999999999</v>
      </c>
      <c r="Q66" s="9" t="s">
        <v>73</v>
      </c>
      <c r="R66" s="12">
        <v>0.45390000000000003</v>
      </c>
      <c r="S66" s="9" t="s">
        <v>75</v>
      </c>
      <c r="T66" s="12">
        <v>3.5099999999999999E-2</v>
      </c>
      <c r="U66" s="12">
        <v>0.3</v>
      </c>
      <c r="V66" s="9" t="s">
        <v>412</v>
      </c>
      <c r="W66" s="9" t="s">
        <v>604</v>
      </c>
      <c r="X66" s="9" t="s">
        <v>60</v>
      </c>
      <c r="Y66" s="9" t="s">
        <v>624</v>
      </c>
      <c r="Z66" s="9" t="s">
        <v>625</v>
      </c>
      <c r="AA66" s="9" t="s">
        <v>611</v>
      </c>
      <c r="AB66" s="11">
        <v>0.23676207392653401</v>
      </c>
      <c r="AC66" s="11">
        <v>0.2478396395375683</v>
      </c>
      <c r="AD66" s="11">
        <v>0.14287552285231889</v>
      </c>
      <c r="AE66" s="11">
        <v>0.19875487825887639</v>
      </c>
      <c r="AF66" s="11">
        <v>0.1737678854247024</v>
      </c>
      <c r="AG66" s="9" t="str">
        <f t="shared" ref="AG66:AG129" si="3">CHOOSE(MATCH(MAX(AB66:AF66),AB66:AF66,0),"Protección y orden cotidiano","Estabilidad y continuidad","Supervivencia económica y servicios básicos","Desconfianza y castigo","Pertenencia y dignidad territorial")</f>
        <v>Estabilidad y continuidad</v>
      </c>
      <c r="AH66" s="9" t="s">
        <v>612</v>
      </c>
      <c r="AI66" s="9"/>
      <c r="AJ66" s="9" t="str">
        <f t="shared" ref="AJ66:AJ129" si="4">IF(AI66&lt;&gt;"",AI66,AG66)</f>
        <v>Estabilidad y continuidad</v>
      </c>
      <c r="AK66" s="9" t="str">
        <f>IFERROR(INDEX('[3]02_Arquetipos_Miedo_Sesgo'!$C$5:$C$9,MATCH(AJ66,'[3]02_Arquetipos_Miedo_Sesgo'!$A$5:$A$9,0)),"")</f>
        <v>Miedo a perder beneficios, subsidios, estabilidad institucional o condiciones de vida ya alcanzadas.</v>
      </c>
      <c r="AL66" s="9" t="str">
        <f>IFERROR(INDEX('[3]02_Arquetipos_Miedo_Sesgo'!$D$5:$D$9,MATCH(AJ66,'[3]02_Arquetipos_Miedo_Sesgo'!$A$5:$A$9,0)),"")</f>
        <v>Aversión a la pérdida + sesgo de statu quo + confirmación.</v>
      </c>
      <c r="AM66" s="9" t="str">
        <f>IFERROR(INDEX('[3]02_Arquetipos_Miedo_Sesgo'!$E$5:$E$9,MATCH(AJ66,'[3]02_Arquetipos_Miedo_Sesgo'!$A$5:$A$9,0)),"")</f>
        <v>Continuidad administrativa, servicios públicos, infraestructura, salud, educación y programas sociales.</v>
      </c>
      <c r="AN66" s="9" t="str">
        <f t="shared" ref="AN66:AN129" si="5">IF(OR(X66="Extremo",X66="Alto",X66="Medio-Alto"),"Alta",IF(X66="Medio","Media",IF(X66="Bajo","Baja","Sin clasificar")))</f>
        <v>Alta</v>
      </c>
      <c r="AO66" s="9" t="s">
        <v>608</v>
      </c>
    </row>
    <row r="67" spans="1:41" ht="43.2">
      <c r="A67" s="9" t="s">
        <v>395</v>
      </c>
      <c r="B67" s="9" t="s">
        <v>382</v>
      </c>
      <c r="C67" s="9" t="s">
        <v>396</v>
      </c>
      <c r="D67" s="10">
        <v>3382</v>
      </c>
      <c r="E67" s="10">
        <v>2658</v>
      </c>
      <c r="F67" s="10">
        <v>2356</v>
      </c>
      <c r="G67" s="9" t="s">
        <v>601</v>
      </c>
      <c r="H67" s="11">
        <v>0.75133057362507394</v>
      </c>
      <c r="I67" s="11">
        <v>0.62803075103489059</v>
      </c>
      <c r="J67" s="9" t="s">
        <v>602</v>
      </c>
      <c r="K67" s="11">
        <v>0.31000752445447699</v>
      </c>
      <c r="L67" s="11">
        <v>0.18096313017306251</v>
      </c>
      <c r="M67" s="9" t="s">
        <v>603</v>
      </c>
      <c r="N67" s="11">
        <v>0.30178268251273338</v>
      </c>
      <c r="O67" s="11">
        <v>9.0407470288624781E-2</v>
      </c>
      <c r="P67" s="12">
        <v>-0.41089999999999999</v>
      </c>
      <c r="Q67" s="9" t="s">
        <v>73</v>
      </c>
      <c r="R67" s="12">
        <v>0.45390000000000003</v>
      </c>
      <c r="S67" s="9" t="s">
        <v>75</v>
      </c>
      <c r="T67" s="12">
        <v>3.5099999999999999E-2</v>
      </c>
      <c r="U67" s="12">
        <v>0.3</v>
      </c>
      <c r="V67" s="9" t="s">
        <v>412</v>
      </c>
      <c r="W67" s="9" t="s">
        <v>604</v>
      </c>
      <c r="X67" s="9" t="s">
        <v>60</v>
      </c>
      <c r="Y67" s="9" t="s">
        <v>624</v>
      </c>
      <c r="Z67" s="9" t="s">
        <v>625</v>
      </c>
      <c r="AA67" s="9" t="s">
        <v>614</v>
      </c>
      <c r="AB67" s="11">
        <v>0.25109326905507512</v>
      </c>
      <c r="AC67" s="11">
        <v>0.22843856528066769</v>
      </c>
      <c r="AD67" s="11">
        <v>0.12818839785739269</v>
      </c>
      <c r="AE67" s="11">
        <v>0.22758290537555659</v>
      </c>
      <c r="AF67" s="11">
        <v>0.16469686243130771</v>
      </c>
      <c r="AG67" s="9" t="str">
        <f t="shared" si="3"/>
        <v>Protección y orden cotidiano</v>
      </c>
      <c r="AH67" s="9" t="s">
        <v>615</v>
      </c>
      <c r="AI67" s="9"/>
      <c r="AJ67" s="9" t="str">
        <f t="shared" si="4"/>
        <v>Protección y orden cotidiano</v>
      </c>
      <c r="AK67" s="9" t="str">
        <f>IFERROR(INDEX('[3]02_Arquetipos_Miedo_Sesgo'!$C$5:$C$9,MATCH(AJ67,'[3]02_Arquetipos_Miedo_Sesgo'!$A$5:$A$9,0)),"")</f>
        <v>Miedo a la inseguridad, al descontrol barrial y a perder la tranquilidad cotidiana.</v>
      </c>
      <c r="AL67" s="9" t="str">
        <f>IFERROR(INDEX('[3]02_Arquetipos_Miedo_Sesgo'!$D$5:$D$9,MATCH(AJ67,'[3]02_Arquetipos_Miedo_Sesgo'!$A$5:$A$9,0)),"")</f>
        <v>Sesgo de disponibilidad + sesgo de negatividad + preferencia por autoridad.</v>
      </c>
      <c r="AM67" s="9" t="str">
        <f>IFERROR(INDEX('[3]02_Arquetipos_Miedo_Sesgo'!$E$5:$E$9,MATCH(AJ67,'[3]02_Arquetipos_Miedo_Sesgo'!$A$5:$A$9,0)),"")</f>
        <v>Seguridad, convivencia, movilidad, alumbrado, reacción institucional rápida, presencia de autoridad.</v>
      </c>
      <c r="AN67" s="9" t="str">
        <f t="shared" si="5"/>
        <v>Alta</v>
      </c>
      <c r="AO67" s="9" t="s">
        <v>608</v>
      </c>
    </row>
    <row r="68" spans="1:41" ht="57.6">
      <c r="A68" s="9" t="s">
        <v>397</v>
      </c>
      <c r="B68" s="9" t="s">
        <v>382</v>
      </c>
      <c r="C68" s="9" t="s">
        <v>398</v>
      </c>
      <c r="D68" s="10">
        <v>1221</v>
      </c>
      <c r="E68" s="10">
        <v>930</v>
      </c>
      <c r="F68" s="10">
        <v>763</v>
      </c>
      <c r="G68" s="9" t="s">
        <v>601</v>
      </c>
      <c r="H68" s="11">
        <v>0.68550368550368546</v>
      </c>
      <c r="I68" s="11">
        <v>0.49713349713349708</v>
      </c>
      <c r="J68" s="9" t="s">
        <v>602</v>
      </c>
      <c r="K68" s="11">
        <v>0.35483870967741937</v>
      </c>
      <c r="L68" s="11">
        <v>0.2709677419354839</v>
      </c>
      <c r="M68" s="9" t="s">
        <v>603</v>
      </c>
      <c r="N68" s="11">
        <v>0.34862385321100919</v>
      </c>
      <c r="O68" s="11">
        <v>0.1428571428571429</v>
      </c>
      <c r="P68" s="12">
        <v>-0.41089999999999999</v>
      </c>
      <c r="Q68" s="9" t="s">
        <v>73</v>
      </c>
      <c r="R68" s="12">
        <v>0.45390000000000003</v>
      </c>
      <c r="S68" s="9" t="s">
        <v>75</v>
      </c>
      <c r="T68" s="12">
        <v>3.5099999999999999E-2</v>
      </c>
      <c r="U68" s="12">
        <v>0.3</v>
      </c>
      <c r="V68" s="9" t="s">
        <v>412</v>
      </c>
      <c r="W68" s="9" t="s">
        <v>604</v>
      </c>
      <c r="X68" s="9" t="s">
        <v>60</v>
      </c>
      <c r="Y68" s="9" t="s">
        <v>624</v>
      </c>
      <c r="Z68" s="9" t="s">
        <v>625</v>
      </c>
      <c r="AA68" s="9" t="s">
        <v>606</v>
      </c>
      <c r="AB68" s="11">
        <v>0.22575617740377341</v>
      </c>
      <c r="AC68" s="11">
        <v>0.21863347322177379</v>
      </c>
      <c r="AD68" s="11">
        <v>0.1420591381053351</v>
      </c>
      <c r="AE68" s="11">
        <v>0.26116660175488482</v>
      </c>
      <c r="AF68" s="11">
        <v>0.15238460951423291</v>
      </c>
      <c r="AG68" s="9" t="str">
        <f t="shared" si="3"/>
        <v>Desconfianza y castigo</v>
      </c>
      <c r="AH68" s="9" t="s">
        <v>607</v>
      </c>
      <c r="AI68" s="9"/>
      <c r="AJ68" s="9" t="str">
        <f t="shared" si="4"/>
        <v>Desconfianza y castigo</v>
      </c>
      <c r="AK68" s="9" t="str">
        <f>IFERROR(INDEX('[3]02_Arquetipos_Miedo_Sesgo'!$C$5:$C$9,MATCH(AJ68,'[3]02_Arquetipos_Miedo_Sesgo'!$A$5:$A$9,0)),"")</f>
        <v>Miedo a ser engañado, robado, manipulado o usado electoralmente.</v>
      </c>
      <c r="AL68" s="9" t="str">
        <f>IFERROR(INDEX('[3]02_Arquetipos_Miedo_Sesgo'!$D$5:$D$9,MATCH(AJ68,'[3]02_Arquetipos_Miedo_Sesgo'!$A$5:$A$9,0)),"")</f>
        <v>Sesgo de confirmación + cinismo político + efecto de indignación moral.</v>
      </c>
      <c r="AM68" s="9" t="str">
        <f>IFERROR(INDEX('[3]02_Arquetipos_Miedo_Sesgo'!$E$5:$E$9,MATCH(AJ68,'[3]02_Arquetipos_Miedo_Sesgo'!$A$5:$A$9,0)),"")</f>
        <v>Transparencia, control político, lucha anticorrupción, vigilancia ciudadana, ejecución presupuestal y sanción a abusos.</v>
      </c>
      <c r="AN68" s="9" t="str">
        <f t="shared" si="5"/>
        <v>Alta</v>
      </c>
      <c r="AO68" s="9" t="s">
        <v>608</v>
      </c>
    </row>
    <row r="69" spans="1:41" ht="43.2">
      <c r="A69" s="9" t="s">
        <v>399</v>
      </c>
      <c r="B69" s="9" t="s">
        <v>382</v>
      </c>
      <c r="C69" s="9" t="s">
        <v>400</v>
      </c>
      <c r="D69" s="10">
        <v>7420</v>
      </c>
      <c r="E69" s="10">
        <v>5891</v>
      </c>
      <c r="F69" s="10">
        <v>4968</v>
      </c>
      <c r="G69" s="9" t="s">
        <v>601</v>
      </c>
      <c r="H69" s="11">
        <v>0.7954177897574124</v>
      </c>
      <c r="I69" s="11">
        <v>0.67924528301886788</v>
      </c>
      <c r="J69" s="9" t="s">
        <v>602</v>
      </c>
      <c r="K69" s="11">
        <v>0.31913087760991338</v>
      </c>
      <c r="L69" s="11">
        <v>0.20964182651502289</v>
      </c>
      <c r="M69" s="9" t="s">
        <v>603</v>
      </c>
      <c r="N69" s="11">
        <v>0.33132045088566819</v>
      </c>
      <c r="O69" s="11">
        <v>9.9033816425120741E-2</v>
      </c>
      <c r="P69" s="12">
        <v>-0.41089999999999999</v>
      </c>
      <c r="Q69" s="9" t="s">
        <v>73</v>
      </c>
      <c r="R69" s="12">
        <v>0.45390000000000003</v>
      </c>
      <c r="S69" s="9" t="s">
        <v>75</v>
      </c>
      <c r="T69" s="12">
        <v>3.5099999999999999E-2</v>
      </c>
      <c r="U69" s="12">
        <v>0.3</v>
      </c>
      <c r="V69" s="9" t="s">
        <v>412</v>
      </c>
      <c r="W69" s="9" t="s">
        <v>604</v>
      </c>
      <c r="X69" s="9" t="s">
        <v>60</v>
      </c>
      <c r="Y69" s="9" t="s">
        <v>624</v>
      </c>
      <c r="Z69" s="9" t="s">
        <v>625</v>
      </c>
      <c r="AA69" s="9" t="s">
        <v>614</v>
      </c>
      <c r="AB69" s="11">
        <v>0.2540783932149337</v>
      </c>
      <c r="AC69" s="11">
        <v>0.21035183124906201</v>
      </c>
      <c r="AD69" s="11">
        <v>0.12712059410357679</v>
      </c>
      <c r="AE69" s="11">
        <v>0.24947408468096541</v>
      </c>
      <c r="AF69" s="11">
        <v>0.1589750967514621</v>
      </c>
      <c r="AG69" s="9" t="str">
        <f t="shared" si="3"/>
        <v>Protección y orden cotidiano</v>
      </c>
      <c r="AH69" s="9" t="s">
        <v>615</v>
      </c>
      <c r="AI69" s="9"/>
      <c r="AJ69" s="9" t="str">
        <f t="shared" si="4"/>
        <v>Protección y orden cotidiano</v>
      </c>
      <c r="AK69" s="9" t="str">
        <f>IFERROR(INDEX('[3]02_Arquetipos_Miedo_Sesgo'!$C$5:$C$9,MATCH(AJ69,'[3]02_Arquetipos_Miedo_Sesgo'!$A$5:$A$9,0)),"")</f>
        <v>Miedo a la inseguridad, al descontrol barrial y a perder la tranquilidad cotidiana.</v>
      </c>
      <c r="AL69" s="9" t="str">
        <f>IFERROR(INDEX('[3]02_Arquetipos_Miedo_Sesgo'!$D$5:$D$9,MATCH(AJ69,'[3]02_Arquetipos_Miedo_Sesgo'!$A$5:$A$9,0)),"")</f>
        <v>Sesgo de disponibilidad + sesgo de negatividad + preferencia por autoridad.</v>
      </c>
      <c r="AM69" s="9" t="str">
        <f>IFERROR(INDEX('[3]02_Arquetipos_Miedo_Sesgo'!$E$5:$E$9,MATCH(AJ69,'[3]02_Arquetipos_Miedo_Sesgo'!$A$5:$A$9,0)),"")</f>
        <v>Seguridad, convivencia, movilidad, alumbrado, reacción institucional rápida, presencia de autoridad.</v>
      </c>
      <c r="AN69" s="9" t="str">
        <f t="shared" si="5"/>
        <v>Alta</v>
      </c>
      <c r="AO69" s="9" t="s">
        <v>608</v>
      </c>
    </row>
    <row r="70" spans="1:41" ht="57.6">
      <c r="A70" s="9" t="s">
        <v>401</v>
      </c>
      <c r="B70" s="9" t="s">
        <v>382</v>
      </c>
      <c r="C70" s="9" t="s">
        <v>402</v>
      </c>
      <c r="D70" s="10">
        <v>1479</v>
      </c>
      <c r="E70" s="10">
        <v>1053</v>
      </c>
      <c r="F70" s="10">
        <v>858</v>
      </c>
      <c r="G70" s="9" t="s">
        <v>601</v>
      </c>
      <c r="H70" s="11">
        <v>0.73630831643002026</v>
      </c>
      <c r="I70" s="11">
        <v>0.60378634212305604</v>
      </c>
      <c r="J70" s="9" t="s">
        <v>602</v>
      </c>
      <c r="K70" s="11">
        <v>0.39316239316239321</v>
      </c>
      <c r="L70" s="11">
        <v>0.28584995251661921</v>
      </c>
      <c r="M70" s="9" t="s">
        <v>603</v>
      </c>
      <c r="N70" s="11">
        <v>0.38111888111888109</v>
      </c>
      <c r="O70" s="11">
        <v>0.18298368298368289</v>
      </c>
      <c r="P70" s="12">
        <v>-0.41089999999999999</v>
      </c>
      <c r="Q70" s="9" t="s">
        <v>73</v>
      </c>
      <c r="R70" s="12">
        <v>0.45390000000000003</v>
      </c>
      <c r="S70" s="9" t="s">
        <v>75</v>
      </c>
      <c r="T70" s="12">
        <v>3.5099999999999999E-2</v>
      </c>
      <c r="U70" s="12">
        <v>0.3</v>
      </c>
      <c r="V70" s="9" t="s">
        <v>412</v>
      </c>
      <c r="W70" s="9" t="s">
        <v>604</v>
      </c>
      <c r="X70" s="9" t="s">
        <v>60</v>
      </c>
      <c r="Y70" s="9" t="s">
        <v>624</v>
      </c>
      <c r="Z70" s="9" t="s">
        <v>625</v>
      </c>
      <c r="AA70" s="9" t="s">
        <v>606</v>
      </c>
      <c r="AB70" s="11">
        <v>0.2365923843896251</v>
      </c>
      <c r="AC70" s="11">
        <v>0.1988239371913342</v>
      </c>
      <c r="AD70" s="11">
        <v>0.14888499577132891</v>
      </c>
      <c r="AE70" s="11">
        <v>0.26401646502433179</v>
      </c>
      <c r="AF70" s="11">
        <v>0.15168221762338011</v>
      </c>
      <c r="AG70" s="9" t="str">
        <f t="shared" si="3"/>
        <v>Desconfianza y castigo</v>
      </c>
      <c r="AH70" s="9" t="s">
        <v>607</v>
      </c>
      <c r="AI70" s="9"/>
      <c r="AJ70" s="9" t="str">
        <f t="shared" si="4"/>
        <v>Desconfianza y castigo</v>
      </c>
      <c r="AK70" s="9" t="str">
        <f>IFERROR(INDEX('[3]02_Arquetipos_Miedo_Sesgo'!$C$5:$C$9,MATCH(AJ70,'[3]02_Arquetipos_Miedo_Sesgo'!$A$5:$A$9,0)),"")</f>
        <v>Miedo a ser engañado, robado, manipulado o usado electoralmente.</v>
      </c>
      <c r="AL70" s="9" t="str">
        <f>IFERROR(INDEX('[3]02_Arquetipos_Miedo_Sesgo'!$D$5:$D$9,MATCH(AJ70,'[3]02_Arquetipos_Miedo_Sesgo'!$A$5:$A$9,0)),"")</f>
        <v>Sesgo de confirmación + cinismo político + efecto de indignación moral.</v>
      </c>
      <c r="AM70" s="9" t="str">
        <f>IFERROR(INDEX('[3]02_Arquetipos_Miedo_Sesgo'!$E$5:$E$9,MATCH(AJ70,'[3]02_Arquetipos_Miedo_Sesgo'!$A$5:$A$9,0)),"")</f>
        <v>Transparencia, control político, lucha anticorrupción, vigilancia ciudadana, ejecución presupuestal y sanción a abusos.</v>
      </c>
      <c r="AN70" s="9" t="str">
        <f t="shared" si="5"/>
        <v>Alta</v>
      </c>
      <c r="AO70" s="9" t="s">
        <v>608</v>
      </c>
    </row>
    <row r="71" spans="1:41" ht="43.2">
      <c r="A71" s="9" t="s">
        <v>628</v>
      </c>
      <c r="B71" s="9" t="s">
        <v>382</v>
      </c>
      <c r="C71" s="9" t="s">
        <v>629</v>
      </c>
      <c r="D71" s="10">
        <v>299</v>
      </c>
      <c r="E71" s="10">
        <v>260</v>
      </c>
      <c r="F71" s="10">
        <v>210</v>
      </c>
      <c r="G71" s="9" t="s">
        <v>601</v>
      </c>
      <c r="H71" s="11">
        <v>0.76254180602006694</v>
      </c>
      <c r="I71" s="11">
        <v>0.61204013377926425</v>
      </c>
      <c r="J71" s="9" t="s">
        <v>602</v>
      </c>
      <c r="K71" s="11">
        <v>0.26153846153846161</v>
      </c>
      <c r="L71" s="11">
        <v>5.7692307692307709E-2</v>
      </c>
      <c r="M71" s="9" t="s">
        <v>610</v>
      </c>
      <c r="N71" s="11">
        <v>0.26666666666666672</v>
      </c>
      <c r="O71" s="11">
        <v>7.1428571428571425E-2</v>
      </c>
      <c r="P71" s="12">
        <v>-0.41089999999999999</v>
      </c>
      <c r="Q71" s="9" t="s">
        <v>73</v>
      </c>
      <c r="R71" s="12">
        <v>8.48E-2</v>
      </c>
      <c r="S71" s="9" t="s">
        <v>412</v>
      </c>
      <c r="T71" s="12">
        <v>-0.19400000000000001</v>
      </c>
      <c r="U71" s="12">
        <v>0.22989999999999999</v>
      </c>
      <c r="V71" s="9" t="s">
        <v>412</v>
      </c>
      <c r="W71" s="9" t="s">
        <v>604</v>
      </c>
      <c r="X71" s="9" t="s">
        <v>60</v>
      </c>
      <c r="Y71" s="9" t="s">
        <v>624</v>
      </c>
      <c r="Z71" s="9" t="s">
        <v>625</v>
      </c>
      <c r="AA71" s="9" t="s">
        <v>614</v>
      </c>
      <c r="AB71" s="11">
        <v>0.25565496294133111</v>
      </c>
      <c r="AC71" s="11">
        <v>0.24034669725589849</v>
      </c>
      <c r="AD71" s="11">
        <v>0.1209682899364249</v>
      </c>
      <c r="AE71" s="11">
        <v>0.21978474718889759</v>
      </c>
      <c r="AF71" s="11">
        <v>0.16324530267744791</v>
      </c>
      <c r="AG71" s="9" t="str">
        <f t="shared" si="3"/>
        <v>Protección y orden cotidiano</v>
      </c>
      <c r="AH71" s="9" t="s">
        <v>615</v>
      </c>
      <c r="AI71" s="9"/>
      <c r="AJ71" s="9" t="str">
        <f t="shared" si="4"/>
        <v>Protección y orden cotidiano</v>
      </c>
      <c r="AK71" s="9" t="str">
        <f>IFERROR(INDEX('[3]02_Arquetipos_Miedo_Sesgo'!$C$5:$C$9,MATCH(AJ71,'[3]02_Arquetipos_Miedo_Sesgo'!$A$5:$A$9,0)),"")</f>
        <v>Miedo a la inseguridad, al descontrol barrial y a perder la tranquilidad cotidiana.</v>
      </c>
      <c r="AL71" s="9" t="str">
        <f>IFERROR(INDEX('[3]02_Arquetipos_Miedo_Sesgo'!$D$5:$D$9,MATCH(AJ71,'[3]02_Arquetipos_Miedo_Sesgo'!$A$5:$A$9,0)),"")</f>
        <v>Sesgo de disponibilidad + sesgo de negatividad + preferencia por autoridad.</v>
      </c>
      <c r="AM71" s="9" t="str">
        <f>IFERROR(INDEX('[3]02_Arquetipos_Miedo_Sesgo'!$E$5:$E$9,MATCH(AJ71,'[3]02_Arquetipos_Miedo_Sesgo'!$A$5:$A$9,0)),"")</f>
        <v>Seguridad, convivencia, movilidad, alumbrado, reacción institucional rápida, presencia de autoridad.</v>
      </c>
      <c r="AN71" s="9" t="str">
        <f t="shared" si="5"/>
        <v>Alta</v>
      </c>
      <c r="AO71" s="9" t="s">
        <v>608</v>
      </c>
    </row>
    <row r="72" spans="1:41" ht="43.2">
      <c r="A72" s="9" t="s">
        <v>630</v>
      </c>
      <c r="B72" s="9" t="s">
        <v>128</v>
      </c>
      <c r="C72" s="9" t="s">
        <v>631</v>
      </c>
      <c r="D72" s="10">
        <v>555</v>
      </c>
      <c r="E72" s="10">
        <v>345</v>
      </c>
      <c r="F72" s="10">
        <v>282</v>
      </c>
      <c r="G72" s="9" t="s">
        <v>601</v>
      </c>
      <c r="H72" s="11">
        <v>0.70090090090090085</v>
      </c>
      <c r="I72" s="11">
        <v>0.51711711711711705</v>
      </c>
      <c r="J72" s="9" t="s">
        <v>602</v>
      </c>
      <c r="K72" s="11">
        <v>0.2608695652173913</v>
      </c>
      <c r="L72" s="11">
        <v>0.1507246376811594</v>
      </c>
      <c r="M72" s="9" t="s">
        <v>603</v>
      </c>
      <c r="N72" s="11">
        <v>0.2234042553191489</v>
      </c>
      <c r="O72" s="11">
        <v>5.6737588652482268E-2</v>
      </c>
      <c r="P72" s="12">
        <v>-0.41089999999999999</v>
      </c>
      <c r="Q72" s="9" t="s">
        <v>73</v>
      </c>
      <c r="R72" s="12">
        <v>0.45390000000000003</v>
      </c>
      <c r="S72" s="9" t="s">
        <v>75</v>
      </c>
      <c r="T72" s="12">
        <v>3.5099999999999999E-2</v>
      </c>
      <c r="U72" s="12">
        <v>0.3</v>
      </c>
      <c r="V72" s="9" t="s">
        <v>412</v>
      </c>
      <c r="W72" s="9" t="s">
        <v>604</v>
      </c>
      <c r="X72" s="9" t="s">
        <v>131</v>
      </c>
      <c r="Y72" s="9" t="s">
        <v>624</v>
      </c>
      <c r="Z72" s="9" t="s">
        <v>632</v>
      </c>
      <c r="AA72" s="9" t="s">
        <v>614</v>
      </c>
      <c r="AB72" s="11">
        <v>0.25447038255826659</v>
      </c>
      <c r="AC72" s="11">
        <v>0.2474113086385856</v>
      </c>
      <c r="AD72" s="11">
        <v>0.141802768420425</v>
      </c>
      <c r="AE72" s="11">
        <v>0.18550134972298091</v>
      </c>
      <c r="AF72" s="11">
        <v>0.17081419065974199</v>
      </c>
      <c r="AG72" s="9" t="str">
        <f t="shared" si="3"/>
        <v>Protección y orden cotidiano</v>
      </c>
      <c r="AH72" s="9" t="s">
        <v>615</v>
      </c>
      <c r="AI72" s="9"/>
      <c r="AJ72" s="9" t="str">
        <f t="shared" si="4"/>
        <v>Protección y orden cotidiano</v>
      </c>
      <c r="AK72" s="9" t="str">
        <f>IFERROR(INDEX('[3]02_Arquetipos_Miedo_Sesgo'!$C$5:$C$9,MATCH(AJ72,'[3]02_Arquetipos_Miedo_Sesgo'!$A$5:$A$9,0)),"")</f>
        <v>Miedo a la inseguridad, al descontrol barrial y a perder la tranquilidad cotidiana.</v>
      </c>
      <c r="AL72" s="9" t="str">
        <f>IFERROR(INDEX('[3]02_Arquetipos_Miedo_Sesgo'!$D$5:$D$9,MATCH(AJ72,'[3]02_Arquetipos_Miedo_Sesgo'!$A$5:$A$9,0)),"")</f>
        <v>Sesgo de disponibilidad + sesgo de negatividad + preferencia por autoridad.</v>
      </c>
      <c r="AM72" s="9" t="str">
        <f>IFERROR(INDEX('[3]02_Arquetipos_Miedo_Sesgo'!$E$5:$E$9,MATCH(AJ72,'[3]02_Arquetipos_Miedo_Sesgo'!$A$5:$A$9,0)),"")</f>
        <v>Seguridad, convivencia, movilidad, alumbrado, reacción institucional rápida, presencia de autoridad.</v>
      </c>
      <c r="AN72" s="9" t="str">
        <f t="shared" si="5"/>
        <v>Media</v>
      </c>
      <c r="AO72" s="9" t="s">
        <v>608</v>
      </c>
    </row>
    <row r="73" spans="1:41" ht="43.2">
      <c r="A73" s="9" t="s">
        <v>127</v>
      </c>
      <c r="B73" s="9" t="s">
        <v>128</v>
      </c>
      <c r="C73" s="9" t="s">
        <v>129</v>
      </c>
      <c r="D73" s="10">
        <v>6048</v>
      </c>
      <c r="E73" s="10">
        <v>5307</v>
      </c>
      <c r="F73" s="10">
        <v>4697</v>
      </c>
      <c r="G73" s="9" t="s">
        <v>601</v>
      </c>
      <c r="H73" s="11">
        <v>0.72420634920634919</v>
      </c>
      <c r="I73" s="11">
        <v>0.58862433862433861</v>
      </c>
      <c r="J73" s="9" t="s">
        <v>602</v>
      </c>
      <c r="K73" s="11">
        <v>0.239871867345016</v>
      </c>
      <c r="L73" s="11">
        <v>0.13491614848313549</v>
      </c>
      <c r="M73" s="9" t="s">
        <v>603</v>
      </c>
      <c r="N73" s="11">
        <v>0.26208218011496698</v>
      </c>
      <c r="O73" s="11">
        <v>0.10879284649776449</v>
      </c>
      <c r="P73" s="12">
        <v>-0.41089999999999999</v>
      </c>
      <c r="Q73" s="9" t="s">
        <v>73</v>
      </c>
      <c r="R73" s="12">
        <v>0.45390000000000003</v>
      </c>
      <c r="S73" s="9" t="s">
        <v>75</v>
      </c>
      <c r="T73" s="12">
        <v>3.5099999999999999E-2</v>
      </c>
      <c r="U73" s="12">
        <v>0.3</v>
      </c>
      <c r="V73" s="9" t="s">
        <v>412</v>
      </c>
      <c r="W73" s="9" t="s">
        <v>604</v>
      </c>
      <c r="X73" s="9" t="s">
        <v>131</v>
      </c>
      <c r="Y73" s="9" t="s">
        <v>624</v>
      </c>
      <c r="Z73" s="9" t="s">
        <v>632</v>
      </c>
      <c r="AA73" s="9" t="s">
        <v>614</v>
      </c>
      <c r="AB73" s="11">
        <v>0.26169718240352757</v>
      </c>
      <c r="AC73" s="11">
        <v>0.21964679916456711</v>
      </c>
      <c r="AD73" s="11">
        <v>0.15388422954557621</v>
      </c>
      <c r="AE73" s="11">
        <v>0.19459991682538991</v>
      </c>
      <c r="AF73" s="11">
        <v>0.17017187206093931</v>
      </c>
      <c r="AG73" s="9" t="str">
        <f t="shared" si="3"/>
        <v>Protección y orden cotidiano</v>
      </c>
      <c r="AH73" s="9" t="s">
        <v>615</v>
      </c>
      <c r="AI73" s="9"/>
      <c r="AJ73" s="9" t="str">
        <f t="shared" si="4"/>
        <v>Protección y orden cotidiano</v>
      </c>
      <c r="AK73" s="9" t="str">
        <f>IFERROR(INDEX('[3]02_Arquetipos_Miedo_Sesgo'!$C$5:$C$9,MATCH(AJ73,'[3]02_Arquetipos_Miedo_Sesgo'!$A$5:$A$9,0)),"")</f>
        <v>Miedo a la inseguridad, al descontrol barrial y a perder la tranquilidad cotidiana.</v>
      </c>
      <c r="AL73" s="9" t="str">
        <f>IFERROR(INDEX('[3]02_Arquetipos_Miedo_Sesgo'!$D$5:$D$9,MATCH(AJ73,'[3]02_Arquetipos_Miedo_Sesgo'!$A$5:$A$9,0)),"")</f>
        <v>Sesgo de disponibilidad + sesgo de negatividad + preferencia por autoridad.</v>
      </c>
      <c r="AM73" s="9" t="str">
        <f>IFERROR(INDEX('[3]02_Arquetipos_Miedo_Sesgo'!$E$5:$E$9,MATCH(AJ73,'[3]02_Arquetipos_Miedo_Sesgo'!$A$5:$A$9,0)),"")</f>
        <v>Seguridad, convivencia, movilidad, alumbrado, reacción institucional rápida, presencia de autoridad.</v>
      </c>
      <c r="AN73" s="9" t="str">
        <f t="shared" si="5"/>
        <v>Media</v>
      </c>
      <c r="AO73" s="9" t="s">
        <v>608</v>
      </c>
    </row>
    <row r="74" spans="1:41" ht="43.2">
      <c r="A74" s="9" t="s">
        <v>138</v>
      </c>
      <c r="B74" s="9" t="s">
        <v>128</v>
      </c>
      <c r="C74" s="9" t="s">
        <v>139</v>
      </c>
      <c r="D74" s="10">
        <v>6153</v>
      </c>
      <c r="E74" s="10">
        <v>5221</v>
      </c>
      <c r="F74" s="10">
        <v>4473</v>
      </c>
      <c r="G74" s="9" t="s">
        <v>601</v>
      </c>
      <c r="H74" s="11">
        <v>0.77458150495693157</v>
      </c>
      <c r="I74" s="11">
        <v>0.64521371688607188</v>
      </c>
      <c r="J74" s="9" t="s">
        <v>602</v>
      </c>
      <c r="K74" s="11">
        <v>0.28481133882398008</v>
      </c>
      <c r="L74" s="11">
        <v>0.16816701781267959</v>
      </c>
      <c r="M74" s="9" t="s">
        <v>603</v>
      </c>
      <c r="N74" s="11">
        <v>0.31589537223340042</v>
      </c>
      <c r="O74" s="11">
        <v>0.15962441314553991</v>
      </c>
      <c r="P74" s="12">
        <v>-0.41089999999999999</v>
      </c>
      <c r="Q74" s="9" t="s">
        <v>73</v>
      </c>
      <c r="R74" s="12">
        <v>0.45390000000000003</v>
      </c>
      <c r="S74" s="9" t="s">
        <v>75</v>
      </c>
      <c r="T74" s="12">
        <v>3.5099999999999999E-2</v>
      </c>
      <c r="U74" s="12">
        <v>0.3</v>
      </c>
      <c r="V74" s="9" t="s">
        <v>412</v>
      </c>
      <c r="W74" s="9" t="s">
        <v>604</v>
      </c>
      <c r="X74" s="9" t="s">
        <v>131</v>
      </c>
      <c r="Y74" s="9" t="s">
        <v>624</v>
      </c>
      <c r="Z74" s="9" t="s">
        <v>632</v>
      </c>
      <c r="AA74" s="9" t="s">
        <v>614</v>
      </c>
      <c r="AB74" s="11">
        <v>0.26788650839885197</v>
      </c>
      <c r="AC74" s="11">
        <v>0.20877906828712331</v>
      </c>
      <c r="AD74" s="11">
        <v>0.15707819198287579</v>
      </c>
      <c r="AE74" s="11">
        <v>0.20351235772533621</v>
      </c>
      <c r="AF74" s="11">
        <v>0.16274387360581269</v>
      </c>
      <c r="AG74" s="9" t="str">
        <f t="shared" si="3"/>
        <v>Protección y orden cotidiano</v>
      </c>
      <c r="AH74" s="9" t="s">
        <v>615</v>
      </c>
      <c r="AI74" s="9"/>
      <c r="AJ74" s="9" t="str">
        <f t="shared" si="4"/>
        <v>Protección y orden cotidiano</v>
      </c>
      <c r="AK74" s="9" t="str">
        <f>IFERROR(INDEX('[3]02_Arquetipos_Miedo_Sesgo'!$C$5:$C$9,MATCH(AJ74,'[3]02_Arquetipos_Miedo_Sesgo'!$A$5:$A$9,0)),"")</f>
        <v>Miedo a la inseguridad, al descontrol barrial y a perder la tranquilidad cotidiana.</v>
      </c>
      <c r="AL74" s="9" t="str">
        <f>IFERROR(INDEX('[3]02_Arquetipos_Miedo_Sesgo'!$D$5:$D$9,MATCH(AJ74,'[3]02_Arquetipos_Miedo_Sesgo'!$A$5:$A$9,0)),"")</f>
        <v>Sesgo de disponibilidad + sesgo de negatividad + preferencia por autoridad.</v>
      </c>
      <c r="AM74" s="9" t="str">
        <f>IFERROR(INDEX('[3]02_Arquetipos_Miedo_Sesgo'!$E$5:$E$9,MATCH(AJ74,'[3]02_Arquetipos_Miedo_Sesgo'!$A$5:$A$9,0)),"")</f>
        <v>Seguridad, convivencia, movilidad, alumbrado, reacción institucional rápida, presencia de autoridad.</v>
      </c>
      <c r="AN74" s="9" t="str">
        <f t="shared" si="5"/>
        <v>Media</v>
      </c>
      <c r="AO74" s="9" t="s">
        <v>608</v>
      </c>
    </row>
    <row r="75" spans="1:41" ht="43.2">
      <c r="A75" s="9" t="s">
        <v>633</v>
      </c>
      <c r="B75" s="9" t="s">
        <v>128</v>
      </c>
      <c r="C75" s="9" t="s">
        <v>634</v>
      </c>
      <c r="D75" s="10">
        <v>831</v>
      </c>
      <c r="E75" s="10">
        <v>752</v>
      </c>
      <c r="F75" s="10">
        <v>670</v>
      </c>
      <c r="G75" s="9" t="s">
        <v>601</v>
      </c>
      <c r="H75" s="11">
        <v>0.71239470517448855</v>
      </c>
      <c r="I75" s="11">
        <v>0.54632972322503004</v>
      </c>
      <c r="J75" s="9" t="s">
        <v>602</v>
      </c>
      <c r="K75" s="11">
        <v>0.22872340425531909</v>
      </c>
      <c r="L75" s="11">
        <v>0.10505319148936169</v>
      </c>
      <c r="M75" s="9" t="s">
        <v>603</v>
      </c>
      <c r="N75" s="11">
        <v>0.25671641791044769</v>
      </c>
      <c r="O75" s="11">
        <v>5.9701492537313411E-2</v>
      </c>
      <c r="P75" s="12">
        <v>-0.41089999999999999</v>
      </c>
      <c r="Q75" s="9" t="s">
        <v>73</v>
      </c>
      <c r="R75" s="12">
        <v>0.45390000000000003</v>
      </c>
      <c r="S75" s="9" t="s">
        <v>75</v>
      </c>
      <c r="T75" s="12">
        <v>3.5099999999999999E-2</v>
      </c>
      <c r="U75" s="12">
        <v>0.3</v>
      </c>
      <c r="V75" s="9" t="s">
        <v>412</v>
      </c>
      <c r="W75" s="9" t="s">
        <v>604</v>
      </c>
      <c r="X75" s="9" t="s">
        <v>131</v>
      </c>
      <c r="Y75" s="9" t="s">
        <v>624</v>
      </c>
      <c r="Z75" s="9" t="s">
        <v>632</v>
      </c>
      <c r="AA75" s="9" t="s">
        <v>614</v>
      </c>
      <c r="AB75" s="11">
        <v>0.25835380447642992</v>
      </c>
      <c r="AC75" s="11">
        <v>0.23140478801527409</v>
      </c>
      <c r="AD75" s="11">
        <v>0.141399804946132</v>
      </c>
      <c r="AE75" s="11">
        <v>0.19799984698285419</v>
      </c>
      <c r="AF75" s="11">
        <v>0.17084175557930989</v>
      </c>
      <c r="AG75" s="9" t="str">
        <f t="shared" si="3"/>
        <v>Protección y orden cotidiano</v>
      </c>
      <c r="AH75" s="9" t="s">
        <v>615</v>
      </c>
      <c r="AI75" s="9"/>
      <c r="AJ75" s="9" t="str">
        <f t="shared" si="4"/>
        <v>Protección y orden cotidiano</v>
      </c>
      <c r="AK75" s="9" t="str">
        <f>IFERROR(INDEX('[3]02_Arquetipos_Miedo_Sesgo'!$C$5:$C$9,MATCH(AJ75,'[3]02_Arquetipos_Miedo_Sesgo'!$A$5:$A$9,0)),"")</f>
        <v>Miedo a la inseguridad, al descontrol barrial y a perder la tranquilidad cotidiana.</v>
      </c>
      <c r="AL75" s="9" t="str">
        <f>IFERROR(INDEX('[3]02_Arquetipos_Miedo_Sesgo'!$D$5:$D$9,MATCH(AJ75,'[3]02_Arquetipos_Miedo_Sesgo'!$A$5:$A$9,0)),"")</f>
        <v>Sesgo de disponibilidad + sesgo de negatividad + preferencia por autoridad.</v>
      </c>
      <c r="AM75" s="9" t="str">
        <f>IFERROR(INDEX('[3]02_Arquetipos_Miedo_Sesgo'!$E$5:$E$9,MATCH(AJ75,'[3]02_Arquetipos_Miedo_Sesgo'!$A$5:$A$9,0)),"")</f>
        <v>Seguridad, convivencia, movilidad, alumbrado, reacción institucional rápida, presencia de autoridad.</v>
      </c>
      <c r="AN75" s="9" t="str">
        <f t="shared" si="5"/>
        <v>Media</v>
      </c>
      <c r="AO75" s="9" t="s">
        <v>608</v>
      </c>
    </row>
    <row r="76" spans="1:41" ht="43.2">
      <c r="A76" s="9" t="s">
        <v>140</v>
      </c>
      <c r="B76" s="9" t="s">
        <v>128</v>
      </c>
      <c r="C76" s="9" t="s">
        <v>141</v>
      </c>
      <c r="D76" s="10">
        <v>3837</v>
      </c>
      <c r="E76" s="10">
        <v>3196</v>
      </c>
      <c r="F76" s="10">
        <v>2544</v>
      </c>
      <c r="G76" s="9" t="s">
        <v>601</v>
      </c>
      <c r="H76" s="11">
        <v>0.75553818087047175</v>
      </c>
      <c r="I76" s="11">
        <v>0.61350013031013817</v>
      </c>
      <c r="J76" s="9" t="s">
        <v>602</v>
      </c>
      <c r="K76" s="11">
        <v>0.29505632040050062</v>
      </c>
      <c r="L76" s="11">
        <v>0.1708385481852315</v>
      </c>
      <c r="M76" s="9" t="s">
        <v>603</v>
      </c>
      <c r="N76" s="11">
        <v>0.33608490566037741</v>
      </c>
      <c r="O76" s="11">
        <v>0.13246855345911951</v>
      </c>
      <c r="P76" s="12">
        <v>-0.41089999999999999</v>
      </c>
      <c r="Q76" s="9" t="s">
        <v>73</v>
      </c>
      <c r="R76" s="12">
        <v>0.45390000000000003</v>
      </c>
      <c r="S76" s="9" t="s">
        <v>75</v>
      </c>
      <c r="T76" s="12">
        <v>3.5099999999999999E-2</v>
      </c>
      <c r="U76" s="12">
        <v>0.3</v>
      </c>
      <c r="V76" s="9" t="s">
        <v>412</v>
      </c>
      <c r="W76" s="9" t="s">
        <v>604</v>
      </c>
      <c r="X76" s="9" t="s">
        <v>131</v>
      </c>
      <c r="Y76" s="9" t="s">
        <v>624</v>
      </c>
      <c r="Z76" s="9" t="s">
        <v>632</v>
      </c>
      <c r="AA76" s="9" t="s">
        <v>614</v>
      </c>
      <c r="AB76" s="11">
        <v>0.26024503337568339</v>
      </c>
      <c r="AC76" s="11">
        <v>0.223086435746744</v>
      </c>
      <c r="AD76" s="11">
        <v>0.14706973739449761</v>
      </c>
      <c r="AE76" s="11">
        <v>0.1997173264273264</v>
      </c>
      <c r="AF76" s="11">
        <v>0.16988146705574861</v>
      </c>
      <c r="AG76" s="9" t="str">
        <f t="shared" si="3"/>
        <v>Protección y orden cotidiano</v>
      </c>
      <c r="AH76" s="9" t="s">
        <v>615</v>
      </c>
      <c r="AI76" s="9"/>
      <c r="AJ76" s="9" t="str">
        <f t="shared" si="4"/>
        <v>Protección y orden cotidiano</v>
      </c>
      <c r="AK76" s="9" t="str">
        <f>IFERROR(INDEX('[3]02_Arquetipos_Miedo_Sesgo'!$C$5:$C$9,MATCH(AJ76,'[3]02_Arquetipos_Miedo_Sesgo'!$A$5:$A$9,0)),"")</f>
        <v>Miedo a la inseguridad, al descontrol barrial y a perder la tranquilidad cotidiana.</v>
      </c>
      <c r="AL76" s="9" t="str">
        <f>IFERROR(INDEX('[3]02_Arquetipos_Miedo_Sesgo'!$D$5:$D$9,MATCH(AJ76,'[3]02_Arquetipos_Miedo_Sesgo'!$A$5:$A$9,0)),"")</f>
        <v>Sesgo de disponibilidad + sesgo de negatividad + preferencia por autoridad.</v>
      </c>
      <c r="AM76" s="9" t="str">
        <f>IFERROR(INDEX('[3]02_Arquetipos_Miedo_Sesgo'!$E$5:$E$9,MATCH(AJ76,'[3]02_Arquetipos_Miedo_Sesgo'!$A$5:$A$9,0)),"")</f>
        <v>Seguridad, convivencia, movilidad, alumbrado, reacción institucional rápida, presencia de autoridad.</v>
      </c>
      <c r="AN76" s="9" t="str">
        <f t="shared" si="5"/>
        <v>Media</v>
      </c>
      <c r="AO76" s="9" t="s">
        <v>608</v>
      </c>
    </row>
    <row r="77" spans="1:41" ht="43.2">
      <c r="A77" s="9" t="s">
        <v>142</v>
      </c>
      <c r="B77" s="9" t="s">
        <v>128</v>
      </c>
      <c r="C77" s="9" t="s">
        <v>128</v>
      </c>
      <c r="D77" s="10">
        <v>11546</v>
      </c>
      <c r="E77" s="10">
        <v>9961</v>
      </c>
      <c r="F77" s="10">
        <v>8511</v>
      </c>
      <c r="G77" s="9" t="s">
        <v>601</v>
      </c>
      <c r="H77" s="11">
        <v>0.78486055776892427</v>
      </c>
      <c r="I77" s="11">
        <v>0.68006235925861769</v>
      </c>
      <c r="J77" s="9" t="s">
        <v>602</v>
      </c>
      <c r="K77" s="11">
        <v>0.27818492119265131</v>
      </c>
      <c r="L77" s="11">
        <v>0.15299668707961039</v>
      </c>
      <c r="M77" s="9" t="s">
        <v>603</v>
      </c>
      <c r="N77" s="11">
        <v>0.3238162378098931</v>
      </c>
      <c r="O77" s="11">
        <v>0.1192574315591588</v>
      </c>
      <c r="P77" s="12">
        <v>-0.41089999999999999</v>
      </c>
      <c r="Q77" s="9" t="s">
        <v>73</v>
      </c>
      <c r="R77" s="12">
        <v>0.45390000000000003</v>
      </c>
      <c r="S77" s="9" t="s">
        <v>75</v>
      </c>
      <c r="T77" s="12">
        <v>3.5099999999999999E-2</v>
      </c>
      <c r="U77" s="12">
        <v>0.3</v>
      </c>
      <c r="V77" s="9" t="s">
        <v>412</v>
      </c>
      <c r="W77" s="9" t="s">
        <v>604</v>
      </c>
      <c r="X77" s="9" t="s">
        <v>131</v>
      </c>
      <c r="Y77" s="9" t="s">
        <v>624</v>
      </c>
      <c r="Z77" s="9" t="s">
        <v>632</v>
      </c>
      <c r="AA77" s="9" t="s">
        <v>614</v>
      </c>
      <c r="AB77" s="11">
        <v>0.28258072626856029</v>
      </c>
      <c r="AC77" s="11">
        <v>0.22340278402367789</v>
      </c>
      <c r="AD77" s="11">
        <v>0.15043288311959119</v>
      </c>
      <c r="AE77" s="11">
        <v>0.16598940688469069</v>
      </c>
      <c r="AF77" s="11">
        <v>0.17759419970347981</v>
      </c>
      <c r="AG77" s="9" t="str">
        <f t="shared" si="3"/>
        <v>Protección y orden cotidiano</v>
      </c>
      <c r="AH77" s="9" t="s">
        <v>615</v>
      </c>
      <c r="AI77" s="9"/>
      <c r="AJ77" s="9" t="str">
        <f t="shared" si="4"/>
        <v>Protección y orden cotidiano</v>
      </c>
      <c r="AK77" s="9" t="str">
        <f>IFERROR(INDEX('[3]02_Arquetipos_Miedo_Sesgo'!$C$5:$C$9,MATCH(AJ77,'[3]02_Arquetipos_Miedo_Sesgo'!$A$5:$A$9,0)),"")</f>
        <v>Miedo a la inseguridad, al descontrol barrial y a perder la tranquilidad cotidiana.</v>
      </c>
      <c r="AL77" s="9" t="str">
        <f>IFERROR(INDEX('[3]02_Arquetipos_Miedo_Sesgo'!$D$5:$D$9,MATCH(AJ77,'[3]02_Arquetipos_Miedo_Sesgo'!$A$5:$A$9,0)),"")</f>
        <v>Sesgo de disponibilidad + sesgo de negatividad + preferencia por autoridad.</v>
      </c>
      <c r="AM77" s="9" t="str">
        <f>IFERROR(INDEX('[3]02_Arquetipos_Miedo_Sesgo'!$E$5:$E$9,MATCH(AJ77,'[3]02_Arquetipos_Miedo_Sesgo'!$A$5:$A$9,0)),"")</f>
        <v>Seguridad, convivencia, movilidad, alumbrado, reacción institucional rápida, presencia de autoridad.</v>
      </c>
      <c r="AN77" s="9" t="str">
        <f t="shared" si="5"/>
        <v>Media</v>
      </c>
      <c r="AO77" s="9" t="s">
        <v>608</v>
      </c>
    </row>
    <row r="78" spans="1:41" ht="43.2">
      <c r="A78" s="9" t="s">
        <v>503</v>
      </c>
      <c r="B78" s="9" t="s">
        <v>128</v>
      </c>
      <c r="C78" s="9" t="s">
        <v>504</v>
      </c>
      <c r="D78" s="10">
        <v>796</v>
      </c>
      <c r="E78" s="10">
        <v>667</v>
      </c>
      <c r="F78" s="10">
        <v>498</v>
      </c>
      <c r="G78" s="9" t="s">
        <v>601</v>
      </c>
      <c r="H78" s="11">
        <v>0.61306532663316582</v>
      </c>
      <c r="I78" s="11">
        <v>0.38819095477386928</v>
      </c>
      <c r="J78" s="9" t="s">
        <v>602</v>
      </c>
      <c r="K78" s="11">
        <v>0.33433283358320842</v>
      </c>
      <c r="L78" s="11">
        <v>0.2338830584707646</v>
      </c>
      <c r="M78" s="9" t="s">
        <v>603</v>
      </c>
      <c r="N78" s="11">
        <v>0.34738955823293172</v>
      </c>
      <c r="O78" s="11">
        <v>0.1767068273092369</v>
      </c>
      <c r="P78" s="12">
        <v>-0.41089999999999999</v>
      </c>
      <c r="Q78" s="9" t="s">
        <v>73</v>
      </c>
      <c r="R78" s="12">
        <v>0.45390000000000003</v>
      </c>
      <c r="S78" s="9" t="s">
        <v>75</v>
      </c>
      <c r="T78" s="12">
        <v>3.5099999999999999E-2</v>
      </c>
      <c r="U78" s="12">
        <v>0.3</v>
      </c>
      <c r="V78" s="9" t="s">
        <v>412</v>
      </c>
      <c r="W78" s="9" t="s">
        <v>604</v>
      </c>
      <c r="X78" s="9" t="s">
        <v>131</v>
      </c>
      <c r="Y78" s="9" t="s">
        <v>624</v>
      </c>
      <c r="Z78" s="9" t="s">
        <v>632</v>
      </c>
      <c r="AA78" s="9" t="s">
        <v>611</v>
      </c>
      <c r="AB78" s="11">
        <v>0.21999303566367631</v>
      </c>
      <c r="AC78" s="11">
        <v>0.24953197907462621</v>
      </c>
      <c r="AD78" s="11">
        <v>0.16678265027689659</v>
      </c>
      <c r="AE78" s="11">
        <v>0.1879529860191656</v>
      </c>
      <c r="AF78" s="11">
        <v>0.1757393489656352</v>
      </c>
      <c r="AG78" s="9" t="str">
        <f t="shared" si="3"/>
        <v>Estabilidad y continuidad</v>
      </c>
      <c r="AH78" s="9" t="s">
        <v>612</v>
      </c>
      <c r="AI78" s="9"/>
      <c r="AJ78" s="9" t="str">
        <f t="shared" si="4"/>
        <v>Estabilidad y continuidad</v>
      </c>
      <c r="AK78" s="9" t="str">
        <f>IFERROR(INDEX('[3]02_Arquetipos_Miedo_Sesgo'!$C$5:$C$9,MATCH(AJ78,'[3]02_Arquetipos_Miedo_Sesgo'!$A$5:$A$9,0)),"")</f>
        <v>Miedo a perder beneficios, subsidios, estabilidad institucional o condiciones de vida ya alcanzadas.</v>
      </c>
      <c r="AL78" s="9" t="str">
        <f>IFERROR(INDEX('[3]02_Arquetipos_Miedo_Sesgo'!$D$5:$D$9,MATCH(AJ78,'[3]02_Arquetipos_Miedo_Sesgo'!$A$5:$A$9,0)),"")</f>
        <v>Aversión a la pérdida + sesgo de statu quo + confirmación.</v>
      </c>
      <c r="AM78" s="9" t="str">
        <f>IFERROR(INDEX('[3]02_Arquetipos_Miedo_Sesgo'!$E$5:$E$9,MATCH(AJ78,'[3]02_Arquetipos_Miedo_Sesgo'!$A$5:$A$9,0)),"")</f>
        <v>Continuidad administrativa, servicios públicos, infraestructura, salud, educación y programas sociales.</v>
      </c>
      <c r="AN78" s="9" t="str">
        <f t="shared" si="5"/>
        <v>Media</v>
      </c>
      <c r="AO78" s="9" t="s">
        <v>608</v>
      </c>
    </row>
    <row r="79" spans="1:41" ht="43.2">
      <c r="A79" s="9" t="s">
        <v>635</v>
      </c>
      <c r="B79" s="9" t="s">
        <v>128</v>
      </c>
      <c r="C79" s="9" t="s">
        <v>636</v>
      </c>
      <c r="D79" s="10">
        <v>926</v>
      </c>
      <c r="E79" s="10">
        <v>813</v>
      </c>
      <c r="F79" s="10">
        <v>714</v>
      </c>
      <c r="G79" s="9" t="s">
        <v>601</v>
      </c>
      <c r="H79" s="11">
        <v>0.74622030237580994</v>
      </c>
      <c r="I79" s="11">
        <v>0.61123110151187909</v>
      </c>
      <c r="J79" s="9" t="s">
        <v>602</v>
      </c>
      <c r="K79" s="11">
        <v>0.29151291512915128</v>
      </c>
      <c r="L79" s="11">
        <v>0.15744157441574419</v>
      </c>
      <c r="M79" s="9" t="s">
        <v>603</v>
      </c>
      <c r="N79" s="11">
        <v>0.32773109243697479</v>
      </c>
      <c r="O79" s="11">
        <v>0.149859943977591</v>
      </c>
      <c r="P79" s="12">
        <v>-0.41089999999999999</v>
      </c>
      <c r="Q79" s="9" t="s">
        <v>73</v>
      </c>
      <c r="R79" s="12">
        <v>0.45390000000000003</v>
      </c>
      <c r="S79" s="9" t="s">
        <v>75</v>
      </c>
      <c r="T79" s="12">
        <v>3.5099999999999999E-2</v>
      </c>
      <c r="U79" s="12">
        <v>0.3</v>
      </c>
      <c r="V79" s="9" t="s">
        <v>412</v>
      </c>
      <c r="W79" s="9" t="s">
        <v>604</v>
      </c>
      <c r="X79" s="9" t="s">
        <v>131</v>
      </c>
      <c r="Y79" s="9" t="s">
        <v>624</v>
      </c>
      <c r="Z79" s="9" t="s">
        <v>632</v>
      </c>
      <c r="AA79" s="9" t="s">
        <v>614</v>
      </c>
      <c r="AB79" s="11">
        <v>0.27358073953017459</v>
      </c>
      <c r="AC79" s="11">
        <v>0.23119116270734741</v>
      </c>
      <c r="AD79" s="11">
        <v>0.16067960123095509</v>
      </c>
      <c r="AE79" s="11">
        <v>0.1574906455977001</v>
      </c>
      <c r="AF79" s="11">
        <v>0.17705785093382281</v>
      </c>
      <c r="AG79" s="9" t="str">
        <f t="shared" si="3"/>
        <v>Protección y orden cotidiano</v>
      </c>
      <c r="AH79" s="9" t="s">
        <v>615</v>
      </c>
      <c r="AI79" s="9"/>
      <c r="AJ79" s="9" t="str">
        <f t="shared" si="4"/>
        <v>Protección y orden cotidiano</v>
      </c>
      <c r="AK79" s="9" t="str">
        <f>IFERROR(INDEX('[3]02_Arquetipos_Miedo_Sesgo'!$C$5:$C$9,MATCH(AJ79,'[3]02_Arquetipos_Miedo_Sesgo'!$A$5:$A$9,0)),"")</f>
        <v>Miedo a la inseguridad, al descontrol barrial y a perder la tranquilidad cotidiana.</v>
      </c>
      <c r="AL79" s="9" t="str">
        <f>IFERROR(INDEX('[3]02_Arquetipos_Miedo_Sesgo'!$D$5:$D$9,MATCH(AJ79,'[3]02_Arquetipos_Miedo_Sesgo'!$A$5:$A$9,0)),"")</f>
        <v>Sesgo de disponibilidad + sesgo de negatividad + preferencia por autoridad.</v>
      </c>
      <c r="AM79" s="9" t="str">
        <f>IFERROR(INDEX('[3]02_Arquetipos_Miedo_Sesgo'!$E$5:$E$9,MATCH(AJ79,'[3]02_Arquetipos_Miedo_Sesgo'!$A$5:$A$9,0)),"")</f>
        <v>Seguridad, convivencia, movilidad, alumbrado, reacción institucional rápida, presencia de autoridad.</v>
      </c>
      <c r="AN79" s="9" t="str">
        <f t="shared" si="5"/>
        <v>Media</v>
      </c>
      <c r="AO79" s="9" t="s">
        <v>608</v>
      </c>
    </row>
    <row r="80" spans="1:41" ht="43.2">
      <c r="A80" s="9" t="s">
        <v>143</v>
      </c>
      <c r="B80" s="9" t="s">
        <v>128</v>
      </c>
      <c r="C80" s="9" t="s">
        <v>144</v>
      </c>
      <c r="D80" s="10">
        <v>13650</v>
      </c>
      <c r="E80" s="10">
        <v>11845</v>
      </c>
      <c r="F80" s="10">
        <v>10475</v>
      </c>
      <c r="G80" s="9" t="s">
        <v>601</v>
      </c>
      <c r="H80" s="11">
        <v>0.77626373626373624</v>
      </c>
      <c r="I80" s="11">
        <v>0.66622710622710624</v>
      </c>
      <c r="J80" s="9" t="s">
        <v>602</v>
      </c>
      <c r="K80" s="11">
        <v>0.2828197551709582</v>
      </c>
      <c r="L80" s="11">
        <v>0.1562684677078936</v>
      </c>
      <c r="M80" s="9" t="s">
        <v>603</v>
      </c>
      <c r="N80" s="11">
        <v>0.30300715990453458</v>
      </c>
      <c r="O80" s="11">
        <v>0.1164677804295942</v>
      </c>
      <c r="P80" s="12">
        <v>-0.41089999999999999</v>
      </c>
      <c r="Q80" s="9" t="s">
        <v>73</v>
      </c>
      <c r="R80" s="12">
        <v>0.45390000000000003</v>
      </c>
      <c r="S80" s="9" t="s">
        <v>75</v>
      </c>
      <c r="T80" s="12">
        <v>3.5099999999999999E-2</v>
      </c>
      <c r="U80" s="12">
        <v>0.3</v>
      </c>
      <c r="V80" s="9" t="s">
        <v>412</v>
      </c>
      <c r="W80" s="9" t="s">
        <v>604</v>
      </c>
      <c r="X80" s="9" t="s">
        <v>131</v>
      </c>
      <c r="Y80" s="9" t="s">
        <v>624</v>
      </c>
      <c r="Z80" s="9" t="s">
        <v>632</v>
      </c>
      <c r="AA80" s="9" t="s">
        <v>614</v>
      </c>
      <c r="AB80" s="11">
        <v>0.28144258981956288</v>
      </c>
      <c r="AC80" s="11">
        <v>0.21609774247243549</v>
      </c>
      <c r="AD80" s="11">
        <v>0.1529519018374137</v>
      </c>
      <c r="AE80" s="11">
        <v>0.18036053524600201</v>
      </c>
      <c r="AF80" s="11">
        <v>0.169147230624586</v>
      </c>
      <c r="AG80" s="9" t="str">
        <f t="shared" si="3"/>
        <v>Protección y orden cotidiano</v>
      </c>
      <c r="AH80" s="9" t="s">
        <v>615</v>
      </c>
      <c r="AI80" s="9"/>
      <c r="AJ80" s="9" t="str">
        <f t="shared" si="4"/>
        <v>Protección y orden cotidiano</v>
      </c>
      <c r="AK80" s="9" t="str">
        <f>IFERROR(INDEX('[3]02_Arquetipos_Miedo_Sesgo'!$C$5:$C$9,MATCH(AJ80,'[3]02_Arquetipos_Miedo_Sesgo'!$A$5:$A$9,0)),"")</f>
        <v>Miedo a la inseguridad, al descontrol barrial y a perder la tranquilidad cotidiana.</v>
      </c>
      <c r="AL80" s="9" t="str">
        <f>IFERROR(INDEX('[3]02_Arquetipos_Miedo_Sesgo'!$D$5:$D$9,MATCH(AJ80,'[3]02_Arquetipos_Miedo_Sesgo'!$A$5:$A$9,0)),"")</f>
        <v>Sesgo de disponibilidad + sesgo de negatividad + preferencia por autoridad.</v>
      </c>
      <c r="AM80" s="9" t="str">
        <f>IFERROR(INDEX('[3]02_Arquetipos_Miedo_Sesgo'!$E$5:$E$9,MATCH(AJ80,'[3]02_Arquetipos_Miedo_Sesgo'!$A$5:$A$9,0)),"")</f>
        <v>Seguridad, convivencia, movilidad, alumbrado, reacción institucional rápida, presencia de autoridad.</v>
      </c>
      <c r="AN80" s="9" t="str">
        <f t="shared" si="5"/>
        <v>Media</v>
      </c>
      <c r="AO80" s="9" t="s">
        <v>608</v>
      </c>
    </row>
    <row r="81" spans="1:41" ht="43.2">
      <c r="A81" s="9" t="s">
        <v>145</v>
      </c>
      <c r="B81" s="9" t="s">
        <v>128</v>
      </c>
      <c r="C81" s="9" t="s">
        <v>146</v>
      </c>
      <c r="D81" s="10">
        <v>6077</v>
      </c>
      <c r="E81" s="10">
        <v>5302</v>
      </c>
      <c r="F81" s="10">
        <v>4752</v>
      </c>
      <c r="G81" s="9" t="s">
        <v>601</v>
      </c>
      <c r="H81" s="11">
        <v>0.78574954747408265</v>
      </c>
      <c r="I81" s="11">
        <v>0.67187757116998525</v>
      </c>
      <c r="J81" s="9" t="s">
        <v>602</v>
      </c>
      <c r="K81" s="11">
        <v>0.26009053187476422</v>
      </c>
      <c r="L81" s="11">
        <v>0.14956620143342131</v>
      </c>
      <c r="M81" s="9" t="s">
        <v>603</v>
      </c>
      <c r="N81" s="11">
        <v>0.26010101010101011</v>
      </c>
      <c r="O81" s="11">
        <v>1.5993265993266E-2</v>
      </c>
      <c r="P81" s="12">
        <v>-0.41089999999999999</v>
      </c>
      <c r="Q81" s="9" t="s">
        <v>73</v>
      </c>
      <c r="R81" s="12">
        <v>0.45390000000000003</v>
      </c>
      <c r="S81" s="9" t="s">
        <v>75</v>
      </c>
      <c r="T81" s="12">
        <v>3.5099999999999999E-2</v>
      </c>
      <c r="U81" s="12">
        <v>0.3</v>
      </c>
      <c r="V81" s="9" t="s">
        <v>412</v>
      </c>
      <c r="W81" s="9" t="s">
        <v>604</v>
      </c>
      <c r="X81" s="9" t="s">
        <v>131</v>
      </c>
      <c r="Y81" s="9" t="s">
        <v>624</v>
      </c>
      <c r="Z81" s="9" t="s">
        <v>632</v>
      </c>
      <c r="AA81" s="9" t="s">
        <v>614</v>
      </c>
      <c r="AB81" s="11">
        <v>0.28523575628046538</v>
      </c>
      <c r="AC81" s="11">
        <v>0.22590935393155251</v>
      </c>
      <c r="AD81" s="11">
        <v>0.13126454034105059</v>
      </c>
      <c r="AE81" s="11">
        <v>0.18365944994405731</v>
      </c>
      <c r="AF81" s="11">
        <v>0.1739308995028743</v>
      </c>
      <c r="AG81" s="9" t="str">
        <f t="shared" si="3"/>
        <v>Protección y orden cotidiano</v>
      </c>
      <c r="AH81" s="9" t="s">
        <v>615</v>
      </c>
      <c r="AI81" s="9"/>
      <c r="AJ81" s="9" t="str">
        <f t="shared" si="4"/>
        <v>Protección y orden cotidiano</v>
      </c>
      <c r="AK81" s="9" t="str">
        <f>IFERROR(INDEX('[3]02_Arquetipos_Miedo_Sesgo'!$C$5:$C$9,MATCH(AJ81,'[3]02_Arquetipos_Miedo_Sesgo'!$A$5:$A$9,0)),"")</f>
        <v>Miedo a la inseguridad, al descontrol barrial y a perder la tranquilidad cotidiana.</v>
      </c>
      <c r="AL81" s="9" t="str">
        <f>IFERROR(INDEX('[3]02_Arquetipos_Miedo_Sesgo'!$D$5:$D$9,MATCH(AJ81,'[3]02_Arquetipos_Miedo_Sesgo'!$A$5:$A$9,0)),"")</f>
        <v>Sesgo de disponibilidad + sesgo de negatividad + preferencia por autoridad.</v>
      </c>
      <c r="AM81" s="9" t="str">
        <f>IFERROR(INDEX('[3]02_Arquetipos_Miedo_Sesgo'!$E$5:$E$9,MATCH(AJ81,'[3]02_Arquetipos_Miedo_Sesgo'!$A$5:$A$9,0)),"")</f>
        <v>Seguridad, convivencia, movilidad, alumbrado, reacción institucional rápida, presencia de autoridad.</v>
      </c>
      <c r="AN81" s="9" t="str">
        <f t="shared" si="5"/>
        <v>Media</v>
      </c>
      <c r="AO81" s="9" t="s">
        <v>608</v>
      </c>
    </row>
    <row r="82" spans="1:41" ht="43.2">
      <c r="A82" s="9" t="s">
        <v>147</v>
      </c>
      <c r="B82" s="9" t="s">
        <v>128</v>
      </c>
      <c r="C82" s="9" t="s">
        <v>148</v>
      </c>
      <c r="D82" s="10">
        <v>4291</v>
      </c>
      <c r="E82" s="10">
        <v>3277</v>
      </c>
      <c r="F82" s="10">
        <v>2878</v>
      </c>
      <c r="G82" s="9" t="s">
        <v>601</v>
      </c>
      <c r="H82" s="11">
        <v>0.76042880447448147</v>
      </c>
      <c r="I82" s="11">
        <v>0.63761360988114657</v>
      </c>
      <c r="J82" s="9" t="s">
        <v>602</v>
      </c>
      <c r="K82" s="11">
        <v>0.32255111382361917</v>
      </c>
      <c r="L82" s="11">
        <v>0.2017088800732377</v>
      </c>
      <c r="M82" s="9" t="s">
        <v>603</v>
      </c>
      <c r="N82" s="11">
        <v>0.39610840861709518</v>
      </c>
      <c r="O82" s="11">
        <v>0.23419041000694929</v>
      </c>
      <c r="P82" s="12">
        <v>-0.41089999999999999</v>
      </c>
      <c r="Q82" s="9" t="s">
        <v>73</v>
      </c>
      <c r="R82" s="12">
        <v>0.45390000000000003</v>
      </c>
      <c r="S82" s="9" t="s">
        <v>75</v>
      </c>
      <c r="T82" s="12">
        <v>3.5099999999999999E-2</v>
      </c>
      <c r="U82" s="12">
        <v>0.3</v>
      </c>
      <c r="V82" s="9" t="s">
        <v>412</v>
      </c>
      <c r="W82" s="9" t="s">
        <v>604</v>
      </c>
      <c r="X82" s="9" t="s">
        <v>131</v>
      </c>
      <c r="Y82" s="9" t="s">
        <v>624</v>
      </c>
      <c r="Z82" s="9" t="s">
        <v>632</v>
      </c>
      <c r="AA82" s="9" t="s">
        <v>614</v>
      </c>
      <c r="AB82" s="11">
        <v>0.26418371777782362</v>
      </c>
      <c r="AC82" s="11">
        <v>0.21546119046878059</v>
      </c>
      <c r="AD82" s="11">
        <v>0.1670753492453031</v>
      </c>
      <c r="AE82" s="11">
        <v>0.18505812875740671</v>
      </c>
      <c r="AF82" s="11">
        <v>0.1682216137506862</v>
      </c>
      <c r="AG82" s="9" t="str">
        <f t="shared" si="3"/>
        <v>Protección y orden cotidiano</v>
      </c>
      <c r="AH82" s="9" t="s">
        <v>615</v>
      </c>
      <c r="AI82" s="9"/>
      <c r="AJ82" s="9" t="str">
        <f t="shared" si="4"/>
        <v>Protección y orden cotidiano</v>
      </c>
      <c r="AK82" s="9" t="str">
        <f>IFERROR(INDEX('[3]02_Arquetipos_Miedo_Sesgo'!$C$5:$C$9,MATCH(AJ82,'[3]02_Arquetipos_Miedo_Sesgo'!$A$5:$A$9,0)),"")</f>
        <v>Miedo a la inseguridad, al descontrol barrial y a perder la tranquilidad cotidiana.</v>
      </c>
      <c r="AL82" s="9" t="str">
        <f>IFERROR(INDEX('[3]02_Arquetipos_Miedo_Sesgo'!$D$5:$D$9,MATCH(AJ82,'[3]02_Arquetipos_Miedo_Sesgo'!$A$5:$A$9,0)),"")</f>
        <v>Sesgo de disponibilidad + sesgo de negatividad + preferencia por autoridad.</v>
      </c>
      <c r="AM82" s="9" t="str">
        <f>IFERROR(INDEX('[3]02_Arquetipos_Miedo_Sesgo'!$E$5:$E$9,MATCH(AJ82,'[3]02_Arquetipos_Miedo_Sesgo'!$A$5:$A$9,0)),"")</f>
        <v>Seguridad, convivencia, movilidad, alumbrado, reacción institucional rápida, presencia de autoridad.</v>
      </c>
      <c r="AN82" s="9" t="str">
        <f t="shared" si="5"/>
        <v>Media</v>
      </c>
      <c r="AO82" s="9" t="s">
        <v>608</v>
      </c>
    </row>
    <row r="83" spans="1:41" ht="43.2">
      <c r="A83" s="9" t="s">
        <v>257</v>
      </c>
      <c r="B83" s="9" t="s">
        <v>258</v>
      </c>
      <c r="C83" s="9" t="s">
        <v>259</v>
      </c>
      <c r="D83" s="10">
        <v>6071</v>
      </c>
      <c r="E83" s="10">
        <v>5321</v>
      </c>
      <c r="F83" s="10">
        <v>4544</v>
      </c>
      <c r="G83" s="9" t="s">
        <v>601</v>
      </c>
      <c r="H83" s="11">
        <v>0.73678141986493162</v>
      </c>
      <c r="I83" s="11">
        <v>0.5873826387745017</v>
      </c>
      <c r="J83" s="9" t="s">
        <v>602</v>
      </c>
      <c r="K83" s="11">
        <v>0.31873707949633528</v>
      </c>
      <c r="L83" s="11">
        <v>0.202029693666604</v>
      </c>
      <c r="M83" s="9" t="s">
        <v>603</v>
      </c>
      <c r="N83" s="11">
        <v>0.46852992957746481</v>
      </c>
      <c r="O83" s="11">
        <v>0.3109595070422535</v>
      </c>
      <c r="P83" s="12">
        <v>-0.41089999999999999</v>
      </c>
      <c r="Q83" s="9" t="s">
        <v>73</v>
      </c>
      <c r="R83" s="12">
        <v>0.45390000000000003</v>
      </c>
      <c r="S83" s="9" t="s">
        <v>75</v>
      </c>
      <c r="T83" s="12">
        <v>3.5099999999999999E-2</v>
      </c>
      <c r="U83" s="12">
        <v>0.3</v>
      </c>
      <c r="V83" s="9" t="s">
        <v>412</v>
      </c>
      <c r="W83" s="9" t="s">
        <v>604</v>
      </c>
      <c r="X83" s="9" t="s">
        <v>260</v>
      </c>
      <c r="Y83" s="9" t="s">
        <v>624</v>
      </c>
      <c r="Z83" s="9" t="s">
        <v>637</v>
      </c>
      <c r="AA83" s="9" t="s">
        <v>614</v>
      </c>
      <c r="AB83" s="11">
        <v>0.25609928172454971</v>
      </c>
      <c r="AC83" s="11">
        <v>0.20915532775101511</v>
      </c>
      <c r="AD83" s="11">
        <v>0.18769199500140321</v>
      </c>
      <c r="AE83" s="11">
        <v>0.17289132190839521</v>
      </c>
      <c r="AF83" s="11">
        <v>0.1741620736146369</v>
      </c>
      <c r="AG83" s="9" t="str">
        <f t="shared" si="3"/>
        <v>Protección y orden cotidiano</v>
      </c>
      <c r="AH83" s="9" t="s">
        <v>615</v>
      </c>
      <c r="AI83" s="9"/>
      <c r="AJ83" s="9" t="str">
        <f t="shared" si="4"/>
        <v>Protección y orden cotidiano</v>
      </c>
      <c r="AK83" s="9" t="str">
        <f>IFERROR(INDEX('[3]02_Arquetipos_Miedo_Sesgo'!$C$5:$C$9,MATCH(AJ83,'[3]02_Arquetipos_Miedo_Sesgo'!$A$5:$A$9,0)),"")</f>
        <v>Miedo a la inseguridad, al descontrol barrial y a perder la tranquilidad cotidiana.</v>
      </c>
      <c r="AL83" s="9" t="str">
        <f>IFERROR(INDEX('[3]02_Arquetipos_Miedo_Sesgo'!$D$5:$D$9,MATCH(AJ83,'[3]02_Arquetipos_Miedo_Sesgo'!$A$5:$A$9,0)),"")</f>
        <v>Sesgo de disponibilidad + sesgo de negatividad + preferencia por autoridad.</v>
      </c>
      <c r="AM83" s="9" t="str">
        <f>IFERROR(INDEX('[3]02_Arquetipos_Miedo_Sesgo'!$E$5:$E$9,MATCH(AJ83,'[3]02_Arquetipos_Miedo_Sesgo'!$A$5:$A$9,0)),"")</f>
        <v>Seguridad, convivencia, movilidad, alumbrado, reacción institucional rápida, presencia de autoridad.</v>
      </c>
      <c r="AN83" s="9" t="str">
        <f t="shared" si="5"/>
        <v>Alta</v>
      </c>
      <c r="AO83" s="9" t="s">
        <v>608</v>
      </c>
    </row>
    <row r="84" spans="1:41" ht="43.2">
      <c r="A84" s="9" t="s">
        <v>534</v>
      </c>
      <c r="B84" s="9" t="s">
        <v>258</v>
      </c>
      <c r="C84" s="9" t="s">
        <v>535</v>
      </c>
      <c r="D84" s="10">
        <v>908</v>
      </c>
      <c r="E84" s="10">
        <v>822</v>
      </c>
      <c r="F84" s="10">
        <v>655</v>
      </c>
      <c r="G84" s="9" t="s">
        <v>601</v>
      </c>
      <c r="H84" s="11">
        <v>0.45264317180616742</v>
      </c>
      <c r="I84" s="11">
        <v>9.8017621145374489E-2</v>
      </c>
      <c r="J84" s="9" t="s">
        <v>602</v>
      </c>
      <c r="K84" s="11">
        <v>0.38564476885644772</v>
      </c>
      <c r="L84" s="11">
        <v>0.27615571776155712</v>
      </c>
      <c r="M84" s="9" t="s">
        <v>603</v>
      </c>
      <c r="N84" s="11">
        <v>0.48549618320610688</v>
      </c>
      <c r="O84" s="11">
        <v>0.32061068702290069</v>
      </c>
      <c r="P84" s="12">
        <v>-0.41089999999999999</v>
      </c>
      <c r="Q84" s="9" t="s">
        <v>73</v>
      </c>
      <c r="R84" s="12">
        <v>0.45390000000000003</v>
      </c>
      <c r="S84" s="9" t="s">
        <v>75</v>
      </c>
      <c r="T84" s="12">
        <v>3.5099999999999999E-2</v>
      </c>
      <c r="U84" s="12">
        <v>0.3</v>
      </c>
      <c r="V84" s="9" t="s">
        <v>412</v>
      </c>
      <c r="W84" s="9" t="s">
        <v>604</v>
      </c>
      <c r="X84" s="9" t="s">
        <v>260</v>
      </c>
      <c r="Y84" s="9" t="s">
        <v>624</v>
      </c>
      <c r="Z84" s="9" t="s">
        <v>637</v>
      </c>
      <c r="AA84" s="9" t="s">
        <v>611</v>
      </c>
      <c r="AB84" s="11">
        <v>0.15233353421245849</v>
      </c>
      <c r="AC84" s="11">
        <v>0.26394382784082238</v>
      </c>
      <c r="AD84" s="11">
        <v>0.19497070002065831</v>
      </c>
      <c r="AE84" s="11">
        <v>0.21456263338354181</v>
      </c>
      <c r="AF84" s="11">
        <v>0.17418930454251899</v>
      </c>
      <c r="AG84" s="9" t="str">
        <f t="shared" si="3"/>
        <v>Estabilidad y continuidad</v>
      </c>
      <c r="AH84" s="9" t="s">
        <v>612</v>
      </c>
      <c r="AI84" s="9"/>
      <c r="AJ84" s="9" t="str">
        <f t="shared" si="4"/>
        <v>Estabilidad y continuidad</v>
      </c>
      <c r="AK84" s="9" t="str">
        <f>IFERROR(INDEX('[3]02_Arquetipos_Miedo_Sesgo'!$C$5:$C$9,MATCH(AJ84,'[3]02_Arquetipos_Miedo_Sesgo'!$A$5:$A$9,0)),"")</f>
        <v>Miedo a perder beneficios, subsidios, estabilidad institucional o condiciones de vida ya alcanzadas.</v>
      </c>
      <c r="AL84" s="9" t="str">
        <f>IFERROR(INDEX('[3]02_Arquetipos_Miedo_Sesgo'!$D$5:$D$9,MATCH(AJ84,'[3]02_Arquetipos_Miedo_Sesgo'!$A$5:$A$9,0)),"")</f>
        <v>Aversión a la pérdida + sesgo de statu quo + confirmación.</v>
      </c>
      <c r="AM84" s="9" t="str">
        <f>IFERROR(INDEX('[3]02_Arquetipos_Miedo_Sesgo'!$E$5:$E$9,MATCH(AJ84,'[3]02_Arquetipos_Miedo_Sesgo'!$A$5:$A$9,0)),"")</f>
        <v>Continuidad administrativa, servicios públicos, infraestructura, salud, educación y programas sociales.</v>
      </c>
      <c r="AN84" s="9" t="str">
        <f t="shared" si="5"/>
        <v>Alta</v>
      </c>
      <c r="AO84" s="9" t="s">
        <v>608</v>
      </c>
    </row>
    <row r="85" spans="1:41" ht="43.2">
      <c r="A85" s="9" t="s">
        <v>264</v>
      </c>
      <c r="B85" s="9" t="s">
        <v>258</v>
      </c>
      <c r="C85" s="9" t="s">
        <v>265</v>
      </c>
      <c r="D85" s="10">
        <v>2372</v>
      </c>
      <c r="E85" s="10">
        <v>2012</v>
      </c>
      <c r="F85" s="10">
        <v>1775</v>
      </c>
      <c r="G85" s="9" t="s">
        <v>601</v>
      </c>
      <c r="H85" s="11">
        <v>0.76096121416526141</v>
      </c>
      <c r="I85" s="11">
        <v>0.63406408094435074</v>
      </c>
      <c r="J85" s="9" t="s">
        <v>602</v>
      </c>
      <c r="K85" s="11">
        <v>0.33797216699801191</v>
      </c>
      <c r="L85" s="11">
        <v>0.224155069582505</v>
      </c>
      <c r="M85" s="9" t="s">
        <v>603</v>
      </c>
      <c r="N85" s="11">
        <v>0.42197183098591551</v>
      </c>
      <c r="O85" s="11">
        <v>0.1983098591549296</v>
      </c>
      <c r="P85" s="12">
        <v>-0.41089999999999999</v>
      </c>
      <c r="Q85" s="9" t="s">
        <v>73</v>
      </c>
      <c r="R85" s="12">
        <v>0.45390000000000003</v>
      </c>
      <c r="S85" s="9" t="s">
        <v>75</v>
      </c>
      <c r="T85" s="12">
        <v>3.5099999999999999E-2</v>
      </c>
      <c r="U85" s="12">
        <v>0.3</v>
      </c>
      <c r="V85" s="9" t="s">
        <v>412</v>
      </c>
      <c r="W85" s="9" t="s">
        <v>604</v>
      </c>
      <c r="X85" s="9" t="s">
        <v>260</v>
      </c>
      <c r="Y85" s="9" t="s">
        <v>624</v>
      </c>
      <c r="Z85" s="9" t="s">
        <v>637</v>
      </c>
      <c r="AA85" s="9" t="s">
        <v>614</v>
      </c>
      <c r="AB85" s="11">
        <v>0.25748620451656917</v>
      </c>
      <c r="AC85" s="11">
        <v>0.2101754570611141</v>
      </c>
      <c r="AD85" s="11">
        <v>0.15710408518596219</v>
      </c>
      <c r="AE85" s="11">
        <v>0.2053967392169038</v>
      </c>
      <c r="AF85" s="11">
        <v>0.16983751401945071</v>
      </c>
      <c r="AG85" s="9" t="str">
        <f t="shared" si="3"/>
        <v>Protección y orden cotidiano</v>
      </c>
      <c r="AH85" s="9" t="s">
        <v>615</v>
      </c>
      <c r="AI85" s="9"/>
      <c r="AJ85" s="9" t="str">
        <f t="shared" si="4"/>
        <v>Protección y orden cotidiano</v>
      </c>
      <c r="AK85" s="9" t="str">
        <f>IFERROR(INDEX('[3]02_Arquetipos_Miedo_Sesgo'!$C$5:$C$9,MATCH(AJ85,'[3]02_Arquetipos_Miedo_Sesgo'!$A$5:$A$9,0)),"")</f>
        <v>Miedo a la inseguridad, al descontrol barrial y a perder la tranquilidad cotidiana.</v>
      </c>
      <c r="AL85" s="9" t="str">
        <f>IFERROR(INDEX('[3]02_Arquetipos_Miedo_Sesgo'!$D$5:$D$9,MATCH(AJ85,'[3]02_Arquetipos_Miedo_Sesgo'!$A$5:$A$9,0)),"")</f>
        <v>Sesgo de disponibilidad + sesgo de negatividad + preferencia por autoridad.</v>
      </c>
      <c r="AM85" s="9" t="str">
        <f>IFERROR(INDEX('[3]02_Arquetipos_Miedo_Sesgo'!$E$5:$E$9,MATCH(AJ85,'[3]02_Arquetipos_Miedo_Sesgo'!$A$5:$A$9,0)),"")</f>
        <v>Seguridad, convivencia, movilidad, alumbrado, reacción institucional rápida, presencia de autoridad.</v>
      </c>
      <c r="AN85" s="9" t="str">
        <f t="shared" si="5"/>
        <v>Alta</v>
      </c>
      <c r="AO85" s="9" t="s">
        <v>608</v>
      </c>
    </row>
    <row r="86" spans="1:41" ht="43.2">
      <c r="A86" s="9" t="s">
        <v>266</v>
      </c>
      <c r="B86" s="9" t="s">
        <v>258</v>
      </c>
      <c r="C86" s="9" t="s">
        <v>267</v>
      </c>
      <c r="D86" s="10">
        <v>23408</v>
      </c>
      <c r="E86" s="10">
        <v>21146</v>
      </c>
      <c r="F86" s="10">
        <v>17961</v>
      </c>
      <c r="G86" s="9" t="s">
        <v>601</v>
      </c>
      <c r="H86" s="11">
        <v>0.74145591250854403</v>
      </c>
      <c r="I86" s="11">
        <v>0.60598940533151058</v>
      </c>
      <c r="J86" s="9" t="s">
        <v>602</v>
      </c>
      <c r="K86" s="11">
        <v>0.30138087581575712</v>
      </c>
      <c r="L86" s="11">
        <v>0.1775276648065828</v>
      </c>
      <c r="M86" s="9" t="s">
        <v>603</v>
      </c>
      <c r="N86" s="11">
        <v>0.43761483213629532</v>
      </c>
      <c r="O86" s="11">
        <v>0.26579811814486942</v>
      </c>
      <c r="P86" s="12">
        <v>-0.41089999999999999</v>
      </c>
      <c r="Q86" s="9" t="s">
        <v>73</v>
      </c>
      <c r="R86" s="12">
        <v>0.45390000000000003</v>
      </c>
      <c r="S86" s="9" t="s">
        <v>75</v>
      </c>
      <c r="T86" s="12">
        <v>3.5099999999999999E-2</v>
      </c>
      <c r="U86" s="12">
        <v>0.3</v>
      </c>
      <c r="V86" s="9" t="s">
        <v>412</v>
      </c>
      <c r="W86" s="9" t="s">
        <v>604</v>
      </c>
      <c r="X86" s="9" t="s">
        <v>260</v>
      </c>
      <c r="Y86" s="9" t="s">
        <v>624</v>
      </c>
      <c r="Z86" s="9" t="s">
        <v>637</v>
      </c>
      <c r="AA86" s="9" t="s">
        <v>614</v>
      </c>
      <c r="AB86" s="11">
        <v>0.26204859504190031</v>
      </c>
      <c r="AC86" s="11">
        <v>0.21149612110082169</v>
      </c>
      <c r="AD86" s="11">
        <v>0.18064158414030779</v>
      </c>
      <c r="AE86" s="11">
        <v>0.16880067611547289</v>
      </c>
      <c r="AF86" s="11">
        <v>0.17701302360149729</v>
      </c>
      <c r="AG86" s="9" t="str">
        <f t="shared" si="3"/>
        <v>Protección y orden cotidiano</v>
      </c>
      <c r="AH86" s="9" t="s">
        <v>615</v>
      </c>
      <c r="AI86" s="9"/>
      <c r="AJ86" s="9" t="str">
        <f t="shared" si="4"/>
        <v>Protección y orden cotidiano</v>
      </c>
      <c r="AK86" s="9" t="str">
        <f>IFERROR(INDEX('[3]02_Arquetipos_Miedo_Sesgo'!$C$5:$C$9,MATCH(AJ86,'[3]02_Arquetipos_Miedo_Sesgo'!$A$5:$A$9,0)),"")</f>
        <v>Miedo a la inseguridad, al descontrol barrial y a perder la tranquilidad cotidiana.</v>
      </c>
      <c r="AL86" s="9" t="str">
        <f>IFERROR(INDEX('[3]02_Arquetipos_Miedo_Sesgo'!$D$5:$D$9,MATCH(AJ86,'[3]02_Arquetipos_Miedo_Sesgo'!$A$5:$A$9,0)),"")</f>
        <v>Sesgo de disponibilidad + sesgo de negatividad + preferencia por autoridad.</v>
      </c>
      <c r="AM86" s="9" t="str">
        <f>IFERROR(INDEX('[3]02_Arquetipos_Miedo_Sesgo'!$E$5:$E$9,MATCH(AJ86,'[3]02_Arquetipos_Miedo_Sesgo'!$A$5:$A$9,0)),"")</f>
        <v>Seguridad, convivencia, movilidad, alumbrado, reacción institucional rápida, presencia de autoridad.</v>
      </c>
      <c r="AN86" s="9" t="str">
        <f t="shared" si="5"/>
        <v>Alta</v>
      </c>
      <c r="AO86" s="9" t="s">
        <v>608</v>
      </c>
    </row>
    <row r="87" spans="1:41" ht="43.2">
      <c r="A87" s="9" t="s">
        <v>268</v>
      </c>
      <c r="B87" s="9" t="s">
        <v>258</v>
      </c>
      <c r="C87" s="9" t="s">
        <v>269</v>
      </c>
      <c r="D87" s="10">
        <v>1549</v>
      </c>
      <c r="E87" s="10">
        <v>1435</v>
      </c>
      <c r="F87" s="10">
        <v>1262</v>
      </c>
      <c r="G87" s="9" t="s">
        <v>601</v>
      </c>
      <c r="H87" s="11">
        <v>0.78631375080697219</v>
      </c>
      <c r="I87" s="11">
        <v>0.66817301484828917</v>
      </c>
      <c r="J87" s="9" t="s">
        <v>602</v>
      </c>
      <c r="K87" s="11">
        <v>0.30174216027874562</v>
      </c>
      <c r="L87" s="11">
        <v>0.16933797909407661</v>
      </c>
      <c r="M87" s="9" t="s">
        <v>603</v>
      </c>
      <c r="N87" s="11">
        <v>0.47464342313787639</v>
      </c>
      <c r="O87" s="11">
        <v>0.34072900158478597</v>
      </c>
      <c r="P87" s="12">
        <v>-0.41089999999999999</v>
      </c>
      <c r="Q87" s="9" t="s">
        <v>73</v>
      </c>
      <c r="R87" s="12">
        <v>0.45390000000000003</v>
      </c>
      <c r="S87" s="9" t="s">
        <v>75</v>
      </c>
      <c r="T87" s="12">
        <v>3.5099999999999999E-2</v>
      </c>
      <c r="U87" s="12">
        <v>0.3</v>
      </c>
      <c r="V87" s="9" t="s">
        <v>412</v>
      </c>
      <c r="W87" s="9" t="s">
        <v>604</v>
      </c>
      <c r="X87" s="9" t="s">
        <v>260</v>
      </c>
      <c r="Y87" s="9" t="s">
        <v>624</v>
      </c>
      <c r="Z87" s="9" t="s">
        <v>637</v>
      </c>
      <c r="AA87" s="9" t="s">
        <v>614</v>
      </c>
      <c r="AB87" s="11">
        <v>0.27736101669560909</v>
      </c>
      <c r="AC87" s="11">
        <v>0.20612352085918689</v>
      </c>
      <c r="AD87" s="11">
        <v>0.19383945005000719</v>
      </c>
      <c r="AE87" s="11">
        <v>0.14739219106870269</v>
      </c>
      <c r="AF87" s="11">
        <v>0.17528382132649409</v>
      </c>
      <c r="AG87" s="9" t="str">
        <f t="shared" si="3"/>
        <v>Protección y orden cotidiano</v>
      </c>
      <c r="AH87" s="9" t="s">
        <v>615</v>
      </c>
      <c r="AI87" s="9"/>
      <c r="AJ87" s="9" t="str">
        <f t="shared" si="4"/>
        <v>Protección y orden cotidiano</v>
      </c>
      <c r="AK87" s="9" t="str">
        <f>IFERROR(INDEX('[3]02_Arquetipos_Miedo_Sesgo'!$C$5:$C$9,MATCH(AJ87,'[3]02_Arquetipos_Miedo_Sesgo'!$A$5:$A$9,0)),"")</f>
        <v>Miedo a la inseguridad, al descontrol barrial y a perder la tranquilidad cotidiana.</v>
      </c>
      <c r="AL87" s="9" t="str">
        <f>IFERROR(INDEX('[3]02_Arquetipos_Miedo_Sesgo'!$D$5:$D$9,MATCH(AJ87,'[3]02_Arquetipos_Miedo_Sesgo'!$A$5:$A$9,0)),"")</f>
        <v>Sesgo de disponibilidad + sesgo de negatividad + preferencia por autoridad.</v>
      </c>
      <c r="AM87" s="9" t="str">
        <f>IFERROR(INDEX('[3]02_Arquetipos_Miedo_Sesgo'!$E$5:$E$9,MATCH(AJ87,'[3]02_Arquetipos_Miedo_Sesgo'!$A$5:$A$9,0)),"")</f>
        <v>Seguridad, convivencia, movilidad, alumbrado, reacción institucional rápida, presencia de autoridad.</v>
      </c>
      <c r="AN87" s="9" t="str">
        <f t="shared" si="5"/>
        <v>Alta</v>
      </c>
      <c r="AO87" s="9" t="s">
        <v>608</v>
      </c>
    </row>
    <row r="88" spans="1:41" ht="43.2">
      <c r="A88" s="9" t="s">
        <v>270</v>
      </c>
      <c r="B88" s="9" t="s">
        <v>258</v>
      </c>
      <c r="C88" s="9" t="s">
        <v>271</v>
      </c>
      <c r="D88" s="10">
        <v>10059</v>
      </c>
      <c r="E88" s="10">
        <v>9452</v>
      </c>
      <c r="F88" s="10">
        <v>8350</v>
      </c>
      <c r="G88" s="9" t="s">
        <v>601</v>
      </c>
      <c r="H88" s="11">
        <v>0.86350531862014113</v>
      </c>
      <c r="I88" s="11">
        <v>0.80355900188885576</v>
      </c>
      <c r="J88" s="9" t="s">
        <v>602</v>
      </c>
      <c r="K88" s="11">
        <v>0.28237410071942448</v>
      </c>
      <c r="L88" s="11">
        <v>0.1235717308506137</v>
      </c>
      <c r="M88" s="9" t="s">
        <v>603</v>
      </c>
      <c r="N88" s="11">
        <v>0.49293413173652689</v>
      </c>
      <c r="O88" s="11">
        <v>0.32467065868263473</v>
      </c>
      <c r="P88" s="12">
        <v>-0.41089999999999999</v>
      </c>
      <c r="Q88" s="9" t="s">
        <v>73</v>
      </c>
      <c r="R88" s="12">
        <v>0.45390000000000003</v>
      </c>
      <c r="S88" s="9" t="s">
        <v>75</v>
      </c>
      <c r="T88" s="12">
        <v>3.5099999999999999E-2</v>
      </c>
      <c r="U88" s="12">
        <v>0.3</v>
      </c>
      <c r="V88" s="9" t="s">
        <v>412</v>
      </c>
      <c r="W88" s="9" t="s">
        <v>604</v>
      </c>
      <c r="X88" s="9" t="s">
        <v>260</v>
      </c>
      <c r="Y88" s="9" t="s">
        <v>624</v>
      </c>
      <c r="Z88" s="9" t="s">
        <v>637</v>
      </c>
      <c r="AA88" s="9" t="s">
        <v>614</v>
      </c>
      <c r="AB88" s="11">
        <v>0.31123203761119628</v>
      </c>
      <c r="AC88" s="11">
        <v>0.20288419862988311</v>
      </c>
      <c r="AD88" s="11">
        <v>0.19458791600713971</v>
      </c>
      <c r="AE88" s="11">
        <v>0.1008943786414622</v>
      </c>
      <c r="AF88" s="11">
        <v>0.1904014691103188</v>
      </c>
      <c r="AG88" s="9" t="str">
        <f t="shared" si="3"/>
        <v>Protección y orden cotidiano</v>
      </c>
      <c r="AH88" s="9" t="s">
        <v>615</v>
      </c>
      <c r="AI88" s="9"/>
      <c r="AJ88" s="9" t="str">
        <f t="shared" si="4"/>
        <v>Protección y orden cotidiano</v>
      </c>
      <c r="AK88" s="9" t="str">
        <f>IFERROR(INDEX('[3]02_Arquetipos_Miedo_Sesgo'!$C$5:$C$9,MATCH(AJ88,'[3]02_Arquetipos_Miedo_Sesgo'!$A$5:$A$9,0)),"")</f>
        <v>Miedo a la inseguridad, al descontrol barrial y a perder la tranquilidad cotidiana.</v>
      </c>
      <c r="AL88" s="9" t="str">
        <f>IFERROR(INDEX('[3]02_Arquetipos_Miedo_Sesgo'!$D$5:$D$9,MATCH(AJ88,'[3]02_Arquetipos_Miedo_Sesgo'!$A$5:$A$9,0)),"")</f>
        <v>Sesgo de disponibilidad + sesgo de negatividad + preferencia por autoridad.</v>
      </c>
      <c r="AM88" s="9" t="str">
        <f>IFERROR(INDEX('[3]02_Arquetipos_Miedo_Sesgo'!$E$5:$E$9,MATCH(AJ88,'[3]02_Arquetipos_Miedo_Sesgo'!$A$5:$A$9,0)),"")</f>
        <v>Seguridad, convivencia, movilidad, alumbrado, reacción institucional rápida, presencia de autoridad.</v>
      </c>
      <c r="AN88" s="9" t="str">
        <f t="shared" si="5"/>
        <v>Alta</v>
      </c>
      <c r="AO88" s="9" t="s">
        <v>608</v>
      </c>
    </row>
    <row r="89" spans="1:41" ht="43.2">
      <c r="A89" s="9" t="s">
        <v>276</v>
      </c>
      <c r="B89" s="9" t="s">
        <v>277</v>
      </c>
      <c r="C89" s="9" t="s">
        <v>278</v>
      </c>
      <c r="D89" s="10">
        <v>5474</v>
      </c>
      <c r="E89" s="10">
        <v>5331</v>
      </c>
      <c r="F89" s="10">
        <v>4678</v>
      </c>
      <c r="G89" s="9" t="s">
        <v>601</v>
      </c>
      <c r="H89" s="11">
        <v>0.79338691998538546</v>
      </c>
      <c r="I89" s="11">
        <v>0.6996711728169529</v>
      </c>
      <c r="J89" s="9" t="s">
        <v>602</v>
      </c>
      <c r="K89" s="11">
        <v>0.29619208403676611</v>
      </c>
      <c r="L89" s="11">
        <v>0.1465015944475708</v>
      </c>
      <c r="M89" s="9" t="s">
        <v>603</v>
      </c>
      <c r="N89" s="11">
        <v>0.48952543822146222</v>
      </c>
      <c r="O89" s="11">
        <v>0.3347584437793929</v>
      </c>
      <c r="P89" s="12">
        <v>-0.41089999999999999</v>
      </c>
      <c r="Q89" s="9" t="s">
        <v>73</v>
      </c>
      <c r="R89" s="12">
        <v>0.45390000000000003</v>
      </c>
      <c r="S89" s="9" t="s">
        <v>75</v>
      </c>
      <c r="T89" s="12">
        <v>3.5099999999999999E-2</v>
      </c>
      <c r="U89" s="12">
        <v>0.3</v>
      </c>
      <c r="V89" s="9" t="s">
        <v>412</v>
      </c>
      <c r="W89" s="9" t="s">
        <v>604</v>
      </c>
      <c r="X89" s="9" t="s">
        <v>638</v>
      </c>
      <c r="Y89" s="9" t="s">
        <v>639</v>
      </c>
      <c r="Z89" s="9" t="s">
        <v>640</v>
      </c>
      <c r="AA89" s="9" t="s">
        <v>614</v>
      </c>
      <c r="AB89" s="11">
        <v>0.27794193812908108</v>
      </c>
      <c r="AC89" s="11">
        <v>0.2059824639208665</v>
      </c>
      <c r="AD89" s="11">
        <v>0.19217365696168789</v>
      </c>
      <c r="AE89" s="11">
        <v>0.13709447033742031</v>
      </c>
      <c r="AF89" s="11">
        <v>0.18680747065094419</v>
      </c>
      <c r="AG89" s="9" t="str">
        <f t="shared" si="3"/>
        <v>Protección y orden cotidiano</v>
      </c>
      <c r="AH89" s="9" t="s">
        <v>615</v>
      </c>
      <c r="AI89" s="9"/>
      <c r="AJ89" s="9" t="str">
        <f t="shared" si="4"/>
        <v>Protección y orden cotidiano</v>
      </c>
      <c r="AK89" s="9" t="str">
        <f>IFERROR(INDEX('[3]02_Arquetipos_Miedo_Sesgo'!$C$5:$C$9,MATCH(AJ89,'[3]02_Arquetipos_Miedo_Sesgo'!$A$5:$A$9,0)),"")</f>
        <v>Miedo a la inseguridad, al descontrol barrial y a perder la tranquilidad cotidiana.</v>
      </c>
      <c r="AL89" s="9" t="str">
        <f>IFERROR(INDEX('[3]02_Arquetipos_Miedo_Sesgo'!$D$5:$D$9,MATCH(AJ89,'[3]02_Arquetipos_Miedo_Sesgo'!$A$5:$A$9,0)),"")</f>
        <v>Sesgo de disponibilidad + sesgo de negatividad + preferencia por autoridad.</v>
      </c>
      <c r="AM89" s="9" t="str">
        <f>IFERROR(INDEX('[3]02_Arquetipos_Miedo_Sesgo'!$E$5:$E$9,MATCH(AJ89,'[3]02_Arquetipos_Miedo_Sesgo'!$A$5:$A$9,0)),"")</f>
        <v>Seguridad, convivencia, movilidad, alumbrado, reacción institucional rápida, presencia de autoridad.</v>
      </c>
      <c r="AN89" s="9" t="str">
        <f t="shared" si="5"/>
        <v>Sin clasificar</v>
      </c>
      <c r="AO89" s="9" t="s">
        <v>608</v>
      </c>
    </row>
    <row r="90" spans="1:41" ht="43.2">
      <c r="A90" s="9" t="s">
        <v>280</v>
      </c>
      <c r="B90" s="9" t="s">
        <v>277</v>
      </c>
      <c r="C90" s="9" t="s">
        <v>281</v>
      </c>
      <c r="D90" s="10">
        <v>7243</v>
      </c>
      <c r="E90" s="10">
        <v>6781</v>
      </c>
      <c r="F90" s="10">
        <v>5813</v>
      </c>
      <c r="G90" s="9" t="s">
        <v>601</v>
      </c>
      <c r="H90" s="11">
        <v>0.79110865663399144</v>
      </c>
      <c r="I90" s="11">
        <v>0.69032168990749687</v>
      </c>
      <c r="J90" s="9" t="s">
        <v>602</v>
      </c>
      <c r="K90" s="11">
        <v>0.268839404217667</v>
      </c>
      <c r="L90" s="11">
        <v>0.1210735879663766</v>
      </c>
      <c r="M90" s="9" t="s">
        <v>603</v>
      </c>
      <c r="N90" s="11">
        <v>0.45759504558747632</v>
      </c>
      <c r="O90" s="11">
        <v>0.26888009633579901</v>
      </c>
      <c r="P90" s="12">
        <v>-0.41089999999999999</v>
      </c>
      <c r="Q90" s="9" t="s">
        <v>73</v>
      </c>
      <c r="R90" s="12">
        <v>0.45390000000000003</v>
      </c>
      <c r="S90" s="9" t="s">
        <v>75</v>
      </c>
      <c r="T90" s="12">
        <v>3.5099999999999999E-2</v>
      </c>
      <c r="U90" s="12">
        <v>0.3</v>
      </c>
      <c r="V90" s="9" t="s">
        <v>412</v>
      </c>
      <c r="W90" s="9" t="s">
        <v>604</v>
      </c>
      <c r="X90" s="9" t="s">
        <v>638</v>
      </c>
      <c r="Y90" s="9" t="s">
        <v>639</v>
      </c>
      <c r="Z90" s="9" t="s">
        <v>640</v>
      </c>
      <c r="AA90" s="9" t="s">
        <v>614</v>
      </c>
      <c r="AB90" s="11">
        <v>0.28170637513674701</v>
      </c>
      <c r="AC90" s="11">
        <v>0.210303352765809</v>
      </c>
      <c r="AD90" s="11">
        <v>0.18047666244812349</v>
      </c>
      <c r="AE90" s="11">
        <v>0.14082758991575711</v>
      </c>
      <c r="AF90" s="11">
        <v>0.18668601973356341</v>
      </c>
      <c r="AG90" s="9" t="str">
        <f t="shared" si="3"/>
        <v>Protección y orden cotidiano</v>
      </c>
      <c r="AH90" s="9" t="s">
        <v>615</v>
      </c>
      <c r="AI90" s="9"/>
      <c r="AJ90" s="9" t="str">
        <f t="shared" si="4"/>
        <v>Protección y orden cotidiano</v>
      </c>
      <c r="AK90" s="9" t="str">
        <f>IFERROR(INDEX('[3]02_Arquetipos_Miedo_Sesgo'!$C$5:$C$9,MATCH(AJ90,'[3]02_Arquetipos_Miedo_Sesgo'!$A$5:$A$9,0)),"")</f>
        <v>Miedo a la inseguridad, al descontrol barrial y a perder la tranquilidad cotidiana.</v>
      </c>
      <c r="AL90" s="9" t="str">
        <f>IFERROR(INDEX('[3]02_Arquetipos_Miedo_Sesgo'!$D$5:$D$9,MATCH(AJ90,'[3]02_Arquetipos_Miedo_Sesgo'!$A$5:$A$9,0)),"")</f>
        <v>Sesgo de disponibilidad + sesgo de negatividad + preferencia por autoridad.</v>
      </c>
      <c r="AM90" s="9" t="str">
        <f>IFERROR(INDEX('[3]02_Arquetipos_Miedo_Sesgo'!$E$5:$E$9,MATCH(AJ90,'[3]02_Arquetipos_Miedo_Sesgo'!$A$5:$A$9,0)),"")</f>
        <v>Seguridad, convivencia, movilidad, alumbrado, reacción institucional rápida, presencia de autoridad.</v>
      </c>
      <c r="AN90" s="9" t="str">
        <f t="shared" si="5"/>
        <v>Sin clasificar</v>
      </c>
      <c r="AO90" s="9" t="s">
        <v>608</v>
      </c>
    </row>
    <row r="91" spans="1:41" ht="43.2">
      <c r="A91" s="9" t="s">
        <v>282</v>
      </c>
      <c r="B91" s="9" t="s">
        <v>277</v>
      </c>
      <c r="C91" s="9" t="s">
        <v>283</v>
      </c>
      <c r="D91" s="10">
        <v>7562</v>
      </c>
      <c r="E91" s="10">
        <v>7255</v>
      </c>
      <c r="F91" s="10">
        <v>6575</v>
      </c>
      <c r="G91" s="9" t="s">
        <v>601</v>
      </c>
      <c r="H91" s="11">
        <v>0.86617297011372651</v>
      </c>
      <c r="I91" s="11">
        <v>0.80825178524199948</v>
      </c>
      <c r="J91" s="9" t="s">
        <v>602</v>
      </c>
      <c r="K91" s="11">
        <v>0.24465885596140591</v>
      </c>
      <c r="L91" s="11">
        <v>8.0771881461061346E-2</v>
      </c>
      <c r="M91" s="9" t="s">
        <v>603</v>
      </c>
      <c r="N91" s="11">
        <v>0.44653992395437259</v>
      </c>
      <c r="O91" s="11">
        <v>0.24638783269961981</v>
      </c>
      <c r="P91" s="12">
        <v>-0.41089999999999999</v>
      </c>
      <c r="Q91" s="9" t="s">
        <v>73</v>
      </c>
      <c r="R91" s="12">
        <v>0.45390000000000003</v>
      </c>
      <c r="S91" s="9" t="s">
        <v>75</v>
      </c>
      <c r="T91" s="12">
        <v>3.5099999999999999E-2</v>
      </c>
      <c r="U91" s="12">
        <v>0.3</v>
      </c>
      <c r="V91" s="9" t="s">
        <v>412</v>
      </c>
      <c r="W91" s="9" t="s">
        <v>604</v>
      </c>
      <c r="X91" s="9" t="s">
        <v>638</v>
      </c>
      <c r="Y91" s="9" t="s">
        <v>639</v>
      </c>
      <c r="Z91" s="9" t="s">
        <v>640</v>
      </c>
      <c r="AA91" s="9" t="s">
        <v>614</v>
      </c>
      <c r="AB91" s="11">
        <v>0.31380011638386451</v>
      </c>
      <c r="AC91" s="11">
        <v>0.2034286470700771</v>
      </c>
      <c r="AD91" s="11">
        <v>0.17816188658609189</v>
      </c>
      <c r="AE91" s="11">
        <v>0.1155398714903783</v>
      </c>
      <c r="AF91" s="11">
        <v>0.1890694784695883</v>
      </c>
      <c r="AG91" s="9" t="str">
        <f t="shared" si="3"/>
        <v>Protección y orden cotidiano</v>
      </c>
      <c r="AH91" s="9" t="s">
        <v>615</v>
      </c>
      <c r="AI91" s="9"/>
      <c r="AJ91" s="9" t="str">
        <f t="shared" si="4"/>
        <v>Protección y orden cotidiano</v>
      </c>
      <c r="AK91" s="9" t="str">
        <f>IFERROR(INDEX('[3]02_Arquetipos_Miedo_Sesgo'!$C$5:$C$9,MATCH(AJ91,'[3]02_Arquetipos_Miedo_Sesgo'!$A$5:$A$9,0)),"")</f>
        <v>Miedo a la inseguridad, al descontrol barrial y a perder la tranquilidad cotidiana.</v>
      </c>
      <c r="AL91" s="9" t="str">
        <f>IFERROR(INDEX('[3]02_Arquetipos_Miedo_Sesgo'!$D$5:$D$9,MATCH(AJ91,'[3]02_Arquetipos_Miedo_Sesgo'!$A$5:$A$9,0)),"")</f>
        <v>Sesgo de disponibilidad + sesgo de negatividad + preferencia por autoridad.</v>
      </c>
      <c r="AM91" s="9" t="str">
        <f>IFERROR(INDEX('[3]02_Arquetipos_Miedo_Sesgo'!$E$5:$E$9,MATCH(AJ91,'[3]02_Arquetipos_Miedo_Sesgo'!$A$5:$A$9,0)),"")</f>
        <v>Seguridad, convivencia, movilidad, alumbrado, reacción institucional rápida, presencia de autoridad.</v>
      </c>
      <c r="AN91" s="9" t="str">
        <f t="shared" si="5"/>
        <v>Sin clasificar</v>
      </c>
      <c r="AO91" s="9" t="s">
        <v>608</v>
      </c>
    </row>
    <row r="92" spans="1:41" ht="43.2">
      <c r="A92" s="9" t="s">
        <v>284</v>
      </c>
      <c r="B92" s="9" t="s">
        <v>277</v>
      </c>
      <c r="C92" s="9" t="s">
        <v>285</v>
      </c>
      <c r="D92" s="10">
        <v>4076</v>
      </c>
      <c r="E92" s="10">
        <v>3947</v>
      </c>
      <c r="F92" s="10">
        <v>3500</v>
      </c>
      <c r="G92" s="9" t="s">
        <v>601</v>
      </c>
      <c r="H92" s="11">
        <v>0.87536800785083413</v>
      </c>
      <c r="I92" s="11">
        <v>0.83022571148184487</v>
      </c>
      <c r="J92" s="9" t="s">
        <v>602</v>
      </c>
      <c r="K92" s="11">
        <v>0.25031669622498098</v>
      </c>
      <c r="L92" s="11">
        <v>7.4233595135545977E-2</v>
      </c>
      <c r="M92" s="9" t="s">
        <v>603</v>
      </c>
      <c r="N92" s="11">
        <v>0.4582857142857143</v>
      </c>
      <c r="O92" s="11">
        <v>0.27657142857142858</v>
      </c>
      <c r="P92" s="12">
        <v>-0.41089999999999999</v>
      </c>
      <c r="Q92" s="9" t="s">
        <v>73</v>
      </c>
      <c r="R92" s="12">
        <v>0.45390000000000003</v>
      </c>
      <c r="S92" s="9" t="s">
        <v>75</v>
      </c>
      <c r="T92" s="12">
        <v>3.5099999999999999E-2</v>
      </c>
      <c r="U92" s="12">
        <v>0.3</v>
      </c>
      <c r="V92" s="9" t="s">
        <v>412</v>
      </c>
      <c r="W92" s="9" t="s">
        <v>604</v>
      </c>
      <c r="X92" s="9" t="s">
        <v>638</v>
      </c>
      <c r="Y92" s="9" t="s">
        <v>639</v>
      </c>
      <c r="Z92" s="9" t="s">
        <v>640</v>
      </c>
      <c r="AA92" s="9" t="s">
        <v>614</v>
      </c>
      <c r="AB92" s="11">
        <v>0.31788014316388502</v>
      </c>
      <c r="AC92" s="11">
        <v>0.2034925291606674</v>
      </c>
      <c r="AD92" s="11">
        <v>0.1833341643100086</v>
      </c>
      <c r="AE92" s="11">
        <v>0.1049426920000084</v>
      </c>
      <c r="AF92" s="11">
        <v>0.19035047136543071</v>
      </c>
      <c r="AG92" s="9" t="str">
        <f t="shared" si="3"/>
        <v>Protección y orden cotidiano</v>
      </c>
      <c r="AH92" s="9" t="s">
        <v>615</v>
      </c>
      <c r="AI92" s="9"/>
      <c r="AJ92" s="9" t="str">
        <f t="shared" si="4"/>
        <v>Protección y orden cotidiano</v>
      </c>
      <c r="AK92" s="9" t="str">
        <f>IFERROR(INDEX('[3]02_Arquetipos_Miedo_Sesgo'!$C$5:$C$9,MATCH(AJ92,'[3]02_Arquetipos_Miedo_Sesgo'!$A$5:$A$9,0)),"")</f>
        <v>Miedo a la inseguridad, al descontrol barrial y a perder la tranquilidad cotidiana.</v>
      </c>
      <c r="AL92" s="9" t="str">
        <f>IFERROR(INDEX('[3]02_Arquetipos_Miedo_Sesgo'!$D$5:$D$9,MATCH(AJ92,'[3]02_Arquetipos_Miedo_Sesgo'!$A$5:$A$9,0)),"")</f>
        <v>Sesgo de disponibilidad + sesgo de negatividad + preferencia por autoridad.</v>
      </c>
      <c r="AM92" s="9" t="str">
        <f>IFERROR(INDEX('[3]02_Arquetipos_Miedo_Sesgo'!$E$5:$E$9,MATCH(AJ92,'[3]02_Arquetipos_Miedo_Sesgo'!$A$5:$A$9,0)),"")</f>
        <v>Seguridad, convivencia, movilidad, alumbrado, reacción institucional rápida, presencia de autoridad.</v>
      </c>
      <c r="AN92" s="9" t="str">
        <f t="shared" si="5"/>
        <v>Sin clasificar</v>
      </c>
      <c r="AO92" s="9" t="s">
        <v>608</v>
      </c>
    </row>
    <row r="93" spans="1:41" ht="43.2">
      <c r="A93" s="9" t="s">
        <v>537</v>
      </c>
      <c r="B93" s="9" t="s">
        <v>277</v>
      </c>
      <c r="C93" s="9" t="s">
        <v>538</v>
      </c>
      <c r="D93" s="10">
        <v>3008</v>
      </c>
      <c r="E93" s="10">
        <v>2857</v>
      </c>
      <c r="F93" s="10">
        <v>2518</v>
      </c>
      <c r="G93" s="9" t="s">
        <v>601</v>
      </c>
      <c r="H93" s="11">
        <v>0.83710106382978722</v>
      </c>
      <c r="I93" s="11">
        <v>0.75332446808510634</v>
      </c>
      <c r="J93" s="9" t="s">
        <v>602</v>
      </c>
      <c r="K93" s="11">
        <v>0.247812390619531</v>
      </c>
      <c r="L93" s="11">
        <v>7.8403920196009808E-2</v>
      </c>
      <c r="M93" s="9" t="s">
        <v>603</v>
      </c>
      <c r="N93" s="11">
        <v>0.44996028594122323</v>
      </c>
      <c r="O93" s="11">
        <v>0.28514694201747409</v>
      </c>
      <c r="P93" s="12">
        <v>-0.41089999999999999</v>
      </c>
      <c r="Q93" s="9" t="s">
        <v>73</v>
      </c>
      <c r="R93" s="12">
        <v>0.45390000000000003</v>
      </c>
      <c r="S93" s="9" t="s">
        <v>75</v>
      </c>
      <c r="T93" s="12">
        <v>3.5099999999999999E-2</v>
      </c>
      <c r="U93" s="12">
        <v>0.3</v>
      </c>
      <c r="V93" s="9" t="s">
        <v>412</v>
      </c>
      <c r="W93" s="9" t="s">
        <v>604</v>
      </c>
      <c r="X93" s="9" t="s">
        <v>638</v>
      </c>
      <c r="Y93" s="9" t="s">
        <v>639</v>
      </c>
      <c r="Z93" s="9" t="s">
        <v>640</v>
      </c>
      <c r="AA93" s="9" t="s">
        <v>614</v>
      </c>
      <c r="AB93" s="11">
        <v>0.3030520147680032</v>
      </c>
      <c r="AC93" s="11">
        <v>0.20369742155201151</v>
      </c>
      <c r="AD93" s="11">
        <v>0.1882469538070827</v>
      </c>
      <c r="AE93" s="11">
        <v>0.11950208200607119</v>
      </c>
      <c r="AF93" s="11">
        <v>0.18550152786683141</v>
      </c>
      <c r="AG93" s="9" t="str">
        <f t="shared" si="3"/>
        <v>Protección y orden cotidiano</v>
      </c>
      <c r="AH93" s="9" t="s">
        <v>615</v>
      </c>
      <c r="AI93" s="9"/>
      <c r="AJ93" s="9" t="str">
        <f t="shared" si="4"/>
        <v>Protección y orden cotidiano</v>
      </c>
      <c r="AK93" s="9" t="str">
        <f>IFERROR(INDEX('[3]02_Arquetipos_Miedo_Sesgo'!$C$5:$C$9,MATCH(AJ93,'[3]02_Arquetipos_Miedo_Sesgo'!$A$5:$A$9,0)),"")</f>
        <v>Miedo a la inseguridad, al descontrol barrial y a perder la tranquilidad cotidiana.</v>
      </c>
      <c r="AL93" s="9" t="str">
        <f>IFERROR(INDEX('[3]02_Arquetipos_Miedo_Sesgo'!$D$5:$D$9,MATCH(AJ93,'[3]02_Arquetipos_Miedo_Sesgo'!$A$5:$A$9,0)),"")</f>
        <v>Sesgo de disponibilidad + sesgo de negatividad + preferencia por autoridad.</v>
      </c>
      <c r="AM93" s="9" t="str">
        <f>IFERROR(INDEX('[3]02_Arquetipos_Miedo_Sesgo'!$E$5:$E$9,MATCH(AJ93,'[3]02_Arquetipos_Miedo_Sesgo'!$A$5:$A$9,0)),"")</f>
        <v>Seguridad, convivencia, movilidad, alumbrado, reacción institucional rápida, presencia de autoridad.</v>
      </c>
      <c r="AN93" s="9" t="str">
        <f t="shared" si="5"/>
        <v>Sin clasificar</v>
      </c>
      <c r="AO93" s="9" t="s">
        <v>608</v>
      </c>
    </row>
    <row r="94" spans="1:41" ht="43.2">
      <c r="A94" s="9" t="s">
        <v>286</v>
      </c>
      <c r="B94" s="9" t="s">
        <v>277</v>
      </c>
      <c r="C94" s="9" t="s">
        <v>287</v>
      </c>
      <c r="D94" s="10">
        <v>10458</v>
      </c>
      <c r="E94" s="10">
        <v>10119</v>
      </c>
      <c r="F94" s="10">
        <v>9224</v>
      </c>
      <c r="G94" s="9" t="s">
        <v>601</v>
      </c>
      <c r="H94" s="11">
        <v>0.9055268693822911</v>
      </c>
      <c r="I94" s="11">
        <v>0.86756550009562061</v>
      </c>
      <c r="J94" s="9" t="s">
        <v>602</v>
      </c>
      <c r="K94" s="11">
        <v>0.26227888131238258</v>
      </c>
      <c r="L94" s="11">
        <v>8.0640379484138741E-2</v>
      </c>
      <c r="M94" s="9" t="s">
        <v>603</v>
      </c>
      <c r="N94" s="11">
        <v>0.49154379878577631</v>
      </c>
      <c r="O94" s="11">
        <v>0.3150477016478751</v>
      </c>
      <c r="P94" s="12">
        <v>-0.41089999999999999</v>
      </c>
      <c r="Q94" s="9" t="s">
        <v>73</v>
      </c>
      <c r="R94" s="12">
        <v>0.45390000000000003</v>
      </c>
      <c r="S94" s="9" t="s">
        <v>75</v>
      </c>
      <c r="T94" s="12">
        <v>3.5099999999999999E-2</v>
      </c>
      <c r="U94" s="12">
        <v>0.3</v>
      </c>
      <c r="V94" s="9" t="s">
        <v>412</v>
      </c>
      <c r="W94" s="9" t="s">
        <v>604</v>
      </c>
      <c r="X94" s="9" t="s">
        <v>638</v>
      </c>
      <c r="Y94" s="9" t="s">
        <v>639</v>
      </c>
      <c r="Z94" s="9" t="s">
        <v>640</v>
      </c>
      <c r="AA94" s="9" t="s">
        <v>614</v>
      </c>
      <c r="AB94" s="11">
        <v>0.32822187992256202</v>
      </c>
      <c r="AC94" s="11">
        <v>0.20091711551454089</v>
      </c>
      <c r="AD94" s="11">
        <v>0.19147227168792019</v>
      </c>
      <c r="AE94" s="11">
        <v>8.7585787147038033E-2</v>
      </c>
      <c r="AF94" s="11">
        <v>0.19180294572793891</v>
      </c>
      <c r="AG94" s="9" t="str">
        <f t="shared" si="3"/>
        <v>Protección y orden cotidiano</v>
      </c>
      <c r="AH94" s="9" t="s">
        <v>615</v>
      </c>
      <c r="AI94" s="9"/>
      <c r="AJ94" s="9" t="str">
        <f t="shared" si="4"/>
        <v>Protección y orden cotidiano</v>
      </c>
      <c r="AK94" s="9" t="str">
        <f>IFERROR(INDEX('[3]02_Arquetipos_Miedo_Sesgo'!$C$5:$C$9,MATCH(AJ94,'[3]02_Arquetipos_Miedo_Sesgo'!$A$5:$A$9,0)),"")</f>
        <v>Miedo a la inseguridad, al descontrol barrial y a perder la tranquilidad cotidiana.</v>
      </c>
      <c r="AL94" s="9" t="str">
        <f>IFERROR(INDEX('[3]02_Arquetipos_Miedo_Sesgo'!$D$5:$D$9,MATCH(AJ94,'[3]02_Arquetipos_Miedo_Sesgo'!$A$5:$A$9,0)),"")</f>
        <v>Sesgo de disponibilidad + sesgo de negatividad + preferencia por autoridad.</v>
      </c>
      <c r="AM94" s="9" t="str">
        <f>IFERROR(INDEX('[3]02_Arquetipos_Miedo_Sesgo'!$E$5:$E$9,MATCH(AJ94,'[3]02_Arquetipos_Miedo_Sesgo'!$A$5:$A$9,0)),"")</f>
        <v>Seguridad, convivencia, movilidad, alumbrado, reacción institucional rápida, presencia de autoridad.</v>
      </c>
      <c r="AN94" s="9" t="str">
        <f t="shared" si="5"/>
        <v>Sin clasificar</v>
      </c>
      <c r="AO94" s="9" t="s">
        <v>608</v>
      </c>
    </row>
    <row r="95" spans="1:41" ht="43.2">
      <c r="A95" s="9" t="s">
        <v>288</v>
      </c>
      <c r="B95" s="9" t="s">
        <v>277</v>
      </c>
      <c r="C95" s="9" t="s">
        <v>289</v>
      </c>
      <c r="D95" s="10">
        <v>9671</v>
      </c>
      <c r="E95" s="10">
        <v>9270</v>
      </c>
      <c r="F95" s="10">
        <v>8450</v>
      </c>
      <c r="G95" s="9" t="s">
        <v>601</v>
      </c>
      <c r="H95" s="11">
        <v>0.84582773239582254</v>
      </c>
      <c r="I95" s="11">
        <v>0.77603143418467579</v>
      </c>
      <c r="J95" s="9" t="s">
        <v>602</v>
      </c>
      <c r="K95" s="11">
        <v>0.25221143473570662</v>
      </c>
      <c r="L95" s="11">
        <v>9.1370010787486494E-2</v>
      </c>
      <c r="M95" s="9" t="s">
        <v>603</v>
      </c>
      <c r="N95" s="11">
        <v>0.42650887573964502</v>
      </c>
      <c r="O95" s="11">
        <v>0.23360946745562131</v>
      </c>
      <c r="P95" s="12">
        <v>-0.41089999999999999</v>
      </c>
      <c r="Q95" s="9" t="s">
        <v>73</v>
      </c>
      <c r="R95" s="12">
        <v>0.45390000000000003</v>
      </c>
      <c r="S95" s="9" t="s">
        <v>75</v>
      </c>
      <c r="T95" s="12">
        <v>3.5099999999999999E-2</v>
      </c>
      <c r="U95" s="12">
        <v>0.3</v>
      </c>
      <c r="V95" s="9" t="s">
        <v>412</v>
      </c>
      <c r="W95" s="9" t="s">
        <v>604</v>
      </c>
      <c r="X95" s="9" t="s">
        <v>638</v>
      </c>
      <c r="Y95" s="9" t="s">
        <v>639</v>
      </c>
      <c r="Z95" s="9" t="s">
        <v>640</v>
      </c>
      <c r="AA95" s="9" t="s">
        <v>614</v>
      </c>
      <c r="AB95" s="11">
        <v>0.30733730256472019</v>
      </c>
      <c r="AC95" s="11">
        <v>0.20981810625313541</v>
      </c>
      <c r="AD95" s="11">
        <v>0.17546153661741509</v>
      </c>
      <c r="AE95" s="11">
        <v>0.11921782844255741</v>
      </c>
      <c r="AF95" s="11">
        <v>0.18816522612217201</v>
      </c>
      <c r="AG95" s="9" t="str">
        <f t="shared" si="3"/>
        <v>Protección y orden cotidiano</v>
      </c>
      <c r="AH95" s="9" t="s">
        <v>615</v>
      </c>
      <c r="AI95" s="9"/>
      <c r="AJ95" s="9" t="str">
        <f t="shared" si="4"/>
        <v>Protección y orden cotidiano</v>
      </c>
      <c r="AK95" s="9" t="str">
        <f>IFERROR(INDEX('[3]02_Arquetipos_Miedo_Sesgo'!$C$5:$C$9,MATCH(AJ95,'[3]02_Arquetipos_Miedo_Sesgo'!$A$5:$A$9,0)),"")</f>
        <v>Miedo a la inseguridad, al descontrol barrial y a perder la tranquilidad cotidiana.</v>
      </c>
      <c r="AL95" s="9" t="str">
        <f>IFERROR(INDEX('[3]02_Arquetipos_Miedo_Sesgo'!$D$5:$D$9,MATCH(AJ95,'[3]02_Arquetipos_Miedo_Sesgo'!$A$5:$A$9,0)),"")</f>
        <v>Sesgo de disponibilidad + sesgo de negatividad + preferencia por autoridad.</v>
      </c>
      <c r="AM95" s="9" t="str">
        <f>IFERROR(INDEX('[3]02_Arquetipos_Miedo_Sesgo'!$E$5:$E$9,MATCH(AJ95,'[3]02_Arquetipos_Miedo_Sesgo'!$A$5:$A$9,0)),"")</f>
        <v>Seguridad, convivencia, movilidad, alumbrado, reacción institucional rápida, presencia de autoridad.</v>
      </c>
      <c r="AN95" s="9" t="str">
        <f t="shared" si="5"/>
        <v>Sin clasificar</v>
      </c>
      <c r="AO95" s="9" t="s">
        <v>608</v>
      </c>
    </row>
    <row r="96" spans="1:41" ht="43.2">
      <c r="A96" s="9" t="s">
        <v>290</v>
      </c>
      <c r="B96" s="9" t="s">
        <v>277</v>
      </c>
      <c r="C96" s="9" t="s">
        <v>291</v>
      </c>
      <c r="D96" s="10">
        <v>6016</v>
      </c>
      <c r="E96" s="10">
        <v>5710</v>
      </c>
      <c r="F96" s="10">
        <v>4913</v>
      </c>
      <c r="G96" s="9" t="s">
        <v>601</v>
      </c>
      <c r="H96" s="11">
        <v>0.81233377659574468</v>
      </c>
      <c r="I96" s="11">
        <v>0.72473404255319152</v>
      </c>
      <c r="J96" s="9" t="s">
        <v>602</v>
      </c>
      <c r="K96" s="11">
        <v>0.24938704028021019</v>
      </c>
      <c r="L96" s="11">
        <v>0.1026269702276708</v>
      </c>
      <c r="M96" s="9" t="s">
        <v>603</v>
      </c>
      <c r="N96" s="11">
        <v>0.43069407693873402</v>
      </c>
      <c r="O96" s="11">
        <v>0.20069204152249129</v>
      </c>
      <c r="P96" s="12">
        <v>-0.41089999999999999</v>
      </c>
      <c r="Q96" s="9" t="s">
        <v>73</v>
      </c>
      <c r="R96" s="12">
        <v>0.45390000000000003</v>
      </c>
      <c r="S96" s="9" t="s">
        <v>75</v>
      </c>
      <c r="T96" s="12">
        <v>3.5099999999999999E-2</v>
      </c>
      <c r="U96" s="12">
        <v>0.3</v>
      </c>
      <c r="V96" s="9" t="s">
        <v>412</v>
      </c>
      <c r="W96" s="9" t="s">
        <v>604</v>
      </c>
      <c r="X96" s="9" t="s">
        <v>638</v>
      </c>
      <c r="Y96" s="9" t="s">
        <v>639</v>
      </c>
      <c r="Z96" s="9" t="s">
        <v>640</v>
      </c>
      <c r="AA96" s="9" t="s">
        <v>614</v>
      </c>
      <c r="AB96" s="11">
        <v>0.29476815915866739</v>
      </c>
      <c r="AC96" s="11">
        <v>0.2150091659753498</v>
      </c>
      <c r="AD96" s="11">
        <v>0.16940206255150969</v>
      </c>
      <c r="AE96" s="11">
        <v>0.1274827055240749</v>
      </c>
      <c r="AF96" s="11">
        <v>0.1933379067903982</v>
      </c>
      <c r="AG96" s="9" t="str">
        <f t="shared" si="3"/>
        <v>Protección y orden cotidiano</v>
      </c>
      <c r="AH96" s="9" t="s">
        <v>615</v>
      </c>
      <c r="AI96" s="9"/>
      <c r="AJ96" s="9" t="str">
        <f t="shared" si="4"/>
        <v>Protección y orden cotidiano</v>
      </c>
      <c r="AK96" s="9" t="str">
        <f>IFERROR(INDEX('[3]02_Arquetipos_Miedo_Sesgo'!$C$5:$C$9,MATCH(AJ96,'[3]02_Arquetipos_Miedo_Sesgo'!$A$5:$A$9,0)),"")</f>
        <v>Miedo a la inseguridad, al descontrol barrial y a perder la tranquilidad cotidiana.</v>
      </c>
      <c r="AL96" s="9" t="str">
        <f>IFERROR(INDEX('[3]02_Arquetipos_Miedo_Sesgo'!$D$5:$D$9,MATCH(AJ96,'[3]02_Arquetipos_Miedo_Sesgo'!$A$5:$A$9,0)),"")</f>
        <v>Sesgo de disponibilidad + sesgo de negatividad + preferencia por autoridad.</v>
      </c>
      <c r="AM96" s="9" t="str">
        <f>IFERROR(INDEX('[3]02_Arquetipos_Miedo_Sesgo'!$E$5:$E$9,MATCH(AJ96,'[3]02_Arquetipos_Miedo_Sesgo'!$A$5:$A$9,0)),"")</f>
        <v>Seguridad, convivencia, movilidad, alumbrado, reacción institucional rápida, presencia de autoridad.</v>
      </c>
      <c r="AN96" s="9" t="str">
        <f t="shared" si="5"/>
        <v>Sin clasificar</v>
      </c>
      <c r="AO96" s="9" t="s">
        <v>608</v>
      </c>
    </row>
    <row r="97" spans="1:41" ht="43.2">
      <c r="A97" s="9" t="s">
        <v>235</v>
      </c>
      <c r="B97" s="9" t="s">
        <v>236</v>
      </c>
      <c r="C97" s="9" t="s">
        <v>237</v>
      </c>
      <c r="D97" s="10">
        <v>4878</v>
      </c>
      <c r="E97" s="10">
        <v>4306</v>
      </c>
      <c r="F97" s="10">
        <v>3410</v>
      </c>
      <c r="G97" s="9" t="s">
        <v>601</v>
      </c>
      <c r="H97" s="11">
        <v>0.79048790487904874</v>
      </c>
      <c r="I97" s="11">
        <v>0.68942189421894218</v>
      </c>
      <c r="J97" s="9" t="s">
        <v>602</v>
      </c>
      <c r="K97" s="11">
        <v>0.28286112401300512</v>
      </c>
      <c r="L97" s="11">
        <v>0.13516024152345571</v>
      </c>
      <c r="M97" s="9" t="s">
        <v>603</v>
      </c>
      <c r="N97" s="11">
        <v>0.38973607038123159</v>
      </c>
      <c r="O97" s="11">
        <v>0.19618768328445749</v>
      </c>
      <c r="P97" s="12">
        <v>-0.41089999999999999</v>
      </c>
      <c r="Q97" s="9" t="s">
        <v>73</v>
      </c>
      <c r="R97" s="12">
        <v>0.45390000000000003</v>
      </c>
      <c r="S97" s="9" t="s">
        <v>75</v>
      </c>
      <c r="T97" s="12">
        <v>3.5099999999999999E-2</v>
      </c>
      <c r="U97" s="12">
        <v>0.3</v>
      </c>
      <c r="V97" s="9" t="s">
        <v>412</v>
      </c>
      <c r="W97" s="9" t="s">
        <v>604</v>
      </c>
      <c r="X97" s="9" t="s">
        <v>60</v>
      </c>
      <c r="Y97" s="9" t="s">
        <v>639</v>
      </c>
      <c r="Z97" s="9" t="s">
        <v>641</v>
      </c>
      <c r="AA97" s="9" t="s">
        <v>614</v>
      </c>
      <c r="AB97" s="11">
        <v>0.27460616596822812</v>
      </c>
      <c r="AC97" s="11">
        <v>0.20928788659675451</v>
      </c>
      <c r="AD97" s="11">
        <v>0.1602430008167931</v>
      </c>
      <c r="AE97" s="11">
        <v>0.18209142639414749</v>
      </c>
      <c r="AF97" s="11">
        <v>0.17377152022407669</v>
      </c>
      <c r="AG97" s="9" t="str">
        <f t="shared" si="3"/>
        <v>Protección y orden cotidiano</v>
      </c>
      <c r="AH97" s="9" t="s">
        <v>615</v>
      </c>
      <c r="AI97" s="9"/>
      <c r="AJ97" s="9" t="str">
        <f t="shared" si="4"/>
        <v>Protección y orden cotidiano</v>
      </c>
      <c r="AK97" s="9" t="str">
        <f>IFERROR(INDEX('[3]02_Arquetipos_Miedo_Sesgo'!$C$5:$C$9,MATCH(AJ97,'[3]02_Arquetipos_Miedo_Sesgo'!$A$5:$A$9,0)),"")</f>
        <v>Miedo a la inseguridad, al descontrol barrial y a perder la tranquilidad cotidiana.</v>
      </c>
      <c r="AL97" s="9" t="str">
        <f>IFERROR(INDEX('[3]02_Arquetipos_Miedo_Sesgo'!$D$5:$D$9,MATCH(AJ97,'[3]02_Arquetipos_Miedo_Sesgo'!$A$5:$A$9,0)),"")</f>
        <v>Sesgo de disponibilidad + sesgo de negatividad + preferencia por autoridad.</v>
      </c>
      <c r="AM97" s="9" t="str">
        <f>IFERROR(INDEX('[3]02_Arquetipos_Miedo_Sesgo'!$E$5:$E$9,MATCH(AJ97,'[3]02_Arquetipos_Miedo_Sesgo'!$A$5:$A$9,0)),"")</f>
        <v>Seguridad, convivencia, movilidad, alumbrado, reacción institucional rápida, presencia de autoridad.</v>
      </c>
      <c r="AN97" s="9" t="str">
        <f t="shared" si="5"/>
        <v>Alta</v>
      </c>
      <c r="AO97" s="9" t="s">
        <v>608</v>
      </c>
    </row>
    <row r="98" spans="1:41" ht="43.2">
      <c r="A98" s="9" t="s">
        <v>642</v>
      </c>
      <c r="B98" s="9" t="s">
        <v>236</v>
      </c>
      <c r="C98" s="9" t="s">
        <v>643</v>
      </c>
      <c r="D98" s="10">
        <v>2260</v>
      </c>
      <c r="E98" s="10">
        <v>2076</v>
      </c>
      <c r="F98" s="10">
        <v>1752</v>
      </c>
      <c r="G98" s="9" t="s">
        <v>601</v>
      </c>
      <c r="H98" s="11">
        <v>0.75663716814159288</v>
      </c>
      <c r="I98" s="11">
        <v>0.62787610619469025</v>
      </c>
      <c r="J98" s="9" t="s">
        <v>602</v>
      </c>
      <c r="K98" s="11">
        <v>0.29190751445086699</v>
      </c>
      <c r="L98" s="11">
        <v>0.15944123314065509</v>
      </c>
      <c r="M98" s="9" t="s">
        <v>603</v>
      </c>
      <c r="N98" s="11">
        <v>0.39611872146118721</v>
      </c>
      <c r="O98" s="11">
        <v>0.2180365296803653</v>
      </c>
      <c r="P98" s="12">
        <v>-0.41089999999999999</v>
      </c>
      <c r="Q98" s="9" t="s">
        <v>73</v>
      </c>
      <c r="R98" s="12">
        <v>0.45390000000000003</v>
      </c>
      <c r="S98" s="9" t="s">
        <v>75</v>
      </c>
      <c r="T98" s="12">
        <v>3.5099999999999999E-2</v>
      </c>
      <c r="U98" s="12">
        <v>0.3</v>
      </c>
      <c r="V98" s="9" t="s">
        <v>412</v>
      </c>
      <c r="W98" s="9" t="s">
        <v>604</v>
      </c>
      <c r="X98" s="9" t="s">
        <v>60</v>
      </c>
      <c r="Y98" s="9" t="s">
        <v>639</v>
      </c>
      <c r="Z98" s="9" t="s">
        <v>641</v>
      </c>
      <c r="AA98" s="9" t="s">
        <v>614</v>
      </c>
      <c r="AB98" s="11">
        <v>0.27679202052758373</v>
      </c>
      <c r="AC98" s="11">
        <v>0.22109715604715671</v>
      </c>
      <c r="AD98" s="11">
        <v>0.1758565357130682</v>
      </c>
      <c r="AE98" s="11">
        <v>0.14527815519070331</v>
      </c>
      <c r="AF98" s="11">
        <v>0.18097613252148809</v>
      </c>
      <c r="AG98" s="9" t="str">
        <f t="shared" si="3"/>
        <v>Protección y orden cotidiano</v>
      </c>
      <c r="AH98" s="9" t="s">
        <v>615</v>
      </c>
      <c r="AI98" s="9"/>
      <c r="AJ98" s="9" t="str">
        <f t="shared" si="4"/>
        <v>Protección y orden cotidiano</v>
      </c>
      <c r="AK98" s="9" t="str">
        <f>IFERROR(INDEX('[3]02_Arquetipos_Miedo_Sesgo'!$C$5:$C$9,MATCH(AJ98,'[3]02_Arquetipos_Miedo_Sesgo'!$A$5:$A$9,0)),"")</f>
        <v>Miedo a la inseguridad, al descontrol barrial y a perder la tranquilidad cotidiana.</v>
      </c>
      <c r="AL98" s="9" t="str">
        <f>IFERROR(INDEX('[3]02_Arquetipos_Miedo_Sesgo'!$D$5:$D$9,MATCH(AJ98,'[3]02_Arquetipos_Miedo_Sesgo'!$A$5:$A$9,0)),"")</f>
        <v>Sesgo de disponibilidad + sesgo de negatividad + preferencia por autoridad.</v>
      </c>
      <c r="AM98" s="9" t="str">
        <f>IFERROR(INDEX('[3]02_Arquetipos_Miedo_Sesgo'!$E$5:$E$9,MATCH(AJ98,'[3]02_Arquetipos_Miedo_Sesgo'!$A$5:$A$9,0)),"")</f>
        <v>Seguridad, convivencia, movilidad, alumbrado, reacción institucional rápida, presencia de autoridad.</v>
      </c>
      <c r="AN98" s="9" t="str">
        <f t="shared" si="5"/>
        <v>Alta</v>
      </c>
      <c r="AO98" s="9" t="s">
        <v>608</v>
      </c>
    </row>
    <row r="99" spans="1:41" ht="43.2">
      <c r="A99" s="9" t="s">
        <v>242</v>
      </c>
      <c r="B99" s="9" t="s">
        <v>236</v>
      </c>
      <c r="C99" s="9" t="s">
        <v>236</v>
      </c>
      <c r="D99" s="10">
        <v>2038</v>
      </c>
      <c r="E99" s="10">
        <v>1905</v>
      </c>
      <c r="F99" s="10">
        <v>1602</v>
      </c>
      <c r="G99" s="9" t="s">
        <v>601</v>
      </c>
      <c r="H99" s="11">
        <v>0.79685966633954852</v>
      </c>
      <c r="I99" s="11">
        <v>0.71246319921491652</v>
      </c>
      <c r="J99" s="9" t="s">
        <v>602</v>
      </c>
      <c r="K99" s="11">
        <v>0.2551181102362205</v>
      </c>
      <c r="L99" s="11">
        <v>8.9238845144356982E-2</v>
      </c>
      <c r="M99" s="9" t="s">
        <v>603</v>
      </c>
      <c r="N99" s="11">
        <v>0.37390761548064921</v>
      </c>
      <c r="O99" s="11">
        <v>0.1248439450686642</v>
      </c>
      <c r="P99" s="12">
        <v>-0.41089999999999999</v>
      </c>
      <c r="Q99" s="9" t="s">
        <v>73</v>
      </c>
      <c r="R99" s="12">
        <v>0.45390000000000003</v>
      </c>
      <c r="S99" s="9" t="s">
        <v>75</v>
      </c>
      <c r="T99" s="12">
        <v>3.5099999999999999E-2</v>
      </c>
      <c r="U99" s="12">
        <v>0.3</v>
      </c>
      <c r="V99" s="9" t="s">
        <v>412</v>
      </c>
      <c r="W99" s="9" t="s">
        <v>604</v>
      </c>
      <c r="X99" s="9" t="s">
        <v>60</v>
      </c>
      <c r="Y99" s="9" t="s">
        <v>639</v>
      </c>
      <c r="Z99" s="9" t="s">
        <v>641</v>
      </c>
      <c r="AA99" s="9" t="s">
        <v>614</v>
      </c>
      <c r="AB99" s="11">
        <v>0.29583641615600248</v>
      </c>
      <c r="AC99" s="11">
        <v>0.22269203632465509</v>
      </c>
      <c r="AD99" s="11">
        <v>0.15266475050133241</v>
      </c>
      <c r="AE99" s="11">
        <v>0.14025338186670819</v>
      </c>
      <c r="AF99" s="11">
        <v>0.1885534151513017</v>
      </c>
      <c r="AG99" s="9" t="str">
        <f t="shared" si="3"/>
        <v>Protección y orden cotidiano</v>
      </c>
      <c r="AH99" s="9" t="s">
        <v>615</v>
      </c>
      <c r="AI99" s="9"/>
      <c r="AJ99" s="9" t="str">
        <f t="shared" si="4"/>
        <v>Protección y orden cotidiano</v>
      </c>
      <c r="AK99" s="9" t="str">
        <f>IFERROR(INDEX('[3]02_Arquetipos_Miedo_Sesgo'!$C$5:$C$9,MATCH(AJ99,'[3]02_Arquetipos_Miedo_Sesgo'!$A$5:$A$9,0)),"")</f>
        <v>Miedo a la inseguridad, al descontrol barrial y a perder la tranquilidad cotidiana.</v>
      </c>
      <c r="AL99" s="9" t="str">
        <f>IFERROR(INDEX('[3]02_Arquetipos_Miedo_Sesgo'!$D$5:$D$9,MATCH(AJ99,'[3]02_Arquetipos_Miedo_Sesgo'!$A$5:$A$9,0)),"")</f>
        <v>Sesgo de disponibilidad + sesgo de negatividad + preferencia por autoridad.</v>
      </c>
      <c r="AM99" s="9" t="str">
        <f>IFERROR(INDEX('[3]02_Arquetipos_Miedo_Sesgo'!$E$5:$E$9,MATCH(AJ99,'[3]02_Arquetipos_Miedo_Sesgo'!$A$5:$A$9,0)),"")</f>
        <v>Seguridad, convivencia, movilidad, alumbrado, reacción institucional rápida, presencia de autoridad.</v>
      </c>
      <c r="AN99" s="9" t="str">
        <f t="shared" si="5"/>
        <v>Alta</v>
      </c>
      <c r="AO99" s="9" t="s">
        <v>608</v>
      </c>
    </row>
    <row r="100" spans="1:41" ht="43.2">
      <c r="A100" s="9" t="s">
        <v>243</v>
      </c>
      <c r="B100" s="9" t="s">
        <v>236</v>
      </c>
      <c r="C100" s="9" t="s">
        <v>244</v>
      </c>
      <c r="D100" s="10">
        <v>14673</v>
      </c>
      <c r="E100" s="10">
        <v>13923</v>
      </c>
      <c r="F100" s="10">
        <v>11957</v>
      </c>
      <c r="G100" s="9" t="s">
        <v>601</v>
      </c>
      <c r="H100" s="11">
        <v>0.80999114018946361</v>
      </c>
      <c r="I100" s="11">
        <v>0.72432358754174331</v>
      </c>
      <c r="J100" s="9" t="s">
        <v>602</v>
      </c>
      <c r="K100" s="11">
        <v>0.25210084033613439</v>
      </c>
      <c r="L100" s="11">
        <v>8.4177260647848889E-2</v>
      </c>
      <c r="M100" s="9" t="s">
        <v>603</v>
      </c>
      <c r="N100" s="11">
        <v>0.4064564690139667</v>
      </c>
      <c r="O100" s="11">
        <v>0.2076607844777118</v>
      </c>
      <c r="P100" s="12">
        <v>-0.41089999999999999</v>
      </c>
      <c r="Q100" s="9" t="s">
        <v>73</v>
      </c>
      <c r="R100" s="12">
        <v>0.45390000000000003</v>
      </c>
      <c r="S100" s="9" t="s">
        <v>75</v>
      </c>
      <c r="T100" s="12">
        <v>3.5099999999999999E-2</v>
      </c>
      <c r="U100" s="12">
        <v>0.3</v>
      </c>
      <c r="V100" s="9" t="s">
        <v>412</v>
      </c>
      <c r="W100" s="9" t="s">
        <v>604</v>
      </c>
      <c r="X100" s="9" t="s">
        <v>60</v>
      </c>
      <c r="Y100" s="9" t="s">
        <v>639</v>
      </c>
      <c r="Z100" s="9" t="s">
        <v>641</v>
      </c>
      <c r="AA100" s="9" t="s">
        <v>614</v>
      </c>
      <c r="AB100" s="11">
        <v>0.2957428403604111</v>
      </c>
      <c r="AC100" s="11">
        <v>0.21827949754231829</v>
      </c>
      <c r="AD100" s="11">
        <v>0.1698320878735339</v>
      </c>
      <c r="AE100" s="11">
        <v>0.1272659027358953</v>
      </c>
      <c r="AF100" s="11">
        <v>0.18887967148784149</v>
      </c>
      <c r="AG100" s="9" t="str">
        <f t="shared" si="3"/>
        <v>Protección y orden cotidiano</v>
      </c>
      <c r="AH100" s="9" t="s">
        <v>615</v>
      </c>
      <c r="AI100" s="9"/>
      <c r="AJ100" s="9" t="str">
        <f t="shared" si="4"/>
        <v>Protección y orden cotidiano</v>
      </c>
      <c r="AK100" s="9" t="str">
        <f>IFERROR(INDEX('[3]02_Arquetipos_Miedo_Sesgo'!$C$5:$C$9,MATCH(AJ100,'[3]02_Arquetipos_Miedo_Sesgo'!$A$5:$A$9,0)),"")</f>
        <v>Miedo a la inseguridad, al descontrol barrial y a perder la tranquilidad cotidiana.</v>
      </c>
      <c r="AL100" s="9" t="str">
        <f>IFERROR(INDEX('[3]02_Arquetipos_Miedo_Sesgo'!$D$5:$D$9,MATCH(AJ100,'[3]02_Arquetipos_Miedo_Sesgo'!$A$5:$A$9,0)),"")</f>
        <v>Sesgo de disponibilidad + sesgo de negatividad + preferencia por autoridad.</v>
      </c>
      <c r="AM100" s="9" t="str">
        <f>IFERROR(INDEX('[3]02_Arquetipos_Miedo_Sesgo'!$E$5:$E$9,MATCH(AJ100,'[3]02_Arquetipos_Miedo_Sesgo'!$A$5:$A$9,0)),"")</f>
        <v>Seguridad, convivencia, movilidad, alumbrado, reacción institucional rápida, presencia de autoridad.</v>
      </c>
      <c r="AN100" s="9" t="str">
        <f t="shared" si="5"/>
        <v>Alta</v>
      </c>
      <c r="AO100" s="9" t="s">
        <v>608</v>
      </c>
    </row>
    <row r="101" spans="1:41" ht="43.2">
      <c r="A101" s="9" t="s">
        <v>245</v>
      </c>
      <c r="B101" s="9" t="s">
        <v>236</v>
      </c>
      <c r="C101" s="9" t="s">
        <v>246</v>
      </c>
      <c r="D101" s="10">
        <v>8535</v>
      </c>
      <c r="E101" s="10">
        <v>7787</v>
      </c>
      <c r="F101" s="10">
        <v>6688</v>
      </c>
      <c r="G101" s="9" t="s">
        <v>601</v>
      </c>
      <c r="H101" s="11">
        <v>0.80281195079086121</v>
      </c>
      <c r="I101" s="11">
        <v>0.7087287639132982</v>
      </c>
      <c r="J101" s="9" t="s">
        <v>602</v>
      </c>
      <c r="K101" s="11">
        <v>0.24759214074739949</v>
      </c>
      <c r="L101" s="11">
        <v>7.7565172723770393E-2</v>
      </c>
      <c r="M101" s="9" t="s">
        <v>603</v>
      </c>
      <c r="N101" s="11">
        <v>0.33791866028708128</v>
      </c>
      <c r="O101" s="11">
        <v>0.14249401913875601</v>
      </c>
      <c r="P101" s="12">
        <v>-0.41089999999999999</v>
      </c>
      <c r="Q101" s="9" t="s">
        <v>73</v>
      </c>
      <c r="R101" s="12">
        <v>0.45390000000000003</v>
      </c>
      <c r="S101" s="9" t="s">
        <v>75</v>
      </c>
      <c r="T101" s="12">
        <v>3.5099999999999999E-2</v>
      </c>
      <c r="U101" s="12">
        <v>0.3</v>
      </c>
      <c r="V101" s="9" t="s">
        <v>412</v>
      </c>
      <c r="W101" s="9" t="s">
        <v>604</v>
      </c>
      <c r="X101" s="9" t="s">
        <v>60</v>
      </c>
      <c r="Y101" s="9" t="s">
        <v>639</v>
      </c>
      <c r="Z101" s="9" t="s">
        <v>641</v>
      </c>
      <c r="AA101" s="9" t="s">
        <v>614</v>
      </c>
      <c r="AB101" s="11">
        <v>0.28088164390321302</v>
      </c>
      <c r="AC101" s="11">
        <v>0.22223860779866289</v>
      </c>
      <c r="AD101" s="11">
        <v>0.15067637776330139</v>
      </c>
      <c r="AE101" s="11">
        <v>0.16342773157645071</v>
      </c>
      <c r="AF101" s="11">
        <v>0.18277563895837209</v>
      </c>
      <c r="AG101" s="9" t="str">
        <f t="shared" si="3"/>
        <v>Protección y orden cotidiano</v>
      </c>
      <c r="AH101" s="9" t="s">
        <v>615</v>
      </c>
      <c r="AI101" s="9"/>
      <c r="AJ101" s="9" t="str">
        <f t="shared" si="4"/>
        <v>Protección y orden cotidiano</v>
      </c>
      <c r="AK101" s="9" t="str">
        <f>IFERROR(INDEX('[3]02_Arquetipos_Miedo_Sesgo'!$C$5:$C$9,MATCH(AJ101,'[3]02_Arquetipos_Miedo_Sesgo'!$A$5:$A$9,0)),"")</f>
        <v>Miedo a la inseguridad, al descontrol barrial y a perder la tranquilidad cotidiana.</v>
      </c>
      <c r="AL101" s="9" t="str">
        <f>IFERROR(INDEX('[3]02_Arquetipos_Miedo_Sesgo'!$D$5:$D$9,MATCH(AJ101,'[3]02_Arquetipos_Miedo_Sesgo'!$A$5:$A$9,0)),"")</f>
        <v>Sesgo de disponibilidad + sesgo de negatividad + preferencia por autoridad.</v>
      </c>
      <c r="AM101" s="9" t="str">
        <f>IFERROR(INDEX('[3]02_Arquetipos_Miedo_Sesgo'!$E$5:$E$9,MATCH(AJ101,'[3]02_Arquetipos_Miedo_Sesgo'!$A$5:$A$9,0)),"")</f>
        <v>Seguridad, convivencia, movilidad, alumbrado, reacción institucional rápida, presencia de autoridad.</v>
      </c>
      <c r="AN101" s="9" t="str">
        <f t="shared" si="5"/>
        <v>Alta</v>
      </c>
      <c r="AO101" s="9" t="s">
        <v>608</v>
      </c>
    </row>
    <row r="102" spans="1:41" ht="43.2">
      <c r="A102" s="9" t="s">
        <v>247</v>
      </c>
      <c r="B102" s="9" t="s">
        <v>236</v>
      </c>
      <c r="C102" s="9" t="s">
        <v>248</v>
      </c>
      <c r="D102" s="10">
        <v>1166</v>
      </c>
      <c r="E102" s="10">
        <v>1050</v>
      </c>
      <c r="F102" s="10">
        <v>890</v>
      </c>
      <c r="G102" s="9" t="s">
        <v>601</v>
      </c>
      <c r="H102" s="11">
        <v>0.73670668953687823</v>
      </c>
      <c r="I102" s="11">
        <v>0.59176672384219553</v>
      </c>
      <c r="J102" s="9" t="s">
        <v>602</v>
      </c>
      <c r="K102" s="11">
        <v>0.27333333333333332</v>
      </c>
      <c r="L102" s="11">
        <v>0.12</v>
      </c>
      <c r="M102" s="9" t="s">
        <v>603</v>
      </c>
      <c r="N102" s="11">
        <v>0.37977528089887641</v>
      </c>
      <c r="O102" s="11">
        <v>0.18202247191011239</v>
      </c>
      <c r="P102" s="12">
        <v>-0.41089999999999999</v>
      </c>
      <c r="Q102" s="9" t="s">
        <v>73</v>
      </c>
      <c r="R102" s="12">
        <v>0.45390000000000003</v>
      </c>
      <c r="S102" s="9" t="s">
        <v>75</v>
      </c>
      <c r="T102" s="12">
        <v>3.5099999999999999E-2</v>
      </c>
      <c r="U102" s="12">
        <v>0.3</v>
      </c>
      <c r="V102" s="9" t="s">
        <v>412</v>
      </c>
      <c r="W102" s="9" t="s">
        <v>604</v>
      </c>
      <c r="X102" s="9" t="s">
        <v>60</v>
      </c>
      <c r="Y102" s="9" t="s">
        <v>639</v>
      </c>
      <c r="Z102" s="9" t="s">
        <v>641</v>
      </c>
      <c r="AA102" s="9" t="s">
        <v>614</v>
      </c>
      <c r="AB102" s="11">
        <v>0.26302824785320061</v>
      </c>
      <c r="AC102" s="11">
        <v>0.22299656993884859</v>
      </c>
      <c r="AD102" s="11">
        <v>0.16154640438969489</v>
      </c>
      <c r="AE102" s="11">
        <v>0.17678172112302371</v>
      </c>
      <c r="AF102" s="11">
        <v>0.17564705669523251</v>
      </c>
      <c r="AG102" s="9" t="str">
        <f t="shared" si="3"/>
        <v>Protección y orden cotidiano</v>
      </c>
      <c r="AH102" s="9" t="s">
        <v>615</v>
      </c>
      <c r="AI102" s="9"/>
      <c r="AJ102" s="9" t="str">
        <f t="shared" si="4"/>
        <v>Protección y orden cotidiano</v>
      </c>
      <c r="AK102" s="9" t="str">
        <f>IFERROR(INDEX('[3]02_Arquetipos_Miedo_Sesgo'!$C$5:$C$9,MATCH(AJ102,'[3]02_Arquetipos_Miedo_Sesgo'!$A$5:$A$9,0)),"")</f>
        <v>Miedo a la inseguridad, al descontrol barrial y a perder la tranquilidad cotidiana.</v>
      </c>
      <c r="AL102" s="9" t="str">
        <f>IFERROR(INDEX('[3]02_Arquetipos_Miedo_Sesgo'!$D$5:$D$9,MATCH(AJ102,'[3]02_Arquetipos_Miedo_Sesgo'!$A$5:$A$9,0)),"")</f>
        <v>Sesgo de disponibilidad + sesgo de negatividad + preferencia por autoridad.</v>
      </c>
      <c r="AM102" s="9" t="str">
        <f>IFERROR(INDEX('[3]02_Arquetipos_Miedo_Sesgo'!$E$5:$E$9,MATCH(AJ102,'[3]02_Arquetipos_Miedo_Sesgo'!$A$5:$A$9,0)),"")</f>
        <v>Seguridad, convivencia, movilidad, alumbrado, reacción institucional rápida, presencia de autoridad.</v>
      </c>
      <c r="AN102" s="9" t="str">
        <f t="shared" si="5"/>
        <v>Alta</v>
      </c>
      <c r="AO102" s="9" t="s">
        <v>608</v>
      </c>
    </row>
    <row r="103" spans="1:41" ht="43.2">
      <c r="A103" s="9" t="s">
        <v>249</v>
      </c>
      <c r="B103" s="9" t="s">
        <v>236</v>
      </c>
      <c r="C103" s="9" t="s">
        <v>250</v>
      </c>
      <c r="D103" s="10">
        <v>1771</v>
      </c>
      <c r="E103" s="10">
        <v>1605</v>
      </c>
      <c r="F103" s="10">
        <v>1355</v>
      </c>
      <c r="G103" s="9" t="s">
        <v>601</v>
      </c>
      <c r="H103" s="11">
        <v>0.784867306606437</v>
      </c>
      <c r="I103" s="11">
        <v>0.67871259175607002</v>
      </c>
      <c r="J103" s="9" t="s">
        <v>602</v>
      </c>
      <c r="K103" s="11">
        <v>0.3115264797507788</v>
      </c>
      <c r="L103" s="11">
        <v>0.14143302180685349</v>
      </c>
      <c r="M103" s="9" t="s">
        <v>603</v>
      </c>
      <c r="N103" s="11">
        <v>0.37195571955719559</v>
      </c>
      <c r="O103" s="11">
        <v>0.1476014760147602</v>
      </c>
      <c r="P103" s="12">
        <v>-0.41089999999999999</v>
      </c>
      <c r="Q103" s="9" t="s">
        <v>73</v>
      </c>
      <c r="R103" s="12">
        <v>0.45390000000000003</v>
      </c>
      <c r="S103" s="9" t="s">
        <v>75</v>
      </c>
      <c r="T103" s="12">
        <v>3.5099999999999999E-2</v>
      </c>
      <c r="U103" s="12">
        <v>0.3</v>
      </c>
      <c r="V103" s="9" t="s">
        <v>412</v>
      </c>
      <c r="W103" s="9" t="s">
        <v>604</v>
      </c>
      <c r="X103" s="9" t="s">
        <v>60</v>
      </c>
      <c r="Y103" s="9" t="s">
        <v>639</v>
      </c>
      <c r="Z103" s="9" t="s">
        <v>641</v>
      </c>
      <c r="AA103" s="9" t="s">
        <v>614</v>
      </c>
      <c r="AB103" s="11">
        <v>0.29342821556481308</v>
      </c>
      <c r="AC103" s="11">
        <v>0.2258016280223856</v>
      </c>
      <c r="AD103" s="11">
        <v>0.15770649082866089</v>
      </c>
      <c r="AE103" s="11">
        <v>0.14620268879876669</v>
      </c>
      <c r="AF103" s="11">
        <v>0.1768609767853736</v>
      </c>
      <c r="AG103" s="9" t="str">
        <f t="shared" si="3"/>
        <v>Protección y orden cotidiano</v>
      </c>
      <c r="AH103" s="9" t="s">
        <v>615</v>
      </c>
      <c r="AI103" s="9"/>
      <c r="AJ103" s="9" t="str">
        <f t="shared" si="4"/>
        <v>Protección y orden cotidiano</v>
      </c>
      <c r="AK103" s="9" t="str">
        <f>IFERROR(INDEX('[3]02_Arquetipos_Miedo_Sesgo'!$C$5:$C$9,MATCH(AJ103,'[3]02_Arquetipos_Miedo_Sesgo'!$A$5:$A$9,0)),"")</f>
        <v>Miedo a la inseguridad, al descontrol barrial y a perder la tranquilidad cotidiana.</v>
      </c>
      <c r="AL103" s="9" t="str">
        <f>IFERROR(INDEX('[3]02_Arquetipos_Miedo_Sesgo'!$D$5:$D$9,MATCH(AJ103,'[3]02_Arquetipos_Miedo_Sesgo'!$A$5:$A$9,0)),"")</f>
        <v>Sesgo de disponibilidad + sesgo de negatividad + preferencia por autoridad.</v>
      </c>
      <c r="AM103" s="9" t="str">
        <f>IFERROR(INDEX('[3]02_Arquetipos_Miedo_Sesgo'!$E$5:$E$9,MATCH(AJ103,'[3]02_Arquetipos_Miedo_Sesgo'!$A$5:$A$9,0)),"")</f>
        <v>Seguridad, convivencia, movilidad, alumbrado, reacción institucional rápida, presencia de autoridad.</v>
      </c>
      <c r="AN103" s="9" t="str">
        <f t="shared" si="5"/>
        <v>Alta</v>
      </c>
      <c r="AO103" s="9" t="s">
        <v>608</v>
      </c>
    </row>
    <row r="104" spans="1:41" ht="43.2">
      <c r="A104" s="9" t="s">
        <v>251</v>
      </c>
      <c r="B104" s="9" t="s">
        <v>236</v>
      </c>
      <c r="C104" s="9" t="s">
        <v>252</v>
      </c>
      <c r="D104" s="10">
        <v>12058</v>
      </c>
      <c r="E104" s="10">
        <v>11206</v>
      </c>
      <c r="F104" s="10">
        <v>9897</v>
      </c>
      <c r="G104" s="9" t="s">
        <v>601</v>
      </c>
      <c r="H104" s="11">
        <v>0.84972632277326254</v>
      </c>
      <c r="I104" s="11">
        <v>0.77998009620169184</v>
      </c>
      <c r="J104" s="9" t="s">
        <v>602</v>
      </c>
      <c r="K104" s="11">
        <v>0.24709976798143851</v>
      </c>
      <c r="L104" s="11">
        <v>6.7999286096733891E-2</v>
      </c>
      <c r="M104" s="9" t="s">
        <v>603</v>
      </c>
      <c r="N104" s="11">
        <v>0.34030514297261799</v>
      </c>
      <c r="O104" s="11">
        <v>8.5581489340204153E-2</v>
      </c>
      <c r="P104" s="12">
        <v>-0.41089999999999999</v>
      </c>
      <c r="Q104" s="9" t="s">
        <v>73</v>
      </c>
      <c r="R104" s="12">
        <v>0.45390000000000003</v>
      </c>
      <c r="S104" s="9" t="s">
        <v>75</v>
      </c>
      <c r="T104" s="12">
        <v>3.5099999999999999E-2</v>
      </c>
      <c r="U104" s="12">
        <v>0.3</v>
      </c>
      <c r="V104" s="9" t="s">
        <v>412</v>
      </c>
      <c r="W104" s="9" t="s">
        <v>604</v>
      </c>
      <c r="X104" s="9" t="s">
        <v>60</v>
      </c>
      <c r="Y104" s="9" t="s">
        <v>639</v>
      </c>
      <c r="Z104" s="9" t="s">
        <v>641</v>
      </c>
      <c r="AA104" s="9" t="s">
        <v>614</v>
      </c>
      <c r="AB104" s="11">
        <v>0.31894074847756548</v>
      </c>
      <c r="AC104" s="11">
        <v>0.22375457317684089</v>
      </c>
      <c r="AD104" s="11">
        <v>0.14259674768997571</v>
      </c>
      <c r="AE104" s="11">
        <v>0.13274526820863711</v>
      </c>
      <c r="AF104" s="11">
        <v>0.18196266244698089</v>
      </c>
      <c r="AG104" s="9" t="str">
        <f t="shared" si="3"/>
        <v>Protección y orden cotidiano</v>
      </c>
      <c r="AH104" s="9" t="s">
        <v>615</v>
      </c>
      <c r="AI104" s="9"/>
      <c r="AJ104" s="9" t="str">
        <f t="shared" si="4"/>
        <v>Protección y orden cotidiano</v>
      </c>
      <c r="AK104" s="9" t="str">
        <f>IFERROR(INDEX('[3]02_Arquetipos_Miedo_Sesgo'!$C$5:$C$9,MATCH(AJ104,'[3]02_Arquetipos_Miedo_Sesgo'!$A$5:$A$9,0)),"")</f>
        <v>Miedo a la inseguridad, al descontrol barrial y a perder la tranquilidad cotidiana.</v>
      </c>
      <c r="AL104" s="9" t="str">
        <f>IFERROR(INDEX('[3]02_Arquetipos_Miedo_Sesgo'!$D$5:$D$9,MATCH(AJ104,'[3]02_Arquetipos_Miedo_Sesgo'!$A$5:$A$9,0)),"")</f>
        <v>Sesgo de disponibilidad + sesgo de negatividad + preferencia por autoridad.</v>
      </c>
      <c r="AM104" s="9" t="str">
        <f>IFERROR(INDEX('[3]02_Arquetipos_Miedo_Sesgo'!$E$5:$E$9,MATCH(AJ104,'[3]02_Arquetipos_Miedo_Sesgo'!$A$5:$A$9,0)),"")</f>
        <v>Seguridad, convivencia, movilidad, alumbrado, reacción institucional rápida, presencia de autoridad.</v>
      </c>
      <c r="AN104" s="9" t="str">
        <f t="shared" si="5"/>
        <v>Alta</v>
      </c>
      <c r="AO104" s="9" t="s">
        <v>608</v>
      </c>
    </row>
    <row r="105" spans="1:41" ht="43.2">
      <c r="A105" s="9" t="s">
        <v>253</v>
      </c>
      <c r="B105" s="9" t="s">
        <v>236</v>
      </c>
      <c r="C105" s="9" t="s">
        <v>254</v>
      </c>
      <c r="D105" s="10">
        <v>2872</v>
      </c>
      <c r="E105" s="10">
        <v>2762</v>
      </c>
      <c r="F105" s="10">
        <v>2400</v>
      </c>
      <c r="G105" s="9" t="s">
        <v>601</v>
      </c>
      <c r="H105" s="11">
        <v>0.83461002785515326</v>
      </c>
      <c r="I105" s="11">
        <v>0.76636490250696387</v>
      </c>
      <c r="J105" s="9" t="s">
        <v>602</v>
      </c>
      <c r="K105" s="11">
        <v>0.2454742939898624</v>
      </c>
      <c r="L105" s="11">
        <v>7.2773352643012323E-2</v>
      </c>
      <c r="M105" s="9" t="s">
        <v>603</v>
      </c>
      <c r="N105" s="11">
        <v>0.40833333333333333</v>
      </c>
      <c r="O105" s="11">
        <v>0.21208333333333329</v>
      </c>
      <c r="P105" s="12">
        <v>-0.41089999999999999</v>
      </c>
      <c r="Q105" s="9" t="s">
        <v>73</v>
      </c>
      <c r="R105" s="12">
        <v>0.45390000000000003</v>
      </c>
      <c r="S105" s="9" t="s">
        <v>75</v>
      </c>
      <c r="T105" s="12">
        <v>3.5099999999999999E-2</v>
      </c>
      <c r="U105" s="12">
        <v>0.3</v>
      </c>
      <c r="V105" s="9" t="s">
        <v>412</v>
      </c>
      <c r="W105" s="9" t="s">
        <v>604</v>
      </c>
      <c r="X105" s="9" t="s">
        <v>60</v>
      </c>
      <c r="Y105" s="9" t="s">
        <v>639</v>
      </c>
      <c r="Z105" s="9" t="s">
        <v>641</v>
      </c>
      <c r="AA105" s="9" t="s">
        <v>614</v>
      </c>
      <c r="AB105" s="11">
        <v>0.30792161859835898</v>
      </c>
      <c r="AC105" s="11">
        <v>0.20938196438442441</v>
      </c>
      <c r="AD105" s="11">
        <v>0.16952432318985991</v>
      </c>
      <c r="AE105" s="11">
        <v>0.1315866326870882</v>
      </c>
      <c r="AF105" s="11">
        <v>0.18158546114026841</v>
      </c>
      <c r="AG105" s="9" t="str">
        <f t="shared" si="3"/>
        <v>Protección y orden cotidiano</v>
      </c>
      <c r="AH105" s="9" t="s">
        <v>615</v>
      </c>
      <c r="AI105" s="9"/>
      <c r="AJ105" s="9" t="str">
        <f t="shared" si="4"/>
        <v>Protección y orden cotidiano</v>
      </c>
      <c r="AK105" s="9" t="str">
        <f>IFERROR(INDEX('[3]02_Arquetipos_Miedo_Sesgo'!$C$5:$C$9,MATCH(AJ105,'[3]02_Arquetipos_Miedo_Sesgo'!$A$5:$A$9,0)),"")</f>
        <v>Miedo a la inseguridad, al descontrol barrial y a perder la tranquilidad cotidiana.</v>
      </c>
      <c r="AL105" s="9" t="str">
        <f>IFERROR(INDEX('[3]02_Arquetipos_Miedo_Sesgo'!$D$5:$D$9,MATCH(AJ105,'[3]02_Arquetipos_Miedo_Sesgo'!$A$5:$A$9,0)),"")</f>
        <v>Sesgo de disponibilidad + sesgo de negatividad + preferencia por autoridad.</v>
      </c>
      <c r="AM105" s="9" t="str">
        <f>IFERROR(INDEX('[3]02_Arquetipos_Miedo_Sesgo'!$E$5:$E$9,MATCH(AJ105,'[3]02_Arquetipos_Miedo_Sesgo'!$A$5:$A$9,0)),"")</f>
        <v>Seguridad, convivencia, movilidad, alumbrado, reacción institucional rápida, presencia de autoridad.</v>
      </c>
      <c r="AN105" s="9" t="str">
        <f t="shared" si="5"/>
        <v>Alta</v>
      </c>
      <c r="AO105" s="9" t="s">
        <v>608</v>
      </c>
    </row>
    <row r="106" spans="1:41" ht="43.2">
      <c r="A106" s="9" t="s">
        <v>255</v>
      </c>
      <c r="B106" s="9" t="s">
        <v>236</v>
      </c>
      <c r="C106" s="9" t="s">
        <v>256</v>
      </c>
      <c r="D106" s="10">
        <v>5920</v>
      </c>
      <c r="E106" s="10">
        <v>5533</v>
      </c>
      <c r="F106" s="10">
        <v>5007</v>
      </c>
      <c r="G106" s="9" t="s">
        <v>601</v>
      </c>
      <c r="H106" s="11">
        <v>0.86976351351351355</v>
      </c>
      <c r="I106" s="11">
        <v>0.81402027027027035</v>
      </c>
      <c r="J106" s="9" t="s">
        <v>602</v>
      </c>
      <c r="K106" s="11">
        <v>0.24272546538948131</v>
      </c>
      <c r="L106" s="11">
        <v>5.4039399963853242E-2</v>
      </c>
      <c r="M106" s="9" t="s">
        <v>603</v>
      </c>
      <c r="N106" s="11">
        <v>0.39324945076892348</v>
      </c>
      <c r="O106" s="11">
        <v>0.16796484921110441</v>
      </c>
      <c r="P106" s="12">
        <v>-0.41089999999999999</v>
      </c>
      <c r="Q106" s="9" t="s">
        <v>73</v>
      </c>
      <c r="R106" s="12">
        <v>0.45390000000000003</v>
      </c>
      <c r="S106" s="9" t="s">
        <v>75</v>
      </c>
      <c r="T106" s="12">
        <v>3.5099999999999999E-2</v>
      </c>
      <c r="U106" s="12">
        <v>0.3</v>
      </c>
      <c r="V106" s="9" t="s">
        <v>412</v>
      </c>
      <c r="W106" s="9" t="s">
        <v>604</v>
      </c>
      <c r="X106" s="9" t="s">
        <v>60</v>
      </c>
      <c r="Y106" s="9" t="s">
        <v>639</v>
      </c>
      <c r="Z106" s="9" t="s">
        <v>641</v>
      </c>
      <c r="AA106" s="9" t="s">
        <v>614</v>
      </c>
      <c r="AB106" s="11">
        <v>0.3208416257722585</v>
      </c>
      <c r="AC106" s="11">
        <v>0.21324764536065749</v>
      </c>
      <c r="AD106" s="11">
        <v>0.16007546780813051</v>
      </c>
      <c r="AE106" s="11">
        <v>0.11989525465877281</v>
      </c>
      <c r="AF106" s="11">
        <v>0.18594000640018071</v>
      </c>
      <c r="AG106" s="9" t="str">
        <f t="shared" si="3"/>
        <v>Protección y orden cotidiano</v>
      </c>
      <c r="AH106" s="9" t="s">
        <v>615</v>
      </c>
      <c r="AI106" s="9"/>
      <c r="AJ106" s="9" t="str">
        <f t="shared" si="4"/>
        <v>Protección y orden cotidiano</v>
      </c>
      <c r="AK106" s="9" t="str">
        <f>IFERROR(INDEX('[3]02_Arquetipos_Miedo_Sesgo'!$C$5:$C$9,MATCH(AJ106,'[3]02_Arquetipos_Miedo_Sesgo'!$A$5:$A$9,0)),"")</f>
        <v>Miedo a la inseguridad, al descontrol barrial y a perder la tranquilidad cotidiana.</v>
      </c>
      <c r="AL106" s="9" t="str">
        <f>IFERROR(INDEX('[3]02_Arquetipos_Miedo_Sesgo'!$D$5:$D$9,MATCH(AJ106,'[3]02_Arquetipos_Miedo_Sesgo'!$A$5:$A$9,0)),"")</f>
        <v>Sesgo de disponibilidad + sesgo de negatividad + preferencia por autoridad.</v>
      </c>
      <c r="AM106" s="9" t="str">
        <f>IFERROR(INDEX('[3]02_Arquetipos_Miedo_Sesgo'!$E$5:$E$9,MATCH(AJ106,'[3]02_Arquetipos_Miedo_Sesgo'!$A$5:$A$9,0)),"")</f>
        <v>Seguridad, convivencia, movilidad, alumbrado, reacción institucional rápida, presencia de autoridad.</v>
      </c>
      <c r="AN106" s="9" t="str">
        <f t="shared" si="5"/>
        <v>Alta</v>
      </c>
      <c r="AO106" s="9" t="s">
        <v>608</v>
      </c>
    </row>
    <row r="107" spans="1:41" ht="43.2">
      <c r="A107" s="9" t="s">
        <v>345</v>
      </c>
      <c r="B107" s="9" t="s">
        <v>346</v>
      </c>
      <c r="C107" s="9" t="s">
        <v>347</v>
      </c>
      <c r="D107" s="10">
        <v>2084</v>
      </c>
      <c r="E107" s="10">
        <v>1620</v>
      </c>
      <c r="F107" s="10">
        <v>1452</v>
      </c>
      <c r="G107" s="9" t="s">
        <v>601</v>
      </c>
      <c r="H107" s="11">
        <v>0.73656429942418422</v>
      </c>
      <c r="I107" s="11">
        <v>0.57341650671785027</v>
      </c>
      <c r="J107" s="9" t="s">
        <v>602</v>
      </c>
      <c r="K107" s="11">
        <v>0.29506172839506167</v>
      </c>
      <c r="L107" s="11">
        <v>0.1530864197530864</v>
      </c>
      <c r="M107" s="9" t="s">
        <v>609</v>
      </c>
      <c r="N107" s="11">
        <v>0.34779614325068869</v>
      </c>
      <c r="O107" s="11">
        <v>6.267217630853994E-2</v>
      </c>
      <c r="P107" s="12">
        <v>-0.41089999999999999</v>
      </c>
      <c r="Q107" s="9" t="s">
        <v>73</v>
      </c>
      <c r="R107" s="12">
        <v>-0.1671</v>
      </c>
      <c r="S107" s="9" t="s">
        <v>412</v>
      </c>
      <c r="T107" s="12">
        <v>-0.2089</v>
      </c>
      <c r="U107" s="12">
        <v>0.26229999999999998</v>
      </c>
      <c r="V107" s="9" t="s">
        <v>412</v>
      </c>
      <c r="W107" s="9" t="s">
        <v>604</v>
      </c>
      <c r="X107" s="9" t="s">
        <v>60</v>
      </c>
      <c r="Y107" s="9" t="s">
        <v>639</v>
      </c>
      <c r="Z107" s="9" t="s">
        <v>644</v>
      </c>
      <c r="AA107" s="9" t="s">
        <v>614</v>
      </c>
      <c r="AB107" s="11">
        <v>0.24410668480906059</v>
      </c>
      <c r="AC107" s="11">
        <v>0.23204605266862069</v>
      </c>
      <c r="AD107" s="11">
        <v>0.11704263248722049</v>
      </c>
      <c r="AE107" s="11">
        <v>0.24325315859075849</v>
      </c>
      <c r="AF107" s="11">
        <v>0.16355147144433971</v>
      </c>
      <c r="AG107" s="9" t="str">
        <f t="shared" si="3"/>
        <v>Protección y orden cotidiano</v>
      </c>
      <c r="AH107" s="9" t="s">
        <v>615</v>
      </c>
      <c r="AI107" s="9"/>
      <c r="AJ107" s="9" t="str">
        <f t="shared" si="4"/>
        <v>Protección y orden cotidiano</v>
      </c>
      <c r="AK107" s="9" t="str">
        <f>IFERROR(INDEX('[3]02_Arquetipos_Miedo_Sesgo'!$C$5:$C$9,MATCH(AJ107,'[3]02_Arquetipos_Miedo_Sesgo'!$A$5:$A$9,0)),"")</f>
        <v>Miedo a la inseguridad, al descontrol barrial y a perder la tranquilidad cotidiana.</v>
      </c>
      <c r="AL107" s="9" t="str">
        <f>IFERROR(INDEX('[3]02_Arquetipos_Miedo_Sesgo'!$D$5:$D$9,MATCH(AJ107,'[3]02_Arquetipos_Miedo_Sesgo'!$A$5:$A$9,0)),"")</f>
        <v>Sesgo de disponibilidad + sesgo de negatividad + preferencia por autoridad.</v>
      </c>
      <c r="AM107" s="9" t="str">
        <f>IFERROR(INDEX('[3]02_Arquetipos_Miedo_Sesgo'!$E$5:$E$9,MATCH(AJ107,'[3]02_Arquetipos_Miedo_Sesgo'!$A$5:$A$9,0)),"")</f>
        <v>Seguridad, convivencia, movilidad, alumbrado, reacción institucional rápida, presencia de autoridad.</v>
      </c>
      <c r="AN107" s="9" t="str">
        <f t="shared" si="5"/>
        <v>Alta</v>
      </c>
      <c r="AO107" s="9" t="s">
        <v>608</v>
      </c>
    </row>
    <row r="108" spans="1:41" ht="43.2">
      <c r="A108" s="9" t="s">
        <v>350</v>
      </c>
      <c r="B108" s="9" t="s">
        <v>346</v>
      </c>
      <c r="C108" s="9" t="s">
        <v>351</v>
      </c>
      <c r="D108" s="10">
        <v>3360</v>
      </c>
      <c r="E108" s="10">
        <v>2867</v>
      </c>
      <c r="F108" s="10">
        <v>2309</v>
      </c>
      <c r="G108" s="9" t="s">
        <v>601</v>
      </c>
      <c r="H108" s="11">
        <v>0.81726190476190474</v>
      </c>
      <c r="I108" s="11">
        <v>0.72291666666666665</v>
      </c>
      <c r="J108" s="9" t="s">
        <v>602</v>
      </c>
      <c r="K108" s="11">
        <v>0.25636553889082658</v>
      </c>
      <c r="L108" s="11">
        <v>8.2316009766306236E-2</v>
      </c>
      <c r="M108" s="9" t="s">
        <v>603</v>
      </c>
      <c r="N108" s="11">
        <v>0.2975313988739714</v>
      </c>
      <c r="O108" s="11">
        <v>3.074924209614549E-2</v>
      </c>
      <c r="P108" s="12">
        <v>-0.41089999999999999</v>
      </c>
      <c r="Q108" s="9" t="s">
        <v>73</v>
      </c>
      <c r="R108" s="12">
        <v>0.45390000000000003</v>
      </c>
      <c r="S108" s="9" t="s">
        <v>75</v>
      </c>
      <c r="T108" s="12">
        <v>3.5099999999999999E-2</v>
      </c>
      <c r="U108" s="12">
        <v>0.3</v>
      </c>
      <c r="V108" s="9" t="s">
        <v>412</v>
      </c>
      <c r="W108" s="9" t="s">
        <v>604</v>
      </c>
      <c r="X108" s="9" t="s">
        <v>60</v>
      </c>
      <c r="Y108" s="9" t="s">
        <v>639</v>
      </c>
      <c r="Z108" s="9" t="s">
        <v>644</v>
      </c>
      <c r="AA108" s="9" t="s">
        <v>614</v>
      </c>
      <c r="AB108" s="11">
        <v>0.28207119224907662</v>
      </c>
      <c r="AC108" s="11">
        <v>0.21810723556032299</v>
      </c>
      <c r="AD108" s="11">
        <v>0.1247720554880121</v>
      </c>
      <c r="AE108" s="11">
        <v>0.20162389089223251</v>
      </c>
      <c r="AF108" s="11">
        <v>0.1734256258103555</v>
      </c>
      <c r="AG108" s="9" t="str">
        <f t="shared" si="3"/>
        <v>Protección y orden cotidiano</v>
      </c>
      <c r="AH108" s="9" t="s">
        <v>615</v>
      </c>
      <c r="AI108" s="9"/>
      <c r="AJ108" s="9" t="str">
        <f t="shared" si="4"/>
        <v>Protección y orden cotidiano</v>
      </c>
      <c r="AK108" s="9" t="str">
        <f>IFERROR(INDEX('[3]02_Arquetipos_Miedo_Sesgo'!$C$5:$C$9,MATCH(AJ108,'[3]02_Arquetipos_Miedo_Sesgo'!$A$5:$A$9,0)),"")</f>
        <v>Miedo a la inseguridad, al descontrol barrial y a perder la tranquilidad cotidiana.</v>
      </c>
      <c r="AL108" s="9" t="str">
        <f>IFERROR(INDEX('[3]02_Arquetipos_Miedo_Sesgo'!$D$5:$D$9,MATCH(AJ108,'[3]02_Arquetipos_Miedo_Sesgo'!$A$5:$A$9,0)),"")</f>
        <v>Sesgo de disponibilidad + sesgo de negatividad + preferencia por autoridad.</v>
      </c>
      <c r="AM108" s="9" t="str">
        <f>IFERROR(INDEX('[3]02_Arquetipos_Miedo_Sesgo'!$E$5:$E$9,MATCH(AJ108,'[3]02_Arquetipos_Miedo_Sesgo'!$A$5:$A$9,0)),"")</f>
        <v>Seguridad, convivencia, movilidad, alumbrado, reacción institucional rápida, presencia de autoridad.</v>
      </c>
      <c r="AN108" s="9" t="str">
        <f t="shared" si="5"/>
        <v>Alta</v>
      </c>
      <c r="AO108" s="9" t="s">
        <v>608</v>
      </c>
    </row>
    <row r="109" spans="1:41" ht="43.2">
      <c r="A109" s="9" t="s">
        <v>352</v>
      </c>
      <c r="B109" s="9" t="s">
        <v>346</v>
      </c>
      <c r="C109" s="9" t="s">
        <v>353</v>
      </c>
      <c r="D109" s="10">
        <v>1913</v>
      </c>
      <c r="E109" s="10">
        <v>1569</v>
      </c>
      <c r="F109" s="10">
        <v>1290</v>
      </c>
      <c r="G109" s="9" t="s">
        <v>601</v>
      </c>
      <c r="H109" s="11">
        <v>0.72869837950862515</v>
      </c>
      <c r="I109" s="11">
        <v>0.56978567694720328</v>
      </c>
      <c r="J109" s="9" t="s">
        <v>602</v>
      </c>
      <c r="K109" s="11">
        <v>0.30975143403441691</v>
      </c>
      <c r="L109" s="11">
        <v>0.18483110261312941</v>
      </c>
      <c r="M109" s="9" t="s">
        <v>603</v>
      </c>
      <c r="N109" s="11">
        <v>0.37131782945736441</v>
      </c>
      <c r="O109" s="11">
        <v>0.17596899224806201</v>
      </c>
      <c r="P109" s="12">
        <v>-0.41089999999999999</v>
      </c>
      <c r="Q109" s="9" t="s">
        <v>73</v>
      </c>
      <c r="R109" s="12">
        <v>0.45390000000000003</v>
      </c>
      <c r="S109" s="9" t="s">
        <v>75</v>
      </c>
      <c r="T109" s="12">
        <v>3.5099999999999999E-2</v>
      </c>
      <c r="U109" s="12">
        <v>0.3</v>
      </c>
      <c r="V109" s="9" t="s">
        <v>412</v>
      </c>
      <c r="W109" s="9" t="s">
        <v>604</v>
      </c>
      <c r="X109" s="9" t="s">
        <v>60</v>
      </c>
      <c r="Y109" s="9" t="s">
        <v>639</v>
      </c>
      <c r="Z109" s="9" t="s">
        <v>644</v>
      </c>
      <c r="AA109" s="9" t="s">
        <v>614</v>
      </c>
      <c r="AB109" s="11">
        <v>0.24898178808659829</v>
      </c>
      <c r="AC109" s="11">
        <v>0.2221153491914431</v>
      </c>
      <c r="AD109" s="11">
        <v>0.15567997792698329</v>
      </c>
      <c r="AE109" s="11">
        <v>0.20404867823407921</v>
      </c>
      <c r="AF109" s="11">
        <v>0.16917420656089599</v>
      </c>
      <c r="AG109" s="9" t="str">
        <f t="shared" si="3"/>
        <v>Protección y orden cotidiano</v>
      </c>
      <c r="AH109" s="9" t="s">
        <v>615</v>
      </c>
      <c r="AI109" s="9"/>
      <c r="AJ109" s="9" t="str">
        <f t="shared" si="4"/>
        <v>Protección y orden cotidiano</v>
      </c>
      <c r="AK109" s="9" t="str">
        <f>IFERROR(INDEX('[3]02_Arquetipos_Miedo_Sesgo'!$C$5:$C$9,MATCH(AJ109,'[3]02_Arquetipos_Miedo_Sesgo'!$A$5:$A$9,0)),"")</f>
        <v>Miedo a la inseguridad, al descontrol barrial y a perder la tranquilidad cotidiana.</v>
      </c>
      <c r="AL109" s="9" t="str">
        <f>IFERROR(INDEX('[3]02_Arquetipos_Miedo_Sesgo'!$D$5:$D$9,MATCH(AJ109,'[3]02_Arquetipos_Miedo_Sesgo'!$A$5:$A$9,0)),"")</f>
        <v>Sesgo de disponibilidad + sesgo de negatividad + preferencia por autoridad.</v>
      </c>
      <c r="AM109" s="9" t="str">
        <f>IFERROR(INDEX('[3]02_Arquetipos_Miedo_Sesgo'!$E$5:$E$9,MATCH(AJ109,'[3]02_Arquetipos_Miedo_Sesgo'!$A$5:$A$9,0)),"")</f>
        <v>Seguridad, convivencia, movilidad, alumbrado, reacción institucional rápida, presencia de autoridad.</v>
      </c>
      <c r="AN109" s="9" t="str">
        <f t="shared" si="5"/>
        <v>Alta</v>
      </c>
      <c r="AO109" s="9" t="s">
        <v>608</v>
      </c>
    </row>
    <row r="110" spans="1:41" ht="43.2">
      <c r="A110" s="9" t="s">
        <v>354</v>
      </c>
      <c r="B110" s="9" t="s">
        <v>346</v>
      </c>
      <c r="C110" s="9" t="s">
        <v>355</v>
      </c>
      <c r="D110" s="10">
        <v>768</v>
      </c>
      <c r="E110" s="10">
        <v>608</v>
      </c>
      <c r="F110" s="10">
        <v>470</v>
      </c>
      <c r="G110" s="9" t="s">
        <v>601</v>
      </c>
      <c r="H110" s="11">
        <v>0.68619791666666663</v>
      </c>
      <c r="I110" s="11">
        <v>0.53125</v>
      </c>
      <c r="J110" s="9" t="s">
        <v>602</v>
      </c>
      <c r="K110" s="11">
        <v>0.28289473684210531</v>
      </c>
      <c r="L110" s="11">
        <v>0.14638157894736839</v>
      </c>
      <c r="M110" s="9" t="s">
        <v>610</v>
      </c>
      <c r="N110" s="11">
        <v>0.27021276595744681</v>
      </c>
      <c r="O110" s="11">
        <v>1.0638297872340439E-2</v>
      </c>
      <c r="P110" s="12">
        <v>-0.41089999999999999</v>
      </c>
      <c r="Q110" s="9" t="s">
        <v>73</v>
      </c>
      <c r="R110" s="12">
        <v>8.48E-2</v>
      </c>
      <c r="S110" s="9" t="s">
        <v>412</v>
      </c>
      <c r="T110" s="12">
        <v>-0.19400000000000001</v>
      </c>
      <c r="U110" s="12">
        <v>0.22989999999999999</v>
      </c>
      <c r="V110" s="9" t="s">
        <v>412</v>
      </c>
      <c r="W110" s="9" t="s">
        <v>604</v>
      </c>
      <c r="X110" s="9" t="s">
        <v>60</v>
      </c>
      <c r="Y110" s="9" t="s">
        <v>639</v>
      </c>
      <c r="Z110" s="9" t="s">
        <v>644</v>
      </c>
      <c r="AA110" s="9" t="s">
        <v>614</v>
      </c>
      <c r="AB110" s="11">
        <v>0.2529862155049758</v>
      </c>
      <c r="AC110" s="11">
        <v>0.22794887108893661</v>
      </c>
      <c r="AD110" s="11">
        <v>0.1299807609277977</v>
      </c>
      <c r="AE110" s="11">
        <v>0.22454242002486871</v>
      </c>
      <c r="AF110" s="11">
        <v>0.16454173245342121</v>
      </c>
      <c r="AG110" s="9" t="str">
        <f t="shared" si="3"/>
        <v>Protección y orden cotidiano</v>
      </c>
      <c r="AH110" s="9" t="s">
        <v>615</v>
      </c>
      <c r="AI110" s="9"/>
      <c r="AJ110" s="9" t="str">
        <f t="shared" si="4"/>
        <v>Protección y orden cotidiano</v>
      </c>
      <c r="AK110" s="9" t="str">
        <f>IFERROR(INDEX('[3]02_Arquetipos_Miedo_Sesgo'!$C$5:$C$9,MATCH(AJ110,'[3]02_Arquetipos_Miedo_Sesgo'!$A$5:$A$9,0)),"")</f>
        <v>Miedo a la inseguridad, al descontrol barrial y a perder la tranquilidad cotidiana.</v>
      </c>
      <c r="AL110" s="9" t="str">
        <f>IFERROR(INDEX('[3]02_Arquetipos_Miedo_Sesgo'!$D$5:$D$9,MATCH(AJ110,'[3]02_Arquetipos_Miedo_Sesgo'!$A$5:$A$9,0)),"")</f>
        <v>Sesgo de disponibilidad + sesgo de negatividad + preferencia por autoridad.</v>
      </c>
      <c r="AM110" s="9" t="str">
        <f>IFERROR(INDEX('[3]02_Arquetipos_Miedo_Sesgo'!$E$5:$E$9,MATCH(AJ110,'[3]02_Arquetipos_Miedo_Sesgo'!$A$5:$A$9,0)),"")</f>
        <v>Seguridad, convivencia, movilidad, alumbrado, reacción institucional rápida, presencia de autoridad.</v>
      </c>
      <c r="AN110" s="9" t="str">
        <f t="shared" si="5"/>
        <v>Alta</v>
      </c>
      <c r="AO110" s="9" t="s">
        <v>608</v>
      </c>
    </row>
    <row r="111" spans="1:41" ht="43.2">
      <c r="A111" s="9" t="s">
        <v>356</v>
      </c>
      <c r="B111" s="9" t="s">
        <v>346</v>
      </c>
      <c r="C111" s="9" t="s">
        <v>357</v>
      </c>
      <c r="D111" s="10">
        <v>13883</v>
      </c>
      <c r="E111" s="10">
        <v>11916</v>
      </c>
      <c r="F111" s="10">
        <v>9983</v>
      </c>
      <c r="G111" s="9" t="s">
        <v>601</v>
      </c>
      <c r="H111" s="11">
        <v>0.79190376719729161</v>
      </c>
      <c r="I111" s="11">
        <v>0.6828495281999567</v>
      </c>
      <c r="J111" s="9" t="s">
        <v>602</v>
      </c>
      <c r="K111" s="11">
        <v>0.28046324269889222</v>
      </c>
      <c r="L111" s="11">
        <v>0.15021819402484049</v>
      </c>
      <c r="M111" s="9" t="s">
        <v>603</v>
      </c>
      <c r="N111" s="11">
        <v>0.36301712911950318</v>
      </c>
      <c r="O111" s="11">
        <v>0.1199038365220876</v>
      </c>
      <c r="P111" s="12">
        <v>-0.41089999999999999</v>
      </c>
      <c r="Q111" s="9" t="s">
        <v>73</v>
      </c>
      <c r="R111" s="12">
        <v>0.45390000000000003</v>
      </c>
      <c r="S111" s="9" t="s">
        <v>75</v>
      </c>
      <c r="T111" s="12">
        <v>3.5099999999999999E-2</v>
      </c>
      <c r="U111" s="12">
        <v>0.3</v>
      </c>
      <c r="V111" s="9" t="s">
        <v>412</v>
      </c>
      <c r="W111" s="9" t="s">
        <v>604</v>
      </c>
      <c r="X111" s="9" t="s">
        <v>60</v>
      </c>
      <c r="Y111" s="9" t="s">
        <v>639</v>
      </c>
      <c r="Z111" s="9" t="s">
        <v>644</v>
      </c>
      <c r="AA111" s="9" t="s">
        <v>614</v>
      </c>
      <c r="AB111" s="11">
        <v>0.27274471248410198</v>
      </c>
      <c r="AC111" s="11">
        <v>0.21496022884610211</v>
      </c>
      <c r="AD111" s="11">
        <v>0.14160207976352229</v>
      </c>
      <c r="AE111" s="11">
        <v>0.1983038267889165</v>
      </c>
      <c r="AF111" s="11">
        <v>0.17238915211735689</v>
      </c>
      <c r="AG111" s="9" t="str">
        <f t="shared" si="3"/>
        <v>Protección y orden cotidiano</v>
      </c>
      <c r="AH111" s="9" t="s">
        <v>615</v>
      </c>
      <c r="AI111" s="9"/>
      <c r="AJ111" s="9" t="str">
        <f t="shared" si="4"/>
        <v>Protección y orden cotidiano</v>
      </c>
      <c r="AK111" s="9" t="str">
        <f>IFERROR(INDEX('[3]02_Arquetipos_Miedo_Sesgo'!$C$5:$C$9,MATCH(AJ111,'[3]02_Arquetipos_Miedo_Sesgo'!$A$5:$A$9,0)),"")</f>
        <v>Miedo a la inseguridad, al descontrol barrial y a perder la tranquilidad cotidiana.</v>
      </c>
      <c r="AL111" s="9" t="str">
        <f>IFERROR(INDEX('[3]02_Arquetipos_Miedo_Sesgo'!$D$5:$D$9,MATCH(AJ111,'[3]02_Arquetipos_Miedo_Sesgo'!$A$5:$A$9,0)),"")</f>
        <v>Sesgo de disponibilidad + sesgo de negatividad + preferencia por autoridad.</v>
      </c>
      <c r="AM111" s="9" t="str">
        <f>IFERROR(INDEX('[3]02_Arquetipos_Miedo_Sesgo'!$E$5:$E$9,MATCH(AJ111,'[3]02_Arquetipos_Miedo_Sesgo'!$A$5:$A$9,0)),"")</f>
        <v>Seguridad, convivencia, movilidad, alumbrado, reacción institucional rápida, presencia de autoridad.</v>
      </c>
      <c r="AN111" s="9" t="str">
        <f t="shared" si="5"/>
        <v>Alta</v>
      </c>
      <c r="AO111" s="9" t="s">
        <v>608</v>
      </c>
    </row>
    <row r="112" spans="1:41" ht="43.2">
      <c r="A112" s="9" t="s">
        <v>358</v>
      </c>
      <c r="B112" s="9" t="s">
        <v>346</v>
      </c>
      <c r="C112" s="9" t="s">
        <v>359</v>
      </c>
      <c r="D112" s="10">
        <v>7340</v>
      </c>
      <c r="E112" s="10">
        <v>5859</v>
      </c>
      <c r="F112" s="10">
        <v>5056</v>
      </c>
      <c r="G112" s="9" t="s">
        <v>601</v>
      </c>
      <c r="H112" s="11">
        <v>0.76866485013623975</v>
      </c>
      <c r="I112" s="11">
        <v>0.63460490463215258</v>
      </c>
      <c r="J112" s="9" t="s">
        <v>602</v>
      </c>
      <c r="K112" s="11">
        <v>0.288615804744837</v>
      </c>
      <c r="L112" s="11">
        <v>0.1696535244922342</v>
      </c>
      <c r="M112" s="9" t="s">
        <v>603</v>
      </c>
      <c r="N112" s="11">
        <v>0.32001582278481011</v>
      </c>
      <c r="O112" s="11">
        <v>7.9905063291139222E-2</v>
      </c>
      <c r="P112" s="12">
        <v>-0.41089999999999999</v>
      </c>
      <c r="Q112" s="9" t="s">
        <v>73</v>
      </c>
      <c r="R112" s="12">
        <v>0.45390000000000003</v>
      </c>
      <c r="S112" s="9" t="s">
        <v>75</v>
      </c>
      <c r="T112" s="12">
        <v>3.5099999999999999E-2</v>
      </c>
      <c r="U112" s="12">
        <v>0.3</v>
      </c>
      <c r="V112" s="9" t="s">
        <v>412</v>
      </c>
      <c r="W112" s="9" t="s">
        <v>604</v>
      </c>
      <c r="X112" s="9" t="s">
        <v>60</v>
      </c>
      <c r="Y112" s="9" t="s">
        <v>639</v>
      </c>
      <c r="Z112" s="9" t="s">
        <v>644</v>
      </c>
      <c r="AA112" s="9" t="s">
        <v>614</v>
      </c>
      <c r="AB112" s="11">
        <v>0.25576182899707822</v>
      </c>
      <c r="AC112" s="11">
        <v>0.21623474446856369</v>
      </c>
      <c r="AD112" s="11">
        <v>0.12378925058543851</v>
      </c>
      <c r="AE112" s="11">
        <v>0.24963330019072319</v>
      </c>
      <c r="AF112" s="11">
        <v>0.15458087575819651</v>
      </c>
      <c r="AG112" s="9" t="str">
        <f t="shared" si="3"/>
        <v>Protección y orden cotidiano</v>
      </c>
      <c r="AH112" s="9" t="s">
        <v>615</v>
      </c>
      <c r="AI112" s="9"/>
      <c r="AJ112" s="9" t="str">
        <f t="shared" si="4"/>
        <v>Protección y orden cotidiano</v>
      </c>
      <c r="AK112" s="9" t="str">
        <f>IFERROR(INDEX('[3]02_Arquetipos_Miedo_Sesgo'!$C$5:$C$9,MATCH(AJ112,'[3]02_Arquetipos_Miedo_Sesgo'!$A$5:$A$9,0)),"")</f>
        <v>Miedo a la inseguridad, al descontrol barrial y a perder la tranquilidad cotidiana.</v>
      </c>
      <c r="AL112" s="9" t="str">
        <f>IFERROR(INDEX('[3]02_Arquetipos_Miedo_Sesgo'!$D$5:$D$9,MATCH(AJ112,'[3]02_Arquetipos_Miedo_Sesgo'!$A$5:$A$9,0)),"")</f>
        <v>Sesgo de disponibilidad + sesgo de negatividad + preferencia por autoridad.</v>
      </c>
      <c r="AM112" s="9" t="str">
        <f>IFERROR(INDEX('[3]02_Arquetipos_Miedo_Sesgo'!$E$5:$E$9,MATCH(AJ112,'[3]02_Arquetipos_Miedo_Sesgo'!$A$5:$A$9,0)),"")</f>
        <v>Seguridad, convivencia, movilidad, alumbrado, reacción institucional rápida, presencia de autoridad.</v>
      </c>
      <c r="AN112" s="9" t="str">
        <f t="shared" si="5"/>
        <v>Alta</v>
      </c>
      <c r="AO112" s="9" t="s">
        <v>608</v>
      </c>
    </row>
    <row r="113" spans="1:41" ht="43.2">
      <c r="A113" s="9" t="s">
        <v>360</v>
      </c>
      <c r="B113" s="9" t="s">
        <v>346</v>
      </c>
      <c r="C113" s="9" t="s">
        <v>361</v>
      </c>
      <c r="D113" s="10">
        <v>5646</v>
      </c>
      <c r="E113" s="10">
        <v>4572</v>
      </c>
      <c r="F113" s="10">
        <v>3943</v>
      </c>
      <c r="G113" s="9" t="s">
        <v>601</v>
      </c>
      <c r="H113" s="11">
        <v>0.83563584838823945</v>
      </c>
      <c r="I113" s="11">
        <v>0.74211831385051363</v>
      </c>
      <c r="J113" s="9" t="s">
        <v>602</v>
      </c>
      <c r="K113" s="11">
        <v>0.28346456692913391</v>
      </c>
      <c r="L113" s="11">
        <v>5.8836395450568679E-2</v>
      </c>
      <c r="M113" s="9" t="s">
        <v>610</v>
      </c>
      <c r="N113" s="11">
        <v>0.35556682728886629</v>
      </c>
      <c r="O113" s="11">
        <v>4.3367993913264007E-2</v>
      </c>
      <c r="P113" s="12">
        <v>-0.41089999999999999</v>
      </c>
      <c r="Q113" s="9" t="s">
        <v>73</v>
      </c>
      <c r="R113" s="12">
        <v>8.48E-2</v>
      </c>
      <c r="S113" s="9" t="s">
        <v>412</v>
      </c>
      <c r="T113" s="12">
        <v>-0.19400000000000001</v>
      </c>
      <c r="U113" s="12">
        <v>0.22989999999999999</v>
      </c>
      <c r="V113" s="9" t="s">
        <v>412</v>
      </c>
      <c r="W113" s="9" t="s">
        <v>604</v>
      </c>
      <c r="X113" s="9" t="s">
        <v>60</v>
      </c>
      <c r="Y113" s="9" t="s">
        <v>639</v>
      </c>
      <c r="Z113" s="9" t="s">
        <v>644</v>
      </c>
      <c r="AA113" s="9" t="s">
        <v>614</v>
      </c>
      <c r="AB113" s="11">
        <v>0.28221983476604168</v>
      </c>
      <c r="AC113" s="11">
        <v>0.21943693394632841</v>
      </c>
      <c r="AD113" s="11">
        <v>0.1146123025112482</v>
      </c>
      <c r="AE113" s="11">
        <v>0.21645580583509549</v>
      </c>
      <c r="AF113" s="11">
        <v>0.1672751229412863</v>
      </c>
      <c r="AG113" s="9" t="str">
        <f t="shared" si="3"/>
        <v>Protección y orden cotidiano</v>
      </c>
      <c r="AH113" s="9" t="s">
        <v>615</v>
      </c>
      <c r="AI113" s="9"/>
      <c r="AJ113" s="9" t="str">
        <f t="shared" si="4"/>
        <v>Protección y orden cotidiano</v>
      </c>
      <c r="AK113" s="9" t="str">
        <f>IFERROR(INDEX('[3]02_Arquetipos_Miedo_Sesgo'!$C$5:$C$9,MATCH(AJ113,'[3]02_Arquetipos_Miedo_Sesgo'!$A$5:$A$9,0)),"")</f>
        <v>Miedo a la inseguridad, al descontrol barrial y a perder la tranquilidad cotidiana.</v>
      </c>
      <c r="AL113" s="9" t="str">
        <f>IFERROR(INDEX('[3]02_Arquetipos_Miedo_Sesgo'!$D$5:$D$9,MATCH(AJ113,'[3]02_Arquetipos_Miedo_Sesgo'!$A$5:$A$9,0)),"")</f>
        <v>Sesgo de disponibilidad + sesgo de negatividad + preferencia por autoridad.</v>
      </c>
      <c r="AM113" s="9" t="str">
        <f>IFERROR(INDEX('[3]02_Arquetipos_Miedo_Sesgo'!$E$5:$E$9,MATCH(AJ113,'[3]02_Arquetipos_Miedo_Sesgo'!$A$5:$A$9,0)),"")</f>
        <v>Seguridad, convivencia, movilidad, alumbrado, reacción institucional rápida, presencia de autoridad.</v>
      </c>
      <c r="AN113" s="9" t="str">
        <f t="shared" si="5"/>
        <v>Alta</v>
      </c>
      <c r="AO113" s="9" t="s">
        <v>608</v>
      </c>
    </row>
    <row r="114" spans="1:41" ht="43.2">
      <c r="A114" s="9" t="s">
        <v>362</v>
      </c>
      <c r="B114" s="9" t="s">
        <v>346</v>
      </c>
      <c r="C114" s="9" t="s">
        <v>363</v>
      </c>
      <c r="D114" s="10">
        <v>1808</v>
      </c>
      <c r="E114" s="10">
        <v>1464</v>
      </c>
      <c r="F114" s="10">
        <v>1335</v>
      </c>
      <c r="G114" s="9" t="s">
        <v>601</v>
      </c>
      <c r="H114" s="11">
        <v>0.75</v>
      </c>
      <c r="I114" s="11">
        <v>0.59845132743362828</v>
      </c>
      <c r="J114" s="9" t="s">
        <v>602</v>
      </c>
      <c r="K114" s="11">
        <v>0.25</v>
      </c>
      <c r="L114" s="11">
        <v>7.5819672131147542E-2</v>
      </c>
      <c r="M114" s="9" t="s">
        <v>603</v>
      </c>
      <c r="N114" s="11">
        <v>0.28239700374531829</v>
      </c>
      <c r="O114" s="11">
        <v>9.7378277153558068E-3</v>
      </c>
      <c r="P114" s="12">
        <v>-0.41089999999999999</v>
      </c>
      <c r="Q114" s="9" t="s">
        <v>73</v>
      </c>
      <c r="R114" s="12">
        <v>0.45390000000000003</v>
      </c>
      <c r="S114" s="9" t="s">
        <v>75</v>
      </c>
      <c r="T114" s="12">
        <v>3.5099999999999999E-2</v>
      </c>
      <c r="U114" s="12">
        <v>0.3</v>
      </c>
      <c r="V114" s="9" t="s">
        <v>412</v>
      </c>
      <c r="W114" s="9" t="s">
        <v>604</v>
      </c>
      <c r="X114" s="9" t="s">
        <v>60</v>
      </c>
      <c r="Y114" s="9" t="s">
        <v>639</v>
      </c>
      <c r="Z114" s="9" t="s">
        <v>644</v>
      </c>
      <c r="AA114" s="9" t="s">
        <v>614</v>
      </c>
      <c r="AB114" s="11">
        <v>0.26578897394913981</v>
      </c>
      <c r="AC114" s="11">
        <v>0.24547768119161581</v>
      </c>
      <c r="AD114" s="11">
        <v>0.1169092176006673</v>
      </c>
      <c r="AE114" s="11">
        <v>0.19832526832086239</v>
      </c>
      <c r="AF114" s="11">
        <v>0.17349885893771469</v>
      </c>
      <c r="AG114" s="9" t="str">
        <f t="shared" si="3"/>
        <v>Protección y orden cotidiano</v>
      </c>
      <c r="AH114" s="9" t="s">
        <v>615</v>
      </c>
      <c r="AI114" s="9"/>
      <c r="AJ114" s="9" t="str">
        <f t="shared" si="4"/>
        <v>Protección y orden cotidiano</v>
      </c>
      <c r="AK114" s="9" t="str">
        <f>IFERROR(INDEX('[3]02_Arquetipos_Miedo_Sesgo'!$C$5:$C$9,MATCH(AJ114,'[3]02_Arquetipos_Miedo_Sesgo'!$A$5:$A$9,0)),"")</f>
        <v>Miedo a la inseguridad, al descontrol barrial y a perder la tranquilidad cotidiana.</v>
      </c>
      <c r="AL114" s="9" t="str">
        <f>IFERROR(INDEX('[3]02_Arquetipos_Miedo_Sesgo'!$D$5:$D$9,MATCH(AJ114,'[3]02_Arquetipos_Miedo_Sesgo'!$A$5:$A$9,0)),"")</f>
        <v>Sesgo de disponibilidad + sesgo de negatividad + preferencia por autoridad.</v>
      </c>
      <c r="AM114" s="9" t="str">
        <f>IFERROR(INDEX('[3]02_Arquetipos_Miedo_Sesgo'!$E$5:$E$9,MATCH(AJ114,'[3]02_Arquetipos_Miedo_Sesgo'!$A$5:$A$9,0)),"")</f>
        <v>Seguridad, convivencia, movilidad, alumbrado, reacción institucional rápida, presencia de autoridad.</v>
      </c>
      <c r="AN114" s="9" t="str">
        <f t="shared" si="5"/>
        <v>Alta</v>
      </c>
      <c r="AO114" s="9" t="s">
        <v>608</v>
      </c>
    </row>
    <row r="115" spans="1:41" ht="43.2">
      <c r="A115" s="9" t="s">
        <v>364</v>
      </c>
      <c r="B115" s="9" t="s">
        <v>346</v>
      </c>
      <c r="C115" s="9" t="s">
        <v>365</v>
      </c>
      <c r="D115" s="10">
        <v>5168</v>
      </c>
      <c r="E115" s="10">
        <v>4122</v>
      </c>
      <c r="F115" s="10">
        <v>3406</v>
      </c>
      <c r="G115" s="9" t="s">
        <v>601</v>
      </c>
      <c r="H115" s="11">
        <v>0.77476780185758509</v>
      </c>
      <c r="I115" s="11">
        <v>0.64512383900928794</v>
      </c>
      <c r="J115" s="9" t="s">
        <v>602</v>
      </c>
      <c r="K115" s="11">
        <v>0.29670063076176612</v>
      </c>
      <c r="L115" s="11">
        <v>0.17127607957302279</v>
      </c>
      <c r="M115" s="9" t="s">
        <v>603</v>
      </c>
      <c r="N115" s="11">
        <v>0.35642982971227238</v>
      </c>
      <c r="O115" s="11">
        <v>0.138285378743394</v>
      </c>
      <c r="P115" s="12">
        <v>-0.41089999999999999</v>
      </c>
      <c r="Q115" s="9" t="s">
        <v>73</v>
      </c>
      <c r="R115" s="12">
        <v>0.45390000000000003</v>
      </c>
      <c r="S115" s="9" t="s">
        <v>75</v>
      </c>
      <c r="T115" s="12">
        <v>3.5099999999999999E-2</v>
      </c>
      <c r="U115" s="12">
        <v>0.3</v>
      </c>
      <c r="V115" s="9" t="s">
        <v>412</v>
      </c>
      <c r="W115" s="9" t="s">
        <v>604</v>
      </c>
      <c r="X115" s="9" t="s">
        <v>60</v>
      </c>
      <c r="Y115" s="9" t="s">
        <v>639</v>
      </c>
      <c r="Z115" s="9" t="s">
        <v>644</v>
      </c>
      <c r="AA115" s="9" t="s">
        <v>614</v>
      </c>
      <c r="AB115" s="11">
        <v>0.25942255562543343</v>
      </c>
      <c r="AC115" s="11">
        <v>0.2115810993580389</v>
      </c>
      <c r="AD115" s="11">
        <v>0.1446629048105374</v>
      </c>
      <c r="AE115" s="11">
        <v>0.21786487131683041</v>
      </c>
      <c r="AF115" s="11">
        <v>0.1664685688891597</v>
      </c>
      <c r="AG115" s="9" t="str">
        <f t="shared" si="3"/>
        <v>Protección y orden cotidiano</v>
      </c>
      <c r="AH115" s="9" t="s">
        <v>615</v>
      </c>
      <c r="AI115" s="9"/>
      <c r="AJ115" s="9" t="str">
        <f t="shared" si="4"/>
        <v>Protección y orden cotidiano</v>
      </c>
      <c r="AK115" s="9" t="str">
        <f>IFERROR(INDEX('[3]02_Arquetipos_Miedo_Sesgo'!$C$5:$C$9,MATCH(AJ115,'[3]02_Arquetipos_Miedo_Sesgo'!$A$5:$A$9,0)),"")</f>
        <v>Miedo a la inseguridad, al descontrol barrial y a perder la tranquilidad cotidiana.</v>
      </c>
      <c r="AL115" s="9" t="str">
        <f>IFERROR(INDEX('[3]02_Arquetipos_Miedo_Sesgo'!$D$5:$D$9,MATCH(AJ115,'[3]02_Arquetipos_Miedo_Sesgo'!$A$5:$A$9,0)),"")</f>
        <v>Sesgo de disponibilidad + sesgo de negatividad + preferencia por autoridad.</v>
      </c>
      <c r="AM115" s="9" t="str">
        <f>IFERROR(INDEX('[3]02_Arquetipos_Miedo_Sesgo'!$E$5:$E$9,MATCH(AJ115,'[3]02_Arquetipos_Miedo_Sesgo'!$A$5:$A$9,0)),"")</f>
        <v>Seguridad, convivencia, movilidad, alumbrado, reacción institucional rápida, presencia de autoridad.</v>
      </c>
      <c r="AN115" s="9" t="str">
        <f t="shared" si="5"/>
        <v>Alta</v>
      </c>
      <c r="AO115" s="9" t="s">
        <v>608</v>
      </c>
    </row>
    <row r="116" spans="1:41" ht="43.2">
      <c r="A116" s="9" t="s">
        <v>205</v>
      </c>
      <c r="B116" s="9" t="s">
        <v>206</v>
      </c>
      <c r="C116" s="9" t="s">
        <v>207</v>
      </c>
      <c r="D116" s="10">
        <v>9302</v>
      </c>
      <c r="E116" s="10">
        <v>9211</v>
      </c>
      <c r="F116" s="10">
        <v>8860</v>
      </c>
      <c r="G116" s="9" t="s">
        <v>601</v>
      </c>
      <c r="H116" s="11">
        <v>0.95527843474521612</v>
      </c>
      <c r="I116" s="11">
        <v>0.93958288540098911</v>
      </c>
      <c r="J116" s="9" t="s">
        <v>602</v>
      </c>
      <c r="K116" s="11">
        <v>0.25740961893388342</v>
      </c>
      <c r="L116" s="11">
        <v>6.1448268374769327E-2</v>
      </c>
      <c r="M116" s="9" t="s">
        <v>603</v>
      </c>
      <c r="N116" s="11">
        <v>0.53476297968397291</v>
      </c>
      <c r="O116" s="11">
        <v>0.36591422121896161</v>
      </c>
      <c r="P116" s="12">
        <v>-0.41089999999999999</v>
      </c>
      <c r="Q116" s="9" t="s">
        <v>73</v>
      </c>
      <c r="R116" s="12">
        <v>0.45390000000000003</v>
      </c>
      <c r="S116" s="9" t="s">
        <v>75</v>
      </c>
      <c r="T116" s="12">
        <v>3.5099999999999999E-2</v>
      </c>
      <c r="U116" s="12">
        <v>0.3</v>
      </c>
      <c r="V116" s="9" t="s">
        <v>412</v>
      </c>
      <c r="W116" s="9" t="s">
        <v>604</v>
      </c>
      <c r="X116" s="9" t="s">
        <v>260</v>
      </c>
      <c r="Y116" s="9" t="s">
        <v>645</v>
      </c>
      <c r="Z116" s="9" t="s">
        <v>646</v>
      </c>
      <c r="AA116" s="9" t="s">
        <v>614</v>
      </c>
      <c r="AB116" s="11">
        <v>0.34353179941032391</v>
      </c>
      <c r="AC116" s="11">
        <v>0.19914878204873679</v>
      </c>
      <c r="AD116" s="11">
        <v>0.2021424813994657</v>
      </c>
      <c r="AE116" s="11">
        <v>5.3834756078051799E-2</v>
      </c>
      <c r="AF116" s="11">
        <v>0.20134218106342189</v>
      </c>
      <c r="AG116" s="9" t="str">
        <f t="shared" si="3"/>
        <v>Protección y orden cotidiano</v>
      </c>
      <c r="AH116" s="9" t="s">
        <v>615</v>
      </c>
      <c r="AI116" s="9"/>
      <c r="AJ116" s="9" t="str">
        <f t="shared" si="4"/>
        <v>Protección y orden cotidiano</v>
      </c>
      <c r="AK116" s="9" t="str">
        <f>IFERROR(INDEX('[3]02_Arquetipos_Miedo_Sesgo'!$C$5:$C$9,MATCH(AJ116,'[3]02_Arquetipos_Miedo_Sesgo'!$A$5:$A$9,0)),"")</f>
        <v>Miedo a la inseguridad, al descontrol barrial y a perder la tranquilidad cotidiana.</v>
      </c>
      <c r="AL116" s="9" t="str">
        <f>IFERROR(INDEX('[3]02_Arquetipos_Miedo_Sesgo'!$D$5:$D$9,MATCH(AJ116,'[3]02_Arquetipos_Miedo_Sesgo'!$A$5:$A$9,0)),"")</f>
        <v>Sesgo de disponibilidad + sesgo de negatividad + preferencia por autoridad.</v>
      </c>
      <c r="AM116" s="9" t="str">
        <f>IFERROR(INDEX('[3]02_Arquetipos_Miedo_Sesgo'!$E$5:$E$9,MATCH(AJ116,'[3]02_Arquetipos_Miedo_Sesgo'!$A$5:$A$9,0)),"")</f>
        <v>Seguridad, convivencia, movilidad, alumbrado, reacción institucional rápida, presencia de autoridad.</v>
      </c>
      <c r="AN116" s="9" t="str">
        <f t="shared" si="5"/>
        <v>Alta</v>
      </c>
      <c r="AO116" s="9" t="s">
        <v>608</v>
      </c>
    </row>
    <row r="117" spans="1:41" ht="43.2">
      <c r="A117" s="9" t="s">
        <v>214</v>
      </c>
      <c r="B117" s="9" t="s">
        <v>206</v>
      </c>
      <c r="C117" s="9" t="s">
        <v>215</v>
      </c>
      <c r="D117" s="10">
        <v>3869</v>
      </c>
      <c r="E117" s="10">
        <v>3811</v>
      </c>
      <c r="F117" s="10">
        <v>3607</v>
      </c>
      <c r="G117" s="9" t="s">
        <v>601</v>
      </c>
      <c r="H117" s="11">
        <v>0.95140863272163345</v>
      </c>
      <c r="I117" s="11">
        <v>0.93796846730421291</v>
      </c>
      <c r="J117" s="9" t="s">
        <v>602</v>
      </c>
      <c r="K117" s="11">
        <v>0.24403043820519549</v>
      </c>
      <c r="L117" s="11">
        <v>3.4636578325898733E-2</v>
      </c>
      <c r="M117" s="9" t="s">
        <v>603</v>
      </c>
      <c r="N117" s="11">
        <v>0.51621846409758798</v>
      </c>
      <c r="O117" s="11">
        <v>0.35708344884945931</v>
      </c>
      <c r="P117" s="12">
        <v>-0.41089999999999999</v>
      </c>
      <c r="Q117" s="9" t="s">
        <v>73</v>
      </c>
      <c r="R117" s="12">
        <v>0.45390000000000003</v>
      </c>
      <c r="S117" s="9" t="s">
        <v>75</v>
      </c>
      <c r="T117" s="12">
        <v>3.5099999999999999E-2</v>
      </c>
      <c r="U117" s="12">
        <v>0.3</v>
      </c>
      <c r="V117" s="9" t="s">
        <v>412</v>
      </c>
      <c r="W117" s="9" t="s">
        <v>604</v>
      </c>
      <c r="X117" s="9" t="s">
        <v>260</v>
      </c>
      <c r="Y117" s="9" t="s">
        <v>645</v>
      </c>
      <c r="Z117" s="9" t="s">
        <v>646</v>
      </c>
      <c r="AA117" s="9" t="s">
        <v>614</v>
      </c>
      <c r="AB117" s="11">
        <v>0.3398761308430352</v>
      </c>
      <c r="AC117" s="11">
        <v>0.20109159100586399</v>
      </c>
      <c r="AD117" s="11">
        <v>0.19738892943493919</v>
      </c>
      <c r="AE117" s="11">
        <v>6.1909125266918573E-2</v>
      </c>
      <c r="AF117" s="11">
        <v>0.19973422344924299</v>
      </c>
      <c r="AG117" s="9" t="str">
        <f t="shared" si="3"/>
        <v>Protección y orden cotidiano</v>
      </c>
      <c r="AH117" s="9" t="s">
        <v>615</v>
      </c>
      <c r="AI117" s="9"/>
      <c r="AJ117" s="9" t="str">
        <f t="shared" si="4"/>
        <v>Protección y orden cotidiano</v>
      </c>
      <c r="AK117" s="9" t="str">
        <f>IFERROR(INDEX('[3]02_Arquetipos_Miedo_Sesgo'!$C$5:$C$9,MATCH(AJ117,'[3]02_Arquetipos_Miedo_Sesgo'!$A$5:$A$9,0)),"")</f>
        <v>Miedo a la inseguridad, al descontrol barrial y a perder la tranquilidad cotidiana.</v>
      </c>
      <c r="AL117" s="9" t="str">
        <f>IFERROR(INDEX('[3]02_Arquetipos_Miedo_Sesgo'!$D$5:$D$9,MATCH(AJ117,'[3]02_Arquetipos_Miedo_Sesgo'!$A$5:$A$9,0)),"")</f>
        <v>Sesgo de disponibilidad + sesgo de negatividad + preferencia por autoridad.</v>
      </c>
      <c r="AM117" s="9" t="str">
        <f>IFERROR(INDEX('[3]02_Arquetipos_Miedo_Sesgo'!$E$5:$E$9,MATCH(AJ117,'[3]02_Arquetipos_Miedo_Sesgo'!$A$5:$A$9,0)),"")</f>
        <v>Seguridad, convivencia, movilidad, alumbrado, reacción institucional rápida, presencia de autoridad.</v>
      </c>
      <c r="AN117" s="9" t="str">
        <f t="shared" si="5"/>
        <v>Alta</v>
      </c>
      <c r="AO117" s="9" t="s">
        <v>608</v>
      </c>
    </row>
    <row r="118" spans="1:41" ht="43.2">
      <c r="A118" s="9" t="s">
        <v>530</v>
      </c>
      <c r="B118" s="9" t="s">
        <v>206</v>
      </c>
      <c r="C118" s="9" t="s">
        <v>531</v>
      </c>
      <c r="D118" s="10">
        <v>7898</v>
      </c>
      <c r="E118" s="10">
        <v>7758</v>
      </c>
      <c r="F118" s="10">
        <v>7390</v>
      </c>
      <c r="G118" s="9" t="s">
        <v>601</v>
      </c>
      <c r="H118" s="11">
        <v>0.95100025322866544</v>
      </c>
      <c r="I118" s="11">
        <v>0.93403393264117496</v>
      </c>
      <c r="J118" s="9" t="s">
        <v>602</v>
      </c>
      <c r="K118" s="11">
        <v>0.28280484660995098</v>
      </c>
      <c r="L118" s="11">
        <v>0.1152358855375097</v>
      </c>
      <c r="M118" s="9" t="s">
        <v>603</v>
      </c>
      <c r="N118" s="11">
        <v>0.49783491204330182</v>
      </c>
      <c r="O118" s="11">
        <v>0.3420838971583221</v>
      </c>
      <c r="P118" s="12">
        <v>-0.41089999999999999</v>
      </c>
      <c r="Q118" s="9" t="s">
        <v>73</v>
      </c>
      <c r="R118" s="12">
        <v>0.45390000000000003</v>
      </c>
      <c r="S118" s="9" t="s">
        <v>75</v>
      </c>
      <c r="T118" s="12">
        <v>3.5099999999999999E-2</v>
      </c>
      <c r="U118" s="12">
        <v>0.3</v>
      </c>
      <c r="V118" s="9" t="s">
        <v>412</v>
      </c>
      <c r="W118" s="9" t="s">
        <v>604</v>
      </c>
      <c r="X118" s="9" t="s">
        <v>260</v>
      </c>
      <c r="Y118" s="9" t="s">
        <v>645</v>
      </c>
      <c r="Z118" s="9" t="s">
        <v>646</v>
      </c>
      <c r="AA118" s="9" t="s">
        <v>614</v>
      </c>
      <c r="AB118" s="11">
        <v>0.34513335258810901</v>
      </c>
      <c r="AC118" s="11">
        <v>0.20124857346201089</v>
      </c>
      <c r="AD118" s="11">
        <v>0.19753716372206989</v>
      </c>
      <c r="AE118" s="11">
        <v>6.2890555730341219E-2</v>
      </c>
      <c r="AF118" s="11">
        <v>0.19319035449746899</v>
      </c>
      <c r="AG118" s="9" t="str">
        <f t="shared" si="3"/>
        <v>Protección y orden cotidiano</v>
      </c>
      <c r="AH118" s="9" t="s">
        <v>615</v>
      </c>
      <c r="AI118" s="9"/>
      <c r="AJ118" s="9" t="str">
        <f t="shared" si="4"/>
        <v>Protección y orden cotidiano</v>
      </c>
      <c r="AK118" s="9" t="str">
        <f>IFERROR(INDEX('[3]02_Arquetipos_Miedo_Sesgo'!$C$5:$C$9,MATCH(AJ118,'[3]02_Arquetipos_Miedo_Sesgo'!$A$5:$A$9,0)),"")</f>
        <v>Miedo a la inseguridad, al descontrol barrial y a perder la tranquilidad cotidiana.</v>
      </c>
      <c r="AL118" s="9" t="str">
        <f>IFERROR(INDEX('[3]02_Arquetipos_Miedo_Sesgo'!$D$5:$D$9,MATCH(AJ118,'[3]02_Arquetipos_Miedo_Sesgo'!$A$5:$A$9,0)),"")</f>
        <v>Sesgo de disponibilidad + sesgo de negatividad + preferencia por autoridad.</v>
      </c>
      <c r="AM118" s="9" t="str">
        <f>IFERROR(INDEX('[3]02_Arquetipos_Miedo_Sesgo'!$E$5:$E$9,MATCH(AJ118,'[3]02_Arquetipos_Miedo_Sesgo'!$A$5:$A$9,0)),"")</f>
        <v>Seguridad, convivencia, movilidad, alumbrado, reacción institucional rápida, presencia de autoridad.</v>
      </c>
      <c r="AN118" s="9" t="str">
        <f t="shared" si="5"/>
        <v>Alta</v>
      </c>
      <c r="AO118" s="9" t="s">
        <v>608</v>
      </c>
    </row>
    <row r="119" spans="1:41" ht="43.2">
      <c r="A119" s="9" t="s">
        <v>526</v>
      </c>
      <c r="B119" s="9" t="s">
        <v>206</v>
      </c>
      <c r="C119" s="9" t="s">
        <v>527</v>
      </c>
      <c r="D119" s="10">
        <v>2076</v>
      </c>
      <c r="E119" s="10">
        <v>2014</v>
      </c>
      <c r="F119" s="10">
        <v>1884</v>
      </c>
      <c r="G119" s="9" t="s">
        <v>601</v>
      </c>
      <c r="H119" s="11">
        <v>0.86946050096339111</v>
      </c>
      <c r="I119" s="11">
        <v>0.8203275529865125</v>
      </c>
      <c r="J119" s="9" t="s">
        <v>602</v>
      </c>
      <c r="K119" s="11">
        <v>0.2929493545183714</v>
      </c>
      <c r="L119" s="11">
        <v>0.1355511420059583</v>
      </c>
      <c r="M119" s="9" t="s">
        <v>603</v>
      </c>
      <c r="N119" s="11">
        <v>0.4851380042462845</v>
      </c>
      <c r="O119" s="11">
        <v>0.28078556263269638</v>
      </c>
      <c r="P119" s="12">
        <v>-0.41089999999999999</v>
      </c>
      <c r="Q119" s="9" t="s">
        <v>73</v>
      </c>
      <c r="R119" s="12">
        <v>0.45390000000000003</v>
      </c>
      <c r="S119" s="9" t="s">
        <v>75</v>
      </c>
      <c r="T119" s="12">
        <v>3.5099999999999999E-2</v>
      </c>
      <c r="U119" s="12">
        <v>0.3</v>
      </c>
      <c r="V119" s="9" t="s">
        <v>412</v>
      </c>
      <c r="W119" s="9" t="s">
        <v>604</v>
      </c>
      <c r="X119" s="9" t="s">
        <v>260</v>
      </c>
      <c r="Y119" s="9" t="s">
        <v>645</v>
      </c>
      <c r="Z119" s="9" t="s">
        <v>646</v>
      </c>
      <c r="AA119" s="9" t="s">
        <v>614</v>
      </c>
      <c r="AB119" s="11">
        <v>0.31617502192282398</v>
      </c>
      <c r="AC119" s="11">
        <v>0.21156296966409949</v>
      </c>
      <c r="AD119" s="11">
        <v>0.18122043063746551</v>
      </c>
      <c r="AE119" s="11">
        <v>9.9012871113786538E-2</v>
      </c>
      <c r="AF119" s="11">
        <v>0.19202870666182451</v>
      </c>
      <c r="AG119" s="9" t="str">
        <f t="shared" si="3"/>
        <v>Protección y orden cotidiano</v>
      </c>
      <c r="AH119" s="9" t="s">
        <v>615</v>
      </c>
      <c r="AI119" s="9"/>
      <c r="AJ119" s="9" t="str">
        <f t="shared" si="4"/>
        <v>Protección y orden cotidiano</v>
      </c>
      <c r="AK119" s="9" t="str">
        <f>IFERROR(INDEX('[3]02_Arquetipos_Miedo_Sesgo'!$C$5:$C$9,MATCH(AJ119,'[3]02_Arquetipos_Miedo_Sesgo'!$A$5:$A$9,0)),"")</f>
        <v>Miedo a la inseguridad, al descontrol barrial y a perder la tranquilidad cotidiana.</v>
      </c>
      <c r="AL119" s="9" t="str">
        <f>IFERROR(INDEX('[3]02_Arquetipos_Miedo_Sesgo'!$D$5:$D$9,MATCH(AJ119,'[3]02_Arquetipos_Miedo_Sesgo'!$A$5:$A$9,0)),"")</f>
        <v>Sesgo de disponibilidad + sesgo de negatividad + preferencia por autoridad.</v>
      </c>
      <c r="AM119" s="9" t="str">
        <f>IFERROR(INDEX('[3]02_Arquetipos_Miedo_Sesgo'!$E$5:$E$9,MATCH(AJ119,'[3]02_Arquetipos_Miedo_Sesgo'!$A$5:$A$9,0)),"")</f>
        <v>Seguridad, convivencia, movilidad, alumbrado, reacción institucional rápida, presencia de autoridad.</v>
      </c>
      <c r="AN119" s="9" t="str">
        <f t="shared" si="5"/>
        <v>Alta</v>
      </c>
      <c r="AO119" s="9" t="s">
        <v>608</v>
      </c>
    </row>
    <row r="120" spans="1:41" ht="43.2">
      <c r="A120" s="9" t="s">
        <v>216</v>
      </c>
      <c r="B120" s="9" t="s">
        <v>206</v>
      </c>
      <c r="C120" s="9" t="s">
        <v>217</v>
      </c>
      <c r="D120" s="10">
        <v>15374</v>
      </c>
      <c r="E120" s="10">
        <v>14990</v>
      </c>
      <c r="F120" s="10">
        <v>13527</v>
      </c>
      <c r="G120" s="9" t="s">
        <v>601</v>
      </c>
      <c r="H120" s="11">
        <v>0.88526082997268118</v>
      </c>
      <c r="I120" s="11">
        <v>0.83959932353323796</v>
      </c>
      <c r="J120" s="9" t="s">
        <v>602</v>
      </c>
      <c r="K120" s="11">
        <v>0.25990660440293528</v>
      </c>
      <c r="L120" s="11">
        <v>9.2928619079386238E-2</v>
      </c>
      <c r="M120" s="9" t="s">
        <v>603</v>
      </c>
      <c r="N120" s="11">
        <v>0.48429067790345243</v>
      </c>
      <c r="O120" s="11">
        <v>0.27374879869889851</v>
      </c>
      <c r="P120" s="12">
        <v>-0.41089999999999999</v>
      </c>
      <c r="Q120" s="9" t="s">
        <v>73</v>
      </c>
      <c r="R120" s="12">
        <v>0.45390000000000003</v>
      </c>
      <c r="S120" s="9" t="s">
        <v>75</v>
      </c>
      <c r="T120" s="12">
        <v>3.5099999999999999E-2</v>
      </c>
      <c r="U120" s="12">
        <v>0.3</v>
      </c>
      <c r="V120" s="9" t="s">
        <v>412</v>
      </c>
      <c r="W120" s="9" t="s">
        <v>604</v>
      </c>
      <c r="X120" s="9" t="s">
        <v>260</v>
      </c>
      <c r="Y120" s="9" t="s">
        <v>645</v>
      </c>
      <c r="Z120" s="9" t="s">
        <v>646</v>
      </c>
      <c r="AA120" s="9" t="s">
        <v>614</v>
      </c>
      <c r="AB120" s="11">
        <v>0.32071762800492198</v>
      </c>
      <c r="AC120" s="11">
        <v>0.20928607647602651</v>
      </c>
      <c r="AD120" s="11">
        <v>0.18292675142612999</v>
      </c>
      <c r="AE120" s="11">
        <v>8.8099284730382477E-2</v>
      </c>
      <c r="AF120" s="11">
        <v>0.19897025936253909</v>
      </c>
      <c r="AG120" s="9" t="str">
        <f t="shared" si="3"/>
        <v>Protección y orden cotidiano</v>
      </c>
      <c r="AH120" s="9" t="s">
        <v>615</v>
      </c>
      <c r="AI120" s="9"/>
      <c r="AJ120" s="9" t="str">
        <f t="shared" si="4"/>
        <v>Protección y orden cotidiano</v>
      </c>
      <c r="AK120" s="9" t="str">
        <f>IFERROR(INDEX('[3]02_Arquetipos_Miedo_Sesgo'!$C$5:$C$9,MATCH(AJ120,'[3]02_Arquetipos_Miedo_Sesgo'!$A$5:$A$9,0)),"")</f>
        <v>Miedo a la inseguridad, al descontrol barrial y a perder la tranquilidad cotidiana.</v>
      </c>
      <c r="AL120" s="9" t="str">
        <f>IFERROR(INDEX('[3]02_Arquetipos_Miedo_Sesgo'!$D$5:$D$9,MATCH(AJ120,'[3]02_Arquetipos_Miedo_Sesgo'!$A$5:$A$9,0)),"")</f>
        <v>Sesgo de disponibilidad + sesgo de negatividad + preferencia por autoridad.</v>
      </c>
      <c r="AM120" s="9" t="str">
        <f>IFERROR(INDEX('[3]02_Arquetipos_Miedo_Sesgo'!$E$5:$E$9,MATCH(AJ120,'[3]02_Arquetipos_Miedo_Sesgo'!$A$5:$A$9,0)),"")</f>
        <v>Seguridad, convivencia, movilidad, alumbrado, reacción institucional rápida, presencia de autoridad.</v>
      </c>
      <c r="AN120" s="9" t="str">
        <f t="shared" si="5"/>
        <v>Alta</v>
      </c>
      <c r="AO120" s="9" t="s">
        <v>608</v>
      </c>
    </row>
    <row r="121" spans="1:41" ht="43.2">
      <c r="A121" s="9" t="s">
        <v>218</v>
      </c>
      <c r="B121" s="9" t="s">
        <v>206</v>
      </c>
      <c r="C121" s="9" t="s">
        <v>219</v>
      </c>
      <c r="D121" s="10">
        <v>17257</v>
      </c>
      <c r="E121" s="10">
        <v>17072</v>
      </c>
      <c r="F121" s="10">
        <v>16036</v>
      </c>
      <c r="G121" s="9" t="s">
        <v>601</v>
      </c>
      <c r="H121" s="11">
        <v>0.92843483803673876</v>
      </c>
      <c r="I121" s="11">
        <v>0.90653068320101993</v>
      </c>
      <c r="J121" s="9" t="s">
        <v>602</v>
      </c>
      <c r="K121" s="11">
        <v>0.26798266166822871</v>
      </c>
      <c r="L121" s="11">
        <v>9.4775070290534225E-2</v>
      </c>
      <c r="M121" s="9" t="s">
        <v>603</v>
      </c>
      <c r="N121" s="11">
        <v>0.52294836617610374</v>
      </c>
      <c r="O121" s="11">
        <v>0.3436018957345971</v>
      </c>
      <c r="P121" s="12">
        <v>-0.41089999999999999</v>
      </c>
      <c r="Q121" s="9" t="s">
        <v>73</v>
      </c>
      <c r="R121" s="12">
        <v>0.45390000000000003</v>
      </c>
      <c r="S121" s="9" t="s">
        <v>75</v>
      </c>
      <c r="T121" s="12">
        <v>3.5099999999999999E-2</v>
      </c>
      <c r="U121" s="12">
        <v>0.3</v>
      </c>
      <c r="V121" s="9" t="s">
        <v>412</v>
      </c>
      <c r="W121" s="9" t="s">
        <v>604</v>
      </c>
      <c r="X121" s="9" t="s">
        <v>260</v>
      </c>
      <c r="Y121" s="9" t="s">
        <v>645</v>
      </c>
      <c r="Z121" s="9" t="s">
        <v>646</v>
      </c>
      <c r="AA121" s="9" t="s">
        <v>614</v>
      </c>
      <c r="AB121" s="11">
        <v>0.33663417693709341</v>
      </c>
      <c r="AC121" s="11">
        <v>0.20299736176414379</v>
      </c>
      <c r="AD121" s="11">
        <v>0.19673488916399889</v>
      </c>
      <c r="AE121" s="11">
        <v>6.4487270677068664E-2</v>
      </c>
      <c r="AF121" s="11">
        <v>0.1991463014576953</v>
      </c>
      <c r="AG121" s="9" t="str">
        <f t="shared" si="3"/>
        <v>Protección y orden cotidiano</v>
      </c>
      <c r="AH121" s="9" t="s">
        <v>615</v>
      </c>
      <c r="AI121" s="9"/>
      <c r="AJ121" s="9" t="str">
        <f t="shared" si="4"/>
        <v>Protección y orden cotidiano</v>
      </c>
      <c r="AK121" s="9" t="str">
        <f>IFERROR(INDEX('[3]02_Arquetipos_Miedo_Sesgo'!$C$5:$C$9,MATCH(AJ121,'[3]02_Arquetipos_Miedo_Sesgo'!$A$5:$A$9,0)),"")</f>
        <v>Miedo a la inseguridad, al descontrol barrial y a perder la tranquilidad cotidiana.</v>
      </c>
      <c r="AL121" s="9" t="str">
        <f>IFERROR(INDEX('[3]02_Arquetipos_Miedo_Sesgo'!$D$5:$D$9,MATCH(AJ121,'[3]02_Arquetipos_Miedo_Sesgo'!$A$5:$A$9,0)),"")</f>
        <v>Sesgo de disponibilidad + sesgo de negatividad + preferencia por autoridad.</v>
      </c>
      <c r="AM121" s="9" t="str">
        <f>IFERROR(INDEX('[3]02_Arquetipos_Miedo_Sesgo'!$E$5:$E$9,MATCH(AJ121,'[3]02_Arquetipos_Miedo_Sesgo'!$A$5:$A$9,0)),"")</f>
        <v>Seguridad, convivencia, movilidad, alumbrado, reacción institucional rápida, presencia de autoridad.</v>
      </c>
      <c r="AN121" s="9" t="str">
        <f t="shared" si="5"/>
        <v>Alta</v>
      </c>
      <c r="AO121" s="9" t="s">
        <v>608</v>
      </c>
    </row>
    <row r="122" spans="1:41" ht="43.2">
      <c r="A122" s="9" t="s">
        <v>220</v>
      </c>
      <c r="B122" s="9" t="s">
        <v>221</v>
      </c>
      <c r="C122" s="9" t="s">
        <v>222</v>
      </c>
      <c r="D122" s="10">
        <v>8010</v>
      </c>
      <c r="E122" s="10">
        <v>6921</v>
      </c>
      <c r="F122" s="10">
        <v>6337</v>
      </c>
      <c r="G122" s="9" t="s">
        <v>601</v>
      </c>
      <c r="H122" s="11">
        <v>0.8207240948813983</v>
      </c>
      <c r="I122" s="11">
        <v>0.73770287141073665</v>
      </c>
      <c r="J122" s="9" t="s">
        <v>602</v>
      </c>
      <c r="K122" s="11">
        <v>0.28146221644271058</v>
      </c>
      <c r="L122" s="11">
        <v>0.1235370611183355</v>
      </c>
      <c r="M122" s="9" t="s">
        <v>603</v>
      </c>
      <c r="N122" s="11">
        <v>0.35474199147861762</v>
      </c>
      <c r="O122" s="11">
        <v>0.11614328546630889</v>
      </c>
      <c r="P122" s="12">
        <v>-0.41089999999999999</v>
      </c>
      <c r="Q122" s="9" t="s">
        <v>73</v>
      </c>
      <c r="R122" s="12">
        <v>0.45390000000000003</v>
      </c>
      <c r="S122" s="9" t="s">
        <v>75</v>
      </c>
      <c r="T122" s="12">
        <v>3.5099999999999999E-2</v>
      </c>
      <c r="U122" s="12">
        <v>0.3</v>
      </c>
      <c r="V122" s="9" t="s">
        <v>412</v>
      </c>
      <c r="W122" s="9" t="s">
        <v>604</v>
      </c>
      <c r="X122" s="9" t="s">
        <v>60</v>
      </c>
      <c r="Y122" s="9" t="s">
        <v>645</v>
      </c>
      <c r="Z122" s="9" t="s">
        <v>647</v>
      </c>
      <c r="AA122" s="9" t="s">
        <v>614</v>
      </c>
      <c r="AB122" s="11">
        <v>0.2927960441931648</v>
      </c>
      <c r="AC122" s="11">
        <v>0.2164998238943108</v>
      </c>
      <c r="AD122" s="11">
        <v>0.1474963677519745</v>
      </c>
      <c r="AE122" s="11">
        <v>0.16365356414069099</v>
      </c>
      <c r="AF122" s="11">
        <v>0.179554200019859</v>
      </c>
      <c r="AG122" s="9" t="str">
        <f t="shared" si="3"/>
        <v>Protección y orden cotidiano</v>
      </c>
      <c r="AH122" s="9" t="s">
        <v>615</v>
      </c>
      <c r="AI122" s="9"/>
      <c r="AJ122" s="9" t="str">
        <f t="shared" si="4"/>
        <v>Protección y orden cotidiano</v>
      </c>
      <c r="AK122" s="9" t="str">
        <f>IFERROR(INDEX('[3]02_Arquetipos_Miedo_Sesgo'!$C$5:$C$9,MATCH(AJ122,'[3]02_Arquetipos_Miedo_Sesgo'!$A$5:$A$9,0)),"")</f>
        <v>Miedo a la inseguridad, al descontrol barrial y a perder la tranquilidad cotidiana.</v>
      </c>
      <c r="AL122" s="9" t="str">
        <f>IFERROR(INDEX('[3]02_Arquetipos_Miedo_Sesgo'!$D$5:$D$9,MATCH(AJ122,'[3]02_Arquetipos_Miedo_Sesgo'!$A$5:$A$9,0)),"")</f>
        <v>Sesgo de disponibilidad + sesgo de negatividad + preferencia por autoridad.</v>
      </c>
      <c r="AM122" s="9" t="str">
        <f>IFERROR(INDEX('[3]02_Arquetipos_Miedo_Sesgo'!$E$5:$E$9,MATCH(AJ122,'[3]02_Arquetipos_Miedo_Sesgo'!$A$5:$A$9,0)),"")</f>
        <v>Seguridad, convivencia, movilidad, alumbrado, reacción institucional rápida, presencia de autoridad.</v>
      </c>
      <c r="AN122" s="9" t="str">
        <f t="shared" si="5"/>
        <v>Alta</v>
      </c>
      <c r="AO122" s="9" t="s">
        <v>608</v>
      </c>
    </row>
    <row r="123" spans="1:41" ht="43.2">
      <c r="A123" s="9" t="s">
        <v>229</v>
      </c>
      <c r="B123" s="9" t="s">
        <v>221</v>
      </c>
      <c r="C123" s="9" t="s">
        <v>230</v>
      </c>
      <c r="D123" s="10">
        <v>3998</v>
      </c>
      <c r="E123" s="10">
        <v>3646</v>
      </c>
      <c r="F123" s="10">
        <v>3293</v>
      </c>
      <c r="G123" s="9" t="s">
        <v>601</v>
      </c>
      <c r="H123" s="11">
        <v>0.79964982491245618</v>
      </c>
      <c r="I123" s="11">
        <v>0.69709854927463732</v>
      </c>
      <c r="J123" s="9" t="s">
        <v>602</v>
      </c>
      <c r="K123" s="11">
        <v>0.27070762479429511</v>
      </c>
      <c r="L123" s="11">
        <v>0.10010970927043331</v>
      </c>
      <c r="M123" s="9" t="s">
        <v>603</v>
      </c>
      <c r="N123" s="11">
        <v>0.38171879744913451</v>
      </c>
      <c r="O123" s="11">
        <v>0.1888855147282113</v>
      </c>
      <c r="P123" s="12">
        <v>-0.41089999999999999</v>
      </c>
      <c r="Q123" s="9" t="s">
        <v>73</v>
      </c>
      <c r="R123" s="12">
        <v>0.45390000000000003</v>
      </c>
      <c r="S123" s="9" t="s">
        <v>75</v>
      </c>
      <c r="T123" s="12">
        <v>3.5099999999999999E-2</v>
      </c>
      <c r="U123" s="12">
        <v>0.3</v>
      </c>
      <c r="V123" s="9" t="s">
        <v>412</v>
      </c>
      <c r="W123" s="9" t="s">
        <v>604</v>
      </c>
      <c r="X123" s="9" t="s">
        <v>60</v>
      </c>
      <c r="Y123" s="9" t="s">
        <v>645</v>
      </c>
      <c r="Z123" s="9" t="s">
        <v>647</v>
      </c>
      <c r="AA123" s="9" t="s">
        <v>614</v>
      </c>
      <c r="AB123" s="11">
        <v>0.28535671682419411</v>
      </c>
      <c r="AC123" s="11">
        <v>0.22713318379056741</v>
      </c>
      <c r="AD123" s="11">
        <v>0.1639596849348928</v>
      </c>
      <c r="AE123" s="11">
        <v>0.1348584958241881</v>
      </c>
      <c r="AF123" s="11">
        <v>0.18869191862615739</v>
      </c>
      <c r="AG123" s="9" t="str">
        <f t="shared" si="3"/>
        <v>Protección y orden cotidiano</v>
      </c>
      <c r="AH123" s="9" t="s">
        <v>615</v>
      </c>
      <c r="AI123" s="9"/>
      <c r="AJ123" s="9" t="str">
        <f t="shared" si="4"/>
        <v>Protección y orden cotidiano</v>
      </c>
      <c r="AK123" s="9" t="str">
        <f>IFERROR(INDEX('[3]02_Arquetipos_Miedo_Sesgo'!$C$5:$C$9,MATCH(AJ123,'[3]02_Arquetipos_Miedo_Sesgo'!$A$5:$A$9,0)),"")</f>
        <v>Miedo a la inseguridad, al descontrol barrial y a perder la tranquilidad cotidiana.</v>
      </c>
      <c r="AL123" s="9" t="str">
        <f>IFERROR(INDEX('[3]02_Arquetipos_Miedo_Sesgo'!$D$5:$D$9,MATCH(AJ123,'[3]02_Arquetipos_Miedo_Sesgo'!$A$5:$A$9,0)),"")</f>
        <v>Sesgo de disponibilidad + sesgo de negatividad + preferencia por autoridad.</v>
      </c>
      <c r="AM123" s="9" t="str">
        <f>IFERROR(INDEX('[3]02_Arquetipos_Miedo_Sesgo'!$E$5:$E$9,MATCH(AJ123,'[3]02_Arquetipos_Miedo_Sesgo'!$A$5:$A$9,0)),"")</f>
        <v>Seguridad, convivencia, movilidad, alumbrado, reacción institucional rápida, presencia de autoridad.</v>
      </c>
      <c r="AN123" s="9" t="str">
        <f t="shared" si="5"/>
        <v>Alta</v>
      </c>
      <c r="AO123" s="9" t="s">
        <v>608</v>
      </c>
    </row>
    <row r="124" spans="1:41" ht="43.2">
      <c r="A124" s="9" t="s">
        <v>231</v>
      </c>
      <c r="B124" s="9" t="s">
        <v>221</v>
      </c>
      <c r="C124" s="9" t="s">
        <v>232</v>
      </c>
      <c r="D124" s="10">
        <v>7595</v>
      </c>
      <c r="E124" s="10">
        <v>6714</v>
      </c>
      <c r="F124" s="10">
        <v>5984</v>
      </c>
      <c r="G124" s="9" t="s">
        <v>601</v>
      </c>
      <c r="H124" s="11">
        <v>0.82567478604344968</v>
      </c>
      <c r="I124" s="11">
        <v>0.73548387096774204</v>
      </c>
      <c r="J124" s="9" t="s">
        <v>602</v>
      </c>
      <c r="K124" s="11">
        <v>0.28760798331843912</v>
      </c>
      <c r="L124" s="11">
        <v>0.12645218945487041</v>
      </c>
      <c r="M124" s="9" t="s">
        <v>603</v>
      </c>
      <c r="N124" s="11">
        <v>0.41209893048128338</v>
      </c>
      <c r="O124" s="11">
        <v>0.24448529411764711</v>
      </c>
      <c r="P124" s="12">
        <v>-0.41089999999999999</v>
      </c>
      <c r="Q124" s="9" t="s">
        <v>73</v>
      </c>
      <c r="R124" s="12">
        <v>0.45390000000000003</v>
      </c>
      <c r="S124" s="9" t="s">
        <v>75</v>
      </c>
      <c r="T124" s="12">
        <v>3.5099999999999999E-2</v>
      </c>
      <c r="U124" s="12">
        <v>0.3</v>
      </c>
      <c r="V124" s="9" t="s">
        <v>412</v>
      </c>
      <c r="W124" s="9" t="s">
        <v>604</v>
      </c>
      <c r="X124" s="9" t="s">
        <v>60</v>
      </c>
      <c r="Y124" s="9" t="s">
        <v>645</v>
      </c>
      <c r="Z124" s="9" t="s">
        <v>647</v>
      </c>
      <c r="AA124" s="9" t="s">
        <v>614</v>
      </c>
      <c r="AB124" s="11">
        <v>0.29170025630937579</v>
      </c>
      <c r="AC124" s="11">
        <v>0.2078138878136456</v>
      </c>
      <c r="AD124" s="11">
        <v>0.1748897852078321</v>
      </c>
      <c r="AE124" s="11">
        <v>0.1479489892659003</v>
      </c>
      <c r="AF124" s="11">
        <v>0.17764708140324609</v>
      </c>
      <c r="AG124" s="9" t="str">
        <f t="shared" si="3"/>
        <v>Protección y orden cotidiano</v>
      </c>
      <c r="AH124" s="9" t="s">
        <v>615</v>
      </c>
      <c r="AI124" s="9"/>
      <c r="AJ124" s="9" t="str">
        <f t="shared" si="4"/>
        <v>Protección y orden cotidiano</v>
      </c>
      <c r="AK124" s="9" t="str">
        <f>IFERROR(INDEX('[3]02_Arquetipos_Miedo_Sesgo'!$C$5:$C$9,MATCH(AJ124,'[3]02_Arquetipos_Miedo_Sesgo'!$A$5:$A$9,0)),"")</f>
        <v>Miedo a la inseguridad, al descontrol barrial y a perder la tranquilidad cotidiana.</v>
      </c>
      <c r="AL124" s="9" t="str">
        <f>IFERROR(INDEX('[3]02_Arquetipos_Miedo_Sesgo'!$D$5:$D$9,MATCH(AJ124,'[3]02_Arquetipos_Miedo_Sesgo'!$A$5:$A$9,0)),"")</f>
        <v>Sesgo de disponibilidad + sesgo de negatividad + preferencia por autoridad.</v>
      </c>
      <c r="AM124" s="9" t="str">
        <f>IFERROR(INDEX('[3]02_Arquetipos_Miedo_Sesgo'!$E$5:$E$9,MATCH(AJ124,'[3]02_Arquetipos_Miedo_Sesgo'!$A$5:$A$9,0)),"")</f>
        <v>Seguridad, convivencia, movilidad, alumbrado, reacción institucional rápida, presencia de autoridad.</v>
      </c>
      <c r="AN124" s="9" t="str">
        <f t="shared" si="5"/>
        <v>Alta</v>
      </c>
      <c r="AO124" s="9" t="s">
        <v>608</v>
      </c>
    </row>
    <row r="125" spans="1:41" ht="43.2">
      <c r="A125" s="9" t="s">
        <v>233</v>
      </c>
      <c r="B125" s="9" t="s">
        <v>221</v>
      </c>
      <c r="C125" s="9" t="s">
        <v>234</v>
      </c>
      <c r="D125" s="10">
        <v>8570</v>
      </c>
      <c r="E125" s="10">
        <v>7496</v>
      </c>
      <c r="F125" s="10">
        <v>6600</v>
      </c>
      <c r="G125" s="9" t="s">
        <v>601</v>
      </c>
      <c r="H125" s="11">
        <v>0.79241540256709453</v>
      </c>
      <c r="I125" s="11">
        <v>0.68308051341890319</v>
      </c>
      <c r="J125" s="9" t="s">
        <v>602</v>
      </c>
      <c r="K125" s="11">
        <v>0.28041622198505872</v>
      </c>
      <c r="L125" s="11">
        <v>0.1328708644610459</v>
      </c>
      <c r="M125" s="9" t="s">
        <v>603</v>
      </c>
      <c r="N125" s="11">
        <v>0.3984848484848485</v>
      </c>
      <c r="O125" s="11">
        <v>0.16681818181818181</v>
      </c>
      <c r="P125" s="12">
        <v>-0.41089999999999999</v>
      </c>
      <c r="Q125" s="9" t="s">
        <v>73</v>
      </c>
      <c r="R125" s="12">
        <v>0.45390000000000003</v>
      </c>
      <c r="S125" s="9" t="s">
        <v>75</v>
      </c>
      <c r="T125" s="12">
        <v>3.5099999999999999E-2</v>
      </c>
      <c r="U125" s="12">
        <v>0.3</v>
      </c>
      <c r="V125" s="9" t="s">
        <v>412</v>
      </c>
      <c r="W125" s="9" t="s">
        <v>604</v>
      </c>
      <c r="X125" s="9" t="s">
        <v>60</v>
      </c>
      <c r="Y125" s="9" t="s">
        <v>645</v>
      </c>
      <c r="Z125" s="9" t="s">
        <v>647</v>
      </c>
      <c r="AA125" s="9" t="s">
        <v>614</v>
      </c>
      <c r="AB125" s="11">
        <v>0.27789993079002012</v>
      </c>
      <c r="AC125" s="11">
        <v>0.21774474085486209</v>
      </c>
      <c r="AD125" s="11">
        <v>0.1546802384857319</v>
      </c>
      <c r="AE125" s="11">
        <v>0.16989378521847459</v>
      </c>
      <c r="AF125" s="11">
        <v>0.17978130465091141</v>
      </c>
      <c r="AG125" s="9" t="str">
        <f t="shared" si="3"/>
        <v>Protección y orden cotidiano</v>
      </c>
      <c r="AH125" s="9" t="s">
        <v>615</v>
      </c>
      <c r="AI125" s="9"/>
      <c r="AJ125" s="9" t="str">
        <f t="shared" si="4"/>
        <v>Protección y orden cotidiano</v>
      </c>
      <c r="AK125" s="9" t="str">
        <f>IFERROR(INDEX('[3]02_Arquetipos_Miedo_Sesgo'!$C$5:$C$9,MATCH(AJ125,'[3]02_Arquetipos_Miedo_Sesgo'!$A$5:$A$9,0)),"")</f>
        <v>Miedo a la inseguridad, al descontrol barrial y a perder la tranquilidad cotidiana.</v>
      </c>
      <c r="AL125" s="9" t="str">
        <f>IFERROR(INDEX('[3]02_Arquetipos_Miedo_Sesgo'!$D$5:$D$9,MATCH(AJ125,'[3]02_Arquetipos_Miedo_Sesgo'!$A$5:$A$9,0)),"")</f>
        <v>Sesgo de disponibilidad + sesgo de negatividad + preferencia por autoridad.</v>
      </c>
      <c r="AM125" s="9" t="str">
        <f>IFERROR(INDEX('[3]02_Arquetipos_Miedo_Sesgo'!$E$5:$E$9,MATCH(AJ125,'[3]02_Arquetipos_Miedo_Sesgo'!$A$5:$A$9,0)),"")</f>
        <v>Seguridad, convivencia, movilidad, alumbrado, reacción institucional rápida, presencia de autoridad.</v>
      </c>
      <c r="AN125" s="9" t="str">
        <f t="shared" si="5"/>
        <v>Alta</v>
      </c>
      <c r="AO125" s="9" t="s">
        <v>608</v>
      </c>
    </row>
    <row r="126" spans="1:41" ht="43.2">
      <c r="A126" s="9" t="s">
        <v>95</v>
      </c>
      <c r="B126" s="9" t="s">
        <v>96</v>
      </c>
      <c r="C126" s="9" t="s">
        <v>97</v>
      </c>
      <c r="D126" s="10">
        <v>10124</v>
      </c>
      <c r="E126" s="10">
        <v>9631</v>
      </c>
      <c r="F126" s="10">
        <v>8389</v>
      </c>
      <c r="G126" s="9" t="s">
        <v>601</v>
      </c>
      <c r="H126" s="11">
        <v>0.87050572896088507</v>
      </c>
      <c r="I126" s="11">
        <v>0.81617937574081401</v>
      </c>
      <c r="J126" s="9" t="s">
        <v>602</v>
      </c>
      <c r="K126" s="11">
        <v>0.27608763368289901</v>
      </c>
      <c r="L126" s="11">
        <v>0.1104765860242965</v>
      </c>
      <c r="M126" s="9" t="s">
        <v>603</v>
      </c>
      <c r="N126" s="11">
        <v>0.47073548694719269</v>
      </c>
      <c r="O126" s="11">
        <v>0.29026105614495168</v>
      </c>
      <c r="P126" s="12">
        <v>-0.41089999999999999</v>
      </c>
      <c r="Q126" s="9" t="s">
        <v>73</v>
      </c>
      <c r="R126" s="12">
        <v>0.45390000000000003</v>
      </c>
      <c r="S126" s="9" t="s">
        <v>75</v>
      </c>
      <c r="T126" s="12">
        <v>3.5099999999999999E-2</v>
      </c>
      <c r="U126" s="12">
        <v>0.3</v>
      </c>
      <c r="V126" s="9" t="s">
        <v>412</v>
      </c>
      <c r="W126" s="9" t="s">
        <v>604</v>
      </c>
      <c r="X126" s="9" t="s">
        <v>60</v>
      </c>
      <c r="Y126" s="9" t="s">
        <v>645</v>
      </c>
      <c r="Z126" s="9" t="s">
        <v>648</v>
      </c>
      <c r="AA126" s="9" t="s">
        <v>614</v>
      </c>
      <c r="AB126" s="11">
        <v>0.31817287739779598</v>
      </c>
      <c r="AC126" s="11">
        <v>0.19920056990383381</v>
      </c>
      <c r="AD126" s="11">
        <v>0.18927278547511259</v>
      </c>
      <c r="AE126" s="11">
        <v>0.1073812470864674</v>
      </c>
      <c r="AF126" s="11">
        <v>0.18597252013679019</v>
      </c>
      <c r="AG126" s="9" t="str">
        <f t="shared" si="3"/>
        <v>Protección y orden cotidiano</v>
      </c>
      <c r="AH126" s="9" t="s">
        <v>615</v>
      </c>
      <c r="AI126" s="9"/>
      <c r="AJ126" s="9" t="str">
        <f t="shared" si="4"/>
        <v>Protección y orden cotidiano</v>
      </c>
      <c r="AK126" s="9" t="str">
        <f>IFERROR(INDEX('[3]02_Arquetipos_Miedo_Sesgo'!$C$5:$C$9,MATCH(AJ126,'[3]02_Arquetipos_Miedo_Sesgo'!$A$5:$A$9,0)),"")</f>
        <v>Miedo a la inseguridad, al descontrol barrial y a perder la tranquilidad cotidiana.</v>
      </c>
      <c r="AL126" s="9" t="str">
        <f>IFERROR(INDEX('[3]02_Arquetipos_Miedo_Sesgo'!$D$5:$D$9,MATCH(AJ126,'[3]02_Arquetipos_Miedo_Sesgo'!$A$5:$A$9,0)),"")</f>
        <v>Sesgo de disponibilidad + sesgo de negatividad + preferencia por autoridad.</v>
      </c>
      <c r="AM126" s="9" t="str">
        <f>IFERROR(INDEX('[3]02_Arquetipos_Miedo_Sesgo'!$E$5:$E$9,MATCH(AJ126,'[3]02_Arquetipos_Miedo_Sesgo'!$A$5:$A$9,0)),"")</f>
        <v>Seguridad, convivencia, movilidad, alumbrado, reacción institucional rápida, presencia de autoridad.</v>
      </c>
      <c r="AN126" s="9" t="str">
        <f t="shared" si="5"/>
        <v>Alta</v>
      </c>
      <c r="AO126" s="9" t="s">
        <v>608</v>
      </c>
    </row>
    <row r="127" spans="1:41" ht="43.2">
      <c r="A127" s="9" t="s">
        <v>104</v>
      </c>
      <c r="B127" s="9" t="s">
        <v>96</v>
      </c>
      <c r="C127" s="9" t="s">
        <v>105</v>
      </c>
      <c r="D127" s="10">
        <v>2147</v>
      </c>
      <c r="E127" s="10">
        <v>1998</v>
      </c>
      <c r="F127" s="10">
        <v>1655</v>
      </c>
      <c r="G127" s="9" t="s">
        <v>601</v>
      </c>
      <c r="H127" s="11">
        <v>0.77689799720540287</v>
      </c>
      <c r="I127" s="11">
        <v>0.68374476013041452</v>
      </c>
      <c r="J127" s="9" t="s">
        <v>602</v>
      </c>
      <c r="K127" s="11">
        <v>0.30630630630630629</v>
      </c>
      <c r="L127" s="11">
        <v>0.18318318318318319</v>
      </c>
      <c r="M127" s="9" t="s">
        <v>603</v>
      </c>
      <c r="N127" s="11">
        <v>0.44108761329305141</v>
      </c>
      <c r="O127" s="11">
        <v>0.22658610271903321</v>
      </c>
      <c r="P127" s="12">
        <v>-0.41089999999999999</v>
      </c>
      <c r="Q127" s="9" t="s">
        <v>73</v>
      </c>
      <c r="R127" s="12">
        <v>0.45390000000000003</v>
      </c>
      <c r="S127" s="9" t="s">
        <v>75</v>
      </c>
      <c r="T127" s="12">
        <v>3.5099999999999999E-2</v>
      </c>
      <c r="U127" s="12">
        <v>0.3</v>
      </c>
      <c r="V127" s="9" t="s">
        <v>412</v>
      </c>
      <c r="W127" s="9" t="s">
        <v>604</v>
      </c>
      <c r="X127" s="9" t="s">
        <v>60</v>
      </c>
      <c r="Y127" s="9" t="s">
        <v>645</v>
      </c>
      <c r="Z127" s="9" t="s">
        <v>648</v>
      </c>
      <c r="AA127" s="9" t="s">
        <v>614</v>
      </c>
      <c r="AB127" s="11">
        <v>0.29184792525449921</v>
      </c>
      <c r="AC127" s="11">
        <v>0.2139718850780572</v>
      </c>
      <c r="AD127" s="11">
        <v>0.18047355055869191</v>
      </c>
      <c r="AE127" s="11">
        <v>0.1259138202471356</v>
      </c>
      <c r="AF127" s="11">
        <v>0.1877928188616162</v>
      </c>
      <c r="AG127" s="9" t="str">
        <f t="shared" si="3"/>
        <v>Protección y orden cotidiano</v>
      </c>
      <c r="AH127" s="9" t="s">
        <v>615</v>
      </c>
      <c r="AI127" s="9"/>
      <c r="AJ127" s="9" t="str">
        <f t="shared" si="4"/>
        <v>Protección y orden cotidiano</v>
      </c>
      <c r="AK127" s="9" t="str">
        <f>IFERROR(INDEX('[3]02_Arquetipos_Miedo_Sesgo'!$C$5:$C$9,MATCH(AJ127,'[3]02_Arquetipos_Miedo_Sesgo'!$A$5:$A$9,0)),"")</f>
        <v>Miedo a la inseguridad, al descontrol barrial y a perder la tranquilidad cotidiana.</v>
      </c>
      <c r="AL127" s="9" t="str">
        <f>IFERROR(INDEX('[3]02_Arquetipos_Miedo_Sesgo'!$D$5:$D$9,MATCH(AJ127,'[3]02_Arquetipos_Miedo_Sesgo'!$A$5:$A$9,0)),"")</f>
        <v>Sesgo de disponibilidad + sesgo de negatividad + preferencia por autoridad.</v>
      </c>
      <c r="AM127" s="9" t="str">
        <f>IFERROR(INDEX('[3]02_Arquetipos_Miedo_Sesgo'!$E$5:$E$9,MATCH(AJ127,'[3]02_Arquetipos_Miedo_Sesgo'!$A$5:$A$9,0)),"")</f>
        <v>Seguridad, convivencia, movilidad, alumbrado, reacción institucional rápida, presencia de autoridad.</v>
      </c>
      <c r="AN127" s="9" t="str">
        <f t="shared" si="5"/>
        <v>Alta</v>
      </c>
      <c r="AO127" s="9" t="s">
        <v>608</v>
      </c>
    </row>
    <row r="128" spans="1:41" ht="43.2">
      <c r="A128" s="9" t="s">
        <v>106</v>
      </c>
      <c r="B128" s="9" t="s">
        <v>96</v>
      </c>
      <c r="C128" s="9" t="s">
        <v>96</v>
      </c>
      <c r="D128" s="10">
        <v>6410</v>
      </c>
      <c r="E128" s="10">
        <v>5928</v>
      </c>
      <c r="F128" s="10">
        <v>5019</v>
      </c>
      <c r="G128" s="9" t="s">
        <v>601</v>
      </c>
      <c r="H128" s="11">
        <v>0.80717628705148203</v>
      </c>
      <c r="I128" s="11">
        <v>0.71528861154446177</v>
      </c>
      <c r="J128" s="9" t="s">
        <v>602</v>
      </c>
      <c r="K128" s="11">
        <v>0.29706477732793518</v>
      </c>
      <c r="L128" s="11">
        <v>0.1503036437246964</v>
      </c>
      <c r="M128" s="9" t="s">
        <v>603</v>
      </c>
      <c r="N128" s="11">
        <v>0.42359035664474998</v>
      </c>
      <c r="O128" s="11">
        <v>0.23391113767682811</v>
      </c>
      <c r="P128" s="12">
        <v>-0.41089999999999999</v>
      </c>
      <c r="Q128" s="9" t="s">
        <v>73</v>
      </c>
      <c r="R128" s="12">
        <v>0.45390000000000003</v>
      </c>
      <c r="S128" s="9" t="s">
        <v>75</v>
      </c>
      <c r="T128" s="12">
        <v>3.5099999999999999E-2</v>
      </c>
      <c r="U128" s="12">
        <v>0.3</v>
      </c>
      <c r="V128" s="9" t="s">
        <v>412</v>
      </c>
      <c r="W128" s="9" t="s">
        <v>604</v>
      </c>
      <c r="X128" s="9" t="s">
        <v>60</v>
      </c>
      <c r="Y128" s="9" t="s">
        <v>645</v>
      </c>
      <c r="Z128" s="9" t="s">
        <v>648</v>
      </c>
      <c r="AA128" s="9" t="s">
        <v>614</v>
      </c>
      <c r="AB128" s="11">
        <v>0.29039183708241267</v>
      </c>
      <c r="AC128" s="11">
        <v>0.2094708790740262</v>
      </c>
      <c r="AD128" s="11">
        <v>0.1737124207900583</v>
      </c>
      <c r="AE128" s="11">
        <v>0.14801456491404841</v>
      </c>
      <c r="AF128" s="11">
        <v>0.17841029813945439</v>
      </c>
      <c r="AG128" s="9" t="str">
        <f t="shared" si="3"/>
        <v>Protección y orden cotidiano</v>
      </c>
      <c r="AH128" s="9" t="s">
        <v>615</v>
      </c>
      <c r="AI128" s="9"/>
      <c r="AJ128" s="9" t="str">
        <f t="shared" si="4"/>
        <v>Protección y orden cotidiano</v>
      </c>
      <c r="AK128" s="9" t="str">
        <f>IFERROR(INDEX('[3]02_Arquetipos_Miedo_Sesgo'!$C$5:$C$9,MATCH(AJ128,'[3]02_Arquetipos_Miedo_Sesgo'!$A$5:$A$9,0)),"")</f>
        <v>Miedo a la inseguridad, al descontrol barrial y a perder la tranquilidad cotidiana.</v>
      </c>
      <c r="AL128" s="9" t="str">
        <f>IFERROR(INDEX('[3]02_Arquetipos_Miedo_Sesgo'!$D$5:$D$9,MATCH(AJ128,'[3]02_Arquetipos_Miedo_Sesgo'!$A$5:$A$9,0)),"")</f>
        <v>Sesgo de disponibilidad + sesgo de negatividad + preferencia por autoridad.</v>
      </c>
      <c r="AM128" s="9" t="str">
        <f>IFERROR(INDEX('[3]02_Arquetipos_Miedo_Sesgo'!$E$5:$E$9,MATCH(AJ128,'[3]02_Arquetipos_Miedo_Sesgo'!$A$5:$A$9,0)),"")</f>
        <v>Seguridad, convivencia, movilidad, alumbrado, reacción institucional rápida, presencia de autoridad.</v>
      </c>
      <c r="AN128" s="9" t="str">
        <f t="shared" si="5"/>
        <v>Alta</v>
      </c>
      <c r="AO128" s="9" t="s">
        <v>608</v>
      </c>
    </row>
    <row r="129" spans="1:41" ht="43.2">
      <c r="A129" s="9" t="s">
        <v>496</v>
      </c>
      <c r="B129" s="9" t="s">
        <v>96</v>
      </c>
      <c r="C129" s="9" t="s">
        <v>497</v>
      </c>
      <c r="D129" s="10">
        <v>1448</v>
      </c>
      <c r="E129" s="10">
        <v>1351</v>
      </c>
      <c r="F129" s="10">
        <v>1184</v>
      </c>
      <c r="G129" s="9" t="s">
        <v>601</v>
      </c>
      <c r="H129" s="11">
        <v>0.824585635359116</v>
      </c>
      <c r="I129" s="11">
        <v>0.74654696132596687</v>
      </c>
      <c r="J129" s="9" t="s">
        <v>602</v>
      </c>
      <c r="K129" s="11">
        <v>0.27239082161361949</v>
      </c>
      <c r="L129" s="11">
        <v>0.1169504071058475</v>
      </c>
      <c r="M129" s="9" t="s">
        <v>603</v>
      </c>
      <c r="N129" s="11">
        <v>0.39189189189189189</v>
      </c>
      <c r="O129" s="11">
        <v>0.19341216216216209</v>
      </c>
      <c r="P129" s="12">
        <v>-0.41089999999999999</v>
      </c>
      <c r="Q129" s="9" t="s">
        <v>73</v>
      </c>
      <c r="R129" s="12">
        <v>0.45390000000000003</v>
      </c>
      <c r="S129" s="9" t="s">
        <v>75</v>
      </c>
      <c r="T129" s="12">
        <v>3.5099999999999999E-2</v>
      </c>
      <c r="U129" s="12">
        <v>0.3</v>
      </c>
      <c r="V129" s="9" t="s">
        <v>412</v>
      </c>
      <c r="W129" s="9" t="s">
        <v>604</v>
      </c>
      <c r="X129" s="9" t="s">
        <v>60</v>
      </c>
      <c r="Y129" s="9" t="s">
        <v>645</v>
      </c>
      <c r="Z129" s="9" t="s">
        <v>648</v>
      </c>
      <c r="AA129" s="9" t="s">
        <v>614</v>
      </c>
      <c r="AB129" s="11">
        <v>0.29955115875800642</v>
      </c>
      <c r="AC129" s="11">
        <v>0.20919398512767851</v>
      </c>
      <c r="AD129" s="11">
        <v>0.16634343772122251</v>
      </c>
      <c r="AE129" s="11">
        <v>0.1462231881721428</v>
      </c>
      <c r="AF129" s="11">
        <v>0.1786882302209499</v>
      </c>
      <c r="AG129" s="9" t="str">
        <f t="shared" si="3"/>
        <v>Protección y orden cotidiano</v>
      </c>
      <c r="AH129" s="9" t="s">
        <v>615</v>
      </c>
      <c r="AI129" s="9"/>
      <c r="AJ129" s="9" t="str">
        <f t="shared" si="4"/>
        <v>Protección y orden cotidiano</v>
      </c>
      <c r="AK129" s="9" t="str">
        <f>IFERROR(INDEX('[3]02_Arquetipos_Miedo_Sesgo'!$C$5:$C$9,MATCH(AJ129,'[3]02_Arquetipos_Miedo_Sesgo'!$A$5:$A$9,0)),"")</f>
        <v>Miedo a la inseguridad, al descontrol barrial y a perder la tranquilidad cotidiana.</v>
      </c>
      <c r="AL129" s="9" t="str">
        <f>IFERROR(INDEX('[3]02_Arquetipos_Miedo_Sesgo'!$D$5:$D$9,MATCH(AJ129,'[3]02_Arquetipos_Miedo_Sesgo'!$A$5:$A$9,0)),"")</f>
        <v>Sesgo de disponibilidad + sesgo de negatividad + preferencia por autoridad.</v>
      </c>
      <c r="AM129" s="9" t="str">
        <f>IFERROR(INDEX('[3]02_Arquetipos_Miedo_Sesgo'!$E$5:$E$9,MATCH(AJ129,'[3]02_Arquetipos_Miedo_Sesgo'!$A$5:$A$9,0)),"")</f>
        <v>Seguridad, convivencia, movilidad, alumbrado, reacción institucional rápida, presencia de autoridad.</v>
      </c>
      <c r="AN129" s="9" t="str">
        <f t="shared" si="5"/>
        <v>Alta</v>
      </c>
      <c r="AO129" s="9" t="s">
        <v>608</v>
      </c>
    </row>
    <row r="130" spans="1:41" ht="43.2">
      <c r="A130" s="9" t="s">
        <v>107</v>
      </c>
      <c r="B130" s="9" t="s">
        <v>96</v>
      </c>
      <c r="C130" s="9" t="s">
        <v>108</v>
      </c>
      <c r="D130" s="10">
        <v>5157</v>
      </c>
      <c r="E130" s="10">
        <v>4589</v>
      </c>
      <c r="F130" s="10">
        <v>3980</v>
      </c>
      <c r="G130" s="9" t="s">
        <v>601</v>
      </c>
      <c r="H130" s="11">
        <v>0.83265464417296875</v>
      </c>
      <c r="I130" s="11">
        <v>0.75063021136319563</v>
      </c>
      <c r="J130" s="9" t="s">
        <v>602</v>
      </c>
      <c r="K130" s="11">
        <v>0.26236652865548049</v>
      </c>
      <c r="L130" s="11">
        <v>0.10808455001089561</v>
      </c>
      <c r="M130" s="9" t="s">
        <v>603</v>
      </c>
      <c r="N130" s="11">
        <v>0.34195979899497492</v>
      </c>
      <c r="O130" s="11">
        <v>0.1135678391959799</v>
      </c>
      <c r="P130" s="12">
        <v>-0.41089999999999999</v>
      </c>
      <c r="Q130" s="9" t="s">
        <v>73</v>
      </c>
      <c r="R130" s="12">
        <v>0.45390000000000003</v>
      </c>
      <c r="S130" s="9" t="s">
        <v>75</v>
      </c>
      <c r="T130" s="12">
        <v>3.5099999999999999E-2</v>
      </c>
      <c r="U130" s="12">
        <v>0.3</v>
      </c>
      <c r="V130" s="9" t="s">
        <v>412</v>
      </c>
      <c r="W130" s="9" t="s">
        <v>604</v>
      </c>
      <c r="X130" s="9" t="s">
        <v>60</v>
      </c>
      <c r="Y130" s="9" t="s">
        <v>645</v>
      </c>
      <c r="Z130" s="9" t="s">
        <v>648</v>
      </c>
      <c r="AA130" s="9" t="s">
        <v>614</v>
      </c>
      <c r="AB130" s="11">
        <v>0.30079158976114417</v>
      </c>
      <c r="AC130" s="11">
        <v>0.2181357337711784</v>
      </c>
      <c r="AD130" s="11">
        <v>0.1484556107284781</v>
      </c>
      <c r="AE130" s="11">
        <v>0.15243619138275921</v>
      </c>
      <c r="AF130" s="11">
        <v>0.1801808743564402</v>
      </c>
      <c r="AG130" s="9" t="str">
        <f t="shared" ref="AG130:AG153" si="6">CHOOSE(MATCH(MAX(AB130:AF130),AB130:AF130,0),"Protección y orden cotidiano","Estabilidad y continuidad","Supervivencia económica y servicios básicos","Desconfianza y castigo","Pertenencia y dignidad territorial")</f>
        <v>Protección y orden cotidiano</v>
      </c>
      <c r="AH130" s="9" t="s">
        <v>615</v>
      </c>
      <c r="AI130" s="9"/>
      <c r="AJ130" s="9" t="str">
        <f t="shared" ref="AJ130:AJ153" si="7">IF(AI130&lt;&gt;"",AI130,AG130)</f>
        <v>Protección y orden cotidiano</v>
      </c>
      <c r="AK130" s="9" t="str">
        <f>IFERROR(INDEX('[3]02_Arquetipos_Miedo_Sesgo'!$C$5:$C$9,MATCH(AJ130,'[3]02_Arquetipos_Miedo_Sesgo'!$A$5:$A$9,0)),"")</f>
        <v>Miedo a la inseguridad, al descontrol barrial y a perder la tranquilidad cotidiana.</v>
      </c>
      <c r="AL130" s="9" t="str">
        <f>IFERROR(INDEX('[3]02_Arquetipos_Miedo_Sesgo'!$D$5:$D$9,MATCH(AJ130,'[3]02_Arquetipos_Miedo_Sesgo'!$A$5:$A$9,0)),"")</f>
        <v>Sesgo de disponibilidad + sesgo de negatividad + preferencia por autoridad.</v>
      </c>
      <c r="AM130" s="9" t="str">
        <f>IFERROR(INDEX('[3]02_Arquetipos_Miedo_Sesgo'!$E$5:$E$9,MATCH(AJ130,'[3]02_Arquetipos_Miedo_Sesgo'!$A$5:$A$9,0)),"")</f>
        <v>Seguridad, convivencia, movilidad, alumbrado, reacción institucional rápida, presencia de autoridad.</v>
      </c>
      <c r="AN130" s="9" t="str">
        <f t="shared" ref="AN130:AN153" si="8">IF(OR(X130="Extremo",X130="Alto",X130="Medio-Alto"),"Alta",IF(X130="Medio","Media",IF(X130="Bajo","Baja","Sin clasificar")))</f>
        <v>Alta</v>
      </c>
      <c r="AO130" s="9" t="s">
        <v>608</v>
      </c>
    </row>
    <row r="131" spans="1:41" ht="43.2">
      <c r="A131" s="9" t="s">
        <v>109</v>
      </c>
      <c r="B131" s="9" t="s">
        <v>96</v>
      </c>
      <c r="C131" s="9" t="s">
        <v>110</v>
      </c>
      <c r="D131" s="10">
        <v>14756</v>
      </c>
      <c r="E131" s="10">
        <v>13480</v>
      </c>
      <c r="F131" s="10">
        <v>11944</v>
      </c>
      <c r="G131" s="9" t="s">
        <v>601</v>
      </c>
      <c r="H131" s="11">
        <v>0.84602873407427492</v>
      </c>
      <c r="I131" s="11">
        <v>0.77622661968013018</v>
      </c>
      <c r="J131" s="9" t="s">
        <v>602</v>
      </c>
      <c r="K131" s="11">
        <v>0.25897626112759642</v>
      </c>
      <c r="L131" s="11">
        <v>8.924332344213648E-2</v>
      </c>
      <c r="M131" s="9" t="s">
        <v>603</v>
      </c>
      <c r="N131" s="11">
        <v>0.36244139316811791</v>
      </c>
      <c r="O131" s="11">
        <v>0.1693737441393168</v>
      </c>
      <c r="P131" s="12">
        <v>-0.41089999999999999</v>
      </c>
      <c r="Q131" s="9" t="s">
        <v>73</v>
      </c>
      <c r="R131" s="12">
        <v>0.45390000000000003</v>
      </c>
      <c r="S131" s="9" t="s">
        <v>75</v>
      </c>
      <c r="T131" s="12">
        <v>3.5099999999999999E-2</v>
      </c>
      <c r="U131" s="12">
        <v>0.3</v>
      </c>
      <c r="V131" s="9" t="s">
        <v>412</v>
      </c>
      <c r="W131" s="9" t="s">
        <v>604</v>
      </c>
      <c r="X131" s="9" t="s">
        <v>60</v>
      </c>
      <c r="Y131" s="9" t="s">
        <v>645</v>
      </c>
      <c r="Z131" s="9" t="s">
        <v>648</v>
      </c>
      <c r="AA131" s="9" t="s">
        <v>614</v>
      </c>
      <c r="AB131" s="11">
        <v>0.31361597316701773</v>
      </c>
      <c r="AC131" s="11">
        <v>0.21325239944320509</v>
      </c>
      <c r="AD131" s="11">
        <v>0.16090089320971979</v>
      </c>
      <c r="AE131" s="11">
        <v>0.13697001725692309</v>
      </c>
      <c r="AF131" s="11">
        <v>0.17526071692313441</v>
      </c>
      <c r="AG131" s="9" t="str">
        <f t="shared" si="6"/>
        <v>Protección y orden cotidiano</v>
      </c>
      <c r="AH131" s="9" t="s">
        <v>615</v>
      </c>
      <c r="AI131" s="9"/>
      <c r="AJ131" s="9" t="str">
        <f t="shared" si="7"/>
        <v>Protección y orden cotidiano</v>
      </c>
      <c r="AK131" s="9" t="str">
        <f>IFERROR(INDEX('[3]02_Arquetipos_Miedo_Sesgo'!$C$5:$C$9,MATCH(AJ131,'[3]02_Arquetipos_Miedo_Sesgo'!$A$5:$A$9,0)),"")</f>
        <v>Miedo a la inseguridad, al descontrol barrial y a perder la tranquilidad cotidiana.</v>
      </c>
      <c r="AL131" s="9" t="str">
        <f>IFERROR(INDEX('[3]02_Arquetipos_Miedo_Sesgo'!$D$5:$D$9,MATCH(AJ131,'[3]02_Arquetipos_Miedo_Sesgo'!$A$5:$A$9,0)),"")</f>
        <v>Sesgo de disponibilidad + sesgo de negatividad + preferencia por autoridad.</v>
      </c>
      <c r="AM131" s="9" t="str">
        <f>IFERROR(INDEX('[3]02_Arquetipos_Miedo_Sesgo'!$E$5:$E$9,MATCH(AJ131,'[3]02_Arquetipos_Miedo_Sesgo'!$A$5:$A$9,0)),"")</f>
        <v>Seguridad, convivencia, movilidad, alumbrado, reacción institucional rápida, presencia de autoridad.</v>
      </c>
      <c r="AN131" s="9" t="str">
        <f t="shared" si="8"/>
        <v>Alta</v>
      </c>
      <c r="AO131" s="9" t="s">
        <v>608</v>
      </c>
    </row>
    <row r="132" spans="1:41" ht="43.2">
      <c r="A132" s="9" t="s">
        <v>111</v>
      </c>
      <c r="B132" s="9" t="s">
        <v>96</v>
      </c>
      <c r="C132" s="9" t="s">
        <v>112</v>
      </c>
      <c r="D132" s="10">
        <v>2142</v>
      </c>
      <c r="E132" s="10">
        <v>1895</v>
      </c>
      <c r="F132" s="10">
        <v>1509</v>
      </c>
      <c r="G132" s="9" t="s">
        <v>601</v>
      </c>
      <c r="H132" s="11">
        <v>0.79225023342670398</v>
      </c>
      <c r="I132" s="11">
        <v>0.6876750700280112</v>
      </c>
      <c r="J132" s="9" t="s">
        <v>602</v>
      </c>
      <c r="K132" s="11">
        <v>0.27704485488126651</v>
      </c>
      <c r="L132" s="11">
        <v>0.1197889182058048</v>
      </c>
      <c r="M132" s="9" t="s">
        <v>603</v>
      </c>
      <c r="N132" s="11">
        <v>0.36116633532140491</v>
      </c>
      <c r="O132" s="11">
        <v>0.15308151093439359</v>
      </c>
      <c r="P132" s="12">
        <v>-0.41089999999999999</v>
      </c>
      <c r="Q132" s="9" t="s">
        <v>73</v>
      </c>
      <c r="R132" s="12">
        <v>0.45390000000000003</v>
      </c>
      <c r="S132" s="9" t="s">
        <v>75</v>
      </c>
      <c r="T132" s="12">
        <v>3.5099999999999999E-2</v>
      </c>
      <c r="U132" s="12">
        <v>0.3</v>
      </c>
      <c r="V132" s="9" t="s">
        <v>412</v>
      </c>
      <c r="W132" s="9" t="s">
        <v>604</v>
      </c>
      <c r="X132" s="9" t="s">
        <v>60</v>
      </c>
      <c r="Y132" s="9" t="s">
        <v>645</v>
      </c>
      <c r="Z132" s="9" t="s">
        <v>648</v>
      </c>
      <c r="AA132" s="9" t="s">
        <v>614</v>
      </c>
      <c r="AB132" s="11">
        <v>0.28218415607043618</v>
      </c>
      <c r="AC132" s="11">
        <v>0.22585437373281769</v>
      </c>
      <c r="AD132" s="11">
        <v>0.15080697572452861</v>
      </c>
      <c r="AE132" s="11">
        <v>0.16370424534597849</v>
      </c>
      <c r="AF132" s="11">
        <v>0.177450249126239</v>
      </c>
      <c r="AG132" s="9" t="str">
        <f t="shared" si="6"/>
        <v>Protección y orden cotidiano</v>
      </c>
      <c r="AH132" s="9" t="s">
        <v>615</v>
      </c>
      <c r="AI132" s="9"/>
      <c r="AJ132" s="9" t="str">
        <f t="shared" si="7"/>
        <v>Protección y orden cotidiano</v>
      </c>
      <c r="AK132" s="9" t="str">
        <f>IFERROR(INDEX('[3]02_Arquetipos_Miedo_Sesgo'!$C$5:$C$9,MATCH(AJ132,'[3]02_Arquetipos_Miedo_Sesgo'!$A$5:$A$9,0)),"")</f>
        <v>Miedo a la inseguridad, al descontrol barrial y a perder la tranquilidad cotidiana.</v>
      </c>
      <c r="AL132" s="9" t="str">
        <f>IFERROR(INDEX('[3]02_Arquetipos_Miedo_Sesgo'!$D$5:$D$9,MATCH(AJ132,'[3]02_Arquetipos_Miedo_Sesgo'!$A$5:$A$9,0)),"")</f>
        <v>Sesgo de disponibilidad + sesgo de negatividad + preferencia por autoridad.</v>
      </c>
      <c r="AM132" s="9" t="str">
        <f>IFERROR(INDEX('[3]02_Arquetipos_Miedo_Sesgo'!$E$5:$E$9,MATCH(AJ132,'[3]02_Arquetipos_Miedo_Sesgo'!$A$5:$A$9,0)),"")</f>
        <v>Seguridad, convivencia, movilidad, alumbrado, reacción institucional rápida, presencia de autoridad.</v>
      </c>
      <c r="AN132" s="9" t="str">
        <f t="shared" si="8"/>
        <v>Alta</v>
      </c>
      <c r="AO132" s="9" t="s">
        <v>608</v>
      </c>
    </row>
    <row r="133" spans="1:41" ht="43.2">
      <c r="A133" s="9" t="s">
        <v>113</v>
      </c>
      <c r="B133" s="9" t="s">
        <v>96</v>
      </c>
      <c r="C133" s="9" t="s">
        <v>114</v>
      </c>
      <c r="D133" s="10">
        <v>8243</v>
      </c>
      <c r="E133" s="10">
        <v>6978</v>
      </c>
      <c r="F133" s="10">
        <v>6181</v>
      </c>
      <c r="G133" s="9" t="s">
        <v>601</v>
      </c>
      <c r="H133" s="11">
        <v>0.80662380201382988</v>
      </c>
      <c r="I133" s="11">
        <v>0.70653888147519106</v>
      </c>
      <c r="J133" s="9" t="s">
        <v>602</v>
      </c>
      <c r="K133" s="11">
        <v>0.29635998853539702</v>
      </c>
      <c r="L133" s="11">
        <v>0.1586414445399828</v>
      </c>
      <c r="M133" s="9" t="s">
        <v>603</v>
      </c>
      <c r="N133" s="11">
        <v>0.35075230545219221</v>
      </c>
      <c r="O133" s="11">
        <v>0.13945963436337161</v>
      </c>
      <c r="P133" s="12">
        <v>-0.41089999999999999</v>
      </c>
      <c r="Q133" s="9" t="s">
        <v>73</v>
      </c>
      <c r="R133" s="12">
        <v>0.45390000000000003</v>
      </c>
      <c r="S133" s="9" t="s">
        <v>75</v>
      </c>
      <c r="T133" s="12">
        <v>3.5099999999999999E-2</v>
      </c>
      <c r="U133" s="12">
        <v>0.3</v>
      </c>
      <c r="V133" s="9" t="s">
        <v>412</v>
      </c>
      <c r="W133" s="9" t="s">
        <v>604</v>
      </c>
      <c r="X133" s="9" t="s">
        <v>60</v>
      </c>
      <c r="Y133" s="9" t="s">
        <v>645</v>
      </c>
      <c r="Z133" s="9" t="s">
        <v>648</v>
      </c>
      <c r="AA133" s="9" t="s">
        <v>614</v>
      </c>
      <c r="AB133" s="11">
        <v>0.28097358232866909</v>
      </c>
      <c r="AC133" s="11">
        <v>0.22038051586527749</v>
      </c>
      <c r="AD133" s="11">
        <v>0.14781189963206531</v>
      </c>
      <c r="AE133" s="11">
        <v>0.1764145023070709</v>
      </c>
      <c r="AF133" s="11">
        <v>0.1744194998669171</v>
      </c>
      <c r="AG133" s="9" t="str">
        <f t="shared" si="6"/>
        <v>Protección y orden cotidiano</v>
      </c>
      <c r="AH133" s="9" t="s">
        <v>615</v>
      </c>
      <c r="AI133" s="9"/>
      <c r="AJ133" s="9" t="str">
        <f t="shared" si="7"/>
        <v>Protección y orden cotidiano</v>
      </c>
      <c r="AK133" s="9" t="str">
        <f>IFERROR(INDEX('[3]02_Arquetipos_Miedo_Sesgo'!$C$5:$C$9,MATCH(AJ133,'[3]02_Arquetipos_Miedo_Sesgo'!$A$5:$A$9,0)),"")</f>
        <v>Miedo a la inseguridad, al descontrol barrial y a perder la tranquilidad cotidiana.</v>
      </c>
      <c r="AL133" s="9" t="str">
        <f>IFERROR(INDEX('[3]02_Arquetipos_Miedo_Sesgo'!$D$5:$D$9,MATCH(AJ133,'[3]02_Arquetipos_Miedo_Sesgo'!$A$5:$A$9,0)),"")</f>
        <v>Sesgo de disponibilidad + sesgo de negatividad + preferencia por autoridad.</v>
      </c>
      <c r="AM133" s="9" t="str">
        <f>IFERROR(INDEX('[3]02_Arquetipos_Miedo_Sesgo'!$E$5:$E$9,MATCH(AJ133,'[3]02_Arquetipos_Miedo_Sesgo'!$A$5:$A$9,0)),"")</f>
        <v>Seguridad, convivencia, movilidad, alumbrado, reacción institucional rápida, presencia de autoridad.</v>
      </c>
      <c r="AN133" s="9" t="str">
        <f t="shared" si="8"/>
        <v>Alta</v>
      </c>
      <c r="AO133" s="9" t="s">
        <v>608</v>
      </c>
    </row>
    <row r="134" spans="1:41" ht="43.2">
      <c r="A134" s="9" t="s">
        <v>115</v>
      </c>
      <c r="B134" s="9" t="s">
        <v>96</v>
      </c>
      <c r="C134" s="9" t="s">
        <v>116</v>
      </c>
      <c r="D134" s="10">
        <v>7995</v>
      </c>
      <c r="E134" s="10">
        <v>7691</v>
      </c>
      <c r="F134" s="10">
        <v>6828</v>
      </c>
      <c r="G134" s="9" t="s">
        <v>601</v>
      </c>
      <c r="H134" s="11">
        <v>0.87354596622889302</v>
      </c>
      <c r="I134" s="11">
        <v>0.8217636022514071</v>
      </c>
      <c r="J134" s="9" t="s">
        <v>602</v>
      </c>
      <c r="K134" s="11">
        <v>0.25939409699648941</v>
      </c>
      <c r="L134" s="11">
        <v>6.8261604472760362E-2</v>
      </c>
      <c r="M134" s="9" t="s">
        <v>603</v>
      </c>
      <c r="N134" s="11">
        <v>0.44991212653778562</v>
      </c>
      <c r="O134" s="11">
        <v>0.25351493848857642</v>
      </c>
      <c r="P134" s="12">
        <v>-0.41089999999999999</v>
      </c>
      <c r="Q134" s="9" t="s">
        <v>73</v>
      </c>
      <c r="R134" s="12">
        <v>0.45390000000000003</v>
      </c>
      <c r="S134" s="9" t="s">
        <v>75</v>
      </c>
      <c r="T134" s="12">
        <v>3.5099999999999999E-2</v>
      </c>
      <c r="U134" s="12">
        <v>0.3</v>
      </c>
      <c r="V134" s="9" t="s">
        <v>412</v>
      </c>
      <c r="W134" s="9" t="s">
        <v>604</v>
      </c>
      <c r="X134" s="9" t="s">
        <v>60</v>
      </c>
      <c r="Y134" s="9" t="s">
        <v>645</v>
      </c>
      <c r="Z134" s="9" t="s">
        <v>648</v>
      </c>
      <c r="AA134" s="9" t="s">
        <v>614</v>
      </c>
      <c r="AB134" s="11">
        <v>0.31900685029928122</v>
      </c>
      <c r="AC134" s="11">
        <v>0.21215005956611999</v>
      </c>
      <c r="AD134" s="11">
        <v>0.17835407403021331</v>
      </c>
      <c r="AE134" s="11">
        <v>9.7858138800807445E-2</v>
      </c>
      <c r="AF134" s="11">
        <v>0.1926308773035782</v>
      </c>
      <c r="AG134" s="9" t="str">
        <f t="shared" si="6"/>
        <v>Protección y orden cotidiano</v>
      </c>
      <c r="AH134" s="9" t="s">
        <v>615</v>
      </c>
      <c r="AI134" s="9"/>
      <c r="AJ134" s="9" t="str">
        <f t="shared" si="7"/>
        <v>Protección y orden cotidiano</v>
      </c>
      <c r="AK134" s="9" t="str">
        <f>IFERROR(INDEX('[3]02_Arquetipos_Miedo_Sesgo'!$C$5:$C$9,MATCH(AJ134,'[3]02_Arquetipos_Miedo_Sesgo'!$A$5:$A$9,0)),"")</f>
        <v>Miedo a la inseguridad, al descontrol barrial y a perder la tranquilidad cotidiana.</v>
      </c>
      <c r="AL134" s="9" t="str">
        <f>IFERROR(INDEX('[3]02_Arquetipos_Miedo_Sesgo'!$D$5:$D$9,MATCH(AJ134,'[3]02_Arquetipos_Miedo_Sesgo'!$A$5:$A$9,0)),"")</f>
        <v>Sesgo de disponibilidad + sesgo de negatividad + preferencia por autoridad.</v>
      </c>
      <c r="AM134" s="9" t="str">
        <f>IFERROR(INDEX('[3]02_Arquetipos_Miedo_Sesgo'!$E$5:$E$9,MATCH(AJ134,'[3]02_Arquetipos_Miedo_Sesgo'!$A$5:$A$9,0)),"")</f>
        <v>Seguridad, convivencia, movilidad, alumbrado, reacción institucional rápida, presencia de autoridad.</v>
      </c>
      <c r="AN134" s="9" t="str">
        <f t="shared" si="8"/>
        <v>Alta</v>
      </c>
      <c r="AO134" s="9" t="s">
        <v>608</v>
      </c>
    </row>
    <row r="135" spans="1:41" ht="43.2">
      <c r="A135" s="9" t="s">
        <v>117</v>
      </c>
      <c r="B135" s="9" t="s">
        <v>96</v>
      </c>
      <c r="C135" s="9" t="s">
        <v>118</v>
      </c>
      <c r="D135" s="10">
        <v>6276</v>
      </c>
      <c r="E135" s="10">
        <v>5822</v>
      </c>
      <c r="F135" s="10">
        <v>5163</v>
      </c>
      <c r="G135" s="9" t="s">
        <v>601</v>
      </c>
      <c r="H135" s="11">
        <v>0.83604206500956024</v>
      </c>
      <c r="I135" s="11">
        <v>0.76816443594646278</v>
      </c>
      <c r="J135" s="9" t="s">
        <v>602</v>
      </c>
      <c r="K135" s="11">
        <v>0.28632772243215387</v>
      </c>
      <c r="L135" s="11">
        <v>0.1128478186190312</v>
      </c>
      <c r="M135" s="9" t="s">
        <v>603</v>
      </c>
      <c r="N135" s="11">
        <v>0.45671121441022661</v>
      </c>
      <c r="O135" s="11">
        <v>0.26012008522177033</v>
      </c>
      <c r="P135" s="12">
        <v>-0.41089999999999999</v>
      </c>
      <c r="Q135" s="9" t="s">
        <v>73</v>
      </c>
      <c r="R135" s="12">
        <v>0.45390000000000003</v>
      </c>
      <c r="S135" s="9" t="s">
        <v>75</v>
      </c>
      <c r="T135" s="12">
        <v>3.5099999999999999E-2</v>
      </c>
      <c r="U135" s="12">
        <v>0.3</v>
      </c>
      <c r="V135" s="9" t="s">
        <v>412</v>
      </c>
      <c r="W135" s="9" t="s">
        <v>604</v>
      </c>
      <c r="X135" s="9" t="s">
        <v>60</v>
      </c>
      <c r="Y135" s="9" t="s">
        <v>645</v>
      </c>
      <c r="Z135" s="9" t="s">
        <v>648</v>
      </c>
      <c r="AA135" s="9" t="s">
        <v>614</v>
      </c>
      <c r="AB135" s="11">
        <v>0.30400785567473121</v>
      </c>
      <c r="AC135" s="11">
        <v>0.21265534699616559</v>
      </c>
      <c r="AD135" s="11">
        <v>0.17936288667785699</v>
      </c>
      <c r="AE135" s="11">
        <v>0.11526715913532599</v>
      </c>
      <c r="AF135" s="11">
        <v>0.18870675151592009</v>
      </c>
      <c r="AG135" s="9" t="str">
        <f t="shared" si="6"/>
        <v>Protección y orden cotidiano</v>
      </c>
      <c r="AH135" s="9" t="s">
        <v>615</v>
      </c>
      <c r="AI135" s="9"/>
      <c r="AJ135" s="9" t="str">
        <f t="shared" si="7"/>
        <v>Protección y orden cotidiano</v>
      </c>
      <c r="AK135" s="9" t="str">
        <f>IFERROR(INDEX('[3]02_Arquetipos_Miedo_Sesgo'!$C$5:$C$9,MATCH(AJ135,'[3]02_Arquetipos_Miedo_Sesgo'!$A$5:$A$9,0)),"")</f>
        <v>Miedo a la inseguridad, al descontrol barrial y a perder la tranquilidad cotidiana.</v>
      </c>
      <c r="AL135" s="9" t="str">
        <f>IFERROR(INDEX('[3]02_Arquetipos_Miedo_Sesgo'!$D$5:$D$9,MATCH(AJ135,'[3]02_Arquetipos_Miedo_Sesgo'!$A$5:$A$9,0)),"")</f>
        <v>Sesgo de disponibilidad + sesgo de negatividad + preferencia por autoridad.</v>
      </c>
      <c r="AM135" s="9" t="str">
        <f>IFERROR(INDEX('[3]02_Arquetipos_Miedo_Sesgo'!$E$5:$E$9,MATCH(AJ135,'[3]02_Arquetipos_Miedo_Sesgo'!$A$5:$A$9,0)),"")</f>
        <v>Seguridad, convivencia, movilidad, alumbrado, reacción institucional rápida, presencia de autoridad.</v>
      </c>
      <c r="AN135" s="9" t="str">
        <f t="shared" si="8"/>
        <v>Alta</v>
      </c>
      <c r="AO135" s="9" t="s">
        <v>608</v>
      </c>
    </row>
    <row r="136" spans="1:41" ht="43.2">
      <c r="A136" s="9" t="s">
        <v>119</v>
      </c>
      <c r="B136" s="9" t="s">
        <v>96</v>
      </c>
      <c r="C136" s="9" t="s">
        <v>120</v>
      </c>
      <c r="D136" s="10">
        <v>6663</v>
      </c>
      <c r="E136" s="10">
        <v>5851</v>
      </c>
      <c r="F136" s="10">
        <v>5193</v>
      </c>
      <c r="G136" s="9" t="s">
        <v>601</v>
      </c>
      <c r="H136" s="11">
        <v>0.82155185351943572</v>
      </c>
      <c r="I136" s="11">
        <v>0.75506528590724897</v>
      </c>
      <c r="J136" s="9" t="s">
        <v>602</v>
      </c>
      <c r="K136" s="11">
        <v>0.29089044607759362</v>
      </c>
      <c r="L136" s="11">
        <v>0.1346778328490856</v>
      </c>
      <c r="M136" s="9" t="s">
        <v>603</v>
      </c>
      <c r="N136" s="11">
        <v>0.38455613325630661</v>
      </c>
      <c r="O136" s="11">
        <v>0.18910071249759289</v>
      </c>
      <c r="P136" s="12">
        <v>-0.41089999999999999</v>
      </c>
      <c r="Q136" s="9" t="s">
        <v>73</v>
      </c>
      <c r="R136" s="12">
        <v>0.45390000000000003</v>
      </c>
      <c r="S136" s="9" t="s">
        <v>75</v>
      </c>
      <c r="T136" s="12">
        <v>3.5099999999999999E-2</v>
      </c>
      <c r="U136" s="12">
        <v>0.3</v>
      </c>
      <c r="V136" s="9" t="s">
        <v>412</v>
      </c>
      <c r="W136" s="9" t="s">
        <v>604</v>
      </c>
      <c r="X136" s="9" t="s">
        <v>60</v>
      </c>
      <c r="Y136" s="9" t="s">
        <v>645</v>
      </c>
      <c r="Z136" s="9" t="s">
        <v>648</v>
      </c>
      <c r="AA136" s="9" t="s">
        <v>614</v>
      </c>
      <c r="AB136" s="11">
        <v>0.29231597650676278</v>
      </c>
      <c r="AC136" s="11">
        <v>0.20894141808886371</v>
      </c>
      <c r="AD136" s="11">
        <v>0.1597241349240735</v>
      </c>
      <c r="AE136" s="11">
        <v>0.16451324560102229</v>
      </c>
      <c r="AF136" s="11">
        <v>0.17450522487927769</v>
      </c>
      <c r="AG136" s="9" t="str">
        <f t="shared" si="6"/>
        <v>Protección y orden cotidiano</v>
      </c>
      <c r="AH136" s="9" t="s">
        <v>615</v>
      </c>
      <c r="AI136" s="9"/>
      <c r="AJ136" s="9" t="str">
        <f t="shared" si="7"/>
        <v>Protección y orden cotidiano</v>
      </c>
      <c r="AK136" s="9" t="str">
        <f>IFERROR(INDEX('[3]02_Arquetipos_Miedo_Sesgo'!$C$5:$C$9,MATCH(AJ136,'[3]02_Arquetipos_Miedo_Sesgo'!$A$5:$A$9,0)),"")</f>
        <v>Miedo a la inseguridad, al descontrol barrial y a perder la tranquilidad cotidiana.</v>
      </c>
      <c r="AL136" s="9" t="str">
        <f>IFERROR(INDEX('[3]02_Arquetipos_Miedo_Sesgo'!$D$5:$D$9,MATCH(AJ136,'[3]02_Arquetipos_Miedo_Sesgo'!$A$5:$A$9,0)),"")</f>
        <v>Sesgo de disponibilidad + sesgo de negatividad + preferencia por autoridad.</v>
      </c>
      <c r="AM136" s="9" t="str">
        <f>IFERROR(INDEX('[3]02_Arquetipos_Miedo_Sesgo'!$E$5:$E$9,MATCH(AJ136,'[3]02_Arquetipos_Miedo_Sesgo'!$A$5:$A$9,0)),"")</f>
        <v>Seguridad, convivencia, movilidad, alumbrado, reacción institucional rápida, presencia de autoridad.</v>
      </c>
      <c r="AN136" s="9" t="str">
        <f t="shared" si="8"/>
        <v>Alta</v>
      </c>
      <c r="AO136" s="9" t="s">
        <v>608</v>
      </c>
    </row>
    <row r="137" spans="1:41" ht="43.2">
      <c r="A137" s="9" t="s">
        <v>121</v>
      </c>
      <c r="B137" s="9" t="s">
        <v>96</v>
      </c>
      <c r="C137" s="9" t="s">
        <v>122</v>
      </c>
      <c r="D137" s="10">
        <v>12039</v>
      </c>
      <c r="E137" s="10">
        <v>10699</v>
      </c>
      <c r="F137" s="10">
        <v>8993</v>
      </c>
      <c r="G137" s="9" t="s">
        <v>601</v>
      </c>
      <c r="H137" s="11">
        <v>0.82307500622975327</v>
      </c>
      <c r="I137" s="11">
        <v>0.74034388238225768</v>
      </c>
      <c r="J137" s="9" t="s">
        <v>602</v>
      </c>
      <c r="K137" s="11">
        <v>0.27507243667632492</v>
      </c>
      <c r="L137" s="11">
        <v>0.13057295074306011</v>
      </c>
      <c r="M137" s="9" t="s">
        <v>603</v>
      </c>
      <c r="N137" s="11">
        <v>0.37651506727454692</v>
      </c>
      <c r="O137" s="11">
        <v>0.14122094962748799</v>
      </c>
      <c r="P137" s="12">
        <v>-0.41089999999999999</v>
      </c>
      <c r="Q137" s="9" t="s">
        <v>73</v>
      </c>
      <c r="R137" s="12">
        <v>0.45390000000000003</v>
      </c>
      <c r="S137" s="9" t="s">
        <v>75</v>
      </c>
      <c r="T137" s="12">
        <v>3.5099999999999999E-2</v>
      </c>
      <c r="U137" s="12">
        <v>0.3</v>
      </c>
      <c r="V137" s="9" t="s">
        <v>412</v>
      </c>
      <c r="W137" s="9" t="s">
        <v>604</v>
      </c>
      <c r="X137" s="9" t="s">
        <v>60</v>
      </c>
      <c r="Y137" s="9" t="s">
        <v>645</v>
      </c>
      <c r="Z137" s="9" t="s">
        <v>648</v>
      </c>
      <c r="AA137" s="9" t="s">
        <v>614</v>
      </c>
      <c r="AB137" s="11">
        <v>0.29144773131950519</v>
      </c>
      <c r="AC137" s="11">
        <v>0.2157138370058708</v>
      </c>
      <c r="AD137" s="11">
        <v>0.14940089123509101</v>
      </c>
      <c r="AE137" s="11">
        <v>0.16414487549892329</v>
      </c>
      <c r="AF137" s="11">
        <v>0.17929266494060961</v>
      </c>
      <c r="AG137" s="9" t="str">
        <f t="shared" si="6"/>
        <v>Protección y orden cotidiano</v>
      </c>
      <c r="AH137" s="9" t="s">
        <v>615</v>
      </c>
      <c r="AI137" s="9"/>
      <c r="AJ137" s="9" t="str">
        <f t="shared" si="7"/>
        <v>Protección y orden cotidiano</v>
      </c>
      <c r="AK137" s="9" t="str">
        <f>IFERROR(INDEX('[3]02_Arquetipos_Miedo_Sesgo'!$C$5:$C$9,MATCH(AJ137,'[3]02_Arquetipos_Miedo_Sesgo'!$A$5:$A$9,0)),"")</f>
        <v>Miedo a la inseguridad, al descontrol barrial y a perder la tranquilidad cotidiana.</v>
      </c>
      <c r="AL137" s="9" t="str">
        <f>IFERROR(INDEX('[3]02_Arquetipos_Miedo_Sesgo'!$D$5:$D$9,MATCH(AJ137,'[3]02_Arquetipos_Miedo_Sesgo'!$A$5:$A$9,0)),"")</f>
        <v>Sesgo de disponibilidad + sesgo de negatividad + preferencia por autoridad.</v>
      </c>
      <c r="AM137" s="9" t="str">
        <f>IFERROR(INDEX('[3]02_Arquetipos_Miedo_Sesgo'!$E$5:$E$9,MATCH(AJ137,'[3]02_Arquetipos_Miedo_Sesgo'!$A$5:$A$9,0)),"")</f>
        <v>Seguridad, convivencia, movilidad, alumbrado, reacción institucional rápida, presencia de autoridad.</v>
      </c>
      <c r="AN137" s="9" t="str">
        <f t="shared" si="8"/>
        <v>Alta</v>
      </c>
      <c r="AO137" s="9" t="s">
        <v>608</v>
      </c>
    </row>
    <row r="138" spans="1:41" ht="43.2">
      <c r="A138" s="9" t="s">
        <v>123</v>
      </c>
      <c r="B138" s="9" t="s">
        <v>96</v>
      </c>
      <c r="C138" s="9" t="s">
        <v>124</v>
      </c>
      <c r="D138" s="10">
        <v>7442</v>
      </c>
      <c r="E138" s="10">
        <v>6834</v>
      </c>
      <c r="F138" s="10">
        <v>6019</v>
      </c>
      <c r="G138" s="9" t="s">
        <v>601</v>
      </c>
      <c r="H138" s="11">
        <v>0.82437516796560062</v>
      </c>
      <c r="I138" s="11">
        <v>0.74160171996775059</v>
      </c>
      <c r="J138" s="9" t="s">
        <v>602</v>
      </c>
      <c r="K138" s="11">
        <v>0.28621597892888501</v>
      </c>
      <c r="L138" s="11">
        <v>0.14003511852502201</v>
      </c>
      <c r="M138" s="9" t="s">
        <v>603</v>
      </c>
      <c r="N138" s="11">
        <v>0.43063631832530319</v>
      </c>
      <c r="O138" s="11">
        <v>0.23043694965941189</v>
      </c>
      <c r="P138" s="12">
        <v>-0.41089999999999999</v>
      </c>
      <c r="Q138" s="9" t="s">
        <v>73</v>
      </c>
      <c r="R138" s="12">
        <v>0.45390000000000003</v>
      </c>
      <c r="S138" s="9" t="s">
        <v>75</v>
      </c>
      <c r="T138" s="12">
        <v>3.5099999999999999E-2</v>
      </c>
      <c r="U138" s="12">
        <v>0.3</v>
      </c>
      <c r="V138" s="9" t="s">
        <v>412</v>
      </c>
      <c r="W138" s="9" t="s">
        <v>604</v>
      </c>
      <c r="X138" s="9" t="s">
        <v>60</v>
      </c>
      <c r="Y138" s="9" t="s">
        <v>645</v>
      </c>
      <c r="Z138" s="9" t="s">
        <v>648</v>
      </c>
      <c r="AA138" s="9" t="s">
        <v>614</v>
      </c>
      <c r="AB138" s="11">
        <v>0.29571910838135113</v>
      </c>
      <c r="AC138" s="11">
        <v>0.21215503503313141</v>
      </c>
      <c r="AD138" s="11">
        <v>0.1723181541225868</v>
      </c>
      <c r="AE138" s="11">
        <v>0.13567376311217871</v>
      </c>
      <c r="AF138" s="11">
        <v>0.1841339393507519</v>
      </c>
      <c r="AG138" s="9" t="str">
        <f t="shared" si="6"/>
        <v>Protección y orden cotidiano</v>
      </c>
      <c r="AH138" s="9" t="s">
        <v>615</v>
      </c>
      <c r="AI138" s="9"/>
      <c r="AJ138" s="9" t="str">
        <f t="shared" si="7"/>
        <v>Protección y orden cotidiano</v>
      </c>
      <c r="AK138" s="9" t="str">
        <f>IFERROR(INDEX('[3]02_Arquetipos_Miedo_Sesgo'!$C$5:$C$9,MATCH(AJ138,'[3]02_Arquetipos_Miedo_Sesgo'!$A$5:$A$9,0)),"")</f>
        <v>Miedo a la inseguridad, al descontrol barrial y a perder la tranquilidad cotidiana.</v>
      </c>
      <c r="AL138" s="9" t="str">
        <f>IFERROR(INDEX('[3]02_Arquetipos_Miedo_Sesgo'!$D$5:$D$9,MATCH(AJ138,'[3]02_Arquetipos_Miedo_Sesgo'!$A$5:$A$9,0)),"")</f>
        <v>Sesgo de disponibilidad + sesgo de negatividad + preferencia por autoridad.</v>
      </c>
      <c r="AM138" s="9" t="str">
        <f>IFERROR(INDEX('[3]02_Arquetipos_Miedo_Sesgo'!$E$5:$E$9,MATCH(AJ138,'[3]02_Arquetipos_Miedo_Sesgo'!$A$5:$A$9,0)),"")</f>
        <v>Seguridad, convivencia, movilidad, alumbrado, reacción institucional rápida, presencia de autoridad.</v>
      </c>
      <c r="AN138" s="9" t="str">
        <f t="shared" si="8"/>
        <v>Alta</v>
      </c>
      <c r="AO138" s="9" t="s">
        <v>608</v>
      </c>
    </row>
    <row r="139" spans="1:41" ht="43.2">
      <c r="A139" s="9" t="s">
        <v>125</v>
      </c>
      <c r="B139" s="9" t="s">
        <v>96</v>
      </c>
      <c r="C139" s="9" t="s">
        <v>126</v>
      </c>
      <c r="D139" s="10">
        <v>10635</v>
      </c>
      <c r="E139" s="10">
        <v>9993</v>
      </c>
      <c r="F139" s="10">
        <v>8663</v>
      </c>
      <c r="G139" s="9" t="s">
        <v>601</v>
      </c>
      <c r="H139" s="11">
        <v>0.86676069581570292</v>
      </c>
      <c r="I139" s="11">
        <v>0.80921485660554782</v>
      </c>
      <c r="J139" s="9" t="s">
        <v>602</v>
      </c>
      <c r="K139" s="11">
        <v>0.26628640048033619</v>
      </c>
      <c r="L139" s="11">
        <v>9.3065145601921362E-2</v>
      </c>
      <c r="M139" s="9" t="s">
        <v>603</v>
      </c>
      <c r="N139" s="11">
        <v>0.42190926930624489</v>
      </c>
      <c r="O139" s="11">
        <v>0.22244026318827201</v>
      </c>
      <c r="P139" s="12">
        <v>-0.41089999999999999</v>
      </c>
      <c r="Q139" s="9" t="s">
        <v>73</v>
      </c>
      <c r="R139" s="12">
        <v>0.45390000000000003</v>
      </c>
      <c r="S139" s="9" t="s">
        <v>75</v>
      </c>
      <c r="T139" s="12">
        <v>3.5099999999999999E-2</v>
      </c>
      <c r="U139" s="12">
        <v>0.3</v>
      </c>
      <c r="V139" s="9" t="s">
        <v>412</v>
      </c>
      <c r="W139" s="9" t="s">
        <v>604</v>
      </c>
      <c r="X139" s="9" t="s">
        <v>60</v>
      </c>
      <c r="Y139" s="9" t="s">
        <v>645</v>
      </c>
      <c r="Z139" s="9" t="s">
        <v>648</v>
      </c>
      <c r="AA139" s="9" t="s">
        <v>614</v>
      </c>
      <c r="AB139" s="11">
        <v>0.31581810179801401</v>
      </c>
      <c r="AC139" s="11">
        <v>0.20390982346390871</v>
      </c>
      <c r="AD139" s="11">
        <v>0.1734147329254235</v>
      </c>
      <c r="AE139" s="11">
        <v>0.12391625183767729</v>
      </c>
      <c r="AF139" s="11">
        <v>0.18294108997497649</v>
      </c>
      <c r="AG139" s="9" t="str">
        <f t="shared" si="6"/>
        <v>Protección y orden cotidiano</v>
      </c>
      <c r="AH139" s="9" t="s">
        <v>615</v>
      </c>
      <c r="AI139" s="9"/>
      <c r="AJ139" s="9" t="str">
        <f t="shared" si="7"/>
        <v>Protección y orden cotidiano</v>
      </c>
      <c r="AK139" s="9" t="str">
        <f>IFERROR(INDEX('[3]02_Arquetipos_Miedo_Sesgo'!$C$5:$C$9,MATCH(AJ139,'[3]02_Arquetipos_Miedo_Sesgo'!$A$5:$A$9,0)),"")</f>
        <v>Miedo a la inseguridad, al descontrol barrial y a perder la tranquilidad cotidiana.</v>
      </c>
      <c r="AL139" s="9" t="str">
        <f>IFERROR(INDEX('[3]02_Arquetipos_Miedo_Sesgo'!$D$5:$D$9,MATCH(AJ139,'[3]02_Arquetipos_Miedo_Sesgo'!$A$5:$A$9,0)),"")</f>
        <v>Sesgo de disponibilidad + sesgo de negatividad + preferencia por autoridad.</v>
      </c>
      <c r="AM139" s="9" t="str">
        <f>IFERROR(INDEX('[3]02_Arquetipos_Miedo_Sesgo'!$E$5:$E$9,MATCH(AJ139,'[3]02_Arquetipos_Miedo_Sesgo'!$A$5:$A$9,0)),"")</f>
        <v>Seguridad, convivencia, movilidad, alumbrado, reacción institucional rápida, presencia de autoridad.</v>
      </c>
      <c r="AN139" s="9" t="str">
        <f t="shared" si="8"/>
        <v>Alta</v>
      </c>
      <c r="AO139" s="9" t="s">
        <v>608</v>
      </c>
    </row>
    <row r="140" spans="1:41" ht="57.6">
      <c r="A140" s="9" t="s">
        <v>184</v>
      </c>
      <c r="B140" s="9" t="s">
        <v>185</v>
      </c>
      <c r="C140" s="9" t="s">
        <v>186</v>
      </c>
      <c r="D140" s="10">
        <v>1216</v>
      </c>
      <c r="E140" s="10">
        <v>887</v>
      </c>
      <c r="F140" s="10">
        <v>1067</v>
      </c>
      <c r="G140" s="9" t="s">
        <v>601</v>
      </c>
      <c r="H140" s="11">
        <v>0.75904605263157898</v>
      </c>
      <c r="I140" s="11">
        <v>0.65049342105263164</v>
      </c>
      <c r="J140" s="9" t="s">
        <v>602</v>
      </c>
      <c r="K140" s="11">
        <v>0.24351747463359641</v>
      </c>
      <c r="L140" s="11">
        <v>5.1860202931228838E-2</v>
      </c>
      <c r="M140" s="9" t="s">
        <v>610</v>
      </c>
      <c r="N140" s="11">
        <v>0.30271790065604498</v>
      </c>
      <c r="O140" s="11">
        <v>1.312089971883784E-2</v>
      </c>
      <c r="P140" s="12">
        <v>-0.41089999999999999</v>
      </c>
      <c r="Q140" s="9" t="s">
        <v>73</v>
      </c>
      <c r="R140" s="12">
        <v>8.48E-2</v>
      </c>
      <c r="S140" s="9" t="s">
        <v>412</v>
      </c>
      <c r="T140" s="12">
        <v>-0.19400000000000001</v>
      </c>
      <c r="U140" s="12">
        <v>0.22989999999999999</v>
      </c>
      <c r="V140" s="9" t="s">
        <v>412</v>
      </c>
      <c r="W140" s="9" t="s">
        <v>604</v>
      </c>
      <c r="X140" s="9" t="s">
        <v>638</v>
      </c>
      <c r="Y140" s="9" t="s">
        <v>514</v>
      </c>
      <c r="Z140" s="9" t="s">
        <v>640</v>
      </c>
      <c r="AA140" s="9" t="s">
        <v>606</v>
      </c>
      <c r="AB140" s="11">
        <v>0.24225885075640891</v>
      </c>
      <c r="AC140" s="11">
        <v>0.23029808719296671</v>
      </c>
      <c r="AD140" s="11">
        <v>0.1016842947684319</v>
      </c>
      <c r="AE140" s="11">
        <v>0.25325134704038371</v>
      </c>
      <c r="AF140" s="11">
        <v>0.17250742024180879</v>
      </c>
      <c r="AG140" s="9" t="str">
        <f t="shared" si="6"/>
        <v>Desconfianza y castigo</v>
      </c>
      <c r="AH140" s="9" t="s">
        <v>607</v>
      </c>
      <c r="AI140" s="9"/>
      <c r="AJ140" s="9" t="str">
        <f t="shared" si="7"/>
        <v>Desconfianza y castigo</v>
      </c>
      <c r="AK140" s="9" t="str">
        <f>IFERROR(INDEX('[3]02_Arquetipos_Miedo_Sesgo'!$C$5:$C$9,MATCH(AJ140,'[3]02_Arquetipos_Miedo_Sesgo'!$A$5:$A$9,0)),"")</f>
        <v>Miedo a ser engañado, robado, manipulado o usado electoralmente.</v>
      </c>
      <c r="AL140" s="9" t="str">
        <f>IFERROR(INDEX('[3]02_Arquetipos_Miedo_Sesgo'!$D$5:$D$9,MATCH(AJ140,'[3]02_Arquetipos_Miedo_Sesgo'!$A$5:$A$9,0)),"")</f>
        <v>Sesgo de confirmación + cinismo político + efecto de indignación moral.</v>
      </c>
      <c r="AM140" s="9" t="str">
        <f>IFERROR(INDEX('[3]02_Arquetipos_Miedo_Sesgo'!$E$5:$E$9,MATCH(AJ140,'[3]02_Arquetipos_Miedo_Sesgo'!$A$5:$A$9,0)),"")</f>
        <v>Transparencia, control político, lucha anticorrupción, vigilancia ciudadana, ejecución presupuestal y sanción a abusos.</v>
      </c>
      <c r="AN140" s="9" t="str">
        <f t="shared" si="8"/>
        <v>Sin clasificar</v>
      </c>
      <c r="AO140" s="9" t="s">
        <v>608</v>
      </c>
    </row>
    <row r="141" spans="1:41" ht="57.6">
      <c r="A141" s="9" t="s">
        <v>181</v>
      </c>
      <c r="B141" s="9" t="s">
        <v>182</v>
      </c>
      <c r="C141" s="9" t="s">
        <v>183</v>
      </c>
      <c r="D141" s="10">
        <v>81</v>
      </c>
      <c r="E141" s="10">
        <v>64</v>
      </c>
      <c r="F141" s="10"/>
      <c r="G141" s="9" t="s">
        <v>601</v>
      </c>
      <c r="H141" s="11">
        <v>0.40740740740740738</v>
      </c>
      <c r="I141" s="11">
        <v>3.7037037037037028E-2</v>
      </c>
      <c r="J141" s="9" t="s">
        <v>602</v>
      </c>
      <c r="K141" s="11">
        <v>0.234375</v>
      </c>
      <c r="L141" s="11">
        <v>0.109375</v>
      </c>
      <c r="M141" s="9" t="s">
        <v>603</v>
      </c>
      <c r="N141" s="11">
        <v>0</v>
      </c>
      <c r="O141" s="11">
        <v>0</v>
      </c>
      <c r="P141" s="12">
        <v>-0.41089999999999999</v>
      </c>
      <c r="Q141" s="9" t="s">
        <v>73</v>
      </c>
      <c r="R141" s="12">
        <v>0.45390000000000003</v>
      </c>
      <c r="S141" s="9" t="s">
        <v>75</v>
      </c>
      <c r="T141" s="12">
        <v>3.5099999999999999E-2</v>
      </c>
      <c r="U141" s="12">
        <v>0.3</v>
      </c>
      <c r="V141" s="9" t="s">
        <v>412</v>
      </c>
      <c r="W141" s="9" t="s">
        <v>604</v>
      </c>
      <c r="X141" s="9" t="s">
        <v>638</v>
      </c>
      <c r="Y141" s="9" t="s">
        <v>514</v>
      </c>
      <c r="Z141" s="9" t="s">
        <v>640</v>
      </c>
      <c r="AA141" s="9" t="s">
        <v>606</v>
      </c>
      <c r="AB141" s="11">
        <v>0.16348441312598119</v>
      </c>
      <c r="AC141" s="11">
        <v>0.24104941067544841</v>
      </c>
      <c r="AD141" s="11">
        <v>0.1792535168871992</v>
      </c>
      <c r="AE141" s="11">
        <v>0.34002278044156259</v>
      </c>
      <c r="AF141" s="11">
        <v>7.618987886980845E-2</v>
      </c>
      <c r="AG141" s="9" t="str">
        <f t="shared" si="6"/>
        <v>Desconfianza y castigo</v>
      </c>
      <c r="AH141" s="9" t="s">
        <v>607</v>
      </c>
      <c r="AI141" s="9"/>
      <c r="AJ141" s="9" t="str">
        <f t="shared" si="7"/>
        <v>Desconfianza y castigo</v>
      </c>
      <c r="AK141" s="9" t="str">
        <f>IFERROR(INDEX('[3]02_Arquetipos_Miedo_Sesgo'!$C$5:$C$9,MATCH(AJ141,'[3]02_Arquetipos_Miedo_Sesgo'!$A$5:$A$9,0)),"")</f>
        <v>Miedo a ser engañado, robado, manipulado o usado electoralmente.</v>
      </c>
      <c r="AL141" s="9" t="str">
        <f>IFERROR(INDEX('[3]02_Arquetipos_Miedo_Sesgo'!$D$5:$D$9,MATCH(AJ141,'[3]02_Arquetipos_Miedo_Sesgo'!$A$5:$A$9,0)),"")</f>
        <v>Sesgo de confirmación + cinismo político + efecto de indignación moral.</v>
      </c>
      <c r="AM141" s="9" t="str">
        <f>IFERROR(INDEX('[3]02_Arquetipos_Miedo_Sesgo'!$E$5:$E$9,MATCH(AJ141,'[3]02_Arquetipos_Miedo_Sesgo'!$A$5:$A$9,0)),"")</f>
        <v>Transparencia, control político, lucha anticorrupción, vigilancia ciudadana, ejecución presupuestal y sanción a abusos.</v>
      </c>
      <c r="AN141" s="9" t="str">
        <f t="shared" si="8"/>
        <v>Sin clasificar</v>
      </c>
      <c r="AO141" s="9" t="s">
        <v>608</v>
      </c>
    </row>
    <row r="142" spans="1:41" ht="43.2">
      <c r="A142" s="9" t="s">
        <v>171</v>
      </c>
      <c r="B142" s="9" t="s">
        <v>172</v>
      </c>
      <c r="C142" s="9" t="s">
        <v>173</v>
      </c>
      <c r="D142" s="10">
        <v>3685</v>
      </c>
      <c r="E142" s="10">
        <v>2863</v>
      </c>
      <c r="F142" s="10">
        <v>2954</v>
      </c>
      <c r="G142" s="9" t="s">
        <v>601</v>
      </c>
      <c r="H142" s="11">
        <v>0.74626865671641796</v>
      </c>
      <c r="I142" s="11">
        <v>0.63392130257801904</v>
      </c>
      <c r="J142" s="9" t="s">
        <v>602</v>
      </c>
      <c r="K142" s="11">
        <v>0.29898707649318901</v>
      </c>
      <c r="L142" s="11">
        <v>0.21550820817324479</v>
      </c>
      <c r="M142" s="9" t="s">
        <v>603</v>
      </c>
      <c r="N142" s="11">
        <v>0.27420446851726471</v>
      </c>
      <c r="O142" s="11">
        <v>1.6587677725118492E-2</v>
      </c>
      <c r="P142" s="12">
        <v>-0.41089999999999999</v>
      </c>
      <c r="Q142" s="9" t="s">
        <v>73</v>
      </c>
      <c r="R142" s="12">
        <v>0.45390000000000003</v>
      </c>
      <c r="S142" s="9" t="s">
        <v>75</v>
      </c>
      <c r="T142" s="12">
        <v>3.5099999999999999E-2</v>
      </c>
      <c r="U142" s="12">
        <v>0.3</v>
      </c>
      <c r="V142" s="9" t="s">
        <v>412</v>
      </c>
      <c r="W142" s="9" t="s">
        <v>604</v>
      </c>
      <c r="X142" s="9" t="s">
        <v>638</v>
      </c>
      <c r="Y142" s="9" t="s">
        <v>514</v>
      </c>
      <c r="Z142" s="9" t="s">
        <v>640</v>
      </c>
      <c r="AA142" s="9" t="s">
        <v>614</v>
      </c>
      <c r="AB142" s="11">
        <v>0.25438714410943658</v>
      </c>
      <c r="AC142" s="11">
        <v>0.22170408265625621</v>
      </c>
      <c r="AD142" s="11">
        <v>0.1247094062026905</v>
      </c>
      <c r="AE142" s="11">
        <v>0.22618892950092351</v>
      </c>
      <c r="AF142" s="11">
        <v>0.17301043753069331</v>
      </c>
      <c r="AG142" s="9" t="str">
        <f t="shared" si="6"/>
        <v>Protección y orden cotidiano</v>
      </c>
      <c r="AH142" s="9" t="s">
        <v>615</v>
      </c>
      <c r="AI142" s="9"/>
      <c r="AJ142" s="9" t="str">
        <f t="shared" si="7"/>
        <v>Protección y orden cotidiano</v>
      </c>
      <c r="AK142" s="9" t="str">
        <f>IFERROR(INDEX('[3]02_Arquetipos_Miedo_Sesgo'!$C$5:$C$9,MATCH(AJ142,'[3]02_Arquetipos_Miedo_Sesgo'!$A$5:$A$9,0)),"")</f>
        <v>Miedo a la inseguridad, al descontrol barrial y a perder la tranquilidad cotidiana.</v>
      </c>
      <c r="AL142" s="9" t="str">
        <f>IFERROR(INDEX('[3]02_Arquetipos_Miedo_Sesgo'!$D$5:$D$9,MATCH(AJ142,'[3]02_Arquetipos_Miedo_Sesgo'!$A$5:$A$9,0)),"")</f>
        <v>Sesgo de disponibilidad + sesgo de negatividad + preferencia por autoridad.</v>
      </c>
      <c r="AM142" s="9" t="str">
        <f>IFERROR(INDEX('[3]02_Arquetipos_Miedo_Sesgo'!$E$5:$E$9,MATCH(AJ142,'[3]02_Arquetipos_Miedo_Sesgo'!$A$5:$A$9,0)),"")</f>
        <v>Seguridad, convivencia, movilidad, alumbrado, reacción institucional rápida, presencia de autoridad.</v>
      </c>
      <c r="AN142" s="9" t="str">
        <f t="shared" si="8"/>
        <v>Sin clasificar</v>
      </c>
      <c r="AO142" s="9" t="s">
        <v>608</v>
      </c>
    </row>
    <row r="143" spans="1:41" ht="43.2">
      <c r="A143" s="9" t="s">
        <v>649</v>
      </c>
      <c r="B143" s="9" t="s">
        <v>172</v>
      </c>
      <c r="C143" s="9" t="s">
        <v>650</v>
      </c>
      <c r="D143" s="10">
        <v>712</v>
      </c>
      <c r="E143" s="10">
        <v>578</v>
      </c>
      <c r="F143" s="10">
        <v>668</v>
      </c>
      <c r="G143" s="9" t="s">
        <v>601</v>
      </c>
      <c r="H143" s="11">
        <v>0.8637640449438202</v>
      </c>
      <c r="I143" s="11">
        <v>0.80196629213483139</v>
      </c>
      <c r="J143" s="9" t="s">
        <v>602</v>
      </c>
      <c r="K143" s="11">
        <v>0.2301038062283737</v>
      </c>
      <c r="L143" s="11">
        <v>5.5363321799307953E-2</v>
      </c>
      <c r="M143" s="9" t="s">
        <v>610</v>
      </c>
      <c r="N143" s="11">
        <v>0.52095808383233533</v>
      </c>
      <c r="O143" s="11">
        <v>0.2110778443113773</v>
      </c>
      <c r="P143" s="12">
        <v>-0.41089999999999999</v>
      </c>
      <c r="Q143" s="9" t="s">
        <v>73</v>
      </c>
      <c r="R143" s="12">
        <v>8.48E-2</v>
      </c>
      <c r="S143" s="9" t="s">
        <v>412</v>
      </c>
      <c r="T143" s="12">
        <v>-0.19400000000000001</v>
      </c>
      <c r="U143" s="12">
        <v>0.22989999999999999</v>
      </c>
      <c r="V143" s="9" t="s">
        <v>412</v>
      </c>
      <c r="W143" s="9" t="s">
        <v>604</v>
      </c>
      <c r="X143" s="9" t="s">
        <v>638</v>
      </c>
      <c r="Y143" s="9" t="s">
        <v>514</v>
      </c>
      <c r="Z143" s="9" t="s">
        <v>640</v>
      </c>
      <c r="AA143" s="9" t="s">
        <v>614</v>
      </c>
      <c r="AB143" s="11">
        <v>0.30269918416084268</v>
      </c>
      <c r="AC143" s="11">
        <v>0.2093319120876028</v>
      </c>
      <c r="AD143" s="11">
        <v>0.14291251520667461</v>
      </c>
      <c r="AE143" s="11">
        <v>0.165974039794861</v>
      </c>
      <c r="AF143" s="11">
        <v>0.17908234875001891</v>
      </c>
      <c r="AG143" s="9" t="str">
        <f t="shared" si="6"/>
        <v>Protección y orden cotidiano</v>
      </c>
      <c r="AH143" s="9" t="s">
        <v>615</v>
      </c>
      <c r="AI143" s="9"/>
      <c r="AJ143" s="9" t="str">
        <f t="shared" si="7"/>
        <v>Protección y orden cotidiano</v>
      </c>
      <c r="AK143" s="9" t="str">
        <f>IFERROR(INDEX('[3]02_Arquetipos_Miedo_Sesgo'!$C$5:$C$9,MATCH(AJ143,'[3]02_Arquetipos_Miedo_Sesgo'!$A$5:$A$9,0)),"")</f>
        <v>Miedo a la inseguridad, al descontrol barrial y a perder la tranquilidad cotidiana.</v>
      </c>
      <c r="AL143" s="9" t="str">
        <f>IFERROR(INDEX('[3]02_Arquetipos_Miedo_Sesgo'!$D$5:$D$9,MATCH(AJ143,'[3]02_Arquetipos_Miedo_Sesgo'!$A$5:$A$9,0)),"")</f>
        <v>Sesgo de disponibilidad + sesgo de negatividad + preferencia por autoridad.</v>
      </c>
      <c r="AM143" s="9" t="str">
        <f>IFERROR(INDEX('[3]02_Arquetipos_Miedo_Sesgo'!$E$5:$E$9,MATCH(AJ143,'[3]02_Arquetipos_Miedo_Sesgo'!$A$5:$A$9,0)),"")</f>
        <v>Seguridad, convivencia, movilidad, alumbrado, reacción institucional rápida, presencia de autoridad.</v>
      </c>
      <c r="AN143" s="9" t="str">
        <f t="shared" si="8"/>
        <v>Sin clasificar</v>
      </c>
      <c r="AO143" s="9" t="s">
        <v>608</v>
      </c>
    </row>
    <row r="144" spans="1:41" ht="43.2">
      <c r="A144" s="9" t="s">
        <v>519</v>
      </c>
      <c r="B144" s="9" t="s">
        <v>188</v>
      </c>
      <c r="C144" s="9" t="s">
        <v>520</v>
      </c>
      <c r="D144" s="10">
        <v>939</v>
      </c>
      <c r="E144" s="10">
        <v>913</v>
      </c>
      <c r="F144" s="10">
        <v>867</v>
      </c>
      <c r="G144" s="9" t="s">
        <v>601</v>
      </c>
      <c r="H144" s="11">
        <v>0.95420660276890312</v>
      </c>
      <c r="I144" s="11">
        <v>0.93716719914802982</v>
      </c>
      <c r="J144" s="9" t="s">
        <v>602</v>
      </c>
      <c r="K144" s="11">
        <v>0.26615553121577218</v>
      </c>
      <c r="L144" s="11">
        <v>7.8860898138006563E-2</v>
      </c>
      <c r="M144" s="9" t="s">
        <v>603</v>
      </c>
      <c r="N144" s="11">
        <v>0.49250288350634369</v>
      </c>
      <c r="O144" s="11">
        <v>0.31372549019607843</v>
      </c>
      <c r="P144" s="12">
        <v>-0.41089999999999999</v>
      </c>
      <c r="Q144" s="9" t="s">
        <v>73</v>
      </c>
      <c r="R144" s="12">
        <v>0.45390000000000003</v>
      </c>
      <c r="S144" s="9" t="s">
        <v>75</v>
      </c>
      <c r="T144" s="12">
        <v>3.5099999999999999E-2</v>
      </c>
      <c r="U144" s="12">
        <v>0.3</v>
      </c>
      <c r="V144" s="9" t="s">
        <v>412</v>
      </c>
      <c r="W144" s="9" t="s">
        <v>604</v>
      </c>
      <c r="X144" s="9" t="s">
        <v>638</v>
      </c>
      <c r="Y144" s="9" t="s">
        <v>514</v>
      </c>
      <c r="Z144" s="9" t="s">
        <v>640</v>
      </c>
      <c r="AA144" s="9" t="s">
        <v>614</v>
      </c>
      <c r="AB144" s="11">
        <v>0.34421556806612269</v>
      </c>
      <c r="AC144" s="11">
        <v>0.20443224258733969</v>
      </c>
      <c r="AD144" s="11">
        <v>0.19108933617823801</v>
      </c>
      <c r="AE144" s="11">
        <v>6.1793849802149532E-2</v>
      </c>
      <c r="AF144" s="11">
        <v>0.19846900336615009</v>
      </c>
      <c r="AG144" s="9" t="str">
        <f t="shared" si="6"/>
        <v>Protección y orden cotidiano</v>
      </c>
      <c r="AH144" s="9" t="s">
        <v>615</v>
      </c>
      <c r="AI144" s="9"/>
      <c r="AJ144" s="9" t="str">
        <f t="shared" si="7"/>
        <v>Protección y orden cotidiano</v>
      </c>
      <c r="AK144" s="9" t="str">
        <f>IFERROR(INDEX('[3]02_Arquetipos_Miedo_Sesgo'!$C$5:$C$9,MATCH(AJ144,'[3]02_Arquetipos_Miedo_Sesgo'!$A$5:$A$9,0)),"")</f>
        <v>Miedo a la inseguridad, al descontrol barrial y a perder la tranquilidad cotidiana.</v>
      </c>
      <c r="AL144" s="9" t="str">
        <f>IFERROR(INDEX('[3]02_Arquetipos_Miedo_Sesgo'!$D$5:$D$9,MATCH(AJ144,'[3]02_Arquetipos_Miedo_Sesgo'!$A$5:$A$9,0)),"")</f>
        <v>Sesgo de disponibilidad + sesgo de negatividad + preferencia por autoridad.</v>
      </c>
      <c r="AM144" s="9" t="str">
        <f>IFERROR(INDEX('[3]02_Arquetipos_Miedo_Sesgo'!$E$5:$E$9,MATCH(AJ144,'[3]02_Arquetipos_Miedo_Sesgo'!$A$5:$A$9,0)),"")</f>
        <v>Seguridad, convivencia, movilidad, alumbrado, reacción institucional rápida, presencia de autoridad.</v>
      </c>
      <c r="AN144" s="9" t="str">
        <f t="shared" si="8"/>
        <v>Sin clasificar</v>
      </c>
      <c r="AO144" s="9" t="s">
        <v>608</v>
      </c>
    </row>
    <row r="145" spans="1:41" ht="43.2">
      <c r="A145" s="9" t="s">
        <v>187</v>
      </c>
      <c r="B145" s="9" t="s">
        <v>188</v>
      </c>
      <c r="C145" s="9" t="s">
        <v>189</v>
      </c>
      <c r="D145" s="10">
        <v>3877</v>
      </c>
      <c r="E145" s="10">
        <v>3544</v>
      </c>
      <c r="F145" s="10">
        <v>3370</v>
      </c>
      <c r="G145" s="9" t="s">
        <v>601</v>
      </c>
      <c r="H145" s="11">
        <v>0.75496517926231621</v>
      </c>
      <c r="I145" s="11">
        <v>0.6628836729429971</v>
      </c>
      <c r="J145" s="9" t="s">
        <v>602</v>
      </c>
      <c r="K145" s="11">
        <v>0.28329571106094809</v>
      </c>
      <c r="L145" s="11">
        <v>3.8374717832957123E-2</v>
      </c>
      <c r="M145" s="9" t="s">
        <v>603</v>
      </c>
      <c r="N145" s="11">
        <v>0.41157270029673593</v>
      </c>
      <c r="O145" s="11">
        <v>0.24213649851632049</v>
      </c>
      <c r="P145" s="12">
        <v>-0.41089999999999999</v>
      </c>
      <c r="Q145" s="9" t="s">
        <v>73</v>
      </c>
      <c r="R145" s="12">
        <v>0.45390000000000003</v>
      </c>
      <c r="S145" s="9" t="s">
        <v>75</v>
      </c>
      <c r="T145" s="12">
        <v>3.5099999999999999E-2</v>
      </c>
      <c r="U145" s="12">
        <v>0.3</v>
      </c>
      <c r="V145" s="9" t="s">
        <v>412</v>
      </c>
      <c r="W145" s="9" t="s">
        <v>604</v>
      </c>
      <c r="X145" s="9" t="s">
        <v>638</v>
      </c>
      <c r="Y145" s="9" t="s">
        <v>514</v>
      </c>
      <c r="Z145" s="9" t="s">
        <v>640</v>
      </c>
      <c r="AA145" s="9" t="s">
        <v>614</v>
      </c>
      <c r="AB145" s="11">
        <v>0.26473516776903572</v>
      </c>
      <c r="AC145" s="11">
        <v>0.1909346125940905</v>
      </c>
      <c r="AD145" s="11">
        <v>0.183153434594378</v>
      </c>
      <c r="AE145" s="11">
        <v>0.1776332964181585</v>
      </c>
      <c r="AF145" s="11">
        <v>0.18354348862433739</v>
      </c>
      <c r="AG145" s="9" t="str">
        <f t="shared" si="6"/>
        <v>Protección y orden cotidiano</v>
      </c>
      <c r="AH145" s="9" t="s">
        <v>615</v>
      </c>
      <c r="AI145" s="9"/>
      <c r="AJ145" s="9" t="str">
        <f t="shared" si="7"/>
        <v>Protección y orden cotidiano</v>
      </c>
      <c r="AK145" s="9" t="str">
        <f>IFERROR(INDEX('[3]02_Arquetipos_Miedo_Sesgo'!$C$5:$C$9,MATCH(AJ145,'[3]02_Arquetipos_Miedo_Sesgo'!$A$5:$A$9,0)),"")</f>
        <v>Miedo a la inseguridad, al descontrol barrial y a perder la tranquilidad cotidiana.</v>
      </c>
      <c r="AL145" s="9" t="str">
        <f>IFERROR(INDEX('[3]02_Arquetipos_Miedo_Sesgo'!$D$5:$D$9,MATCH(AJ145,'[3]02_Arquetipos_Miedo_Sesgo'!$A$5:$A$9,0)),"")</f>
        <v>Sesgo de disponibilidad + sesgo de negatividad + preferencia por autoridad.</v>
      </c>
      <c r="AM145" s="9" t="str">
        <f>IFERROR(INDEX('[3]02_Arquetipos_Miedo_Sesgo'!$E$5:$E$9,MATCH(AJ145,'[3]02_Arquetipos_Miedo_Sesgo'!$A$5:$A$9,0)),"")</f>
        <v>Seguridad, convivencia, movilidad, alumbrado, reacción institucional rápida, presencia de autoridad.</v>
      </c>
      <c r="AN145" s="9" t="str">
        <f t="shared" si="8"/>
        <v>Sin clasificar</v>
      </c>
      <c r="AO145" s="9" t="s">
        <v>608</v>
      </c>
    </row>
    <row r="146" spans="1:41" ht="57.6">
      <c r="A146" s="9" t="s">
        <v>178</v>
      </c>
      <c r="B146" s="9" t="s">
        <v>179</v>
      </c>
      <c r="C146" s="9" t="s">
        <v>180</v>
      </c>
      <c r="D146" s="10">
        <v>3879</v>
      </c>
      <c r="E146" s="10">
        <v>3183</v>
      </c>
      <c r="F146" s="10">
        <v>2904</v>
      </c>
      <c r="G146" s="9" t="s">
        <v>601</v>
      </c>
      <c r="H146" s="11">
        <v>0.68935292601185871</v>
      </c>
      <c r="I146" s="11">
        <v>0.48414539829853048</v>
      </c>
      <c r="J146" s="9" t="s">
        <v>602</v>
      </c>
      <c r="K146" s="11">
        <v>0.33521834747093943</v>
      </c>
      <c r="L146" s="11">
        <v>0.20609487904492621</v>
      </c>
      <c r="M146" s="9" t="s">
        <v>603</v>
      </c>
      <c r="N146" s="11">
        <v>0.33780991735537191</v>
      </c>
      <c r="O146" s="11">
        <v>0.1738980716253444</v>
      </c>
      <c r="P146" s="12">
        <v>-0.41089999999999999</v>
      </c>
      <c r="Q146" s="9" t="s">
        <v>73</v>
      </c>
      <c r="R146" s="12">
        <v>0.45390000000000003</v>
      </c>
      <c r="S146" s="9" t="s">
        <v>75</v>
      </c>
      <c r="T146" s="12">
        <v>3.5099999999999999E-2</v>
      </c>
      <c r="U146" s="12">
        <v>0.3</v>
      </c>
      <c r="V146" s="9" t="s">
        <v>412</v>
      </c>
      <c r="W146" s="9" t="s">
        <v>604</v>
      </c>
      <c r="X146" s="9" t="s">
        <v>638</v>
      </c>
      <c r="Y146" s="9" t="s">
        <v>514</v>
      </c>
      <c r="Z146" s="9" t="s">
        <v>640</v>
      </c>
      <c r="AA146" s="9" t="s">
        <v>606</v>
      </c>
      <c r="AB146" s="11">
        <v>0.23248159149875869</v>
      </c>
      <c r="AC146" s="11">
        <v>0.2256711915106332</v>
      </c>
      <c r="AD146" s="11">
        <v>0.15309923538796461</v>
      </c>
      <c r="AE146" s="11">
        <v>0.23444169079118651</v>
      </c>
      <c r="AF146" s="11">
        <v>0.154306290811457</v>
      </c>
      <c r="AG146" s="9" t="str">
        <f t="shared" si="6"/>
        <v>Desconfianza y castigo</v>
      </c>
      <c r="AH146" s="9" t="s">
        <v>607</v>
      </c>
      <c r="AI146" s="9"/>
      <c r="AJ146" s="9" t="str">
        <f t="shared" si="7"/>
        <v>Desconfianza y castigo</v>
      </c>
      <c r="AK146" s="9" t="str">
        <f>IFERROR(INDEX('[3]02_Arquetipos_Miedo_Sesgo'!$C$5:$C$9,MATCH(AJ146,'[3]02_Arquetipos_Miedo_Sesgo'!$A$5:$A$9,0)),"")</f>
        <v>Miedo a ser engañado, robado, manipulado o usado electoralmente.</v>
      </c>
      <c r="AL146" s="9" t="str">
        <f>IFERROR(INDEX('[3]02_Arquetipos_Miedo_Sesgo'!$D$5:$D$9,MATCH(AJ146,'[3]02_Arquetipos_Miedo_Sesgo'!$A$5:$A$9,0)),"")</f>
        <v>Sesgo de confirmación + cinismo político + efecto de indignación moral.</v>
      </c>
      <c r="AM146" s="9" t="str">
        <f>IFERROR(INDEX('[3]02_Arquetipos_Miedo_Sesgo'!$E$5:$E$9,MATCH(AJ146,'[3]02_Arquetipos_Miedo_Sesgo'!$A$5:$A$9,0)),"")</f>
        <v>Transparencia, control político, lucha anticorrupción, vigilancia ciudadana, ejecución presupuestal y sanción a abusos.</v>
      </c>
      <c r="AN146" s="9" t="str">
        <f t="shared" si="8"/>
        <v>Sin clasificar</v>
      </c>
      <c r="AO146" s="9" t="s">
        <v>608</v>
      </c>
    </row>
    <row r="147" spans="1:41" ht="43.2">
      <c r="A147" s="9" t="s">
        <v>168</v>
      </c>
      <c r="B147" s="9" t="s">
        <v>150</v>
      </c>
      <c r="C147" s="9" t="s">
        <v>169</v>
      </c>
      <c r="D147" s="10">
        <v>1438</v>
      </c>
      <c r="E147" s="10">
        <v>1201</v>
      </c>
      <c r="F147" s="10">
        <v>1004</v>
      </c>
      <c r="G147" s="9" t="s">
        <v>601</v>
      </c>
      <c r="H147" s="11">
        <v>0.73365785813630047</v>
      </c>
      <c r="I147" s="11">
        <v>0.56606397774687067</v>
      </c>
      <c r="J147" s="9" t="s">
        <v>602</v>
      </c>
      <c r="K147" s="11">
        <v>0.27893422148209818</v>
      </c>
      <c r="L147" s="11">
        <v>0.15820149875104081</v>
      </c>
      <c r="M147" s="9" t="s">
        <v>610</v>
      </c>
      <c r="N147" s="11">
        <v>0.3605577689243028</v>
      </c>
      <c r="O147" s="11">
        <v>8.9641434262948239E-2</v>
      </c>
      <c r="P147" s="12">
        <v>-0.41089999999999999</v>
      </c>
      <c r="Q147" s="9" t="s">
        <v>73</v>
      </c>
      <c r="R147" s="12">
        <v>8.48E-2</v>
      </c>
      <c r="S147" s="9" t="s">
        <v>412</v>
      </c>
      <c r="T147" s="12">
        <v>-0.19400000000000001</v>
      </c>
      <c r="U147" s="12">
        <v>0.22989999999999999</v>
      </c>
      <c r="V147" s="9" t="s">
        <v>412</v>
      </c>
      <c r="W147" s="9" t="s">
        <v>604</v>
      </c>
      <c r="X147" s="9" t="s">
        <v>131</v>
      </c>
      <c r="Y147" s="9" t="s">
        <v>152</v>
      </c>
      <c r="Z147" s="9" t="s">
        <v>621</v>
      </c>
      <c r="AA147" s="9" t="s">
        <v>614</v>
      </c>
      <c r="AB147" s="11">
        <v>0.25251369231799031</v>
      </c>
      <c r="AC147" s="11">
        <v>0.2319765676722515</v>
      </c>
      <c r="AD147" s="11">
        <v>0.13511493591646681</v>
      </c>
      <c r="AE147" s="11">
        <v>0.20423976912971961</v>
      </c>
      <c r="AF147" s="11">
        <v>0.17615503496357199</v>
      </c>
      <c r="AG147" s="9" t="str">
        <f t="shared" si="6"/>
        <v>Protección y orden cotidiano</v>
      </c>
      <c r="AH147" s="9" t="s">
        <v>615</v>
      </c>
      <c r="AI147" s="9"/>
      <c r="AJ147" s="9" t="str">
        <f t="shared" si="7"/>
        <v>Protección y orden cotidiano</v>
      </c>
      <c r="AK147" s="9" t="str">
        <f>IFERROR(INDEX('[3]02_Arquetipos_Miedo_Sesgo'!$C$5:$C$9,MATCH(AJ147,'[3]02_Arquetipos_Miedo_Sesgo'!$A$5:$A$9,0)),"")</f>
        <v>Miedo a la inseguridad, al descontrol barrial y a perder la tranquilidad cotidiana.</v>
      </c>
      <c r="AL147" s="9" t="str">
        <f>IFERROR(INDEX('[3]02_Arquetipos_Miedo_Sesgo'!$D$5:$D$9,MATCH(AJ147,'[3]02_Arquetipos_Miedo_Sesgo'!$A$5:$A$9,0)),"")</f>
        <v>Sesgo de disponibilidad + sesgo de negatividad + preferencia por autoridad.</v>
      </c>
      <c r="AM147" s="9" t="str">
        <f>IFERROR(INDEX('[3]02_Arquetipos_Miedo_Sesgo'!$E$5:$E$9,MATCH(AJ147,'[3]02_Arquetipos_Miedo_Sesgo'!$A$5:$A$9,0)),"")</f>
        <v>Seguridad, convivencia, movilidad, alumbrado, reacción institucional rápida, presencia de autoridad.</v>
      </c>
      <c r="AN147" s="9" t="str">
        <f t="shared" si="8"/>
        <v>Media</v>
      </c>
      <c r="AO147" s="9" t="s">
        <v>608</v>
      </c>
    </row>
    <row r="148" spans="1:41" ht="43.2">
      <c r="A148" s="9" t="s">
        <v>292</v>
      </c>
      <c r="B148" s="9" t="s">
        <v>277</v>
      </c>
      <c r="C148" s="9" t="s">
        <v>293</v>
      </c>
      <c r="D148" s="10">
        <v>12132</v>
      </c>
      <c r="E148" s="10">
        <v>10785</v>
      </c>
      <c r="F148" s="10"/>
      <c r="G148" s="9" t="s">
        <v>601</v>
      </c>
      <c r="H148" s="11">
        <v>0.82921200131882622</v>
      </c>
      <c r="I148" s="11">
        <v>0.74727992087042527</v>
      </c>
      <c r="J148" s="9" t="s">
        <v>602</v>
      </c>
      <c r="K148" s="11">
        <v>0.31821974965229488</v>
      </c>
      <c r="L148" s="11">
        <v>0.154473806212332</v>
      </c>
      <c r="M148" s="9" t="s">
        <v>603</v>
      </c>
      <c r="N148" s="11">
        <v>0</v>
      </c>
      <c r="O148" s="11">
        <v>0</v>
      </c>
      <c r="P148" s="12">
        <v>-0.41089999999999999</v>
      </c>
      <c r="Q148" s="9" t="s">
        <v>73</v>
      </c>
      <c r="R148" s="12">
        <v>0.45390000000000003</v>
      </c>
      <c r="S148" s="9" t="s">
        <v>75</v>
      </c>
      <c r="T148" s="12">
        <v>3.5099999999999999E-2</v>
      </c>
      <c r="U148" s="12">
        <v>0.3</v>
      </c>
      <c r="V148" s="9" t="s">
        <v>412</v>
      </c>
      <c r="W148" s="9" t="s">
        <v>604</v>
      </c>
      <c r="X148" s="9" t="s">
        <v>638</v>
      </c>
      <c r="Y148" s="9" t="s">
        <v>639</v>
      </c>
      <c r="Z148" s="9" t="s">
        <v>640</v>
      </c>
      <c r="AA148" s="9" t="s">
        <v>614</v>
      </c>
      <c r="AB148" s="11">
        <v>0.38539542413988392</v>
      </c>
      <c r="AC148" s="11">
        <v>0.21373896392115541</v>
      </c>
      <c r="AD148" s="11">
        <v>0.1633233357174626</v>
      </c>
      <c r="AE148" s="11">
        <v>0.17576890346919141</v>
      </c>
      <c r="AF148" s="11">
        <v>6.1773372752306599E-2</v>
      </c>
      <c r="AG148" s="9" t="str">
        <f t="shared" si="6"/>
        <v>Protección y orden cotidiano</v>
      </c>
      <c r="AH148" s="9" t="s">
        <v>615</v>
      </c>
      <c r="AI148" s="9"/>
      <c r="AJ148" s="9" t="str">
        <f t="shared" si="7"/>
        <v>Protección y orden cotidiano</v>
      </c>
      <c r="AK148" s="9" t="str">
        <f>IFERROR(INDEX('[3]02_Arquetipos_Miedo_Sesgo'!$C$5:$C$9,MATCH(AJ148,'[3]02_Arquetipos_Miedo_Sesgo'!$A$5:$A$9,0)),"")</f>
        <v>Miedo a la inseguridad, al descontrol barrial y a perder la tranquilidad cotidiana.</v>
      </c>
      <c r="AL148" s="9" t="str">
        <f>IFERROR(INDEX('[3]02_Arquetipos_Miedo_Sesgo'!$D$5:$D$9,MATCH(AJ148,'[3]02_Arquetipos_Miedo_Sesgo'!$A$5:$A$9,0)),"")</f>
        <v>Sesgo de disponibilidad + sesgo de negatividad + preferencia por autoridad.</v>
      </c>
      <c r="AM148" s="9" t="str">
        <f>IFERROR(INDEX('[3]02_Arquetipos_Miedo_Sesgo'!$E$5:$E$9,MATCH(AJ148,'[3]02_Arquetipos_Miedo_Sesgo'!$A$5:$A$9,0)),"")</f>
        <v>Seguridad, convivencia, movilidad, alumbrado, reacción institucional rápida, presencia de autoridad.</v>
      </c>
      <c r="AN148" s="9" t="str">
        <f t="shared" si="8"/>
        <v>Sin clasificar</v>
      </c>
      <c r="AO148" s="9" t="s">
        <v>608</v>
      </c>
    </row>
    <row r="149" spans="1:41" ht="43.2">
      <c r="A149" s="9" t="s">
        <v>539</v>
      </c>
      <c r="B149" s="9" t="s">
        <v>277</v>
      </c>
      <c r="C149" s="9" t="s">
        <v>540</v>
      </c>
      <c r="D149" s="10">
        <v>6312</v>
      </c>
      <c r="E149" s="10">
        <v>5950</v>
      </c>
      <c r="F149" s="10">
        <v>5245</v>
      </c>
      <c r="G149" s="9" t="s">
        <v>601</v>
      </c>
      <c r="H149" s="11">
        <v>0.79230038022813687</v>
      </c>
      <c r="I149" s="11">
        <v>0.69882762991128011</v>
      </c>
      <c r="J149" s="9" t="s">
        <v>602</v>
      </c>
      <c r="K149" s="11">
        <v>0.27747899159663858</v>
      </c>
      <c r="L149" s="11">
        <v>0.1176470588235294</v>
      </c>
      <c r="M149" s="9" t="s">
        <v>603</v>
      </c>
      <c r="N149" s="11">
        <v>0.46139180171591992</v>
      </c>
      <c r="O149" s="11">
        <v>0.29628217349857011</v>
      </c>
      <c r="P149" s="12">
        <v>-0.41089999999999999</v>
      </c>
      <c r="Q149" s="9" t="s">
        <v>73</v>
      </c>
      <c r="R149" s="12">
        <v>0.45390000000000003</v>
      </c>
      <c r="S149" s="9" t="s">
        <v>75</v>
      </c>
      <c r="T149" s="12">
        <v>3.5099999999999999E-2</v>
      </c>
      <c r="U149" s="12">
        <v>0.3</v>
      </c>
      <c r="V149" s="9" t="s">
        <v>412</v>
      </c>
      <c r="W149" s="9" t="s">
        <v>604</v>
      </c>
      <c r="X149" s="9" t="s">
        <v>638</v>
      </c>
      <c r="Y149" s="9" t="s">
        <v>639</v>
      </c>
      <c r="Z149" s="9" t="s">
        <v>640</v>
      </c>
      <c r="AA149" s="9" t="s">
        <v>614</v>
      </c>
      <c r="AB149" s="11">
        <v>0.28330339130951099</v>
      </c>
      <c r="AC149" s="11">
        <v>0.21358523976830851</v>
      </c>
      <c r="AD149" s="11">
        <v>0.18706989693407411</v>
      </c>
      <c r="AE149" s="11">
        <v>0.12610461227209821</v>
      </c>
      <c r="AF149" s="11">
        <v>0.18993685971600821</v>
      </c>
      <c r="AG149" s="9" t="str">
        <f t="shared" si="6"/>
        <v>Protección y orden cotidiano</v>
      </c>
      <c r="AH149" s="9" t="s">
        <v>615</v>
      </c>
      <c r="AI149" s="9"/>
      <c r="AJ149" s="9" t="str">
        <f t="shared" si="7"/>
        <v>Protección y orden cotidiano</v>
      </c>
      <c r="AK149" s="9" t="str">
        <f>IFERROR(INDEX('[3]02_Arquetipos_Miedo_Sesgo'!$C$5:$C$9,MATCH(AJ149,'[3]02_Arquetipos_Miedo_Sesgo'!$A$5:$A$9,0)),"")</f>
        <v>Miedo a la inseguridad, al descontrol barrial y a perder la tranquilidad cotidiana.</v>
      </c>
      <c r="AL149" s="9" t="str">
        <f>IFERROR(INDEX('[3]02_Arquetipos_Miedo_Sesgo'!$D$5:$D$9,MATCH(AJ149,'[3]02_Arquetipos_Miedo_Sesgo'!$A$5:$A$9,0)),"")</f>
        <v>Sesgo de disponibilidad + sesgo de negatividad + preferencia por autoridad.</v>
      </c>
      <c r="AM149" s="9" t="str">
        <f>IFERROR(INDEX('[3]02_Arquetipos_Miedo_Sesgo'!$E$5:$E$9,MATCH(AJ149,'[3]02_Arquetipos_Miedo_Sesgo'!$A$5:$A$9,0)),"")</f>
        <v>Seguridad, convivencia, movilidad, alumbrado, reacción institucional rápida, presencia de autoridad.</v>
      </c>
      <c r="AN149" s="9" t="str">
        <f t="shared" si="8"/>
        <v>Sin clasificar</v>
      </c>
      <c r="AO149" s="9" t="s">
        <v>608</v>
      </c>
    </row>
    <row r="150" spans="1:41" ht="43.2">
      <c r="A150" s="9" t="s">
        <v>272</v>
      </c>
      <c r="B150" s="9" t="s">
        <v>258</v>
      </c>
      <c r="C150" s="9" t="s">
        <v>273</v>
      </c>
      <c r="D150" s="10">
        <v>10473</v>
      </c>
      <c r="E150" s="10">
        <v>8999</v>
      </c>
      <c r="F150" s="10"/>
      <c r="G150" s="9" t="s">
        <v>601</v>
      </c>
      <c r="H150" s="11">
        <v>0.87510741907762823</v>
      </c>
      <c r="I150" s="11">
        <v>0.81963143320920462</v>
      </c>
      <c r="J150" s="9" t="s">
        <v>602</v>
      </c>
      <c r="K150" s="11">
        <v>0.3223691521280142</v>
      </c>
      <c r="L150" s="11">
        <v>0.17579731081231251</v>
      </c>
      <c r="M150" s="9" t="s">
        <v>603</v>
      </c>
      <c r="N150" s="11">
        <v>0</v>
      </c>
      <c r="O150" s="11">
        <v>0</v>
      </c>
      <c r="P150" s="12">
        <v>-0.41089999999999999</v>
      </c>
      <c r="Q150" s="9" t="s">
        <v>73</v>
      </c>
      <c r="R150" s="12">
        <v>0.45390000000000003</v>
      </c>
      <c r="S150" s="9" t="s">
        <v>75</v>
      </c>
      <c r="T150" s="12">
        <v>3.5099999999999999E-2</v>
      </c>
      <c r="U150" s="12">
        <v>0.3</v>
      </c>
      <c r="V150" s="9" t="s">
        <v>412</v>
      </c>
      <c r="W150" s="9" t="s">
        <v>604</v>
      </c>
      <c r="X150" s="9" t="s">
        <v>260</v>
      </c>
      <c r="Y150" s="9" t="s">
        <v>624</v>
      </c>
      <c r="Z150" s="9" t="s">
        <v>637</v>
      </c>
      <c r="AA150" s="9" t="s">
        <v>614</v>
      </c>
      <c r="AB150" s="11">
        <v>0.39540110707957521</v>
      </c>
      <c r="AC150" s="11">
        <v>0.19407115359144139</v>
      </c>
      <c r="AD150" s="11">
        <v>0.16099545617800409</v>
      </c>
      <c r="AE150" s="11">
        <v>0.1921904348628464</v>
      </c>
      <c r="AF150" s="11">
        <v>5.7341848288133122E-2</v>
      </c>
      <c r="AG150" s="9" t="str">
        <f t="shared" si="6"/>
        <v>Protección y orden cotidiano</v>
      </c>
      <c r="AH150" s="9" t="s">
        <v>615</v>
      </c>
      <c r="AI150" s="9"/>
      <c r="AJ150" s="9" t="str">
        <f t="shared" si="7"/>
        <v>Protección y orden cotidiano</v>
      </c>
      <c r="AK150" s="9" t="str">
        <f>IFERROR(INDEX('[3]02_Arquetipos_Miedo_Sesgo'!$C$5:$C$9,MATCH(AJ150,'[3]02_Arquetipos_Miedo_Sesgo'!$A$5:$A$9,0)),"")</f>
        <v>Miedo a la inseguridad, al descontrol barrial y a perder la tranquilidad cotidiana.</v>
      </c>
      <c r="AL150" s="9" t="str">
        <f>IFERROR(INDEX('[3]02_Arquetipos_Miedo_Sesgo'!$D$5:$D$9,MATCH(AJ150,'[3]02_Arquetipos_Miedo_Sesgo'!$A$5:$A$9,0)),"")</f>
        <v>Sesgo de disponibilidad + sesgo de negatividad + preferencia por autoridad.</v>
      </c>
      <c r="AM150" s="9" t="str">
        <f>IFERROR(INDEX('[3]02_Arquetipos_Miedo_Sesgo'!$E$5:$E$9,MATCH(AJ150,'[3]02_Arquetipos_Miedo_Sesgo'!$A$5:$A$9,0)),"")</f>
        <v>Seguridad, convivencia, movilidad, alumbrado, reacción institucional rápida, presencia de autoridad.</v>
      </c>
      <c r="AN150" s="9" t="str">
        <f t="shared" si="8"/>
        <v>Alta</v>
      </c>
      <c r="AO150" s="9" t="s">
        <v>608</v>
      </c>
    </row>
    <row r="151" spans="1:41" ht="43.2">
      <c r="A151" s="9" t="s">
        <v>274</v>
      </c>
      <c r="B151" s="9" t="s">
        <v>258</v>
      </c>
      <c r="C151" s="9" t="s">
        <v>275</v>
      </c>
      <c r="D151" s="10">
        <v>5549</v>
      </c>
      <c r="E151" s="10">
        <v>4876</v>
      </c>
      <c r="F151" s="10">
        <v>4064</v>
      </c>
      <c r="G151" s="9" t="s">
        <v>601</v>
      </c>
      <c r="H151" s="11">
        <v>0.77491439899080916</v>
      </c>
      <c r="I151" s="11">
        <v>0.65327085961434495</v>
      </c>
      <c r="J151" s="9" t="s">
        <v>602</v>
      </c>
      <c r="K151" s="11">
        <v>0.29060705496308448</v>
      </c>
      <c r="L151" s="11">
        <v>0.16899097621000819</v>
      </c>
      <c r="M151" s="9" t="s">
        <v>603</v>
      </c>
      <c r="N151" s="11">
        <v>0.44635826771653542</v>
      </c>
      <c r="O151" s="11">
        <v>0.28469488188976377</v>
      </c>
      <c r="P151" s="12">
        <v>-0.41089999999999999</v>
      </c>
      <c r="Q151" s="9" t="s">
        <v>73</v>
      </c>
      <c r="R151" s="12">
        <v>0.45390000000000003</v>
      </c>
      <c r="S151" s="9" t="s">
        <v>75</v>
      </c>
      <c r="T151" s="12">
        <v>3.5099999999999999E-2</v>
      </c>
      <c r="U151" s="12">
        <v>0.3</v>
      </c>
      <c r="V151" s="9" t="s">
        <v>412</v>
      </c>
      <c r="W151" s="9" t="s">
        <v>604</v>
      </c>
      <c r="X151" s="9" t="s">
        <v>260</v>
      </c>
      <c r="Y151" s="9" t="s">
        <v>624</v>
      </c>
      <c r="Z151" s="9" t="s">
        <v>637</v>
      </c>
      <c r="AA151" s="9" t="s">
        <v>614</v>
      </c>
      <c r="AB151" s="11">
        <v>0.26104874377843362</v>
      </c>
      <c r="AC151" s="11">
        <v>0.2048909807169908</v>
      </c>
      <c r="AD151" s="11">
        <v>0.17584960032035529</v>
      </c>
      <c r="AE151" s="11">
        <v>0.1840556743842221</v>
      </c>
      <c r="AF151" s="11">
        <v>0.17415500079999821</v>
      </c>
      <c r="AG151" s="9" t="str">
        <f t="shared" si="6"/>
        <v>Protección y orden cotidiano</v>
      </c>
      <c r="AH151" s="9" t="s">
        <v>615</v>
      </c>
      <c r="AI151" s="9"/>
      <c r="AJ151" s="9" t="str">
        <f t="shared" si="7"/>
        <v>Protección y orden cotidiano</v>
      </c>
      <c r="AK151" s="9" t="str">
        <f>IFERROR(INDEX('[3]02_Arquetipos_Miedo_Sesgo'!$C$5:$C$9,MATCH(AJ151,'[3]02_Arquetipos_Miedo_Sesgo'!$A$5:$A$9,0)),"")</f>
        <v>Miedo a la inseguridad, al descontrol barrial y a perder la tranquilidad cotidiana.</v>
      </c>
      <c r="AL151" s="9" t="str">
        <f>IFERROR(INDEX('[3]02_Arquetipos_Miedo_Sesgo'!$D$5:$D$9,MATCH(AJ151,'[3]02_Arquetipos_Miedo_Sesgo'!$A$5:$A$9,0)),"")</f>
        <v>Sesgo de disponibilidad + sesgo de negatividad + preferencia por autoridad.</v>
      </c>
      <c r="AM151" s="9" t="str">
        <f>IFERROR(INDEX('[3]02_Arquetipos_Miedo_Sesgo'!$E$5:$E$9,MATCH(AJ151,'[3]02_Arquetipos_Miedo_Sesgo'!$A$5:$A$9,0)),"")</f>
        <v>Seguridad, convivencia, movilidad, alumbrado, reacción institucional rápida, presencia de autoridad.</v>
      </c>
      <c r="AN151" s="9" t="str">
        <f t="shared" si="8"/>
        <v>Alta</v>
      </c>
      <c r="AO151" s="9" t="s">
        <v>608</v>
      </c>
    </row>
    <row r="152" spans="1:41" ht="43.2">
      <c r="A152" s="9" t="s">
        <v>651</v>
      </c>
      <c r="B152" s="9" t="s">
        <v>150</v>
      </c>
      <c r="C152" s="9" t="s">
        <v>652</v>
      </c>
      <c r="D152" s="10">
        <v>589</v>
      </c>
      <c r="E152" s="10">
        <v>479</v>
      </c>
      <c r="F152" s="10">
        <v>428</v>
      </c>
      <c r="G152" s="9" t="s">
        <v>601</v>
      </c>
      <c r="H152" s="11">
        <v>0.77419354838709675</v>
      </c>
      <c r="I152" s="11">
        <v>0.63497453310696095</v>
      </c>
      <c r="J152" s="9" t="s">
        <v>602</v>
      </c>
      <c r="K152" s="11">
        <v>0.28183716075156579</v>
      </c>
      <c r="L152" s="11">
        <v>0.12734864300626311</v>
      </c>
      <c r="M152" s="9" t="s">
        <v>603</v>
      </c>
      <c r="N152" s="11">
        <v>0.37383177570093462</v>
      </c>
      <c r="O152" s="11">
        <v>0.1331775700934579</v>
      </c>
      <c r="P152" s="12">
        <v>-0.41089999999999999</v>
      </c>
      <c r="Q152" s="9" t="s">
        <v>73</v>
      </c>
      <c r="R152" s="12">
        <v>0.45390000000000003</v>
      </c>
      <c r="S152" s="9" t="s">
        <v>75</v>
      </c>
      <c r="T152" s="12">
        <v>3.5099999999999999E-2</v>
      </c>
      <c r="U152" s="12">
        <v>0.3</v>
      </c>
      <c r="V152" s="9" t="s">
        <v>412</v>
      </c>
      <c r="W152" s="9" t="s">
        <v>604</v>
      </c>
      <c r="X152" s="9" t="s">
        <v>131</v>
      </c>
      <c r="Y152" s="9" t="s">
        <v>152</v>
      </c>
      <c r="Z152" s="9" t="s">
        <v>621</v>
      </c>
      <c r="AA152" s="9" t="s">
        <v>614</v>
      </c>
      <c r="AB152" s="11">
        <v>0.26654712549214088</v>
      </c>
      <c r="AC152" s="11">
        <v>0.22620012375176621</v>
      </c>
      <c r="AD152" s="11">
        <v>0.15079272375318509</v>
      </c>
      <c r="AE152" s="11">
        <v>0.1712041444861426</v>
      </c>
      <c r="AF152" s="11">
        <v>0.185255882516765</v>
      </c>
      <c r="AG152" s="9" t="str">
        <f t="shared" si="6"/>
        <v>Protección y orden cotidiano</v>
      </c>
      <c r="AH152" s="9" t="s">
        <v>615</v>
      </c>
      <c r="AI152" s="9"/>
      <c r="AJ152" s="9" t="str">
        <f t="shared" si="7"/>
        <v>Protección y orden cotidiano</v>
      </c>
      <c r="AK152" s="9" t="str">
        <f>IFERROR(INDEX('[3]02_Arquetipos_Miedo_Sesgo'!$C$5:$C$9,MATCH(AJ152,'[3]02_Arquetipos_Miedo_Sesgo'!$A$5:$A$9,0)),"")</f>
        <v>Miedo a la inseguridad, al descontrol barrial y a perder la tranquilidad cotidiana.</v>
      </c>
      <c r="AL152" s="9" t="str">
        <f>IFERROR(INDEX('[3]02_Arquetipos_Miedo_Sesgo'!$D$5:$D$9,MATCH(AJ152,'[3]02_Arquetipos_Miedo_Sesgo'!$A$5:$A$9,0)),"")</f>
        <v>Sesgo de disponibilidad + sesgo de negatividad + preferencia por autoridad.</v>
      </c>
      <c r="AM152" s="9" t="str">
        <f>IFERROR(INDEX('[3]02_Arquetipos_Miedo_Sesgo'!$E$5:$E$9,MATCH(AJ152,'[3]02_Arquetipos_Miedo_Sesgo'!$A$5:$A$9,0)),"")</f>
        <v>Seguridad, convivencia, movilidad, alumbrado, reacción institucional rápida, presencia de autoridad.</v>
      </c>
      <c r="AN152" s="9" t="str">
        <f t="shared" si="8"/>
        <v>Media</v>
      </c>
      <c r="AO152" s="9" t="s">
        <v>608</v>
      </c>
    </row>
    <row r="153" spans="1:41" ht="43.2">
      <c r="A153" s="9" t="s">
        <v>554</v>
      </c>
      <c r="B153" s="9" t="s">
        <v>325</v>
      </c>
      <c r="C153" s="9" t="s">
        <v>555</v>
      </c>
      <c r="D153" s="10">
        <v>2467</v>
      </c>
      <c r="E153" s="10">
        <v>2268</v>
      </c>
      <c r="F153" s="10">
        <v>1741</v>
      </c>
      <c r="G153" s="9" t="s">
        <v>601</v>
      </c>
      <c r="H153" s="11">
        <v>0.65342521280907984</v>
      </c>
      <c r="I153" s="11">
        <v>0.46696392379408191</v>
      </c>
      <c r="J153" s="9" t="s">
        <v>602</v>
      </c>
      <c r="K153" s="11">
        <v>0.29805996472663138</v>
      </c>
      <c r="L153" s="11">
        <v>0.1693121693121693</v>
      </c>
      <c r="M153" s="9" t="s">
        <v>603</v>
      </c>
      <c r="N153" s="11">
        <v>0.39919586444572092</v>
      </c>
      <c r="O153" s="11">
        <v>0.2171165996553705</v>
      </c>
      <c r="P153" s="12">
        <v>-0.41089999999999999</v>
      </c>
      <c r="Q153" s="9" t="s">
        <v>73</v>
      </c>
      <c r="R153" s="12">
        <v>0.45390000000000003</v>
      </c>
      <c r="S153" s="9" t="s">
        <v>75</v>
      </c>
      <c r="T153" s="12">
        <v>3.5099999999999999E-2</v>
      </c>
      <c r="U153" s="12">
        <v>0.3</v>
      </c>
      <c r="V153" s="9" t="s">
        <v>412</v>
      </c>
      <c r="W153" s="9" t="s">
        <v>604</v>
      </c>
      <c r="X153" s="9" t="s">
        <v>60</v>
      </c>
      <c r="Y153" s="9" t="s">
        <v>152</v>
      </c>
      <c r="Z153" s="9" t="s">
        <v>623</v>
      </c>
      <c r="AA153" s="9" t="s">
        <v>611</v>
      </c>
      <c r="AB153" s="11">
        <v>0.23086268995595119</v>
      </c>
      <c r="AC153" s="11">
        <v>0.23144857056591231</v>
      </c>
      <c r="AD153" s="11">
        <v>0.17074143976847991</v>
      </c>
      <c r="AE153" s="11">
        <v>0.1871777259410714</v>
      </c>
      <c r="AF153" s="11">
        <v>0.1797695737685851</v>
      </c>
      <c r="AG153" s="9" t="str">
        <f t="shared" si="6"/>
        <v>Estabilidad y continuidad</v>
      </c>
      <c r="AH153" s="9" t="s">
        <v>612</v>
      </c>
      <c r="AI153" s="9"/>
      <c r="AJ153" s="9" t="str">
        <f t="shared" si="7"/>
        <v>Estabilidad y continuidad</v>
      </c>
      <c r="AK153" s="9" t="str">
        <f>IFERROR(INDEX('[3]02_Arquetipos_Miedo_Sesgo'!$C$5:$C$9,MATCH(AJ153,'[3]02_Arquetipos_Miedo_Sesgo'!$A$5:$A$9,0)),"")</f>
        <v>Miedo a perder beneficios, subsidios, estabilidad institucional o condiciones de vida ya alcanzadas.</v>
      </c>
      <c r="AL153" s="9" t="str">
        <f>IFERROR(INDEX('[3]02_Arquetipos_Miedo_Sesgo'!$D$5:$D$9,MATCH(AJ153,'[3]02_Arquetipos_Miedo_Sesgo'!$A$5:$A$9,0)),"")</f>
        <v>Aversión a la pérdida + sesgo de statu quo + confirmación.</v>
      </c>
      <c r="AM153" s="9" t="str">
        <f>IFERROR(INDEX('[3]02_Arquetipos_Miedo_Sesgo'!$E$5:$E$9,MATCH(AJ153,'[3]02_Arquetipos_Miedo_Sesgo'!$A$5:$A$9,0)),"")</f>
        <v>Continuidad administrativa, servicios públicos, infraestructura, salud, educación y programas sociales.</v>
      </c>
      <c r="AN153" s="9" t="str">
        <f t="shared" si="8"/>
        <v>Alta</v>
      </c>
      <c r="AO153" s="9" t="s">
        <v>608</v>
      </c>
    </row>
  </sheetData>
  <conditionalFormatting sqref="X2:X153">
    <cfRule type="expression" dxfId="2" priority="1">
      <formula>X2="Alto"</formula>
    </cfRule>
    <cfRule type="expression" dxfId="1" priority="2">
      <formula>X2="Extremo"</formula>
    </cfRule>
  </conditionalFormatting>
  <conditionalFormatting sqref="AB2:AF153">
    <cfRule type="colorScale" priority="4">
      <colorScale>
        <cfvo type="min"/>
        <cfvo type="percentile" val="50"/>
        <cfvo type="max"/>
        <color rgb="FFF2F2F2"/>
        <color rgb="FFFFF2CC"/>
        <color rgb="FFD9EAD3"/>
      </colorScale>
    </cfRule>
  </conditionalFormatting>
  <conditionalFormatting sqref="AN2:AN153">
    <cfRule type="expression" dxfId="0" priority="3">
      <formula>AN2="Alta"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89BC1-1BE8-4F15-B483-A8980E7DA57B}">
  <dimension ref="A1:K2465"/>
  <sheetViews>
    <sheetView workbookViewId="0">
      <selection activeCell="C13" sqref="C13"/>
    </sheetView>
  </sheetViews>
  <sheetFormatPr baseColWidth="10" defaultColWidth="9.77734375" defaultRowHeight="14.4"/>
  <cols>
    <col min="1" max="3" width="55.5546875" customWidth="1"/>
    <col min="4" max="5" width="13.33203125" customWidth="1"/>
    <col min="6" max="9" width="15.5546875" customWidth="1"/>
    <col min="10" max="10" width="13.33203125" customWidth="1"/>
    <col min="11" max="11" width="26.6640625" customWidth="1"/>
  </cols>
  <sheetData>
    <row r="1" spans="1:11" ht="41.4">
      <c r="A1" s="16" t="s">
        <v>559</v>
      </c>
      <c r="B1" s="16" t="s">
        <v>560</v>
      </c>
      <c r="C1" s="16" t="s">
        <v>405</v>
      </c>
      <c r="D1" s="16" t="s">
        <v>561</v>
      </c>
      <c r="E1" s="16" t="s">
        <v>562</v>
      </c>
      <c r="F1" s="16" t="s">
        <v>563</v>
      </c>
      <c r="G1" s="16" t="s">
        <v>564</v>
      </c>
      <c r="H1" s="16" t="s">
        <v>565</v>
      </c>
      <c r="I1" s="16" t="s">
        <v>566</v>
      </c>
      <c r="J1" s="16" t="s">
        <v>567</v>
      </c>
      <c r="K1" s="16" t="s">
        <v>568</v>
      </c>
    </row>
    <row r="2" spans="1:11" ht="28.8">
      <c r="A2" s="9" t="s">
        <v>603</v>
      </c>
      <c r="B2" s="9" t="s">
        <v>653</v>
      </c>
      <c r="C2" s="9" t="s">
        <v>601</v>
      </c>
      <c r="D2" s="12">
        <v>0.45390000000000003</v>
      </c>
      <c r="E2" s="12">
        <v>0.47020000000000001</v>
      </c>
      <c r="F2" s="12">
        <v>0.7429</v>
      </c>
      <c r="G2" s="12">
        <v>0.46205000000000002</v>
      </c>
      <c r="H2" s="12">
        <v>0.55569999999999997</v>
      </c>
      <c r="I2" s="12">
        <v>0.55569999999999997</v>
      </c>
      <c r="J2" s="9" t="s">
        <v>75</v>
      </c>
      <c r="K2" s="9" t="s">
        <v>654</v>
      </c>
    </row>
    <row r="3" spans="1:11" ht="28.8">
      <c r="A3" s="9" t="s">
        <v>603</v>
      </c>
      <c r="B3" s="9" t="s">
        <v>653</v>
      </c>
      <c r="C3" s="9" t="s">
        <v>655</v>
      </c>
      <c r="D3" s="12">
        <v>-0.47539999999999999</v>
      </c>
      <c r="E3" s="12">
        <v>0.47020000000000001</v>
      </c>
      <c r="F3" s="12">
        <v>-0.71020000000000005</v>
      </c>
      <c r="G3" s="12">
        <v>-2.5999999999999912E-3</v>
      </c>
      <c r="H3" s="12">
        <v>-0.23849999999999999</v>
      </c>
      <c r="I3" s="12">
        <v>0.55189999999999995</v>
      </c>
      <c r="J3" s="9" t="s">
        <v>75</v>
      </c>
      <c r="K3" s="9" t="s">
        <v>604</v>
      </c>
    </row>
    <row r="4" spans="1:11" ht="28.8">
      <c r="A4" s="9" t="s">
        <v>603</v>
      </c>
      <c r="B4" s="9" t="s">
        <v>653</v>
      </c>
      <c r="C4" s="9" t="s">
        <v>656</v>
      </c>
      <c r="D4" s="12">
        <v>-0.41320000000000001</v>
      </c>
      <c r="E4" s="12">
        <v>0.47020000000000001</v>
      </c>
      <c r="F4" s="12">
        <v>-0.70689999999999997</v>
      </c>
      <c r="G4" s="12">
        <v>2.8499999999999998E-2</v>
      </c>
      <c r="H4" s="12">
        <v>-0.2167</v>
      </c>
      <c r="I4" s="12">
        <v>0.53010000000000002</v>
      </c>
      <c r="J4" s="9" t="s">
        <v>75</v>
      </c>
      <c r="K4" s="9" t="s">
        <v>604</v>
      </c>
    </row>
    <row r="5" spans="1:11" ht="28.8">
      <c r="A5" s="9" t="s">
        <v>603</v>
      </c>
      <c r="B5" s="9" t="s">
        <v>657</v>
      </c>
      <c r="C5" s="9" t="s">
        <v>655</v>
      </c>
      <c r="D5" s="12">
        <v>-0.47539999999999999</v>
      </c>
      <c r="E5" s="12">
        <v>0.45229999999999998</v>
      </c>
      <c r="F5" s="12">
        <v>-0.59499999999999997</v>
      </c>
      <c r="G5" s="12">
        <v>-1.1550000000000005E-2</v>
      </c>
      <c r="H5" s="12">
        <v>-0.20599999999999999</v>
      </c>
      <c r="I5" s="12">
        <v>0.50760000000000005</v>
      </c>
      <c r="J5" s="9" t="s">
        <v>75</v>
      </c>
      <c r="K5" s="9" t="s">
        <v>604</v>
      </c>
    </row>
    <row r="6" spans="1:11" ht="28.8">
      <c r="A6" s="9" t="s">
        <v>603</v>
      </c>
      <c r="B6" s="9" t="s">
        <v>657</v>
      </c>
      <c r="C6" s="9" t="s">
        <v>601</v>
      </c>
      <c r="D6" s="12">
        <v>0.45390000000000003</v>
      </c>
      <c r="E6" s="12">
        <v>0.45229999999999998</v>
      </c>
      <c r="F6" s="12">
        <v>0.57169999999999999</v>
      </c>
      <c r="G6" s="12">
        <v>0.4531</v>
      </c>
      <c r="H6" s="12">
        <v>0.49259999999999998</v>
      </c>
      <c r="I6" s="12">
        <v>0.49259999999999998</v>
      </c>
      <c r="J6" s="9" t="s">
        <v>75</v>
      </c>
      <c r="K6" s="9" t="s">
        <v>654</v>
      </c>
    </row>
    <row r="7" spans="1:11" ht="28.8">
      <c r="A7" s="9" t="s">
        <v>603</v>
      </c>
      <c r="B7" s="9" t="s">
        <v>658</v>
      </c>
      <c r="C7" s="9" t="s">
        <v>655</v>
      </c>
      <c r="D7" s="12">
        <v>-0.47539999999999999</v>
      </c>
      <c r="E7" s="12">
        <v>-0.46400000000000002</v>
      </c>
      <c r="F7" s="12">
        <v>0.4758</v>
      </c>
      <c r="G7" s="12">
        <v>-0.46970000000000001</v>
      </c>
      <c r="H7" s="12">
        <v>-0.1545</v>
      </c>
      <c r="I7" s="12">
        <v>0.47170000000000001</v>
      </c>
      <c r="J7" s="9" t="s">
        <v>75</v>
      </c>
      <c r="K7" s="9" t="s">
        <v>604</v>
      </c>
    </row>
    <row r="8" spans="1:11" ht="28.8">
      <c r="A8" s="9" t="s">
        <v>603</v>
      </c>
      <c r="B8" s="9" t="s">
        <v>657</v>
      </c>
      <c r="C8" s="9" t="s">
        <v>656</v>
      </c>
      <c r="D8" s="12">
        <v>-0.41320000000000001</v>
      </c>
      <c r="E8" s="12">
        <v>0.45229999999999998</v>
      </c>
      <c r="F8" s="12">
        <v>-0.52270000000000005</v>
      </c>
      <c r="G8" s="12">
        <v>1.9549999999999984E-2</v>
      </c>
      <c r="H8" s="12">
        <v>-0.16120000000000001</v>
      </c>
      <c r="I8" s="12">
        <v>0.4627</v>
      </c>
      <c r="J8" s="9" t="s">
        <v>75</v>
      </c>
      <c r="K8" s="9" t="s">
        <v>604</v>
      </c>
    </row>
    <row r="9" spans="1:11" ht="28.8">
      <c r="A9" s="9" t="s">
        <v>603</v>
      </c>
      <c r="B9" s="9" t="s">
        <v>658</v>
      </c>
      <c r="C9" s="9" t="s">
        <v>601</v>
      </c>
      <c r="D9" s="12">
        <v>0.45390000000000003</v>
      </c>
      <c r="E9" s="12">
        <v>-0.46400000000000002</v>
      </c>
      <c r="F9" s="12">
        <v>-0.4405</v>
      </c>
      <c r="G9" s="12">
        <v>-5.0499999999999989E-3</v>
      </c>
      <c r="H9" s="12">
        <v>-0.1502</v>
      </c>
      <c r="I9" s="12">
        <v>0.45279999999999998</v>
      </c>
      <c r="J9" s="9" t="s">
        <v>75</v>
      </c>
      <c r="K9" s="9" t="s">
        <v>604</v>
      </c>
    </row>
    <row r="10" spans="1:11">
      <c r="A10" s="9" t="s">
        <v>609</v>
      </c>
      <c r="B10" s="9" t="s">
        <v>613</v>
      </c>
      <c r="C10" s="9" t="s">
        <v>659</v>
      </c>
      <c r="D10" s="12">
        <v>0.47620000000000001</v>
      </c>
      <c r="E10" s="12">
        <v>0.4844</v>
      </c>
      <c r="F10" s="12">
        <v>0.37969999999999998</v>
      </c>
      <c r="G10" s="12">
        <v>0.4803</v>
      </c>
      <c r="H10" s="12">
        <v>0.44669999999999999</v>
      </c>
      <c r="I10" s="12">
        <v>0.44669999999999999</v>
      </c>
      <c r="J10" s="9" t="s">
        <v>73</v>
      </c>
      <c r="K10" s="9" t="s">
        <v>654</v>
      </c>
    </row>
    <row r="11" spans="1:11" ht="28.8">
      <c r="A11" s="9" t="s">
        <v>603</v>
      </c>
      <c r="B11" s="9" t="s">
        <v>660</v>
      </c>
      <c r="C11" s="9" t="s">
        <v>655</v>
      </c>
      <c r="D11" s="12">
        <v>-0.47539999999999999</v>
      </c>
      <c r="E11" s="12">
        <v>0.40089999999999998</v>
      </c>
      <c r="F11" s="12">
        <v>-0.45660000000000001</v>
      </c>
      <c r="G11" s="12">
        <v>-3.7250000000000005E-2</v>
      </c>
      <c r="H11" s="12">
        <v>-0.17699999999999999</v>
      </c>
      <c r="I11" s="12">
        <v>0.44429999999999997</v>
      </c>
      <c r="J11" s="9" t="s">
        <v>73</v>
      </c>
      <c r="K11" s="9" t="s">
        <v>604</v>
      </c>
    </row>
    <row r="12" spans="1:11" ht="28.8">
      <c r="A12" s="9" t="s">
        <v>603</v>
      </c>
      <c r="B12" s="9" t="s">
        <v>660</v>
      </c>
      <c r="C12" s="9" t="s">
        <v>601</v>
      </c>
      <c r="D12" s="12">
        <v>0.45390000000000003</v>
      </c>
      <c r="E12" s="12">
        <v>0.40089999999999998</v>
      </c>
      <c r="F12" s="12">
        <v>0.4652</v>
      </c>
      <c r="G12" s="12">
        <v>0.4274</v>
      </c>
      <c r="H12" s="12">
        <v>0.44</v>
      </c>
      <c r="I12" s="12">
        <v>0.44</v>
      </c>
      <c r="J12" s="9" t="s">
        <v>73</v>
      </c>
      <c r="K12" s="9" t="s">
        <v>654</v>
      </c>
    </row>
    <row r="13" spans="1:11" ht="28.8">
      <c r="A13" s="9" t="s">
        <v>603</v>
      </c>
      <c r="B13" s="9" t="s">
        <v>613</v>
      </c>
      <c r="C13" s="9" t="s">
        <v>656</v>
      </c>
      <c r="D13" s="12">
        <v>-0.41320000000000001</v>
      </c>
      <c r="E13" s="12">
        <v>-0.35630000000000001</v>
      </c>
      <c r="F13" s="12">
        <v>0.498</v>
      </c>
      <c r="G13" s="12">
        <v>-0.38475000000000004</v>
      </c>
      <c r="H13" s="12">
        <v>-9.0499999999999997E-2</v>
      </c>
      <c r="I13" s="12">
        <v>0.42249999999999999</v>
      </c>
      <c r="J13" s="9" t="s">
        <v>73</v>
      </c>
      <c r="K13" s="9" t="s">
        <v>604</v>
      </c>
    </row>
    <row r="14" spans="1:11" ht="28.8">
      <c r="A14" s="9" t="s">
        <v>661</v>
      </c>
      <c r="B14" s="9" t="s">
        <v>653</v>
      </c>
      <c r="C14" s="9" t="s">
        <v>656</v>
      </c>
      <c r="D14" s="12">
        <v>0.32640000000000002</v>
      </c>
      <c r="E14" s="12">
        <v>-0.21010000000000001</v>
      </c>
      <c r="F14" s="12">
        <v>-0.70689999999999997</v>
      </c>
      <c r="G14" s="12">
        <v>5.8150000000000007E-2</v>
      </c>
      <c r="H14" s="12">
        <v>-0.19689999999999999</v>
      </c>
      <c r="I14" s="12">
        <v>0.41449999999999998</v>
      </c>
      <c r="J14" s="9" t="s">
        <v>73</v>
      </c>
      <c r="K14" s="9" t="s">
        <v>604</v>
      </c>
    </row>
    <row r="15" spans="1:11">
      <c r="A15" s="9" t="s">
        <v>609</v>
      </c>
      <c r="B15" s="9" t="s">
        <v>613</v>
      </c>
      <c r="C15" s="9" t="s">
        <v>656</v>
      </c>
      <c r="D15" s="12">
        <v>0.22770000000000001</v>
      </c>
      <c r="E15" s="12">
        <v>0.4844</v>
      </c>
      <c r="F15" s="12">
        <v>0.498</v>
      </c>
      <c r="G15" s="12">
        <v>0.35604999999999998</v>
      </c>
      <c r="H15" s="12">
        <v>0.40339999999999998</v>
      </c>
      <c r="I15" s="12">
        <v>0.40339999999999998</v>
      </c>
      <c r="J15" s="9" t="s">
        <v>73</v>
      </c>
      <c r="K15" s="9" t="s">
        <v>654</v>
      </c>
    </row>
    <row r="16" spans="1:11" ht="28.8">
      <c r="A16" s="9" t="s">
        <v>661</v>
      </c>
      <c r="B16" s="9" t="s">
        <v>653</v>
      </c>
      <c r="C16" s="9" t="s">
        <v>601</v>
      </c>
      <c r="D16" s="12">
        <v>-0.2266</v>
      </c>
      <c r="E16" s="12">
        <v>-0.21010000000000001</v>
      </c>
      <c r="F16" s="12">
        <v>0.7429</v>
      </c>
      <c r="G16" s="12">
        <v>-0.21834999999999999</v>
      </c>
      <c r="H16" s="12">
        <v>0.1021</v>
      </c>
      <c r="I16" s="12">
        <v>0.39319999999999999</v>
      </c>
      <c r="J16" s="9" t="s">
        <v>73</v>
      </c>
      <c r="K16" s="9" t="s">
        <v>604</v>
      </c>
    </row>
    <row r="17" spans="1:11" ht="28.8">
      <c r="A17" s="9" t="s">
        <v>603</v>
      </c>
      <c r="B17" s="9" t="s">
        <v>660</v>
      </c>
      <c r="C17" s="9" t="s">
        <v>656</v>
      </c>
      <c r="D17" s="12">
        <v>-0.41320000000000001</v>
      </c>
      <c r="E17" s="12">
        <v>0.40089999999999998</v>
      </c>
      <c r="F17" s="12">
        <v>-0.35949999999999999</v>
      </c>
      <c r="G17" s="12">
        <v>-6.1500000000000166E-3</v>
      </c>
      <c r="H17" s="12">
        <v>-0.1239</v>
      </c>
      <c r="I17" s="12">
        <v>0.39119999999999999</v>
      </c>
      <c r="J17" s="9" t="s">
        <v>73</v>
      </c>
      <c r="K17" s="9" t="s">
        <v>604</v>
      </c>
    </row>
    <row r="18" spans="1:11">
      <c r="A18" s="9" t="s">
        <v>609</v>
      </c>
      <c r="B18" s="9" t="s">
        <v>653</v>
      </c>
      <c r="C18" s="9" t="s">
        <v>656</v>
      </c>
      <c r="D18" s="12">
        <v>0.22770000000000001</v>
      </c>
      <c r="E18" s="12">
        <v>-0.2389</v>
      </c>
      <c r="F18" s="12">
        <v>-0.70689999999999997</v>
      </c>
      <c r="G18" s="12">
        <v>-5.5999999999999939E-3</v>
      </c>
      <c r="H18" s="12">
        <v>-0.2394</v>
      </c>
      <c r="I18" s="12">
        <v>0.39119999999999999</v>
      </c>
      <c r="J18" s="9" t="s">
        <v>73</v>
      </c>
      <c r="K18" s="9" t="s">
        <v>604</v>
      </c>
    </row>
    <row r="19" spans="1:11">
      <c r="A19" s="9" t="s">
        <v>662</v>
      </c>
      <c r="B19" s="9" t="s">
        <v>653</v>
      </c>
      <c r="C19" s="9" t="s">
        <v>656</v>
      </c>
      <c r="D19" s="12">
        <v>0.26229999999999998</v>
      </c>
      <c r="E19" s="12">
        <v>-0.2021</v>
      </c>
      <c r="F19" s="12">
        <v>-0.70689999999999997</v>
      </c>
      <c r="G19" s="12">
        <v>3.0099999999999988E-2</v>
      </c>
      <c r="H19" s="12">
        <v>-0.21560000000000001</v>
      </c>
      <c r="I19" s="12">
        <v>0.39040000000000002</v>
      </c>
      <c r="J19" s="9" t="s">
        <v>73</v>
      </c>
      <c r="K19" s="9" t="s">
        <v>604</v>
      </c>
    </row>
    <row r="20" spans="1:11" ht="28.8">
      <c r="A20" s="9" t="s">
        <v>603</v>
      </c>
      <c r="B20" s="9" t="s">
        <v>658</v>
      </c>
      <c r="C20" s="9" t="s">
        <v>663</v>
      </c>
      <c r="D20" s="12">
        <v>-0.2828</v>
      </c>
      <c r="E20" s="12">
        <v>-0.46400000000000002</v>
      </c>
      <c r="F20" s="12">
        <v>0.41449999999999998</v>
      </c>
      <c r="G20" s="12">
        <v>-0.37340000000000001</v>
      </c>
      <c r="H20" s="12">
        <v>-0.1108</v>
      </c>
      <c r="I20" s="12">
        <v>0.3871</v>
      </c>
      <c r="J20" s="9" t="s">
        <v>73</v>
      </c>
      <c r="K20" s="9" t="s">
        <v>604</v>
      </c>
    </row>
    <row r="21" spans="1:11" ht="28.8">
      <c r="A21" s="9" t="s">
        <v>603</v>
      </c>
      <c r="B21" s="9" t="s">
        <v>658</v>
      </c>
      <c r="C21" s="9" t="s">
        <v>664</v>
      </c>
      <c r="D21" s="12">
        <v>0.4093</v>
      </c>
      <c r="E21" s="12">
        <v>-0.46400000000000002</v>
      </c>
      <c r="F21" s="12">
        <v>-0.28549999999999998</v>
      </c>
      <c r="G21" s="12">
        <v>-2.7350000000000013E-2</v>
      </c>
      <c r="H21" s="12">
        <v>-0.1134</v>
      </c>
      <c r="I21" s="12">
        <v>0.38629999999999998</v>
      </c>
      <c r="J21" s="9" t="s">
        <v>73</v>
      </c>
      <c r="K21" s="9" t="s">
        <v>604</v>
      </c>
    </row>
    <row r="22" spans="1:11" ht="28.8">
      <c r="A22" s="9" t="s">
        <v>609</v>
      </c>
      <c r="B22" s="9" t="s">
        <v>653</v>
      </c>
      <c r="C22" s="9" t="s">
        <v>601</v>
      </c>
      <c r="D22" s="12">
        <v>-0.1671</v>
      </c>
      <c r="E22" s="12">
        <v>-0.2389</v>
      </c>
      <c r="F22" s="12">
        <v>0.7429</v>
      </c>
      <c r="G22" s="12">
        <v>-0.20300000000000001</v>
      </c>
      <c r="H22" s="12">
        <v>0.1123</v>
      </c>
      <c r="I22" s="12">
        <v>0.38290000000000002</v>
      </c>
      <c r="J22" s="9" t="s">
        <v>73</v>
      </c>
      <c r="K22" s="9" t="s">
        <v>604</v>
      </c>
    </row>
    <row r="23" spans="1:11" ht="28.8">
      <c r="A23" s="9" t="s">
        <v>603</v>
      </c>
      <c r="B23" s="9" t="s">
        <v>658</v>
      </c>
      <c r="C23" s="9" t="s">
        <v>656</v>
      </c>
      <c r="D23" s="12">
        <v>-0.41320000000000001</v>
      </c>
      <c r="E23" s="12">
        <v>-0.46400000000000002</v>
      </c>
      <c r="F23" s="12">
        <v>0.2661</v>
      </c>
      <c r="G23" s="12">
        <v>-0.43859999999999999</v>
      </c>
      <c r="H23" s="12">
        <v>-0.20369999999999999</v>
      </c>
      <c r="I23" s="12">
        <v>0.38109999999999999</v>
      </c>
      <c r="J23" s="9" t="s">
        <v>73</v>
      </c>
      <c r="K23" s="9" t="s">
        <v>604</v>
      </c>
    </row>
    <row r="24" spans="1:11" ht="28.8">
      <c r="A24" s="9" t="s">
        <v>603</v>
      </c>
      <c r="B24" s="9" t="s">
        <v>665</v>
      </c>
      <c r="C24" s="9" t="s">
        <v>655</v>
      </c>
      <c r="D24" s="12">
        <v>-0.47539999999999999</v>
      </c>
      <c r="E24" s="12">
        <v>-0.32069999999999999</v>
      </c>
      <c r="F24" s="12">
        <v>0.34079999999999999</v>
      </c>
      <c r="G24" s="12">
        <v>-0.39805000000000001</v>
      </c>
      <c r="H24" s="12">
        <v>-0.15179999999999999</v>
      </c>
      <c r="I24" s="12">
        <v>0.379</v>
      </c>
      <c r="J24" s="9" t="s">
        <v>73</v>
      </c>
      <c r="K24" s="9" t="s">
        <v>604</v>
      </c>
    </row>
    <row r="25" spans="1:11" ht="28.8">
      <c r="A25" s="9" t="s">
        <v>603</v>
      </c>
      <c r="B25" s="9" t="s">
        <v>653</v>
      </c>
      <c r="C25" s="9" t="s">
        <v>666</v>
      </c>
      <c r="D25" s="12">
        <v>-0.26</v>
      </c>
      <c r="E25" s="12">
        <v>0.47020000000000001</v>
      </c>
      <c r="F25" s="12">
        <v>-0.40060000000000001</v>
      </c>
      <c r="G25" s="12">
        <v>0.1051</v>
      </c>
      <c r="H25" s="12">
        <v>-6.3500000000000001E-2</v>
      </c>
      <c r="I25" s="12">
        <v>0.37690000000000001</v>
      </c>
      <c r="J25" s="9" t="s">
        <v>73</v>
      </c>
      <c r="K25" s="9" t="s">
        <v>604</v>
      </c>
    </row>
    <row r="26" spans="1:11">
      <c r="A26" s="9" t="s">
        <v>609</v>
      </c>
      <c r="B26" s="9" t="s">
        <v>653</v>
      </c>
      <c r="C26" s="9" t="s">
        <v>655</v>
      </c>
      <c r="D26" s="12">
        <v>0.16819999999999999</v>
      </c>
      <c r="E26" s="12">
        <v>-0.2389</v>
      </c>
      <c r="F26" s="12">
        <v>-0.71020000000000005</v>
      </c>
      <c r="G26" s="12">
        <v>-3.5350000000000006E-2</v>
      </c>
      <c r="H26" s="12">
        <v>-0.26029999999999998</v>
      </c>
      <c r="I26" s="12">
        <v>0.37240000000000001</v>
      </c>
      <c r="J26" s="9" t="s">
        <v>73</v>
      </c>
      <c r="K26" s="9" t="s">
        <v>604</v>
      </c>
    </row>
    <row r="27" spans="1:11" ht="28.8">
      <c r="A27" s="9" t="s">
        <v>603</v>
      </c>
      <c r="B27" s="9" t="s">
        <v>613</v>
      </c>
      <c r="C27" s="9" t="s">
        <v>655</v>
      </c>
      <c r="D27" s="12">
        <v>-0.47539999999999999</v>
      </c>
      <c r="E27" s="12">
        <v>-0.35630000000000001</v>
      </c>
      <c r="F27" s="12">
        <v>0.28510000000000002</v>
      </c>
      <c r="G27" s="12">
        <v>-0.41585</v>
      </c>
      <c r="H27" s="12">
        <v>-0.1822</v>
      </c>
      <c r="I27" s="12">
        <v>0.37230000000000002</v>
      </c>
      <c r="J27" s="9" t="s">
        <v>73</v>
      </c>
      <c r="K27" s="9" t="s">
        <v>604</v>
      </c>
    </row>
    <row r="28" spans="1:11" ht="28.8">
      <c r="A28" s="9" t="s">
        <v>603</v>
      </c>
      <c r="B28" s="9" t="s">
        <v>613</v>
      </c>
      <c r="C28" s="9" t="s">
        <v>601</v>
      </c>
      <c r="D28" s="12">
        <v>0.45390000000000003</v>
      </c>
      <c r="E28" s="12">
        <v>-0.35630000000000001</v>
      </c>
      <c r="F28" s="12">
        <v>-0.30580000000000002</v>
      </c>
      <c r="G28" s="12">
        <v>4.880000000000001E-2</v>
      </c>
      <c r="H28" s="12">
        <v>-6.9400000000000003E-2</v>
      </c>
      <c r="I28" s="12">
        <v>0.372</v>
      </c>
      <c r="J28" s="9" t="s">
        <v>73</v>
      </c>
      <c r="K28" s="9" t="s">
        <v>604</v>
      </c>
    </row>
    <row r="29" spans="1:11" ht="28.8">
      <c r="A29" s="9" t="s">
        <v>603</v>
      </c>
      <c r="B29" s="9" t="s">
        <v>657</v>
      </c>
      <c r="C29" s="9" t="s">
        <v>664</v>
      </c>
      <c r="D29" s="12">
        <v>0.4093</v>
      </c>
      <c r="E29" s="12">
        <v>0.45229999999999998</v>
      </c>
      <c r="F29" s="12">
        <v>0.25440000000000002</v>
      </c>
      <c r="G29" s="12">
        <v>0.43079999999999996</v>
      </c>
      <c r="H29" s="12">
        <v>0.372</v>
      </c>
      <c r="I29" s="12">
        <v>0.372</v>
      </c>
      <c r="J29" s="9" t="s">
        <v>73</v>
      </c>
      <c r="K29" s="9" t="s">
        <v>654</v>
      </c>
    </row>
    <row r="30" spans="1:11" ht="28.8">
      <c r="A30" s="9" t="s">
        <v>603</v>
      </c>
      <c r="B30" s="9" t="s">
        <v>653</v>
      </c>
      <c r="C30" s="9" t="s">
        <v>663</v>
      </c>
      <c r="D30" s="12">
        <v>-0.2828</v>
      </c>
      <c r="E30" s="12">
        <v>0.47020000000000001</v>
      </c>
      <c r="F30" s="12">
        <v>-0.35160000000000002</v>
      </c>
      <c r="G30" s="12">
        <v>9.3700000000000006E-2</v>
      </c>
      <c r="H30" s="12">
        <v>-5.4699999999999999E-2</v>
      </c>
      <c r="I30" s="12">
        <v>0.36820000000000003</v>
      </c>
      <c r="J30" s="9" t="s">
        <v>73</v>
      </c>
      <c r="K30" s="9" t="s">
        <v>604</v>
      </c>
    </row>
    <row r="31" spans="1:11" ht="28.8">
      <c r="A31" s="9" t="s">
        <v>661</v>
      </c>
      <c r="B31" s="9" t="s">
        <v>653</v>
      </c>
      <c r="C31" s="9" t="s">
        <v>655</v>
      </c>
      <c r="D31" s="12">
        <v>0.17599999999999999</v>
      </c>
      <c r="E31" s="12">
        <v>-0.21010000000000001</v>
      </c>
      <c r="F31" s="12">
        <v>-0.71020000000000005</v>
      </c>
      <c r="G31" s="12">
        <v>-1.705000000000001E-2</v>
      </c>
      <c r="H31" s="12">
        <v>-0.24809999999999999</v>
      </c>
      <c r="I31" s="12">
        <v>0.3654</v>
      </c>
      <c r="J31" s="9" t="s">
        <v>73</v>
      </c>
      <c r="K31" s="9" t="s">
        <v>604</v>
      </c>
    </row>
    <row r="32" spans="1:11" ht="28.8">
      <c r="A32" s="9" t="s">
        <v>603</v>
      </c>
      <c r="B32" s="9" t="s">
        <v>665</v>
      </c>
      <c r="C32" s="9" t="s">
        <v>601</v>
      </c>
      <c r="D32" s="12">
        <v>0.45390000000000003</v>
      </c>
      <c r="E32" s="12">
        <v>-0.32069999999999999</v>
      </c>
      <c r="F32" s="12">
        <v>-0.30330000000000001</v>
      </c>
      <c r="G32" s="12">
        <v>6.660000000000002E-2</v>
      </c>
      <c r="H32" s="12">
        <v>-5.67E-2</v>
      </c>
      <c r="I32" s="12">
        <v>0.35930000000000001</v>
      </c>
      <c r="J32" s="9" t="s">
        <v>73</v>
      </c>
      <c r="K32" s="9" t="s">
        <v>604</v>
      </c>
    </row>
    <row r="33" spans="1:11">
      <c r="A33" s="9" t="s">
        <v>609</v>
      </c>
      <c r="B33" s="9" t="s">
        <v>613</v>
      </c>
      <c r="C33" s="9" t="s">
        <v>667</v>
      </c>
      <c r="D33" s="12">
        <v>0.33360000000000001</v>
      </c>
      <c r="E33" s="12">
        <v>0.4844</v>
      </c>
      <c r="F33" s="12">
        <v>0.25679999999999997</v>
      </c>
      <c r="G33" s="12">
        <v>0.40900000000000003</v>
      </c>
      <c r="H33" s="12">
        <v>0.35830000000000001</v>
      </c>
      <c r="I33" s="12">
        <v>0.35830000000000001</v>
      </c>
      <c r="J33" s="9" t="s">
        <v>73</v>
      </c>
      <c r="K33" s="9" t="s">
        <v>654</v>
      </c>
    </row>
    <row r="34" spans="1:11" ht="28.8">
      <c r="A34" s="9" t="s">
        <v>603</v>
      </c>
      <c r="B34" s="9" t="s">
        <v>668</v>
      </c>
      <c r="C34" s="9" t="s">
        <v>656</v>
      </c>
      <c r="D34" s="12">
        <v>-0.41320000000000001</v>
      </c>
      <c r="E34" s="12">
        <v>0.23269999999999999</v>
      </c>
      <c r="F34" s="12">
        <v>-0.42299999999999999</v>
      </c>
      <c r="G34" s="12">
        <v>-9.0250000000000011E-2</v>
      </c>
      <c r="H34" s="12">
        <v>-0.20119999999999999</v>
      </c>
      <c r="I34" s="12">
        <v>0.35630000000000001</v>
      </c>
      <c r="J34" s="9" t="s">
        <v>73</v>
      </c>
      <c r="K34" s="9" t="s">
        <v>604</v>
      </c>
    </row>
    <row r="35" spans="1:11" ht="28.8">
      <c r="A35" s="9" t="s">
        <v>662</v>
      </c>
      <c r="B35" s="9" t="s">
        <v>653</v>
      </c>
      <c r="C35" s="9" t="s">
        <v>601</v>
      </c>
      <c r="D35" s="12">
        <v>-0.1173</v>
      </c>
      <c r="E35" s="12">
        <v>-0.2021</v>
      </c>
      <c r="F35" s="12">
        <v>0.7429</v>
      </c>
      <c r="G35" s="12">
        <v>-0.15970000000000001</v>
      </c>
      <c r="H35" s="12">
        <v>0.14119999999999999</v>
      </c>
      <c r="I35" s="12">
        <v>0.35410000000000003</v>
      </c>
      <c r="J35" s="9" t="s">
        <v>73</v>
      </c>
      <c r="K35" s="9" t="s">
        <v>604</v>
      </c>
    </row>
    <row r="36" spans="1:11" ht="28.8">
      <c r="A36" s="9" t="s">
        <v>661</v>
      </c>
      <c r="B36" s="9" t="s">
        <v>657</v>
      </c>
      <c r="C36" s="9" t="s">
        <v>656</v>
      </c>
      <c r="D36" s="12">
        <v>0.32640000000000002</v>
      </c>
      <c r="E36" s="12">
        <v>-0.2077</v>
      </c>
      <c r="F36" s="12">
        <v>-0.52270000000000005</v>
      </c>
      <c r="G36" s="12">
        <v>5.9350000000000014E-2</v>
      </c>
      <c r="H36" s="12">
        <v>-0.13469999999999999</v>
      </c>
      <c r="I36" s="12">
        <v>0.3523</v>
      </c>
      <c r="J36" s="9" t="s">
        <v>73</v>
      </c>
      <c r="K36" s="9" t="s">
        <v>604</v>
      </c>
    </row>
    <row r="37" spans="1:11" ht="28.8">
      <c r="A37" s="9" t="s">
        <v>603</v>
      </c>
      <c r="B37" s="9" t="s">
        <v>669</v>
      </c>
      <c r="C37" s="9" t="s">
        <v>655</v>
      </c>
      <c r="D37" s="12">
        <v>-0.47539999999999999</v>
      </c>
      <c r="E37" s="12">
        <v>-0.2472</v>
      </c>
      <c r="F37" s="12">
        <v>0.33250000000000002</v>
      </c>
      <c r="G37" s="12">
        <v>-0.36130000000000001</v>
      </c>
      <c r="H37" s="12">
        <v>-0.13</v>
      </c>
      <c r="I37" s="12">
        <v>0.35170000000000001</v>
      </c>
      <c r="J37" s="9" t="s">
        <v>73</v>
      </c>
      <c r="K37" s="9" t="s">
        <v>604</v>
      </c>
    </row>
    <row r="38" spans="1:11">
      <c r="A38" s="9" t="s">
        <v>609</v>
      </c>
      <c r="B38" s="9" t="s">
        <v>657</v>
      </c>
      <c r="C38" s="9" t="s">
        <v>655</v>
      </c>
      <c r="D38" s="12">
        <v>0.16819999999999999</v>
      </c>
      <c r="E38" s="12">
        <v>-0.28839999999999999</v>
      </c>
      <c r="F38" s="12">
        <v>-0.59499999999999997</v>
      </c>
      <c r="G38" s="12">
        <v>-6.0100000000000001E-2</v>
      </c>
      <c r="H38" s="12">
        <v>-0.2384</v>
      </c>
      <c r="I38" s="12">
        <v>0.35060000000000002</v>
      </c>
      <c r="J38" s="9" t="s">
        <v>73</v>
      </c>
      <c r="K38" s="9" t="s">
        <v>604</v>
      </c>
    </row>
    <row r="39" spans="1:11" ht="28.8">
      <c r="A39" s="9" t="s">
        <v>603</v>
      </c>
      <c r="B39" s="9" t="s">
        <v>669</v>
      </c>
      <c r="C39" s="9" t="s">
        <v>601</v>
      </c>
      <c r="D39" s="12">
        <v>0.45390000000000003</v>
      </c>
      <c r="E39" s="12">
        <v>-0.2472</v>
      </c>
      <c r="F39" s="12">
        <v>-0.34310000000000002</v>
      </c>
      <c r="G39" s="12">
        <v>0.10335000000000001</v>
      </c>
      <c r="H39" s="12">
        <v>-4.5499999999999999E-2</v>
      </c>
      <c r="I39" s="12">
        <v>0.34810000000000002</v>
      </c>
      <c r="J39" s="9" t="s">
        <v>73</v>
      </c>
      <c r="K39" s="9" t="s">
        <v>604</v>
      </c>
    </row>
    <row r="40" spans="1:11">
      <c r="A40" s="9" t="s">
        <v>609</v>
      </c>
      <c r="B40" s="9" t="s">
        <v>657</v>
      </c>
      <c r="C40" s="9" t="s">
        <v>656</v>
      </c>
      <c r="D40" s="12">
        <v>0.22770000000000001</v>
      </c>
      <c r="E40" s="12">
        <v>-0.28839999999999999</v>
      </c>
      <c r="F40" s="12">
        <v>-0.52270000000000005</v>
      </c>
      <c r="G40" s="12">
        <v>-3.0349999999999988E-2</v>
      </c>
      <c r="H40" s="12">
        <v>-0.19450000000000001</v>
      </c>
      <c r="I40" s="12">
        <v>0.3463</v>
      </c>
      <c r="J40" s="9" t="s">
        <v>73</v>
      </c>
      <c r="K40" s="9" t="s">
        <v>604</v>
      </c>
    </row>
    <row r="41" spans="1:11">
      <c r="A41" s="9" t="s">
        <v>609</v>
      </c>
      <c r="B41" s="9" t="s">
        <v>657</v>
      </c>
      <c r="C41" s="9" t="s">
        <v>659</v>
      </c>
      <c r="D41" s="12">
        <v>0.47620000000000001</v>
      </c>
      <c r="E41" s="12">
        <v>-0.28839999999999999</v>
      </c>
      <c r="F41" s="12">
        <v>-0.27239999999999998</v>
      </c>
      <c r="G41" s="12">
        <v>9.3900000000000011E-2</v>
      </c>
      <c r="H41" s="12">
        <v>-2.8199999999999999E-2</v>
      </c>
      <c r="I41" s="12">
        <v>0.34570000000000001</v>
      </c>
      <c r="J41" s="9" t="s">
        <v>73</v>
      </c>
      <c r="K41" s="9" t="s">
        <v>604</v>
      </c>
    </row>
    <row r="42" spans="1:11" ht="28.8">
      <c r="A42" s="9" t="s">
        <v>603</v>
      </c>
      <c r="B42" s="9" t="s">
        <v>657</v>
      </c>
      <c r="C42" s="9" t="s">
        <v>666</v>
      </c>
      <c r="D42" s="12">
        <v>-0.26</v>
      </c>
      <c r="E42" s="12">
        <v>0.45229999999999998</v>
      </c>
      <c r="F42" s="12">
        <v>-0.32350000000000001</v>
      </c>
      <c r="G42" s="12">
        <v>9.6149999999999985E-2</v>
      </c>
      <c r="H42" s="12">
        <v>-4.3799999999999999E-2</v>
      </c>
      <c r="I42" s="12">
        <v>0.3453</v>
      </c>
      <c r="J42" s="9" t="s">
        <v>73</v>
      </c>
      <c r="K42" s="9" t="s">
        <v>604</v>
      </c>
    </row>
    <row r="43" spans="1:11" ht="28.8">
      <c r="A43" s="9" t="s">
        <v>603</v>
      </c>
      <c r="B43" s="9" t="s">
        <v>657</v>
      </c>
      <c r="C43" s="9" t="s">
        <v>670</v>
      </c>
      <c r="D43" s="12">
        <v>0.28070000000000001</v>
      </c>
      <c r="E43" s="12">
        <v>0.45229999999999998</v>
      </c>
      <c r="F43" s="12">
        <v>0.30049999999999999</v>
      </c>
      <c r="G43" s="12">
        <v>0.36649999999999999</v>
      </c>
      <c r="H43" s="12">
        <v>0.34449999999999997</v>
      </c>
      <c r="I43" s="12">
        <v>0.34449999999999997</v>
      </c>
      <c r="J43" s="9" t="s">
        <v>73</v>
      </c>
      <c r="K43" s="9" t="s">
        <v>654</v>
      </c>
    </row>
    <row r="44" spans="1:11" ht="28.8">
      <c r="A44" s="9" t="s">
        <v>609</v>
      </c>
      <c r="B44" s="9" t="s">
        <v>657</v>
      </c>
      <c r="C44" s="9" t="s">
        <v>601</v>
      </c>
      <c r="D44" s="12">
        <v>-0.1671</v>
      </c>
      <c r="E44" s="12">
        <v>-0.28839999999999999</v>
      </c>
      <c r="F44" s="12">
        <v>0.57169999999999999</v>
      </c>
      <c r="G44" s="12">
        <v>-0.22775000000000001</v>
      </c>
      <c r="H44" s="12">
        <v>3.8699999999999998E-2</v>
      </c>
      <c r="I44" s="12">
        <v>0.34239999999999998</v>
      </c>
      <c r="J44" s="9" t="s">
        <v>73</v>
      </c>
      <c r="K44" s="9" t="s">
        <v>604</v>
      </c>
    </row>
    <row r="45" spans="1:11" ht="28.8">
      <c r="A45" s="9" t="s">
        <v>603</v>
      </c>
      <c r="B45" s="9" t="s">
        <v>668</v>
      </c>
      <c r="C45" s="9" t="s">
        <v>601</v>
      </c>
      <c r="D45" s="12">
        <v>0.45390000000000003</v>
      </c>
      <c r="E45" s="12">
        <v>0.23269999999999999</v>
      </c>
      <c r="F45" s="12">
        <v>0.33939999999999998</v>
      </c>
      <c r="G45" s="12">
        <v>0.34329999999999999</v>
      </c>
      <c r="H45" s="12">
        <v>0.34200000000000003</v>
      </c>
      <c r="I45" s="12">
        <v>0.34200000000000003</v>
      </c>
      <c r="J45" s="9" t="s">
        <v>73</v>
      </c>
      <c r="K45" s="9" t="s">
        <v>654</v>
      </c>
    </row>
    <row r="46" spans="1:11" ht="28.8">
      <c r="A46" s="9" t="s">
        <v>603</v>
      </c>
      <c r="B46" s="9" t="s">
        <v>653</v>
      </c>
      <c r="C46" s="9" t="s">
        <v>664</v>
      </c>
      <c r="D46" s="12">
        <v>0.4093</v>
      </c>
      <c r="E46" s="12">
        <v>0.47020000000000001</v>
      </c>
      <c r="F46" s="12">
        <v>0.14360000000000001</v>
      </c>
      <c r="G46" s="12">
        <v>0.43974999999999997</v>
      </c>
      <c r="H46" s="12">
        <v>0.34100000000000003</v>
      </c>
      <c r="I46" s="12">
        <v>0.34100000000000003</v>
      </c>
      <c r="J46" s="9" t="s">
        <v>73</v>
      </c>
      <c r="K46" s="9" t="s">
        <v>654</v>
      </c>
    </row>
    <row r="47" spans="1:11" ht="28.8">
      <c r="A47" s="9" t="s">
        <v>671</v>
      </c>
      <c r="B47" s="9" t="s">
        <v>672</v>
      </c>
      <c r="C47" s="9" t="s">
        <v>670</v>
      </c>
      <c r="D47" s="12">
        <v>-0.32890000000000003</v>
      </c>
      <c r="E47" s="12">
        <v>0.44879999999999998</v>
      </c>
      <c r="F47" s="12">
        <v>-0.24260000000000001</v>
      </c>
      <c r="G47" s="12">
        <v>5.9949999999999976E-2</v>
      </c>
      <c r="H47" s="12">
        <v>-4.0899999999999999E-2</v>
      </c>
      <c r="I47" s="12">
        <v>0.34010000000000001</v>
      </c>
      <c r="J47" s="9" t="s">
        <v>73</v>
      </c>
      <c r="K47" s="9" t="s">
        <v>604</v>
      </c>
    </row>
    <row r="48" spans="1:11" ht="28.8">
      <c r="A48" s="9" t="s">
        <v>603</v>
      </c>
      <c r="B48" s="9" t="s">
        <v>658</v>
      </c>
      <c r="C48" s="9" t="s">
        <v>670</v>
      </c>
      <c r="D48" s="12">
        <v>0.28070000000000001</v>
      </c>
      <c r="E48" s="12">
        <v>-0.46400000000000002</v>
      </c>
      <c r="F48" s="12">
        <v>-0.27050000000000002</v>
      </c>
      <c r="G48" s="12">
        <v>-9.1650000000000009E-2</v>
      </c>
      <c r="H48" s="12">
        <v>-0.15129999999999999</v>
      </c>
      <c r="I48" s="12">
        <v>0.33839999999999998</v>
      </c>
      <c r="J48" s="9" t="s">
        <v>73</v>
      </c>
      <c r="K48" s="9" t="s">
        <v>604</v>
      </c>
    </row>
    <row r="49" spans="1:11" ht="28.8">
      <c r="A49" s="9" t="s">
        <v>603</v>
      </c>
      <c r="B49" s="9" t="s">
        <v>668</v>
      </c>
      <c r="C49" s="9" t="s">
        <v>655</v>
      </c>
      <c r="D49" s="12">
        <v>-0.47539999999999999</v>
      </c>
      <c r="E49" s="12">
        <v>0.23269999999999999</v>
      </c>
      <c r="F49" s="12">
        <v>-0.3019</v>
      </c>
      <c r="G49" s="12">
        <v>-0.12135</v>
      </c>
      <c r="H49" s="12">
        <v>-0.18149999999999999</v>
      </c>
      <c r="I49" s="12">
        <v>0.3367</v>
      </c>
      <c r="J49" s="9" t="s">
        <v>73</v>
      </c>
      <c r="K49" s="9" t="s">
        <v>604</v>
      </c>
    </row>
    <row r="50" spans="1:11" ht="28.8">
      <c r="A50" s="9" t="s">
        <v>661</v>
      </c>
      <c r="B50" s="9" t="s">
        <v>657</v>
      </c>
      <c r="C50" s="9" t="s">
        <v>601</v>
      </c>
      <c r="D50" s="12">
        <v>-0.2266</v>
      </c>
      <c r="E50" s="12">
        <v>-0.2077</v>
      </c>
      <c r="F50" s="12">
        <v>0.57169999999999999</v>
      </c>
      <c r="G50" s="12">
        <v>-0.21715000000000001</v>
      </c>
      <c r="H50" s="12">
        <v>4.58E-2</v>
      </c>
      <c r="I50" s="12">
        <v>0.33529999999999999</v>
      </c>
      <c r="J50" s="9" t="s">
        <v>73</v>
      </c>
      <c r="K50" s="9" t="s">
        <v>604</v>
      </c>
    </row>
    <row r="51" spans="1:11" ht="28.8">
      <c r="A51" s="9" t="s">
        <v>603</v>
      </c>
      <c r="B51" s="9" t="s">
        <v>673</v>
      </c>
      <c r="C51" s="9" t="s">
        <v>601</v>
      </c>
      <c r="D51" s="12">
        <v>0.45390000000000003</v>
      </c>
      <c r="E51" s="12">
        <v>0.2681</v>
      </c>
      <c r="F51" s="12">
        <v>0.27029999999999998</v>
      </c>
      <c r="G51" s="12">
        <v>0.36099999999999999</v>
      </c>
      <c r="H51" s="12">
        <v>0.33079999999999998</v>
      </c>
      <c r="I51" s="12">
        <v>0.33079999999999998</v>
      </c>
      <c r="J51" s="9" t="s">
        <v>73</v>
      </c>
      <c r="K51" s="9" t="s">
        <v>654</v>
      </c>
    </row>
    <row r="52" spans="1:11">
      <c r="A52" s="9" t="s">
        <v>609</v>
      </c>
      <c r="B52" s="9" t="s">
        <v>613</v>
      </c>
      <c r="C52" s="9" t="s">
        <v>670</v>
      </c>
      <c r="D52" s="12">
        <v>-0.32040000000000002</v>
      </c>
      <c r="E52" s="12">
        <v>0.4844</v>
      </c>
      <c r="F52" s="12">
        <v>-0.1827</v>
      </c>
      <c r="G52" s="12">
        <v>8.199999999999999E-2</v>
      </c>
      <c r="H52" s="12">
        <v>-6.1999999999999998E-3</v>
      </c>
      <c r="I52" s="12">
        <v>0.32919999999999999</v>
      </c>
      <c r="J52" s="9" t="s">
        <v>73</v>
      </c>
      <c r="K52" s="9" t="s">
        <v>604</v>
      </c>
    </row>
    <row r="53" spans="1:11" ht="28.8">
      <c r="A53" s="9" t="s">
        <v>603</v>
      </c>
      <c r="B53" s="9" t="s">
        <v>660</v>
      </c>
      <c r="C53" s="9" t="s">
        <v>666</v>
      </c>
      <c r="D53" s="12">
        <v>-0.26</v>
      </c>
      <c r="E53" s="12">
        <v>0.40089999999999998</v>
      </c>
      <c r="F53" s="12">
        <v>-0.32500000000000001</v>
      </c>
      <c r="G53" s="12">
        <v>7.0449999999999985E-2</v>
      </c>
      <c r="H53" s="12">
        <v>-6.1400000000000003E-2</v>
      </c>
      <c r="I53" s="12">
        <v>0.32869999999999999</v>
      </c>
      <c r="J53" s="9" t="s">
        <v>73</v>
      </c>
      <c r="K53" s="9" t="s">
        <v>604</v>
      </c>
    </row>
    <row r="54" spans="1:11" ht="28.8">
      <c r="A54" s="9" t="s">
        <v>603</v>
      </c>
      <c r="B54" s="9" t="s">
        <v>653</v>
      </c>
      <c r="C54" s="9" t="s">
        <v>674</v>
      </c>
      <c r="D54" s="12">
        <v>-0.1212</v>
      </c>
      <c r="E54" s="12">
        <v>0.47020000000000001</v>
      </c>
      <c r="F54" s="12">
        <v>-0.39329999999999998</v>
      </c>
      <c r="G54" s="12">
        <v>0.17449999999999999</v>
      </c>
      <c r="H54" s="12">
        <v>-1.4800000000000001E-2</v>
      </c>
      <c r="I54" s="12">
        <v>0.32829999999999998</v>
      </c>
      <c r="J54" s="9" t="s">
        <v>73</v>
      </c>
      <c r="K54" s="9" t="s">
        <v>604</v>
      </c>
    </row>
    <row r="55" spans="1:11" ht="28.8">
      <c r="A55" s="9" t="s">
        <v>661</v>
      </c>
      <c r="B55" s="9" t="s">
        <v>657</v>
      </c>
      <c r="C55" s="9" t="s">
        <v>655</v>
      </c>
      <c r="D55" s="12">
        <v>0.17599999999999999</v>
      </c>
      <c r="E55" s="12">
        <v>-0.2077</v>
      </c>
      <c r="F55" s="12">
        <v>-0.59499999999999997</v>
      </c>
      <c r="G55" s="12">
        <v>-1.5850000000000003E-2</v>
      </c>
      <c r="H55" s="12">
        <v>-0.2089</v>
      </c>
      <c r="I55" s="12">
        <v>0.32619999999999999</v>
      </c>
      <c r="J55" s="9" t="s">
        <v>73</v>
      </c>
      <c r="K55" s="9" t="s">
        <v>604</v>
      </c>
    </row>
    <row r="56" spans="1:11" ht="28.8">
      <c r="A56" s="9" t="s">
        <v>603</v>
      </c>
      <c r="B56" s="9" t="s">
        <v>660</v>
      </c>
      <c r="C56" s="9" t="s">
        <v>663</v>
      </c>
      <c r="D56" s="12">
        <v>-0.2828</v>
      </c>
      <c r="E56" s="12">
        <v>0.40089999999999998</v>
      </c>
      <c r="F56" s="12">
        <v>-0.29349999999999998</v>
      </c>
      <c r="G56" s="12">
        <v>5.9049999999999991E-2</v>
      </c>
      <c r="H56" s="12">
        <v>-5.8500000000000003E-2</v>
      </c>
      <c r="I56" s="12">
        <v>0.32569999999999999</v>
      </c>
      <c r="J56" s="9" t="s">
        <v>73</v>
      </c>
      <c r="K56" s="9" t="s">
        <v>604</v>
      </c>
    </row>
    <row r="57" spans="1:11" ht="28.8">
      <c r="A57" s="9" t="s">
        <v>603</v>
      </c>
      <c r="B57" s="9" t="s">
        <v>669</v>
      </c>
      <c r="C57" s="9" t="s">
        <v>663</v>
      </c>
      <c r="D57" s="12">
        <v>-0.2828</v>
      </c>
      <c r="E57" s="12">
        <v>-0.2472</v>
      </c>
      <c r="F57" s="12">
        <v>0.44319999999999998</v>
      </c>
      <c r="G57" s="12">
        <v>-0.26500000000000001</v>
      </c>
      <c r="H57" s="12">
        <v>-2.8899999999999999E-2</v>
      </c>
      <c r="I57" s="12">
        <v>0.32440000000000002</v>
      </c>
      <c r="J57" s="9" t="s">
        <v>73</v>
      </c>
      <c r="K57" s="9" t="s">
        <v>604</v>
      </c>
    </row>
    <row r="58" spans="1:11">
      <c r="A58" s="9" t="s">
        <v>662</v>
      </c>
      <c r="B58" s="9" t="s">
        <v>653</v>
      </c>
      <c r="C58" s="9" t="s">
        <v>655</v>
      </c>
      <c r="D58" s="12">
        <v>5.6899999999999999E-2</v>
      </c>
      <c r="E58" s="12">
        <v>-0.2021</v>
      </c>
      <c r="F58" s="12">
        <v>-0.71020000000000005</v>
      </c>
      <c r="G58" s="12">
        <v>-7.2599999999999998E-2</v>
      </c>
      <c r="H58" s="12">
        <v>-0.28510000000000002</v>
      </c>
      <c r="I58" s="12">
        <v>0.3231</v>
      </c>
      <c r="J58" s="9" t="s">
        <v>73</v>
      </c>
      <c r="K58" s="9" t="s">
        <v>604</v>
      </c>
    </row>
    <row r="59" spans="1:11">
      <c r="A59" s="9" t="s">
        <v>609</v>
      </c>
      <c r="B59" s="9" t="s">
        <v>653</v>
      </c>
      <c r="C59" s="9" t="s">
        <v>659</v>
      </c>
      <c r="D59" s="12">
        <v>0.47620000000000001</v>
      </c>
      <c r="E59" s="12">
        <v>-0.2389</v>
      </c>
      <c r="F59" s="12">
        <v>-0.2535</v>
      </c>
      <c r="G59" s="12">
        <v>0.11865000000000001</v>
      </c>
      <c r="H59" s="12">
        <v>-5.4000000000000003E-3</v>
      </c>
      <c r="I59" s="12">
        <v>0.32279999999999998</v>
      </c>
      <c r="J59" s="9" t="s">
        <v>73</v>
      </c>
      <c r="K59" s="9" t="s">
        <v>604</v>
      </c>
    </row>
    <row r="60" spans="1:11" ht="28.8">
      <c r="A60" s="9" t="s">
        <v>603</v>
      </c>
      <c r="B60" s="9" t="s">
        <v>653</v>
      </c>
      <c r="C60" s="9" t="s">
        <v>675</v>
      </c>
      <c r="D60" s="12">
        <v>-0.18360000000000001</v>
      </c>
      <c r="E60" s="12">
        <v>0.47020000000000001</v>
      </c>
      <c r="F60" s="12">
        <v>-0.31430000000000002</v>
      </c>
      <c r="G60" s="12">
        <v>0.14329999999999998</v>
      </c>
      <c r="H60" s="12">
        <v>-9.2999999999999992E-3</v>
      </c>
      <c r="I60" s="12">
        <v>0.32269999999999999</v>
      </c>
      <c r="J60" s="9" t="s">
        <v>73</v>
      </c>
      <c r="K60" s="9" t="s">
        <v>604</v>
      </c>
    </row>
    <row r="61" spans="1:11" ht="28.8">
      <c r="A61" s="9" t="s">
        <v>603</v>
      </c>
      <c r="B61" s="9" t="s">
        <v>673</v>
      </c>
      <c r="C61" s="9" t="s">
        <v>655</v>
      </c>
      <c r="D61" s="12">
        <v>-0.47539999999999999</v>
      </c>
      <c r="E61" s="12">
        <v>0.2681</v>
      </c>
      <c r="F61" s="12">
        <v>-0.22339999999999999</v>
      </c>
      <c r="G61" s="12">
        <v>-0.10364999999999999</v>
      </c>
      <c r="H61" s="12">
        <v>-0.14349999999999999</v>
      </c>
      <c r="I61" s="12">
        <v>0.32229999999999998</v>
      </c>
      <c r="J61" s="9" t="s">
        <v>73</v>
      </c>
      <c r="K61" s="9" t="s">
        <v>604</v>
      </c>
    </row>
    <row r="62" spans="1:11" ht="28.8">
      <c r="A62" s="9" t="s">
        <v>603</v>
      </c>
      <c r="B62" s="9" t="s">
        <v>658</v>
      </c>
      <c r="C62" s="9" t="s">
        <v>666</v>
      </c>
      <c r="D62" s="12">
        <v>-0.26</v>
      </c>
      <c r="E62" s="12">
        <v>-0.46400000000000002</v>
      </c>
      <c r="F62" s="12">
        <v>0.24249999999999999</v>
      </c>
      <c r="G62" s="12">
        <v>-0.36199999999999999</v>
      </c>
      <c r="H62" s="12">
        <v>-0.1605</v>
      </c>
      <c r="I62" s="12">
        <v>0.32219999999999999</v>
      </c>
      <c r="J62" s="9" t="s">
        <v>73</v>
      </c>
      <c r="K62" s="9" t="s">
        <v>604</v>
      </c>
    </row>
    <row r="63" spans="1:11">
      <c r="A63" s="9" t="s">
        <v>609</v>
      </c>
      <c r="B63" s="9" t="s">
        <v>657</v>
      </c>
      <c r="C63" s="9" t="s">
        <v>667</v>
      </c>
      <c r="D63" s="12">
        <v>0.33360000000000001</v>
      </c>
      <c r="E63" s="12">
        <v>-0.28839999999999999</v>
      </c>
      <c r="F63" s="12">
        <v>-0.3402</v>
      </c>
      <c r="G63" s="12">
        <v>2.2600000000000009E-2</v>
      </c>
      <c r="H63" s="12">
        <v>-9.8299999999999998E-2</v>
      </c>
      <c r="I63" s="12">
        <v>0.32069999999999999</v>
      </c>
      <c r="J63" s="9" t="s">
        <v>73</v>
      </c>
      <c r="K63" s="9" t="s">
        <v>604</v>
      </c>
    </row>
    <row r="64" spans="1:11" ht="28.8">
      <c r="A64" s="9" t="s">
        <v>609</v>
      </c>
      <c r="B64" s="9" t="s">
        <v>613</v>
      </c>
      <c r="C64" s="9" t="s">
        <v>601</v>
      </c>
      <c r="D64" s="12">
        <v>-0.1671</v>
      </c>
      <c r="E64" s="12">
        <v>0.4844</v>
      </c>
      <c r="F64" s="12">
        <v>-0.30580000000000002</v>
      </c>
      <c r="G64" s="12">
        <v>0.15865000000000001</v>
      </c>
      <c r="H64" s="12">
        <v>3.8E-3</v>
      </c>
      <c r="I64" s="12">
        <v>0.31909999999999999</v>
      </c>
      <c r="J64" s="9" t="s">
        <v>73</v>
      </c>
      <c r="K64" s="9" t="s">
        <v>604</v>
      </c>
    </row>
    <row r="65" spans="1:11" ht="28.8">
      <c r="A65" s="9" t="s">
        <v>603</v>
      </c>
      <c r="B65" s="9" t="s">
        <v>613</v>
      </c>
      <c r="C65" s="9" t="s">
        <v>664</v>
      </c>
      <c r="D65" s="12">
        <v>0.4093</v>
      </c>
      <c r="E65" s="12">
        <v>-0.35630000000000001</v>
      </c>
      <c r="F65" s="12">
        <v>-0.18640000000000001</v>
      </c>
      <c r="G65" s="12">
        <v>2.6499999999999996E-2</v>
      </c>
      <c r="H65" s="12">
        <v>-4.4499999999999998E-2</v>
      </c>
      <c r="I65" s="12">
        <v>0.31730000000000003</v>
      </c>
      <c r="J65" s="9" t="s">
        <v>73</v>
      </c>
      <c r="K65" s="9" t="s">
        <v>604</v>
      </c>
    </row>
    <row r="66" spans="1:11" ht="28.8">
      <c r="A66" s="9" t="s">
        <v>603</v>
      </c>
      <c r="B66" s="9" t="s">
        <v>653</v>
      </c>
      <c r="C66" s="9" t="s">
        <v>670</v>
      </c>
      <c r="D66" s="12">
        <v>0.28070000000000001</v>
      </c>
      <c r="E66" s="12">
        <v>0.47020000000000001</v>
      </c>
      <c r="F66" s="12">
        <v>0.19900000000000001</v>
      </c>
      <c r="G66" s="12">
        <v>0.37545000000000001</v>
      </c>
      <c r="H66" s="12">
        <v>0.31659999999999999</v>
      </c>
      <c r="I66" s="12">
        <v>0.31659999999999999</v>
      </c>
      <c r="J66" s="9" t="s">
        <v>73</v>
      </c>
      <c r="K66" s="9" t="s">
        <v>654</v>
      </c>
    </row>
    <row r="67" spans="1:11" ht="28.8">
      <c r="A67" s="9" t="s">
        <v>661</v>
      </c>
      <c r="B67" s="9" t="s">
        <v>676</v>
      </c>
      <c r="C67" s="9" t="s">
        <v>670</v>
      </c>
      <c r="D67" s="12">
        <v>-0.29680000000000001</v>
      </c>
      <c r="E67" s="12">
        <v>0.33629999999999999</v>
      </c>
      <c r="F67" s="12">
        <v>-0.3165</v>
      </c>
      <c r="G67" s="12">
        <v>1.974999999999999E-2</v>
      </c>
      <c r="H67" s="12">
        <v>-9.2299999999999993E-2</v>
      </c>
      <c r="I67" s="12">
        <v>0.3165</v>
      </c>
      <c r="J67" s="9" t="s">
        <v>73</v>
      </c>
      <c r="K67" s="9" t="s">
        <v>604</v>
      </c>
    </row>
    <row r="68" spans="1:11" ht="28.8">
      <c r="A68" s="9" t="s">
        <v>671</v>
      </c>
      <c r="B68" s="9" t="s">
        <v>653</v>
      </c>
      <c r="C68" s="9" t="s">
        <v>601</v>
      </c>
      <c r="D68" s="12">
        <v>-0.10879999999999999</v>
      </c>
      <c r="E68" s="12">
        <v>-0.09</v>
      </c>
      <c r="F68" s="12">
        <v>0.7429</v>
      </c>
      <c r="G68" s="12">
        <v>-9.9399999999999988E-2</v>
      </c>
      <c r="H68" s="12">
        <v>0.18140000000000001</v>
      </c>
      <c r="I68" s="12">
        <v>0.31390000000000001</v>
      </c>
      <c r="J68" s="9" t="s">
        <v>73</v>
      </c>
      <c r="K68" s="9" t="s">
        <v>604</v>
      </c>
    </row>
    <row r="69" spans="1:11">
      <c r="A69" s="9" t="s">
        <v>609</v>
      </c>
      <c r="B69" s="9" t="s">
        <v>653</v>
      </c>
      <c r="C69" s="9" t="s">
        <v>667</v>
      </c>
      <c r="D69" s="12">
        <v>0.33360000000000001</v>
      </c>
      <c r="E69" s="12">
        <v>-0.2389</v>
      </c>
      <c r="F69" s="12">
        <v>-0.36870000000000003</v>
      </c>
      <c r="G69" s="12">
        <v>4.7350000000000003E-2</v>
      </c>
      <c r="H69" s="12">
        <v>-9.1300000000000006E-2</v>
      </c>
      <c r="I69" s="12">
        <v>0.31369999999999998</v>
      </c>
      <c r="J69" s="9" t="s">
        <v>73</v>
      </c>
      <c r="K69" s="9" t="s">
        <v>604</v>
      </c>
    </row>
    <row r="70" spans="1:11" ht="28.8">
      <c r="A70" s="9" t="s">
        <v>603</v>
      </c>
      <c r="B70" s="9" t="s">
        <v>653</v>
      </c>
      <c r="C70" s="9" t="s">
        <v>677</v>
      </c>
      <c r="D70" s="12">
        <v>0.14069999999999999</v>
      </c>
      <c r="E70" s="12">
        <v>0.47020000000000001</v>
      </c>
      <c r="F70" s="12">
        <v>0.32829999999999998</v>
      </c>
      <c r="G70" s="12">
        <v>0.30545</v>
      </c>
      <c r="H70" s="12">
        <v>0.31309999999999999</v>
      </c>
      <c r="I70" s="12">
        <v>0.31309999999999999</v>
      </c>
      <c r="J70" s="9" t="s">
        <v>73</v>
      </c>
      <c r="K70" s="9" t="s">
        <v>654</v>
      </c>
    </row>
    <row r="71" spans="1:11" ht="28.8">
      <c r="A71" s="9" t="s">
        <v>603</v>
      </c>
      <c r="B71" s="9" t="s">
        <v>660</v>
      </c>
      <c r="C71" s="9" t="s">
        <v>664</v>
      </c>
      <c r="D71" s="12">
        <v>0.4093</v>
      </c>
      <c r="E71" s="12">
        <v>0.40089999999999998</v>
      </c>
      <c r="F71" s="12">
        <v>0.128</v>
      </c>
      <c r="G71" s="12">
        <v>0.40510000000000002</v>
      </c>
      <c r="H71" s="12">
        <v>0.31269999999999998</v>
      </c>
      <c r="I71" s="12">
        <v>0.31269999999999998</v>
      </c>
      <c r="J71" s="9" t="s">
        <v>73</v>
      </c>
      <c r="K71" s="9" t="s">
        <v>654</v>
      </c>
    </row>
    <row r="72" spans="1:11">
      <c r="A72" s="9" t="s">
        <v>609</v>
      </c>
      <c r="B72" s="9" t="s">
        <v>613</v>
      </c>
      <c r="C72" s="9" t="s">
        <v>655</v>
      </c>
      <c r="D72" s="12">
        <v>0.16819999999999999</v>
      </c>
      <c r="E72" s="12">
        <v>0.4844</v>
      </c>
      <c r="F72" s="12">
        <v>0.28510000000000002</v>
      </c>
      <c r="G72" s="12">
        <v>0.32629999999999998</v>
      </c>
      <c r="H72" s="12">
        <v>0.31259999999999999</v>
      </c>
      <c r="I72" s="12">
        <v>0.31259999999999999</v>
      </c>
      <c r="J72" s="9" t="s">
        <v>73</v>
      </c>
      <c r="K72" s="9" t="s">
        <v>654</v>
      </c>
    </row>
    <row r="73" spans="1:11" ht="28.8">
      <c r="A73" s="9" t="s">
        <v>603</v>
      </c>
      <c r="B73" s="9" t="s">
        <v>665</v>
      </c>
      <c r="C73" s="9" t="s">
        <v>666</v>
      </c>
      <c r="D73" s="12">
        <v>-0.26</v>
      </c>
      <c r="E73" s="12">
        <v>-0.32069999999999999</v>
      </c>
      <c r="F73" s="12">
        <v>0.3533</v>
      </c>
      <c r="G73" s="12">
        <v>-0.29035</v>
      </c>
      <c r="H73" s="12">
        <v>-7.5800000000000006E-2</v>
      </c>
      <c r="I73" s="12">
        <v>0.31130000000000002</v>
      </c>
      <c r="J73" s="9" t="s">
        <v>73</v>
      </c>
      <c r="K73" s="9" t="s">
        <v>604</v>
      </c>
    </row>
    <row r="74" spans="1:11" ht="28.8">
      <c r="A74" s="9" t="s">
        <v>671</v>
      </c>
      <c r="B74" s="9" t="s">
        <v>653</v>
      </c>
      <c r="C74" s="9" t="s">
        <v>655</v>
      </c>
      <c r="D74" s="12">
        <v>0.1215</v>
      </c>
      <c r="E74" s="12">
        <v>-0.09</v>
      </c>
      <c r="F74" s="12">
        <v>-0.71020000000000005</v>
      </c>
      <c r="G74" s="12">
        <v>1.575E-2</v>
      </c>
      <c r="H74" s="12">
        <v>-0.22620000000000001</v>
      </c>
      <c r="I74" s="12">
        <v>0.30719999999999997</v>
      </c>
      <c r="J74" s="9" t="s">
        <v>73</v>
      </c>
      <c r="K74" s="9" t="s">
        <v>604</v>
      </c>
    </row>
    <row r="75" spans="1:11" ht="28.8">
      <c r="A75" s="9" t="s">
        <v>603</v>
      </c>
      <c r="B75" s="9" t="s">
        <v>665</v>
      </c>
      <c r="C75" s="9" t="s">
        <v>664</v>
      </c>
      <c r="D75" s="12">
        <v>0.4093</v>
      </c>
      <c r="E75" s="12">
        <v>-0.32069999999999999</v>
      </c>
      <c r="F75" s="12">
        <v>-0.1817</v>
      </c>
      <c r="G75" s="12">
        <v>4.4300000000000006E-2</v>
      </c>
      <c r="H75" s="12">
        <v>-3.1E-2</v>
      </c>
      <c r="I75" s="12">
        <v>0.3039</v>
      </c>
      <c r="J75" s="9" t="s">
        <v>73</v>
      </c>
      <c r="K75" s="9" t="s">
        <v>604</v>
      </c>
    </row>
    <row r="76" spans="1:11" ht="28.8">
      <c r="A76" s="9" t="s">
        <v>603</v>
      </c>
      <c r="B76" s="9" t="s">
        <v>602</v>
      </c>
      <c r="C76" s="9" t="s">
        <v>655</v>
      </c>
      <c r="D76" s="12">
        <v>-0.47539999999999999</v>
      </c>
      <c r="E76" s="12">
        <v>3.5099999999999999E-2</v>
      </c>
      <c r="F76" s="12">
        <v>0.4002</v>
      </c>
      <c r="G76" s="12">
        <v>-0.22014999999999998</v>
      </c>
      <c r="H76" s="12">
        <v>-1.3299999999999999E-2</v>
      </c>
      <c r="I76" s="12">
        <v>0.30359999999999998</v>
      </c>
      <c r="J76" s="9" t="s">
        <v>73</v>
      </c>
      <c r="K76" s="9" t="s">
        <v>604</v>
      </c>
    </row>
    <row r="77" spans="1:11">
      <c r="A77" s="9" t="s">
        <v>609</v>
      </c>
      <c r="B77" s="9" t="s">
        <v>657</v>
      </c>
      <c r="C77" s="9" t="s">
        <v>670</v>
      </c>
      <c r="D77" s="12">
        <v>-0.32040000000000002</v>
      </c>
      <c r="E77" s="12">
        <v>-0.28839999999999999</v>
      </c>
      <c r="F77" s="12">
        <v>0.30049999999999999</v>
      </c>
      <c r="G77" s="12">
        <v>-0.3044</v>
      </c>
      <c r="H77" s="12">
        <v>-0.1028</v>
      </c>
      <c r="I77" s="12">
        <v>0.30309999999999998</v>
      </c>
      <c r="J77" s="9" t="s">
        <v>73</v>
      </c>
      <c r="K77" s="9" t="s">
        <v>604</v>
      </c>
    </row>
    <row r="78" spans="1:11" ht="28.8">
      <c r="A78" s="9" t="s">
        <v>603</v>
      </c>
      <c r="B78" s="9" t="s">
        <v>613</v>
      </c>
      <c r="C78" s="9" t="s">
        <v>659</v>
      </c>
      <c r="D78" s="12">
        <v>-0.17230000000000001</v>
      </c>
      <c r="E78" s="12">
        <v>-0.35630000000000001</v>
      </c>
      <c r="F78" s="12">
        <v>0.37969999999999998</v>
      </c>
      <c r="G78" s="12">
        <v>-0.26429999999999998</v>
      </c>
      <c r="H78" s="12">
        <v>-4.9599999999999998E-2</v>
      </c>
      <c r="I78" s="12">
        <v>0.30280000000000001</v>
      </c>
      <c r="J78" s="9" t="s">
        <v>73</v>
      </c>
      <c r="K78" s="9" t="s">
        <v>604</v>
      </c>
    </row>
    <row r="79" spans="1:11" ht="28.8">
      <c r="A79" s="9" t="s">
        <v>603</v>
      </c>
      <c r="B79" s="9" t="s">
        <v>665</v>
      </c>
      <c r="C79" s="9" t="s">
        <v>656</v>
      </c>
      <c r="D79" s="12">
        <v>-0.41320000000000001</v>
      </c>
      <c r="E79" s="12">
        <v>-0.32069999999999999</v>
      </c>
      <c r="F79" s="12">
        <v>0.17330000000000001</v>
      </c>
      <c r="G79" s="12">
        <v>-0.36695</v>
      </c>
      <c r="H79" s="12">
        <v>-0.18690000000000001</v>
      </c>
      <c r="I79" s="12">
        <v>0.3024</v>
      </c>
      <c r="J79" s="9" t="s">
        <v>73</v>
      </c>
      <c r="K79" s="9" t="s">
        <v>604</v>
      </c>
    </row>
    <row r="80" spans="1:11">
      <c r="A80" s="9" t="s">
        <v>610</v>
      </c>
      <c r="B80" s="9" t="s">
        <v>669</v>
      </c>
      <c r="C80" s="9" t="s">
        <v>663</v>
      </c>
      <c r="D80" s="12">
        <v>-0.2303</v>
      </c>
      <c r="E80" s="12">
        <v>-0.2331</v>
      </c>
      <c r="F80" s="12">
        <v>0.44319999999999998</v>
      </c>
      <c r="G80" s="12">
        <v>-0.23170000000000002</v>
      </c>
      <c r="H80" s="12">
        <v>-6.7000000000000002E-3</v>
      </c>
      <c r="I80" s="12">
        <v>0.30220000000000002</v>
      </c>
      <c r="J80" s="9" t="s">
        <v>73</v>
      </c>
      <c r="K80" s="9" t="s">
        <v>604</v>
      </c>
    </row>
    <row r="81" spans="1:11" ht="28.8">
      <c r="A81" s="9" t="s">
        <v>661</v>
      </c>
      <c r="B81" s="9" t="s">
        <v>660</v>
      </c>
      <c r="C81" s="9" t="s">
        <v>601</v>
      </c>
      <c r="D81" s="12">
        <v>-0.2266</v>
      </c>
      <c r="E81" s="12">
        <v>-0.21290000000000001</v>
      </c>
      <c r="F81" s="12">
        <v>0.4652</v>
      </c>
      <c r="G81" s="12">
        <v>-0.21975</v>
      </c>
      <c r="H81" s="12">
        <v>8.5000000000000006E-3</v>
      </c>
      <c r="I81" s="12">
        <v>0.30159999999999998</v>
      </c>
      <c r="J81" s="9" t="s">
        <v>73</v>
      </c>
      <c r="K81" s="9" t="s">
        <v>604</v>
      </c>
    </row>
    <row r="82" spans="1:11" ht="28.8">
      <c r="A82" s="9" t="s">
        <v>603</v>
      </c>
      <c r="B82" s="9" t="s">
        <v>657</v>
      </c>
      <c r="C82" s="9" t="s">
        <v>663</v>
      </c>
      <c r="D82" s="12">
        <v>-0.2828</v>
      </c>
      <c r="E82" s="12">
        <v>0.45229999999999998</v>
      </c>
      <c r="F82" s="12">
        <v>-0.16819999999999999</v>
      </c>
      <c r="G82" s="12">
        <v>8.4749999999999992E-2</v>
      </c>
      <c r="H82" s="12">
        <v>4.0000000000000002E-4</v>
      </c>
      <c r="I82" s="12">
        <v>0.30109999999999998</v>
      </c>
      <c r="J82" s="9" t="s">
        <v>73</v>
      </c>
      <c r="K82" s="9" t="s">
        <v>604</v>
      </c>
    </row>
    <row r="83" spans="1:11" ht="28.8">
      <c r="A83" s="9" t="s">
        <v>603</v>
      </c>
      <c r="B83" s="9" t="s">
        <v>653</v>
      </c>
      <c r="C83" s="9" t="s">
        <v>667</v>
      </c>
      <c r="D83" s="12">
        <v>-6.3299999999999995E-2</v>
      </c>
      <c r="E83" s="12">
        <v>0.47020000000000001</v>
      </c>
      <c r="F83" s="12">
        <v>-0.36870000000000003</v>
      </c>
      <c r="G83" s="12">
        <v>0.20345000000000002</v>
      </c>
      <c r="H83" s="12">
        <v>1.2699999999999999E-2</v>
      </c>
      <c r="I83" s="12">
        <v>0.30070000000000002</v>
      </c>
      <c r="J83" s="9" t="s">
        <v>73</v>
      </c>
      <c r="K83" s="9" t="s">
        <v>604</v>
      </c>
    </row>
    <row r="84" spans="1:11" ht="28.8">
      <c r="A84" s="9" t="s">
        <v>603</v>
      </c>
      <c r="B84" s="9" t="s">
        <v>658</v>
      </c>
      <c r="C84" s="9" t="s">
        <v>675</v>
      </c>
      <c r="D84" s="12">
        <v>-0.18360000000000001</v>
      </c>
      <c r="E84" s="12">
        <v>-0.46400000000000002</v>
      </c>
      <c r="F84" s="12">
        <v>0.25319999999999998</v>
      </c>
      <c r="G84" s="12">
        <v>-0.32380000000000003</v>
      </c>
      <c r="H84" s="12">
        <v>-0.13150000000000001</v>
      </c>
      <c r="I84" s="12">
        <v>0.30030000000000001</v>
      </c>
      <c r="J84" s="9" t="s">
        <v>73</v>
      </c>
      <c r="K84" s="9" t="s">
        <v>604</v>
      </c>
    </row>
    <row r="85" spans="1:11" ht="28.8">
      <c r="A85" s="9" t="s">
        <v>603</v>
      </c>
      <c r="B85" s="9" t="s">
        <v>602</v>
      </c>
      <c r="C85" s="9" t="s">
        <v>601</v>
      </c>
      <c r="D85" s="12">
        <v>0.45390000000000003</v>
      </c>
      <c r="E85" s="12">
        <v>3.5099999999999999E-2</v>
      </c>
      <c r="F85" s="12">
        <v>-0.41089999999999999</v>
      </c>
      <c r="G85" s="12">
        <v>0.24450000000000002</v>
      </c>
      <c r="H85" s="12">
        <v>2.6100000000000002E-2</v>
      </c>
      <c r="I85" s="12">
        <v>0.3</v>
      </c>
      <c r="J85" s="9" t="s">
        <v>412</v>
      </c>
      <c r="K85" s="9" t="s">
        <v>604</v>
      </c>
    </row>
    <row r="86" spans="1:11" ht="28.8">
      <c r="A86" s="9" t="s">
        <v>661</v>
      </c>
      <c r="B86" s="9" t="s">
        <v>660</v>
      </c>
      <c r="C86" s="9" t="s">
        <v>656</v>
      </c>
      <c r="D86" s="12">
        <v>0.32640000000000002</v>
      </c>
      <c r="E86" s="12">
        <v>-0.21290000000000001</v>
      </c>
      <c r="F86" s="12">
        <v>-0.35949999999999999</v>
      </c>
      <c r="G86" s="12">
        <v>5.6750000000000009E-2</v>
      </c>
      <c r="H86" s="12">
        <v>-8.2000000000000003E-2</v>
      </c>
      <c r="I86" s="12">
        <v>0.29959999999999998</v>
      </c>
      <c r="J86" s="9" t="s">
        <v>412</v>
      </c>
      <c r="K86" s="9" t="s">
        <v>604</v>
      </c>
    </row>
    <row r="87" spans="1:11" ht="28.8">
      <c r="A87" s="9" t="s">
        <v>603</v>
      </c>
      <c r="B87" s="9" t="s">
        <v>657</v>
      </c>
      <c r="C87" s="9" t="s">
        <v>659</v>
      </c>
      <c r="D87" s="12">
        <v>-0.17230000000000001</v>
      </c>
      <c r="E87" s="12">
        <v>0.45229999999999998</v>
      </c>
      <c r="F87" s="12">
        <v>-0.27239999999999998</v>
      </c>
      <c r="G87" s="12">
        <v>0.13999999999999999</v>
      </c>
      <c r="H87" s="12">
        <v>2.5000000000000001E-3</v>
      </c>
      <c r="I87" s="12">
        <v>0.29899999999999999</v>
      </c>
      <c r="J87" s="9" t="s">
        <v>412</v>
      </c>
      <c r="K87" s="9" t="s">
        <v>604</v>
      </c>
    </row>
    <row r="88" spans="1:11" ht="28.8">
      <c r="A88" s="9" t="s">
        <v>603</v>
      </c>
      <c r="B88" s="9" t="s">
        <v>653</v>
      </c>
      <c r="C88" s="9" t="s">
        <v>659</v>
      </c>
      <c r="D88" s="12">
        <v>-0.17230000000000001</v>
      </c>
      <c r="E88" s="12">
        <v>0.47020000000000001</v>
      </c>
      <c r="F88" s="12">
        <v>-0.2535</v>
      </c>
      <c r="G88" s="12">
        <v>0.14895</v>
      </c>
      <c r="H88" s="12">
        <v>1.4800000000000001E-2</v>
      </c>
      <c r="I88" s="12">
        <v>0.29859999999999998</v>
      </c>
      <c r="J88" s="9" t="s">
        <v>412</v>
      </c>
      <c r="K88" s="9" t="s">
        <v>604</v>
      </c>
    </row>
    <row r="89" spans="1:11" ht="28.8">
      <c r="A89" s="9" t="s">
        <v>603</v>
      </c>
      <c r="B89" s="9" t="s">
        <v>678</v>
      </c>
      <c r="C89" s="9" t="s">
        <v>655</v>
      </c>
      <c r="D89" s="12">
        <v>-0.47539999999999999</v>
      </c>
      <c r="E89" s="12">
        <v>0.17549999999999999</v>
      </c>
      <c r="F89" s="12">
        <v>-0.2429</v>
      </c>
      <c r="G89" s="12">
        <v>-0.14995</v>
      </c>
      <c r="H89" s="12">
        <v>-0.18090000000000001</v>
      </c>
      <c r="I89" s="12">
        <v>0.2979</v>
      </c>
      <c r="J89" s="9" t="s">
        <v>412</v>
      </c>
      <c r="K89" s="9" t="s">
        <v>604</v>
      </c>
    </row>
    <row r="90" spans="1:11" ht="28.8">
      <c r="A90" s="9" t="s">
        <v>603</v>
      </c>
      <c r="B90" s="9" t="s">
        <v>660</v>
      </c>
      <c r="C90" s="9" t="s">
        <v>670</v>
      </c>
      <c r="D90" s="12">
        <v>0.28070000000000001</v>
      </c>
      <c r="E90" s="12">
        <v>0.40089999999999998</v>
      </c>
      <c r="F90" s="12">
        <v>0.2104</v>
      </c>
      <c r="G90" s="12">
        <v>0.34079999999999999</v>
      </c>
      <c r="H90" s="12">
        <v>0.29730000000000001</v>
      </c>
      <c r="I90" s="12">
        <v>0.29730000000000001</v>
      </c>
      <c r="J90" s="9" t="s">
        <v>412</v>
      </c>
      <c r="K90" s="9" t="s">
        <v>654</v>
      </c>
    </row>
    <row r="91" spans="1:11" ht="28.8">
      <c r="A91" s="9" t="s">
        <v>679</v>
      </c>
      <c r="B91" s="9" t="s">
        <v>653</v>
      </c>
      <c r="C91" s="9" t="s">
        <v>601</v>
      </c>
      <c r="D91" s="12">
        <v>-8.3900000000000002E-2</v>
      </c>
      <c r="E91" s="12">
        <v>6.2700000000000006E-2</v>
      </c>
      <c r="F91" s="12">
        <v>0.7429</v>
      </c>
      <c r="G91" s="12">
        <v>-1.0599999999999998E-2</v>
      </c>
      <c r="H91" s="12">
        <v>0.24060000000000001</v>
      </c>
      <c r="I91" s="12">
        <v>0.29649999999999999</v>
      </c>
      <c r="J91" s="9" t="s">
        <v>412</v>
      </c>
      <c r="K91" s="9" t="s">
        <v>604</v>
      </c>
    </row>
    <row r="92" spans="1:11" ht="28.8">
      <c r="A92" s="9" t="s">
        <v>661</v>
      </c>
      <c r="B92" s="9" t="s">
        <v>668</v>
      </c>
      <c r="C92" s="9" t="s">
        <v>656</v>
      </c>
      <c r="D92" s="12">
        <v>0.32640000000000002</v>
      </c>
      <c r="E92" s="12">
        <v>-0.13339999999999999</v>
      </c>
      <c r="F92" s="12">
        <v>-0.42299999999999999</v>
      </c>
      <c r="G92" s="12">
        <v>9.6500000000000016E-2</v>
      </c>
      <c r="H92" s="12">
        <v>-7.6700000000000004E-2</v>
      </c>
      <c r="I92" s="12">
        <v>0.29430000000000001</v>
      </c>
      <c r="J92" s="9" t="s">
        <v>412</v>
      </c>
      <c r="K92" s="9" t="s">
        <v>604</v>
      </c>
    </row>
    <row r="93" spans="1:11" ht="28.8">
      <c r="A93" s="9" t="s">
        <v>603</v>
      </c>
      <c r="B93" s="9" t="s">
        <v>673</v>
      </c>
      <c r="C93" s="9" t="s">
        <v>656</v>
      </c>
      <c r="D93" s="12">
        <v>-0.41320000000000001</v>
      </c>
      <c r="E93" s="12">
        <v>0.2681</v>
      </c>
      <c r="F93" s="12">
        <v>-0.19539999999999999</v>
      </c>
      <c r="G93" s="12">
        <v>-7.2550000000000003E-2</v>
      </c>
      <c r="H93" s="12">
        <v>-0.1135</v>
      </c>
      <c r="I93" s="12">
        <v>0.29220000000000002</v>
      </c>
      <c r="J93" s="9" t="s">
        <v>412</v>
      </c>
      <c r="K93" s="9" t="s">
        <v>604</v>
      </c>
    </row>
    <row r="94" spans="1:11">
      <c r="A94" s="9" t="s">
        <v>610</v>
      </c>
      <c r="B94" s="9" t="s">
        <v>680</v>
      </c>
      <c r="C94" s="9" t="s">
        <v>663</v>
      </c>
      <c r="D94" s="12">
        <v>-0.2303</v>
      </c>
      <c r="E94" s="12">
        <v>-0.1973</v>
      </c>
      <c r="F94" s="12">
        <v>0.44740000000000002</v>
      </c>
      <c r="G94" s="12">
        <v>-0.21379999999999999</v>
      </c>
      <c r="H94" s="12">
        <v>6.6E-3</v>
      </c>
      <c r="I94" s="12">
        <v>0.29160000000000003</v>
      </c>
      <c r="J94" s="9" t="s">
        <v>412</v>
      </c>
      <c r="K94" s="9" t="s">
        <v>604</v>
      </c>
    </row>
    <row r="95" spans="1:11" ht="28.8">
      <c r="A95" s="9" t="s">
        <v>603</v>
      </c>
      <c r="B95" s="9" t="s">
        <v>672</v>
      </c>
      <c r="C95" s="9" t="s">
        <v>655</v>
      </c>
      <c r="D95" s="12">
        <v>-0.47539999999999999</v>
      </c>
      <c r="E95" s="12">
        <v>-0.21229999999999999</v>
      </c>
      <c r="F95" s="12">
        <v>0.1862</v>
      </c>
      <c r="G95" s="12">
        <v>-0.34384999999999999</v>
      </c>
      <c r="H95" s="12">
        <v>-0.16719999999999999</v>
      </c>
      <c r="I95" s="12">
        <v>0.2913</v>
      </c>
      <c r="J95" s="9" t="s">
        <v>412</v>
      </c>
      <c r="K95" s="9" t="s">
        <v>604</v>
      </c>
    </row>
    <row r="96" spans="1:11" ht="28.8">
      <c r="A96" s="9" t="s">
        <v>603</v>
      </c>
      <c r="B96" s="9" t="s">
        <v>681</v>
      </c>
      <c r="C96" s="9" t="s">
        <v>655</v>
      </c>
      <c r="D96" s="12">
        <v>-0.47539999999999999</v>
      </c>
      <c r="E96" s="12">
        <v>-0.19009999999999999</v>
      </c>
      <c r="F96" s="12">
        <v>0.20449999999999999</v>
      </c>
      <c r="G96" s="12">
        <v>-0.33274999999999999</v>
      </c>
      <c r="H96" s="12">
        <v>-0.1537</v>
      </c>
      <c r="I96" s="12">
        <v>0.28999999999999998</v>
      </c>
      <c r="J96" s="9" t="s">
        <v>412</v>
      </c>
      <c r="K96" s="9" t="s">
        <v>604</v>
      </c>
    </row>
    <row r="97" spans="1:11" ht="28.8">
      <c r="A97" s="9" t="s">
        <v>679</v>
      </c>
      <c r="B97" s="9" t="s">
        <v>653</v>
      </c>
      <c r="C97" s="9" t="s">
        <v>655</v>
      </c>
      <c r="D97" s="12">
        <v>9.4500000000000001E-2</v>
      </c>
      <c r="E97" s="12">
        <v>6.2700000000000006E-2</v>
      </c>
      <c r="F97" s="12">
        <v>-0.71020000000000005</v>
      </c>
      <c r="G97" s="12">
        <v>7.8600000000000003E-2</v>
      </c>
      <c r="H97" s="12">
        <v>-0.18429999999999999</v>
      </c>
      <c r="I97" s="12">
        <v>0.28910000000000002</v>
      </c>
      <c r="J97" s="9" t="s">
        <v>412</v>
      </c>
      <c r="K97" s="9" t="s">
        <v>604</v>
      </c>
    </row>
    <row r="98" spans="1:11" ht="28.8">
      <c r="A98" s="9" t="s">
        <v>671</v>
      </c>
      <c r="B98" s="9" t="s">
        <v>676</v>
      </c>
      <c r="C98" s="9" t="s">
        <v>670</v>
      </c>
      <c r="D98" s="12">
        <v>-0.32890000000000003</v>
      </c>
      <c r="E98" s="12">
        <v>0.2205</v>
      </c>
      <c r="F98" s="12">
        <v>-0.3165</v>
      </c>
      <c r="G98" s="12">
        <v>-5.4200000000000012E-2</v>
      </c>
      <c r="H98" s="12">
        <v>-0.1416</v>
      </c>
      <c r="I98" s="12">
        <v>0.28870000000000001</v>
      </c>
      <c r="J98" s="9" t="s">
        <v>412</v>
      </c>
      <c r="K98" s="9" t="s">
        <v>604</v>
      </c>
    </row>
    <row r="99" spans="1:11" ht="28.8">
      <c r="A99" s="9" t="s">
        <v>671</v>
      </c>
      <c r="B99" s="9" t="s">
        <v>653</v>
      </c>
      <c r="C99" s="9" t="s">
        <v>656</v>
      </c>
      <c r="D99" s="12">
        <v>6.54E-2</v>
      </c>
      <c r="E99" s="12">
        <v>-0.09</v>
      </c>
      <c r="F99" s="12">
        <v>-0.70689999999999997</v>
      </c>
      <c r="G99" s="12">
        <v>-1.2299999999999998E-2</v>
      </c>
      <c r="H99" s="12">
        <v>-0.24379999999999999</v>
      </c>
      <c r="I99" s="12">
        <v>0.28739999999999999</v>
      </c>
      <c r="J99" s="9" t="s">
        <v>412</v>
      </c>
      <c r="K99" s="9" t="s">
        <v>604</v>
      </c>
    </row>
    <row r="100" spans="1:11" ht="28.8">
      <c r="A100" s="9" t="s">
        <v>661</v>
      </c>
      <c r="B100" s="9" t="s">
        <v>613</v>
      </c>
      <c r="C100" s="9" t="s">
        <v>656</v>
      </c>
      <c r="D100" s="12">
        <v>0.32640000000000002</v>
      </c>
      <c r="E100" s="12">
        <v>3.3000000000000002E-2</v>
      </c>
      <c r="F100" s="12">
        <v>0.498</v>
      </c>
      <c r="G100" s="12">
        <v>0.17970000000000003</v>
      </c>
      <c r="H100" s="12">
        <v>0.2858</v>
      </c>
      <c r="I100" s="12">
        <v>0.2858</v>
      </c>
      <c r="J100" s="9" t="s">
        <v>412</v>
      </c>
      <c r="K100" s="9" t="s">
        <v>654</v>
      </c>
    </row>
    <row r="101" spans="1:11" ht="28.8">
      <c r="A101" s="9" t="s">
        <v>603</v>
      </c>
      <c r="B101" s="9" t="s">
        <v>657</v>
      </c>
      <c r="C101" s="9" t="s">
        <v>667</v>
      </c>
      <c r="D101" s="12">
        <v>-6.3299999999999995E-2</v>
      </c>
      <c r="E101" s="12">
        <v>0.45229999999999998</v>
      </c>
      <c r="F101" s="12">
        <v>-0.3402</v>
      </c>
      <c r="G101" s="12">
        <v>0.19450000000000001</v>
      </c>
      <c r="H101" s="12">
        <v>1.6299999999999999E-2</v>
      </c>
      <c r="I101" s="12">
        <v>0.28520000000000001</v>
      </c>
      <c r="J101" s="9" t="s">
        <v>412</v>
      </c>
      <c r="K101" s="9" t="s">
        <v>604</v>
      </c>
    </row>
    <row r="102" spans="1:11" ht="28.8">
      <c r="A102" s="9" t="s">
        <v>603</v>
      </c>
      <c r="B102" s="9" t="s">
        <v>672</v>
      </c>
      <c r="C102" s="9" t="s">
        <v>601</v>
      </c>
      <c r="D102" s="12">
        <v>0.45390000000000003</v>
      </c>
      <c r="E102" s="12">
        <v>-0.21229999999999999</v>
      </c>
      <c r="F102" s="12">
        <v>-0.187</v>
      </c>
      <c r="G102" s="12">
        <v>0.12080000000000002</v>
      </c>
      <c r="H102" s="12">
        <v>1.8200000000000001E-2</v>
      </c>
      <c r="I102" s="12">
        <v>0.28439999999999999</v>
      </c>
      <c r="J102" s="9" t="s">
        <v>412</v>
      </c>
      <c r="K102" s="9" t="s">
        <v>604</v>
      </c>
    </row>
    <row r="103" spans="1:11" ht="28.8">
      <c r="A103" s="9" t="s">
        <v>603</v>
      </c>
      <c r="B103" s="9" t="s">
        <v>669</v>
      </c>
      <c r="C103" s="9" t="s">
        <v>656</v>
      </c>
      <c r="D103" s="12">
        <v>-0.41320000000000001</v>
      </c>
      <c r="E103" s="12">
        <v>-0.2472</v>
      </c>
      <c r="F103" s="12">
        <v>0.1903</v>
      </c>
      <c r="G103" s="12">
        <v>-0.33019999999999999</v>
      </c>
      <c r="H103" s="12">
        <v>-0.15670000000000001</v>
      </c>
      <c r="I103" s="12">
        <v>0.28360000000000002</v>
      </c>
      <c r="J103" s="9" t="s">
        <v>412</v>
      </c>
      <c r="K103" s="9" t="s">
        <v>604</v>
      </c>
    </row>
    <row r="104" spans="1:11" ht="28.8">
      <c r="A104" s="9" t="s">
        <v>671</v>
      </c>
      <c r="B104" s="9" t="s">
        <v>657</v>
      </c>
      <c r="C104" s="9" t="s">
        <v>655</v>
      </c>
      <c r="D104" s="12">
        <v>0.1215</v>
      </c>
      <c r="E104" s="12">
        <v>-0.1326</v>
      </c>
      <c r="F104" s="12">
        <v>-0.59499999999999997</v>
      </c>
      <c r="G104" s="12">
        <v>-5.5499999999999994E-3</v>
      </c>
      <c r="H104" s="12">
        <v>-0.2021</v>
      </c>
      <c r="I104" s="12">
        <v>0.28299999999999997</v>
      </c>
      <c r="J104" s="9" t="s">
        <v>412</v>
      </c>
      <c r="K104" s="9" t="s">
        <v>604</v>
      </c>
    </row>
    <row r="105" spans="1:11" ht="28.8">
      <c r="A105" s="9" t="s">
        <v>661</v>
      </c>
      <c r="B105" s="9" t="s">
        <v>672</v>
      </c>
      <c r="C105" s="9" t="s">
        <v>670</v>
      </c>
      <c r="D105" s="12">
        <v>-0.29680000000000001</v>
      </c>
      <c r="E105" s="12">
        <v>0.30880000000000002</v>
      </c>
      <c r="F105" s="12">
        <v>-0.24260000000000001</v>
      </c>
      <c r="G105" s="12">
        <v>6.0000000000000053E-3</v>
      </c>
      <c r="H105" s="12">
        <v>-7.6799999999999993E-2</v>
      </c>
      <c r="I105" s="12">
        <v>0.28270000000000001</v>
      </c>
      <c r="J105" s="9" t="s">
        <v>412</v>
      </c>
      <c r="K105" s="9" t="s">
        <v>604</v>
      </c>
    </row>
    <row r="106" spans="1:11" ht="28.8">
      <c r="A106" s="9" t="s">
        <v>610</v>
      </c>
      <c r="B106" s="9" t="s">
        <v>653</v>
      </c>
      <c r="C106" s="9" t="s">
        <v>601</v>
      </c>
      <c r="D106" s="12">
        <v>8.48E-2</v>
      </c>
      <c r="E106" s="12">
        <v>-1.9800000000000002E-2</v>
      </c>
      <c r="F106" s="12">
        <v>0.7429</v>
      </c>
      <c r="G106" s="12">
        <v>3.2500000000000001E-2</v>
      </c>
      <c r="H106" s="12">
        <v>0.26929999999999998</v>
      </c>
      <c r="I106" s="12">
        <v>0.28249999999999997</v>
      </c>
      <c r="J106" s="9" t="s">
        <v>412</v>
      </c>
      <c r="K106" s="9" t="s">
        <v>604</v>
      </c>
    </row>
    <row r="107" spans="1:11" ht="28.8">
      <c r="A107" s="9" t="s">
        <v>661</v>
      </c>
      <c r="B107" s="9" t="s">
        <v>660</v>
      </c>
      <c r="C107" s="9" t="s">
        <v>655</v>
      </c>
      <c r="D107" s="12">
        <v>0.17599999999999999</v>
      </c>
      <c r="E107" s="12">
        <v>-0.21290000000000001</v>
      </c>
      <c r="F107" s="12">
        <v>-0.45660000000000001</v>
      </c>
      <c r="G107" s="12">
        <v>-1.8450000000000008E-2</v>
      </c>
      <c r="H107" s="12">
        <v>-0.16450000000000001</v>
      </c>
      <c r="I107" s="12">
        <v>0.28179999999999999</v>
      </c>
      <c r="J107" s="9" t="s">
        <v>412</v>
      </c>
      <c r="K107" s="9" t="s">
        <v>604</v>
      </c>
    </row>
    <row r="108" spans="1:11" ht="28.8">
      <c r="A108" s="9" t="s">
        <v>603</v>
      </c>
      <c r="B108" s="9" t="s">
        <v>678</v>
      </c>
      <c r="C108" s="9" t="s">
        <v>601</v>
      </c>
      <c r="D108" s="12">
        <v>0.45390000000000003</v>
      </c>
      <c r="E108" s="12">
        <v>0.17549999999999999</v>
      </c>
      <c r="F108" s="12">
        <v>0.2079</v>
      </c>
      <c r="G108" s="12">
        <v>0.31469999999999998</v>
      </c>
      <c r="H108" s="12">
        <v>0.27910000000000001</v>
      </c>
      <c r="I108" s="12">
        <v>0.27910000000000001</v>
      </c>
      <c r="J108" s="9" t="s">
        <v>412</v>
      </c>
      <c r="K108" s="9" t="s">
        <v>654</v>
      </c>
    </row>
    <row r="109" spans="1:11">
      <c r="A109" s="9" t="s">
        <v>682</v>
      </c>
      <c r="B109" s="9" t="s">
        <v>653</v>
      </c>
      <c r="C109" s="9" t="s">
        <v>655</v>
      </c>
      <c r="D109" s="12">
        <v>7.3099999999999998E-2</v>
      </c>
      <c r="E109" s="12">
        <v>-4.8099999999999997E-2</v>
      </c>
      <c r="F109" s="12">
        <v>-0.71020000000000005</v>
      </c>
      <c r="G109" s="12">
        <v>1.2500000000000001E-2</v>
      </c>
      <c r="H109" s="12">
        <v>-0.22839999999999999</v>
      </c>
      <c r="I109" s="12">
        <v>0.27710000000000001</v>
      </c>
      <c r="J109" s="9" t="s">
        <v>412</v>
      </c>
      <c r="K109" s="9" t="s">
        <v>604</v>
      </c>
    </row>
    <row r="110" spans="1:11" ht="28.8">
      <c r="A110" s="9" t="s">
        <v>679</v>
      </c>
      <c r="B110" s="9" t="s">
        <v>657</v>
      </c>
      <c r="C110" s="9" t="s">
        <v>655</v>
      </c>
      <c r="D110" s="12">
        <v>9.4500000000000001E-2</v>
      </c>
      <c r="E110" s="12">
        <v>0.14180000000000001</v>
      </c>
      <c r="F110" s="12">
        <v>-0.59499999999999997</v>
      </c>
      <c r="G110" s="12">
        <v>0.11815000000000001</v>
      </c>
      <c r="H110" s="12">
        <v>-0.1196</v>
      </c>
      <c r="I110" s="12">
        <v>0.27710000000000001</v>
      </c>
      <c r="J110" s="9" t="s">
        <v>412</v>
      </c>
      <c r="K110" s="9" t="s">
        <v>604</v>
      </c>
    </row>
    <row r="111" spans="1:11">
      <c r="A111" s="9" t="s">
        <v>662</v>
      </c>
      <c r="B111" s="9" t="s">
        <v>657</v>
      </c>
      <c r="C111" s="9" t="s">
        <v>656</v>
      </c>
      <c r="D111" s="12">
        <v>0.26229999999999998</v>
      </c>
      <c r="E111" s="12">
        <v>4.3299999999999998E-2</v>
      </c>
      <c r="F111" s="12">
        <v>-0.52270000000000005</v>
      </c>
      <c r="G111" s="12">
        <v>0.15279999999999999</v>
      </c>
      <c r="H111" s="12">
        <v>-7.2400000000000006E-2</v>
      </c>
      <c r="I111" s="12">
        <v>0.27610000000000001</v>
      </c>
      <c r="J111" s="9" t="s">
        <v>412</v>
      </c>
      <c r="K111" s="9" t="s">
        <v>604</v>
      </c>
    </row>
    <row r="112" spans="1:11" ht="28.8">
      <c r="A112" s="9" t="s">
        <v>661</v>
      </c>
      <c r="B112" s="9" t="s">
        <v>653</v>
      </c>
      <c r="C112" s="9" t="s">
        <v>666</v>
      </c>
      <c r="D112" s="12">
        <v>0.2175</v>
      </c>
      <c r="E112" s="12">
        <v>-0.21010000000000001</v>
      </c>
      <c r="F112" s="12">
        <v>-0.40060000000000001</v>
      </c>
      <c r="G112" s="12">
        <v>3.699999999999995E-3</v>
      </c>
      <c r="H112" s="12">
        <v>-0.13109999999999999</v>
      </c>
      <c r="I112" s="12">
        <v>0.27600000000000002</v>
      </c>
      <c r="J112" s="9" t="s">
        <v>412</v>
      </c>
      <c r="K112" s="9" t="s">
        <v>604</v>
      </c>
    </row>
    <row r="113" spans="1:11" ht="28.8">
      <c r="A113" s="9" t="s">
        <v>603</v>
      </c>
      <c r="B113" s="9" t="s">
        <v>681</v>
      </c>
      <c r="C113" s="9" t="s">
        <v>601</v>
      </c>
      <c r="D113" s="12">
        <v>0.45390000000000003</v>
      </c>
      <c r="E113" s="12">
        <v>-0.19009999999999999</v>
      </c>
      <c r="F113" s="12">
        <v>-0.18310000000000001</v>
      </c>
      <c r="G113" s="12">
        <v>0.13190000000000002</v>
      </c>
      <c r="H113" s="12">
        <v>2.69E-2</v>
      </c>
      <c r="I113" s="12">
        <v>0.2757</v>
      </c>
      <c r="J113" s="9" t="s">
        <v>412</v>
      </c>
      <c r="K113" s="9" t="s">
        <v>604</v>
      </c>
    </row>
    <row r="114" spans="1:11">
      <c r="A114" s="9" t="s">
        <v>610</v>
      </c>
      <c r="B114" s="9" t="s">
        <v>653</v>
      </c>
      <c r="C114" s="9" t="s">
        <v>655</v>
      </c>
      <c r="D114" s="12">
        <v>-9.4E-2</v>
      </c>
      <c r="E114" s="12">
        <v>-1.9800000000000002E-2</v>
      </c>
      <c r="F114" s="12">
        <v>-0.71020000000000005</v>
      </c>
      <c r="G114" s="12">
        <v>-5.6899999999999999E-2</v>
      </c>
      <c r="H114" s="12">
        <v>-0.2747</v>
      </c>
      <c r="I114" s="12">
        <v>0.2747</v>
      </c>
      <c r="J114" s="9" t="s">
        <v>412</v>
      </c>
      <c r="K114" s="9" t="s">
        <v>604</v>
      </c>
    </row>
    <row r="115" spans="1:11" ht="28.8">
      <c r="A115" s="9" t="s">
        <v>682</v>
      </c>
      <c r="B115" s="9" t="s">
        <v>653</v>
      </c>
      <c r="C115" s="9" t="s">
        <v>601</v>
      </c>
      <c r="D115" s="12">
        <v>-3.2099999999999997E-2</v>
      </c>
      <c r="E115" s="12">
        <v>-4.8099999999999997E-2</v>
      </c>
      <c r="F115" s="12">
        <v>0.7429</v>
      </c>
      <c r="G115" s="12">
        <v>-4.0099999999999997E-2</v>
      </c>
      <c r="H115" s="12">
        <v>0.22090000000000001</v>
      </c>
      <c r="I115" s="12">
        <v>0.27439999999999998</v>
      </c>
      <c r="J115" s="9" t="s">
        <v>412</v>
      </c>
      <c r="K115" s="9" t="s">
        <v>604</v>
      </c>
    </row>
    <row r="116" spans="1:11">
      <c r="A116" s="9" t="s">
        <v>662</v>
      </c>
      <c r="B116" s="9" t="s">
        <v>613</v>
      </c>
      <c r="C116" s="9" t="s">
        <v>656</v>
      </c>
      <c r="D116" s="12">
        <v>0.26229999999999998</v>
      </c>
      <c r="E116" s="12">
        <v>6.2399999999999997E-2</v>
      </c>
      <c r="F116" s="12">
        <v>0.498</v>
      </c>
      <c r="G116" s="12">
        <v>0.16234999999999999</v>
      </c>
      <c r="H116" s="12">
        <v>0.27429999999999999</v>
      </c>
      <c r="I116" s="12">
        <v>0.27429999999999999</v>
      </c>
      <c r="J116" s="9" t="s">
        <v>412</v>
      </c>
      <c r="K116" s="9" t="s">
        <v>654</v>
      </c>
    </row>
    <row r="117" spans="1:11" ht="28.8">
      <c r="A117" s="9" t="s">
        <v>603</v>
      </c>
      <c r="B117" s="9" t="s">
        <v>613</v>
      </c>
      <c r="C117" s="9" t="s">
        <v>670</v>
      </c>
      <c r="D117" s="12">
        <v>0.28070000000000001</v>
      </c>
      <c r="E117" s="12">
        <v>-0.35630000000000001</v>
      </c>
      <c r="F117" s="12">
        <v>-0.1827</v>
      </c>
      <c r="G117" s="12">
        <v>-3.78E-2</v>
      </c>
      <c r="H117" s="12">
        <v>-8.6099999999999996E-2</v>
      </c>
      <c r="I117" s="12">
        <v>0.27329999999999999</v>
      </c>
      <c r="J117" s="9" t="s">
        <v>412</v>
      </c>
      <c r="K117" s="9" t="s">
        <v>604</v>
      </c>
    </row>
    <row r="118" spans="1:11" ht="28.8">
      <c r="A118" s="9" t="s">
        <v>603</v>
      </c>
      <c r="B118" s="9" t="s">
        <v>657</v>
      </c>
      <c r="C118" s="9" t="s">
        <v>677</v>
      </c>
      <c r="D118" s="12">
        <v>0.14069999999999999</v>
      </c>
      <c r="E118" s="12">
        <v>0.45229999999999998</v>
      </c>
      <c r="F118" s="12">
        <v>0.2248</v>
      </c>
      <c r="G118" s="12">
        <v>0.29649999999999999</v>
      </c>
      <c r="H118" s="12">
        <v>0.27260000000000001</v>
      </c>
      <c r="I118" s="12">
        <v>0.27260000000000001</v>
      </c>
      <c r="J118" s="9" t="s">
        <v>412</v>
      </c>
      <c r="K118" s="9" t="s">
        <v>654</v>
      </c>
    </row>
    <row r="119" spans="1:11" ht="28.8">
      <c r="A119" s="9" t="s">
        <v>671</v>
      </c>
      <c r="B119" s="9" t="s">
        <v>657</v>
      </c>
      <c r="C119" s="9" t="s">
        <v>601</v>
      </c>
      <c r="D119" s="12">
        <v>-0.10879999999999999</v>
      </c>
      <c r="E119" s="12">
        <v>-0.1326</v>
      </c>
      <c r="F119" s="12">
        <v>0.57169999999999999</v>
      </c>
      <c r="G119" s="12">
        <v>-0.1207</v>
      </c>
      <c r="H119" s="12">
        <v>0.1101</v>
      </c>
      <c r="I119" s="12">
        <v>0.27100000000000002</v>
      </c>
      <c r="J119" s="9" t="s">
        <v>412</v>
      </c>
      <c r="K119" s="9" t="s">
        <v>604</v>
      </c>
    </row>
    <row r="120" spans="1:11" ht="28.8">
      <c r="A120" s="9" t="s">
        <v>603</v>
      </c>
      <c r="B120" s="9" t="s">
        <v>660</v>
      </c>
      <c r="C120" s="9" t="s">
        <v>675</v>
      </c>
      <c r="D120" s="12">
        <v>-0.18360000000000001</v>
      </c>
      <c r="E120" s="12">
        <v>0.40089999999999998</v>
      </c>
      <c r="F120" s="12">
        <v>-0.22600000000000001</v>
      </c>
      <c r="G120" s="12">
        <v>0.10864999999999998</v>
      </c>
      <c r="H120" s="12">
        <v>-2.8999999999999998E-3</v>
      </c>
      <c r="I120" s="12">
        <v>0.2702</v>
      </c>
      <c r="J120" s="9" t="s">
        <v>412</v>
      </c>
      <c r="K120" s="9" t="s">
        <v>604</v>
      </c>
    </row>
    <row r="121" spans="1:11" ht="28.8">
      <c r="A121" s="9" t="s">
        <v>661</v>
      </c>
      <c r="B121" s="9" t="s">
        <v>676</v>
      </c>
      <c r="C121" s="9" t="s">
        <v>656</v>
      </c>
      <c r="D121" s="12">
        <v>0.32640000000000002</v>
      </c>
      <c r="E121" s="12">
        <v>0.33629999999999999</v>
      </c>
      <c r="F121" s="12">
        <v>0.14560000000000001</v>
      </c>
      <c r="G121" s="12">
        <v>0.33135000000000003</v>
      </c>
      <c r="H121" s="12">
        <v>0.26939999999999997</v>
      </c>
      <c r="I121" s="12">
        <v>0.26939999999999997</v>
      </c>
      <c r="J121" s="9" t="s">
        <v>412</v>
      </c>
      <c r="K121" s="9" t="s">
        <v>654</v>
      </c>
    </row>
    <row r="122" spans="1:11">
      <c r="A122" s="9" t="s">
        <v>610</v>
      </c>
      <c r="B122" s="9" t="s">
        <v>657</v>
      </c>
      <c r="C122" s="9" t="s">
        <v>655</v>
      </c>
      <c r="D122" s="12">
        <v>-9.4E-2</v>
      </c>
      <c r="E122" s="12">
        <v>-0.1171</v>
      </c>
      <c r="F122" s="12">
        <v>-0.59499999999999997</v>
      </c>
      <c r="G122" s="12">
        <v>-0.10555</v>
      </c>
      <c r="H122" s="12">
        <v>-0.26869999999999999</v>
      </c>
      <c r="I122" s="12">
        <v>0.26869999999999999</v>
      </c>
      <c r="J122" s="9" t="s">
        <v>412</v>
      </c>
      <c r="K122" s="9" t="s">
        <v>604</v>
      </c>
    </row>
    <row r="123" spans="1:11" ht="28.8">
      <c r="A123" s="9" t="s">
        <v>603</v>
      </c>
      <c r="B123" s="9" t="s">
        <v>602</v>
      </c>
      <c r="C123" s="9" t="s">
        <v>656</v>
      </c>
      <c r="D123" s="12">
        <v>-0.41320000000000001</v>
      </c>
      <c r="E123" s="12">
        <v>3.5099999999999999E-2</v>
      </c>
      <c r="F123" s="12">
        <v>0.35680000000000001</v>
      </c>
      <c r="G123" s="12">
        <v>-0.18905</v>
      </c>
      <c r="H123" s="12">
        <v>-7.1000000000000004E-3</v>
      </c>
      <c r="I123" s="12">
        <v>0.26840000000000003</v>
      </c>
      <c r="J123" s="9" t="s">
        <v>412</v>
      </c>
      <c r="K123" s="9" t="s">
        <v>604</v>
      </c>
    </row>
    <row r="124" spans="1:11" ht="28.8">
      <c r="A124" s="9" t="s">
        <v>661</v>
      </c>
      <c r="B124" s="9" t="s">
        <v>657</v>
      </c>
      <c r="C124" s="9" t="s">
        <v>670</v>
      </c>
      <c r="D124" s="12">
        <v>-0.29680000000000001</v>
      </c>
      <c r="E124" s="12">
        <v>-0.2077</v>
      </c>
      <c r="F124" s="12">
        <v>0.30049999999999999</v>
      </c>
      <c r="G124" s="12">
        <v>-0.25224999999999997</v>
      </c>
      <c r="H124" s="12">
        <v>-6.8000000000000005E-2</v>
      </c>
      <c r="I124" s="12">
        <v>0.26829999999999998</v>
      </c>
      <c r="J124" s="9" t="s">
        <v>412</v>
      </c>
      <c r="K124" s="9" t="s">
        <v>604</v>
      </c>
    </row>
    <row r="125" spans="1:11" ht="28.8">
      <c r="A125" s="9" t="s">
        <v>609</v>
      </c>
      <c r="B125" s="9" t="s">
        <v>613</v>
      </c>
      <c r="C125" s="9" t="s">
        <v>683</v>
      </c>
      <c r="D125" s="12">
        <v>-0.105</v>
      </c>
      <c r="E125" s="12">
        <v>0.4844</v>
      </c>
      <c r="F125" s="12">
        <v>-0.21</v>
      </c>
      <c r="G125" s="12">
        <v>0.18970000000000001</v>
      </c>
      <c r="H125" s="12">
        <v>5.6500000000000002E-2</v>
      </c>
      <c r="I125" s="12">
        <v>0.26640000000000003</v>
      </c>
      <c r="J125" s="9" t="s">
        <v>412</v>
      </c>
      <c r="K125" s="9" t="s">
        <v>604</v>
      </c>
    </row>
    <row r="126" spans="1:11" ht="28.8">
      <c r="A126" s="9" t="s">
        <v>603</v>
      </c>
      <c r="B126" s="9" t="s">
        <v>669</v>
      </c>
      <c r="C126" s="9" t="s">
        <v>666</v>
      </c>
      <c r="D126" s="12">
        <v>-0.26</v>
      </c>
      <c r="E126" s="12">
        <v>-0.2472</v>
      </c>
      <c r="F126" s="12">
        <v>0.2913</v>
      </c>
      <c r="G126" s="12">
        <v>-0.25359999999999999</v>
      </c>
      <c r="H126" s="12">
        <v>-7.1999999999999995E-2</v>
      </c>
      <c r="I126" s="12">
        <v>0.26619999999999999</v>
      </c>
      <c r="J126" s="9" t="s">
        <v>412</v>
      </c>
      <c r="K126" s="9" t="s">
        <v>604</v>
      </c>
    </row>
    <row r="127" spans="1:11" ht="28.8">
      <c r="A127" s="9" t="s">
        <v>679</v>
      </c>
      <c r="B127" s="9" t="s">
        <v>657</v>
      </c>
      <c r="C127" s="9" t="s">
        <v>601</v>
      </c>
      <c r="D127" s="12">
        <v>-8.3900000000000002E-2</v>
      </c>
      <c r="E127" s="12">
        <v>0.14180000000000001</v>
      </c>
      <c r="F127" s="12">
        <v>0.57169999999999999</v>
      </c>
      <c r="G127" s="12">
        <v>2.8950000000000004E-2</v>
      </c>
      <c r="H127" s="12">
        <v>0.2099</v>
      </c>
      <c r="I127" s="12">
        <v>0.26579999999999998</v>
      </c>
      <c r="J127" s="9" t="s">
        <v>412</v>
      </c>
      <c r="K127" s="9" t="s">
        <v>604</v>
      </c>
    </row>
    <row r="128" spans="1:11" ht="28.8">
      <c r="A128" s="9" t="s">
        <v>603</v>
      </c>
      <c r="B128" s="9" t="s">
        <v>665</v>
      </c>
      <c r="C128" s="9" t="s">
        <v>670</v>
      </c>
      <c r="D128" s="12">
        <v>0.28070000000000001</v>
      </c>
      <c r="E128" s="12">
        <v>-0.32069999999999999</v>
      </c>
      <c r="F128" s="12">
        <v>-0.1948</v>
      </c>
      <c r="G128" s="12">
        <v>-1.999999999999999E-2</v>
      </c>
      <c r="H128" s="12">
        <v>-7.8299999999999995E-2</v>
      </c>
      <c r="I128" s="12">
        <v>0.26540000000000002</v>
      </c>
      <c r="J128" s="9" t="s">
        <v>412</v>
      </c>
      <c r="K128" s="9" t="s">
        <v>604</v>
      </c>
    </row>
    <row r="129" spans="1:11">
      <c r="A129" s="9" t="s">
        <v>609</v>
      </c>
      <c r="B129" s="9" t="s">
        <v>602</v>
      </c>
      <c r="C129" s="9" t="s">
        <v>667</v>
      </c>
      <c r="D129" s="12">
        <v>0.33360000000000001</v>
      </c>
      <c r="E129" s="12">
        <v>-0.2089</v>
      </c>
      <c r="F129" s="12">
        <v>0.25119999999999998</v>
      </c>
      <c r="G129" s="12">
        <v>6.2350000000000003E-2</v>
      </c>
      <c r="H129" s="12">
        <v>0.12529999999999999</v>
      </c>
      <c r="I129" s="12">
        <v>0.2646</v>
      </c>
      <c r="J129" s="9" t="s">
        <v>412</v>
      </c>
      <c r="K129" s="9" t="s">
        <v>604</v>
      </c>
    </row>
    <row r="130" spans="1:11">
      <c r="A130" s="9" t="s">
        <v>609</v>
      </c>
      <c r="B130" s="9" t="s">
        <v>602</v>
      </c>
      <c r="C130" s="9" t="s">
        <v>656</v>
      </c>
      <c r="D130" s="12">
        <v>0.22770000000000001</v>
      </c>
      <c r="E130" s="12">
        <v>-0.2089</v>
      </c>
      <c r="F130" s="12">
        <v>0.35680000000000001</v>
      </c>
      <c r="G130" s="12">
        <v>9.4000000000000056E-3</v>
      </c>
      <c r="H130" s="12">
        <v>0.12520000000000001</v>
      </c>
      <c r="I130" s="12">
        <v>0.26450000000000001</v>
      </c>
      <c r="J130" s="9" t="s">
        <v>412</v>
      </c>
      <c r="K130" s="9" t="s">
        <v>604</v>
      </c>
    </row>
    <row r="131" spans="1:11">
      <c r="A131" s="9" t="s">
        <v>610</v>
      </c>
      <c r="B131" s="9" t="s">
        <v>653</v>
      </c>
      <c r="C131" s="9" t="s">
        <v>656</v>
      </c>
      <c r="D131" s="12">
        <v>6.5699999999999995E-2</v>
      </c>
      <c r="E131" s="12">
        <v>-1.9800000000000002E-2</v>
      </c>
      <c r="F131" s="12">
        <v>-0.70689999999999997</v>
      </c>
      <c r="G131" s="12">
        <v>2.2949999999999998E-2</v>
      </c>
      <c r="H131" s="12">
        <v>-0.2203</v>
      </c>
      <c r="I131" s="12">
        <v>0.26419999999999999</v>
      </c>
      <c r="J131" s="9" t="s">
        <v>412</v>
      </c>
      <c r="K131" s="9" t="s">
        <v>604</v>
      </c>
    </row>
    <row r="132" spans="1:11" ht="28.8">
      <c r="A132" s="9" t="s">
        <v>679</v>
      </c>
      <c r="B132" s="9" t="s">
        <v>653</v>
      </c>
      <c r="C132" s="9" t="s">
        <v>656</v>
      </c>
      <c r="D132" s="12">
        <v>-2.2700000000000001E-2</v>
      </c>
      <c r="E132" s="12">
        <v>6.2700000000000006E-2</v>
      </c>
      <c r="F132" s="12">
        <v>-0.70689999999999997</v>
      </c>
      <c r="G132" s="12">
        <v>2.0000000000000004E-2</v>
      </c>
      <c r="H132" s="12">
        <v>-0.2223</v>
      </c>
      <c r="I132" s="12">
        <v>0.2641</v>
      </c>
      <c r="J132" s="9" t="s">
        <v>412</v>
      </c>
      <c r="K132" s="9" t="s">
        <v>604</v>
      </c>
    </row>
    <row r="133" spans="1:11">
      <c r="A133" s="9" t="s">
        <v>610</v>
      </c>
      <c r="B133" s="9" t="s">
        <v>658</v>
      </c>
      <c r="C133" s="9" t="s">
        <v>663</v>
      </c>
      <c r="D133" s="12">
        <v>-0.2303</v>
      </c>
      <c r="E133" s="12">
        <v>-0.1421</v>
      </c>
      <c r="F133" s="12">
        <v>0.41449999999999998</v>
      </c>
      <c r="G133" s="12">
        <v>-0.1862</v>
      </c>
      <c r="H133" s="12">
        <v>1.41E-2</v>
      </c>
      <c r="I133" s="12">
        <v>0.26229999999999998</v>
      </c>
      <c r="J133" s="9" t="s">
        <v>412</v>
      </c>
      <c r="K133" s="9" t="s">
        <v>604</v>
      </c>
    </row>
    <row r="134" spans="1:11" ht="28.8">
      <c r="A134" s="9" t="s">
        <v>609</v>
      </c>
      <c r="B134" s="9" t="s">
        <v>602</v>
      </c>
      <c r="C134" s="9" t="s">
        <v>601</v>
      </c>
      <c r="D134" s="12">
        <v>-0.1671</v>
      </c>
      <c r="E134" s="12">
        <v>-0.2089</v>
      </c>
      <c r="F134" s="12">
        <v>-0.41089999999999999</v>
      </c>
      <c r="G134" s="12">
        <v>-0.188</v>
      </c>
      <c r="H134" s="12">
        <v>-0.26229999999999998</v>
      </c>
      <c r="I134" s="12">
        <v>0.26229999999999998</v>
      </c>
      <c r="J134" s="9" t="s">
        <v>412</v>
      </c>
      <c r="K134" s="9" t="s">
        <v>604</v>
      </c>
    </row>
    <row r="135" spans="1:11" ht="28.8">
      <c r="A135" s="9" t="s">
        <v>671</v>
      </c>
      <c r="B135" s="9" t="s">
        <v>658</v>
      </c>
      <c r="C135" s="9" t="s">
        <v>670</v>
      </c>
      <c r="D135" s="12">
        <v>-0.32890000000000003</v>
      </c>
      <c r="E135" s="12">
        <v>0.18609999999999999</v>
      </c>
      <c r="F135" s="12">
        <v>-0.27050000000000002</v>
      </c>
      <c r="G135" s="12">
        <v>-7.1400000000000019E-2</v>
      </c>
      <c r="H135" s="12">
        <v>-0.13780000000000001</v>
      </c>
      <c r="I135" s="12">
        <v>0.26179999999999998</v>
      </c>
      <c r="J135" s="9" t="s">
        <v>412</v>
      </c>
      <c r="K135" s="9" t="s">
        <v>604</v>
      </c>
    </row>
    <row r="136" spans="1:11" ht="28.8">
      <c r="A136" s="9" t="s">
        <v>671</v>
      </c>
      <c r="B136" s="9" t="s">
        <v>658</v>
      </c>
      <c r="C136" s="9" t="s">
        <v>655</v>
      </c>
      <c r="D136" s="12">
        <v>0.1215</v>
      </c>
      <c r="E136" s="12">
        <v>0.18609999999999999</v>
      </c>
      <c r="F136" s="12">
        <v>0.4758</v>
      </c>
      <c r="G136" s="12">
        <v>0.15379999999999999</v>
      </c>
      <c r="H136" s="12">
        <v>0.2611</v>
      </c>
      <c r="I136" s="12">
        <v>0.2611</v>
      </c>
      <c r="J136" s="9" t="s">
        <v>412</v>
      </c>
      <c r="K136" s="9" t="s">
        <v>654</v>
      </c>
    </row>
    <row r="137" spans="1:11">
      <c r="A137" s="9" t="s">
        <v>609</v>
      </c>
      <c r="B137" s="9" t="s">
        <v>681</v>
      </c>
      <c r="C137" s="9" t="s">
        <v>659</v>
      </c>
      <c r="D137" s="12">
        <v>0.47620000000000001</v>
      </c>
      <c r="E137" s="12">
        <v>-2E-3</v>
      </c>
      <c r="F137" s="12">
        <v>0.30399999999999999</v>
      </c>
      <c r="G137" s="12">
        <v>0.23710000000000001</v>
      </c>
      <c r="H137" s="12">
        <v>0.25940000000000002</v>
      </c>
      <c r="I137" s="12">
        <v>0.26069999999999999</v>
      </c>
      <c r="J137" s="9" t="s">
        <v>412</v>
      </c>
      <c r="K137" s="9" t="s">
        <v>604</v>
      </c>
    </row>
    <row r="138" spans="1:11" ht="28.8">
      <c r="A138" s="9" t="s">
        <v>603</v>
      </c>
      <c r="B138" s="9" t="s">
        <v>673</v>
      </c>
      <c r="C138" s="9" t="s">
        <v>664</v>
      </c>
      <c r="D138" s="12">
        <v>0.4093</v>
      </c>
      <c r="E138" s="12">
        <v>0.2681</v>
      </c>
      <c r="F138" s="12">
        <v>-0.10340000000000001</v>
      </c>
      <c r="G138" s="12">
        <v>0.3387</v>
      </c>
      <c r="H138" s="12">
        <v>0.1913</v>
      </c>
      <c r="I138" s="12">
        <v>0.26029999999999998</v>
      </c>
      <c r="J138" s="9" t="s">
        <v>412</v>
      </c>
      <c r="K138" s="9" t="s">
        <v>604</v>
      </c>
    </row>
    <row r="139" spans="1:11">
      <c r="A139" s="9" t="s">
        <v>609</v>
      </c>
      <c r="B139" s="9" t="s">
        <v>602</v>
      </c>
      <c r="C139" s="9" t="s">
        <v>655</v>
      </c>
      <c r="D139" s="12">
        <v>0.16819999999999999</v>
      </c>
      <c r="E139" s="12">
        <v>-0.2089</v>
      </c>
      <c r="F139" s="12">
        <v>0.4002</v>
      </c>
      <c r="G139" s="12">
        <v>-2.0350000000000007E-2</v>
      </c>
      <c r="H139" s="12">
        <v>0.1198</v>
      </c>
      <c r="I139" s="12">
        <v>0.2591</v>
      </c>
      <c r="J139" s="9" t="s">
        <v>412</v>
      </c>
      <c r="K139" s="9" t="s">
        <v>604</v>
      </c>
    </row>
    <row r="140" spans="1:11">
      <c r="A140" s="9" t="s">
        <v>682</v>
      </c>
      <c r="B140" s="9" t="s">
        <v>653</v>
      </c>
      <c r="C140" s="9" t="s">
        <v>656</v>
      </c>
      <c r="D140" s="12">
        <v>-1.9900000000000001E-2</v>
      </c>
      <c r="E140" s="12">
        <v>-4.8099999999999997E-2</v>
      </c>
      <c r="F140" s="12">
        <v>-0.70689999999999997</v>
      </c>
      <c r="G140" s="12">
        <v>-3.4000000000000002E-2</v>
      </c>
      <c r="H140" s="12">
        <v>-0.25829999999999997</v>
      </c>
      <c r="I140" s="12">
        <v>0.25829999999999997</v>
      </c>
      <c r="J140" s="9" t="s">
        <v>412</v>
      </c>
      <c r="K140" s="9" t="s">
        <v>604</v>
      </c>
    </row>
    <row r="141" spans="1:11">
      <c r="A141" s="9" t="s">
        <v>682</v>
      </c>
      <c r="B141" s="9" t="s">
        <v>657</v>
      </c>
      <c r="C141" s="9" t="s">
        <v>655</v>
      </c>
      <c r="D141" s="12">
        <v>7.3099999999999998E-2</v>
      </c>
      <c r="E141" s="12">
        <v>-0.1056</v>
      </c>
      <c r="F141" s="12">
        <v>-0.59499999999999997</v>
      </c>
      <c r="G141" s="12">
        <v>-1.6250000000000001E-2</v>
      </c>
      <c r="H141" s="12">
        <v>-0.2092</v>
      </c>
      <c r="I141" s="12">
        <v>0.25790000000000002</v>
      </c>
      <c r="J141" s="9" t="s">
        <v>412</v>
      </c>
      <c r="K141" s="9" t="s">
        <v>604</v>
      </c>
    </row>
    <row r="142" spans="1:11" ht="28.8">
      <c r="A142" s="9" t="s">
        <v>610</v>
      </c>
      <c r="B142" s="9" t="s">
        <v>657</v>
      </c>
      <c r="C142" s="9" t="s">
        <v>601</v>
      </c>
      <c r="D142" s="12">
        <v>8.48E-2</v>
      </c>
      <c r="E142" s="12">
        <v>-0.1171</v>
      </c>
      <c r="F142" s="12">
        <v>0.57169999999999999</v>
      </c>
      <c r="G142" s="12">
        <v>-1.6149999999999998E-2</v>
      </c>
      <c r="H142" s="12">
        <v>0.17979999999999999</v>
      </c>
      <c r="I142" s="12">
        <v>0.25790000000000002</v>
      </c>
      <c r="J142" s="9" t="s">
        <v>412</v>
      </c>
      <c r="K142" s="9" t="s">
        <v>604</v>
      </c>
    </row>
    <row r="143" spans="1:11" ht="28.8">
      <c r="A143" s="9" t="s">
        <v>603</v>
      </c>
      <c r="B143" s="9" t="s">
        <v>653</v>
      </c>
      <c r="C143" s="9" t="s">
        <v>683</v>
      </c>
      <c r="D143" s="12">
        <v>0.17660000000000001</v>
      </c>
      <c r="E143" s="12">
        <v>0.47020000000000001</v>
      </c>
      <c r="F143" s="12">
        <v>0.12620000000000001</v>
      </c>
      <c r="G143" s="12">
        <v>0.32340000000000002</v>
      </c>
      <c r="H143" s="12">
        <v>0.25769999999999998</v>
      </c>
      <c r="I143" s="12">
        <v>0.25769999999999998</v>
      </c>
      <c r="J143" s="9" t="s">
        <v>412</v>
      </c>
      <c r="K143" s="9" t="s">
        <v>654</v>
      </c>
    </row>
    <row r="144" spans="1:11">
      <c r="A144" s="9" t="s">
        <v>609</v>
      </c>
      <c r="B144" s="9" t="s">
        <v>684</v>
      </c>
      <c r="C144" s="9" t="s">
        <v>667</v>
      </c>
      <c r="D144" s="12">
        <v>0.33360000000000001</v>
      </c>
      <c r="E144" s="12">
        <v>-0.19400000000000001</v>
      </c>
      <c r="F144" s="12">
        <v>-0.24479999999999999</v>
      </c>
      <c r="G144" s="12">
        <v>6.9800000000000001E-2</v>
      </c>
      <c r="H144" s="12">
        <v>-3.5099999999999999E-2</v>
      </c>
      <c r="I144" s="12">
        <v>0.25750000000000001</v>
      </c>
      <c r="J144" s="9" t="s">
        <v>412</v>
      </c>
      <c r="K144" s="9" t="s">
        <v>604</v>
      </c>
    </row>
    <row r="145" spans="1:11" ht="28.8">
      <c r="A145" s="9" t="s">
        <v>603</v>
      </c>
      <c r="B145" s="9" t="s">
        <v>680</v>
      </c>
      <c r="C145" s="9" t="s">
        <v>663</v>
      </c>
      <c r="D145" s="12">
        <v>-0.2828</v>
      </c>
      <c r="E145" s="12">
        <v>-4.2000000000000003E-2</v>
      </c>
      <c r="F145" s="12">
        <v>0.44740000000000002</v>
      </c>
      <c r="G145" s="12">
        <v>-0.16239999999999999</v>
      </c>
      <c r="H145" s="12">
        <v>4.0899999999999999E-2</v>
      </c>
      <c r="I145" s="12">
        <v>0.25740000000000002</v>
      </c>
      <c r="J145" s="9" t="s">
        <v>412</v>
      </c>
      <c r="K145" s="9" t="s">
        <v>604</v>
      </c>
    </row>
    <row r="146" spans="1:11" ht="28.8">
      <c r="A146" s="9" t="s">
        <v>662</v>
      </c>
      <c r="B146" s="9" t="s">
        <v>653</v>
      </c>
      <c r="C146" s="9" t="s">
        <v>674</v>
      </c>
      <c r="D146" s="12">
        <v>0.17680000000000001</v>
      </c>
      <c r="E146" s="12">
        <v>-0.2021</v>
      </c>
      <c r="F146" s="12">
        <v>-0.39329999999999998</v>
      </c>
      <c r="G146" s="12">
        <v>-1.2649999999999995E-2</v>
      </c>
      <c r="H146" s="12">
        <v>-0.1396</v>
      </c>
      <c r="I146" s="12">
        <v>0.25740000000000002</v>
      </c>
      <c r="J146" s="9" t="s">
        <v>412</v>
      </c>
      <c r="K146" s="9" t="s">
        <v>604</v>
      </c>
    </row>
    <row r="147" spans="1:11" ht="28.8">
      <c r="A147" s="9" t="s">
        <v>671</v>
      </c>
      <c r="B147" s="9" t="s">
        <v>672</v>
      </c>
      <c r="C147" s="9" t="s">
        <v>663</v>
      </c>
      <c r="D147" s="12">
        <v>9.4399999999999998E-2</v>
      </c>
      <c r="E147" s="12">
        <v>0.44879999999999998</v>
      </c>
      <c r="F147" s="12">
        <v>0.22750000000000001</v>
      </c>
      <c r="G147" s="12">
        <v>0.27160000000000001</v>
      </c>
      <c r="H147" s="12">
        <v>0.25690000000000002</v>
      </c>
      <c r="I147" s="12">
        <v>0.25690000000000002</v>
      </c>
      <c r="J147" s="9" t="s">
        <v>412</v>
      </c>
      <c r="K147" s="9" t="s">
        <v>654</v>
      </c>
    </row>
    <row r="148" spans="1:11" ht="28.8">
      <c r="A148" s="9" t="s">
        <v>603</v>
      </c>
      <c r="B148" s="9" t="s">
        <v>669</v>
      </c>
      <c r="C148" s="9" t="s">
        <v>664</v>
      </c>
      <c r="D148" s="12">
        <v>0.4093</v>
      </c>
      <c r="E148" s="12">
        <v>-0.2472</v>
      </c>
      <c r="F148" s="12">
        <v>-0.1138</v>
      </c>
      <c r="G148" s="12">
        <v>8.1049999999999997E-2</v>
      </c>
      <c r="H148" s="12">
        <v>1.61E-2</v>
      </c>
      <c r="I148" s="12">
        <v>0.25679999999999997</v>
      </c>
      <c r="J148" s="9" t="s">
        <v>412</v>
      </c>
      <c r="K148" s="9" t="s">
        <v>604</v>
      </c>
    </row>
    <row r="149" spans="1:11" ht="28.8">
      <c r="A149" s="9" t="s">
        <v>603</v>
      </c>
      <c r="B149" s="9" t="s">
        <v>657</v>
      </c>
      <c r="C149" s="9" t="s">
        <v>675</v>
      </c>
      <c r="D149" s="12">
        <v>-0.18360000000000001</v>
      </c>
      <c r="E149" s="12">
        <v>0.45229999999999998</v>
      </c>
      <c r="F149" s="12">
        <v>-0.13370000000000001</v>
      </c>
      <c r="G149" s="12">
        <v>0.13434999999999997</v>
      </c>
      <c r="H149" s="12">
        <v>4.4999999999999998E-2</v>
      </c>
      <c r="I149" s="12">
        <v>0.25650000000000001</v>
      </c>
      <c r="J149" s="9" t="s">
        <v>412</v>
      </c>
      <c r="K149" s="9" t="s">
        <v>604</v>
      </c>
    </row>
    <row r="150" spans="1:11" ht="28.8">
      <c r="A150" s="9" t="s">
        <v>610</v>
      </c>
      <c r="B150" s="9" t="s">
        <v>680</v>
      </c>
      <c r="C150" s="9" t="s">
        <v>674</v>
      </c>
      <c r="D150" s="12">
        <v>-0.1986</v>
      </c>
      <c r="E150" s="12">
        <v>-0.1973</v>
      </c>
      <c r="F150" s="12">
        <v>0.37230000000000002</v>
      </c>
      <c r="G150" s="12">
        <v>-0.19795000000000001</v>
      </c>
      <c r="H150" s="12">
        <v>-7.7999999999999996E-3</v>
      </c>
      <c r="I150" s="12">
        <v>0.25609999999999999</v>
      </c>
      <c r="J150" s="9" t="s">
        <v>412</v>
      </c>
      <c r="K150" s="9" t="s">
        <v>604</v>
      </c>
    </row>
    <row r="151" spans="1:11" ht="28.8">
      <c r="A151" s="9" t="s">
        <v>661</v>
      </c>
      <c r="B151" s="9" t="s">
        <v>658</v>
      </c>
      <c r="C151" s="9" t="s">
        <v>601</v>
      </c>
      <c r="D151" s="12">
        <v>-0.2266</v>
      </c>
      <c r="E151" s="12">
        <v>9.5200000000000007E-2</v>
      </c>
      <c r="F151" s="12">
        <v>-0.4405</v>
      </c>
      <c r="G151" s="12">
        <v>-6.5699999999999995E-2</v>
      </c>
      <c r="H151" s="12">
        <v>-0.19059999999999999</v>
      </c>
      <c r="I151" s="12">
        <v>0.25409999999999999</v>
      </c>
      <c r="J151" s="9" t="s">
        <v>412</v>
      </c>
      <c r="K151" s="9" t="s">
        <v>604</v>
      </c>
    </row>
    <row r="152" spans="1:11" ht="28.8">
      <c r="A152" s="9" t="s">
        <v>671</v>
      </c>
      <c r="B152" s="9" t="s">
        <v>657</v>
      </c>
      <c r="C152" s="9" t="s">
        <v>670</v>
      </c>
      <c r="D152" s="12">
        <v>-0.32890000000000003</v>
      </c>
      <c r="E152" s="12">
        <v>-0.1326</v>
      </c>
      <c r="F152" s="12">
        <v>0.30049999999999999</v>
      </c>
      <c r="G152" s="12">
        <v>-0.23075000000000001</v>
      </c>
      <c r="H152" s="12">
        <v>-5.3699999999999998E-2</v>
      </c>
      <c r="I152" s="12">
        <v>0.254</v>
      </c>
      <c r="J152" s="9" t="s">
        <v>412</v>
      </c>
      <c r="K152" s="9" t="s">
        <v>604</v>
      </c>
    </row>
    <row r="153" spans="1:11" ht="28.8">
      <c r="A153" s="9" t="s">
        <v>603</v>
      </c>
      <c r="B153" s="9" t="s">
        <v>665</v>
      </c>
      <c r="C153" s="9" t="s">
        <v>663</v>
      </c>
      <c r="D153" s="12">
        <v>-0.2828</v>
      </c>
      <c r="E153" s="12">
        <v>-0.32069999999999999</v>
      </c>
      <c r="F153" s="12">
        <v>0.158</v>
      </c>
      <c r="G153" s="12">
        <v>-0.30174999999999996</v>
      </c>
      <c r="H153" s="12">
        <v>-0.14849999999999999</v>
      </c>
      <c r="I153" s="12">
        <v>0.25380000000000003</v>
      </c>
      <c r="J153" s="9" t="s">
        <v>412</v>
      </c>
      <c r="K153" s="9" t="s">
        <v>604</v>
      </c>
    </row>
    <row r="154" spans="1:11" ht="28.8">
      <c r="A154" s="9" t="s">
        <v>603</v>
      </c>
      <c r="B154" s="9" t="s">
        <v>673</v>
      </c>
      <c r="C154" s="9" t="s">
        <v>663</v>
      </c>
      <c r="D154" s="12">
        <v>-0.2828</v>
      </c>
      <c r="E154" s="12">
        <v>0.2681</v>
      </c>
      <c r="F154" s="12">
        <v>-0.20910000000000001</v>
      </c>
      <c r="G154" s="12">
        <v>-7.3499999999999954E-3</v>
      </c>
      <c r="H154" s="12">
        <v>-7.46E-2</v>
      </c>
      <c r="I154" s="12">
        <v>0.25330000000000003</v>
      </c>
      <c r="J154" s="9" t="s">
        <v>412</v>
      </c>
      <c r="K154" s="9" t="s">
        <v>604</v>
      </c>
    </row>
    <row r="155" spans="1:11" ht="28.8">
      <c r="A155" s="9" t="s">
        <v>603</v>
      </c>
      <c r="B155" s="9" t="s">
        <v>660</v>
      </c>
      <c r="C155" s="9" t="s">
        <v>677</v>
      </c>
      <c r="D155" s="12">
        <v>0.14069999999999999</v>
      </c>
      <c r="E155" s="12">
        <v>0.40089999999999998</v>
      </c>
      <c r="F155" s="12">
        <v>0.21759999999999999</v>
      </c>
      <c r="G155" s="12">
        <v>0.27079999999999999</v>
      </c>
      <c r="H155" s="12">
        <v>0.25309999999999999</v>
      </c>
      <c r="I155" s="12">
        <v>0.25309999999999999</v>
      </c>
      <c r="J155" s="9" t="s">
        <v>412</v>
      </c>
      <c r="K155" s="9" t="s">
        <v>654</v>
      </c>
    </row>
    <row r="156" spans="1:11">
      <c r="A156" s="9" t="s">
        <v>609</v>
      </c>
      <c r="B156" s="9" t="s">
        <v>653</v>
      </c>
      <c r="C156" s="9" t="s">
        <v>670</v>
      </c>
      <c r="D156" s="12">
        <v>-0.32040000000000002</v>
      </c>
      <c r="E156" s="12">
        <v>-0.2389</v>
      </c>
      <c r="F156" s="12">
        <v>0.19900000000000001</v>
      </c>
      <c r="G156" s="12">
        <v>-0.27965000000000001</v>
      </c>
      <c r="H156" s="12">
        <v>-0.1201</v>
      </c>
      <c r="I156" s="12">
        <v>0.25269999999999998</v>
      </c>
      <c r="J156" s="9" t="s">
        <v>412</v>
      </c>
      <c r="K156" s="9" t="s">
        <v>604</v>
      </c>
    </row>
    <row r="157" spans="1:11" ht="28.8">
      <c r="A157" s="9" t="s">
        <v>603</v>
      </c>
      <c r="B157" s="9" t="s">
        <v>681</v>
      </c>
      <c r="C157" s="9" t="s">
        <v>656</v>
      </c>
      <c r="D157" s="12">
        <v>-0.41320000000000001</v>
      </c>
      <c r="E157" s="12">
        <v>-0.19009999999999999</v>
      </c>
      <c r="F157" s="12">
        <v>0.15409999999999999</v>
      </c>
      <c r="G157" s="12">
        <v>-0.30164999999999997</v>
      </c>
      <c r="H157" s="12">
        <v>-0.14979999999999999</v>
      </c>
      <c r="I157" s="12">
        <v>0.2525</v>
      </c>
      <c r="J157" s="9" t="s">
        <v>412</v>
      </c>
      <c r="K157" s="9" t="s">
        <v>604</v>
      </c>
    </row>
    <row r="158" spans="1:11">
      <c r="A158" s="9" t="s">
        <v>609</v>
      </c>
      <c r="B158" s="9" t="s">
        <v>678</v>
      </c>
      <c r="C158" s="9" t="s">
        <v>659</v>
      </c>
      <c r="D158" s="12">
        <v>0.47620000000000001</v>
      </c>
      <c r="E158" s="12">
        <v>-0.10390000000000001</v>
      </c>
      <c r="F158" s="12">
        <v>-0.1774</v>
      </c>
      <c r="G158" s="12">
        <v>0.18615000000000001</v>
      </c>
      <c r="H158" s="12">
        <v>6.5000000000000002E-2</v>
      </c>
      <c r="I158" s="12">
        <v>0.2525</v>
      </c>
      <c r="J158" s="9" t="s">
        <v>412</v>
      </c>
      <c r="K158" s="9" t="s">
        <v>604</v>
      </c>
    </row>
    <row r="159" spans="1:11" ht="28.8">
      <c r="A159" s="9" t="s">
        <v>603</v>
      </c>
      <c r="B159" s="9" t="s">
        <v>660</v>
      </c>
      <c r="C159" s="9" t="s">
        <v>674</v>
      </c>
      <c r="D159" s="12">
        <v>-0.1212</v>
      </c>
      <c r="E159" s="12">
        <v>0.40089999999999998</v>
      </c>
      <c r="F159" s="12">
        <v>-0.2349</v>
      </c>
      <c r="G159" s="12">
        <v>0.13984999999999997</v>
      </c>
      <c r="H159" s="12">
        <v>1.49E-2</v>
      </c>
      <c r="I159" s="12">
        <v>0.25230000000000002</v>
      </c>
      <c r="J159" s="9" t="s">
        <v>412</v>
      </c>
      <c r="K159" s="9" t="s">
        <v>604</v>
      </c>
    </row>
    <row r="160" spans="1:11" ht="28.8">
      <c r="A160" s="9" t="s">
        <v>671</v>
      </c>
      <c r="B160" s="9" t="s">
        <v>672</v>
      </c>
      <c r="C160" s="9" t="s">
        <v>655</v>
      </c>
      <c r="D160" s="12">
        <v>0.1215</v>
      </c>
      <c r="E160" s="12">
        <v>0.44879999999999998</v>
      </c>
      <c r="F160" s="12">
        <v>0.1862</v>
      </c>
      <c r="G160" s="12">
        <v>0.28515000000000001</v>
      </c>
      <c r="H160" s="12">
        <v>0.25219999999999998</v>
      </c>
      <c r="I160" s="12">
        <v>0.25219999999999998</v>
      </c>
      <c r="J160" s="9" t="s">
        <v>412</v>
      </c>
      <c r="K160" s="9" t="s">
        <v>654</v>
      </c>
    </row>
    <row r="161" spans="1:11" ht="28.8">
      <c r="A161" s="9" t="s">
        <v>661</v>
      </c>
      <c r="B161" s="9" t="s">
        <v>660</v>
      </c>
      <c r="C161" s="9" t="s">
        <v>666</v>
      </c>
      <c r="D161" s="12">
        <v>0.2175</v>
      </c>
      <c r="E161" s="12">
        <v>-0.21290000000000001</v>
      </c>
      <c r="F161" s="12">
        <v>-0.32500000000000001</v>
      </c>
      <c r="G161" s="12">
        <v>2.2999999999999965E-3</v>
      </c>
      <c r="H161" s="12">
        <v>-0.10680000000000001</v>
      </c>
      <c r="I161" s="12">
        <v>0.25180000000000002</v>
      </c>
      <c r="J161" s="9" t="s">
        <v>412</v>
      </c>
      <c r="K161" s="9" t="s">
        <v>604</v>
      </c>
    </row>
    <row r="162" spans="1:11" ht="28.8">
      <c r="A162" s="9" t="s">
        <v>603</v>
      </c>
      <c r="B162" s="9" t="s">
        <v>676</v>
      </c>
      <c r="C162" s="9" t="s">
        <v>655</v>
      </c>
      <c r="D162" s="12">
        <v>-0.47539999999999999</v>
      </c>
      <c r="E162" s="12">
        <v>-0.1002</v>
      </c>
      <c r="F162" s="12">
        <v>0.17549999999999999</v>
      </c>
      <c r="G162" s="12">
        <v>-0.2878</v>
      </c>
      <c r="H162" s="12">
        <v>-0.13339999999999999</v>
      </c>
      <c r="I162" s="12">
        <v>0.25040000000000001</v>
      </c>
      <c r="J162" s="9" t="s">
        <v>412</v>
      </c>
      <c r="K162" s="9" t="s">
        <v>604</v>
      </c>
    </row>
    <row r="163" spans="1:11" ht="28.8">
      <c r="A163" s="9" t="s">
        <v>603</v>
      </c>
      <c r="B163" s="9" t="s">
        <v>680</v>
      </c>
      <c r="C163" s="9" t="s">
        <v>655</v>
      </c>
      <c r="D163" s="12">
        <v>-0.47539999999999999</v>
      </c>
      <c r="E163" s="12">
        <v>-4.2000000000000003E-2</v>
      </c>
      <c r="F163" s="12">
        <v>0.2334</v>
      </c>
      <c r="G163" s="12">
        <v>-0.25869999999999999</v>
      </c>
      <c r="H163" s="12">
        <v>-9.4700000000000006E-2</v>
      </c>
      <c r="I163" s="12">
        <v>0.25019999999999998</v>
      </c>
      <c r="J163" s="9" t="s">
        <v>412</v>
      </c>
      <c r="K163" s="9" t="s">
        <v>604</v>
      </c>
    </row>
    <row r="164" spans="1:11" ht="28.8">
      <c r="A164" s="9" t="s">
        <v>603</v>
      </c>
      <c r="B164" s="9" t="s">
        <v>669</v>
      </c>
      <c r="C164" s="9" t="s">
        <v>675</v>
      </c>
      <c r="D164" s="12">
        <v>-0.18360000000000001</v>
      </c>
      <c r="E164" s="12">
        <v>-0.2472</v>
      </c>
      <c r="F164" s="12">
        <v>0.31819999999999998</v>
      </c>
      <c r="G164" s="12">
        <v>-0.21540000000000001</v>
      </c>
      <c r="H164" s="12">
        <v>-3.7499999999999999E-2</v>
      </c>
      <c r="I164" s="12">
        <v>0.24970000000000001</v>
      </c>
      <c r="J164" s="9" t="s">
        <v>412</v>
      </c>
      <c r="K164" s="9" t="s">
        <v>604</v>
      </c>
    </row>
    <row r="165" spans="1:11" ht="28.8">
      <c r="A165" s="9" t="s">
        <v>661</v>
      </c>
      <c r="B165" s="9" t="s">
        <v>657</v>
      </c>
      <c r="C165" s="9" t="s">
        <v>666</v>
      </c>
      <c r="D165" s="12">
        <v>0.2175</v>
      </c>
      <c r="E165" s="12">
        <v>-0.2077</v>
      </c>
      <c r="F165" s="12">
        <v>-0.32350000000000001</v>
      </c>
      <c r="G165" s="12">
        <v>4.9000000000000016E-3</v>
      </c>
      <c r="H165" s="12">
        <v>-0.1046</v>
      </c>
      <c r="I165" s="12">
        <v>0.24959999999999999</v>
      </c>
      <c r="J165" s="9" t="s">
        <v>412</v>
      </c>
      <c r="K165" s="9" t="s">
        <v>604</v>
      </c>
    </row>
    <row r="166" spans="1:11" ht="28.8">
      <c r="A166" s="9" t="s">
        <v>661</v>
      </c>
      <c r="B166" s="9" t="s">
        <v>676</v>
      </c>
      <c r="C166" s="9" t="s">
        <v>601</v>
      </c>
      <c r="D166" s="12">
        <v>-0.2266</v>
      </c>
      <c r="E166" s="12">
        <v>0.33629999999999999</v>
      </c>
      <c r="F166" s="12">
        <v>-0.18490000000000001</v>
      </c>
      <c r="G166" s="12">
        <v>5.4849999999999996E-2</v>
      </c>
      <c r="H166" s="12">
        <v>-2.5100000000000001E-2</v>
      </c>
      <c r="I166" s="12">
        <v>0.24929999999999999</v>
      </c>
      <c r="J166" s="9" t="s">
        <v>412</v>
      </c>
      <c r="K166" s="9" t="s">
        <v>604</v>
      </c>
    </row>
    <row r="167" spans="1:11" ht="28.8">
      <c r="A167" s="9" t="s">
        <v>661</v>
      </c>
      <c r="B167" s="9" t="s">
        <v>658</v>
      </c>
      <c r="C167" s="9" t="s">
        <v>655</v>
      </c>
      <c r="D167" s="12">
        <v>0.17599999999999999</v>
      </c>
      <c r="E167" s="12">
        <v>9.5200000000000007E-2</v>
      </c>
      <c r="F167" s="12">
        <v>0.4758</v>
      </c>
      <c r="G167" s="12">
        <v>0.1356</v>
      </c>
      <c r="H167" s="12">
        <v>0.249</v>
      </c>
      <c r="I167" s="12">
        <v>0.249</v>
      </c>
      <c r="J167" s="9" t="s">
        <v>412</v>
      </c>
      <c r="K167" s="9" t="s">
        <v>654</v>
      </c>
    </row>
    <row r="168" spans="1:11" ht="28.8">
      <c r="A168" s="9" t="s">
        <v>603</v>
      </c>
      <c r="B168" s="9" t="s">
        <v>658</v>
      </c>
      <c r="C168" s="9" t="s">
        <v>674</v>
      </c>
      <c r="D168" s="12">
        <v>-0.1212</v>
      </c>
      <c r="E168" s="12">
        <v>-0.46400000000000002</v>
      </c>
      <c r="F168" s="12">
        <v>0.16159999999999999</v>
      </c>
      <c r="G168" s="12">
        <v>-0.29260000000000003</v>
      </c>
      <c r="H168" s="12">
        <v>-0.14119999999999999</v>
      </c>
      <c r="I168" s="12">
        <v>0.24890000000000001</v>
      </c>
      <c r="J168" s="9" t="s">
        <v>412</v>
      </c>
      <c r="K168" s="9" t="s">
        <v>604</v>
      </c>
    </row>
    <row r="169" spans="1:11" ht="28.8">
      <c r="A169" s="9" t="s">
        <v>671</v>
      </c>
      <c r="B169" s="9" t="s">
        <v>685</v>
      </c>
      <c r="C169" s="9" t="s">
        <v>670</v>
      </c>
      <c r="D169" s="12">
        <v>-0.32890000000000003</v>
      </c>
      <c r="E169" s="12">
        <v>0.19439999999999999</v>
      </c>
      <c r="F169" s="12">
        <v>-0.22320000000000001</v>
      </c>
      <c r="G169" s="12">
        <v>-6.7250000000000018E-2</v>
      </c>
      <c r="H169" s="12">
        <v>-0.1193</v>
      </c>
      <c r="I169" s="12">
        <v>0.24879999999999999</v>
      </c>
      <c r="J169" s="9" t="s">
        <v>412</v>
      </c>
      <c r="K169" s="9" t="s">
        <v>604</v>
      </c>
    </row>
    <row r="170" spans="1:11">
      <c r="A170" s="9" t="s">
        <v>609</v>
      </c>
      <c r="B170" s="9" t="s">
        <v>680</v>
      </c>
      <c r="C170" s="9" t="s">
        <v>659</v>
      </c>
      <c r="D170" s="12">
        <v>0.47620000000000001</v>
      </c>
      <c r="E170" s="12">
        <v>-0.1628</v>
      </c>
      <c r="F170" s="12">
        <v>-0.1074</v>
      </c>
      <c r="G170" s="12">
        <v>0.15670000000000001</v>
      </c>
      <c r="H170" s="12">
        <v>6.8699999999999997E-2</v>
      </c>
      <c r="I170" s="12">
        <v>0.24879999999999999</v>
      </c>
      <c r="J170" s="9" t="s">
        <v>412</v>
      </c>
      <c r="K170" s="9" t="s">
        <v>604</v>
      </c>
    </row>
    <row r="171" spans="1:11" ht="28.8">
      <c r="A171" s="9" t="s">
        <v>679</v>
      </c>
      <c r="B171" s="9" t="s">
        <v>680</v>
      </c>
      <c r="C171" s="9" t="s">
        <v>663</v>
      </c>
      <c r="D171" s="12">
        <v>0.13450000000000001</v>
      </c>
      <c r="E171" s="12">
        <v>0.1643</v>
      </c>
      <c r="F171" s="12">
        <v>0.44740000000000002</v>
      </c>
      <c r="G171" s="12">
        <v>0.14940000000000001</v>
      </c>
      <c r="H171" s="12">
        <v>0.2487</v>
      </c>
      <c r="I171" s="12">
        <v>0.2487</v>
      </c>
      <c r="J171" s="9" t="s">
        <v>412</v>
      </c>
      <c r="K171" s="9" t="s">
        <v>654</v>
      </c>
    </row>
    <row r="172" spans="1:11" ht="28.8">
      <c r="A172" s="9" t="s">
        <v>603</v>
      </c>
      <c r="B172" s="9" t="s">
        <v>680</v>
      </c>
      <c r="C172" s="9" t="s">
        <v>601</v>
      </c>
      <c r="D172" s="12">
        <v>0.45390000000000003</v>
      </c>
      <c r="E172" s="12">
        <v>-4.2000000000000003E-2</v>
      </c>
      <c r="F172" s="12">
        <v>-0.2492</v>
      </c>
      <c r="G172" s="12">
        <v>0.20595000000000002</v>
      </c>
      <c r="H172" s="12">
        <v>5.4199999999999998E-2</v>
      </c>
      <c r="I172" s="12">
        <v>0.24840000000000001</v>
      </c>
      <c r="J172" s="9" t="s">
        <v>412</v>
      </c>
      <c r="K172" s="9" t="s">
        <v>604</v>
      </c>
    </row>
    <row r="173" spans="1:11" ht="28.8">
      <c r="A173" s="9" t="s">
        <v>671</v>
      </c>
      <c r="B173" s="9" t="s">
        <v>672</v>
      </c>
      <c r="C173" s="9" t="s">
        <v>601</v>
      </c>
      <c r="D173" s="12">
        <v>-0.10879999999999999</v>
      </c>
      <c r="E173" s="12">
        <v>0.44879999999999998</v>
      </c>
      <c r="F173" s="12">
        <v>-0.187</v>
      </c>
      <c r="G173" s="12">
        <v>0.16999999999999998</v>
      </c>
      <c r="H173" s="12">
        <v>5.0999999999999997E-2</v>
      </c>
      <c r="I173" s="12">
        <v>0.2482</v>
      </c>
      <c r="J173" s="9" t="s">
        <v>412</v>
      </c>
      <c r="K173" s="9" t="s">
        <v>604</v>
      </c>
    </row>
    <row r="174" spans="1:11" ht="28.8">
      <c r="A174" s="9" t="s">
        <v>671</v>
      </c>
      <c r="B174" s="9" t="s">
        <v>669</v>
      </c>
      <c r="C174" s="9" t="s">
        <v>663</v>
      </c>
      <c r="D174" s="12">
        <v>9.4399999999999998E-2</v>
      </c>
      <c r="E174" s="12">
        <v>0.20669999999999999</v>
      </c>
      <c r="F174" s="12">
        <v>0.44319999999999998</v>
      </c>
      <c r="G174" s="12">
        <v>0.15054999999999999</v>
      </c>
      <c r="H174" s="12">
        <v>0.24809999999999999</v>
      </c>
      <c r="I174" s="12">
        <v>0.24809999999999999</v>
      </c>
      <c r="J174" s="9" t="s">
        <v>412</v>
      </c>
      <c r="K174" s="9" t="s">
        <v>654</v>
      </c>
    </row>
    <row r="175" spans="1:11" ht="28.8">
      <c r="A175" s="9" t="s">
        <v>661</v>
      </c>
      <c r="B175" s="9" t="s">
        <v>665</v>
      </c>
      <c r="C175" s="9" t="s">
        <v>666</v>
      </c>
      <c r="D175" s="12">
        <v>0.2175</v>
      </c>
      <c r="E175" s="12">
        <v>0.1731</v>
      </c>
      <c r="F175" s="12">
        <v>0.3533</v>
      </c>
      <c r="G175" s="12">
        <v>0.1953</v>
      </c>
      <c r="H175" s="12">
        <v>0.248</v>
      </c>
      <c r="I175" s="12">
        <v>0.248</v>
      </c>
      <c r="J175" s="9" t="s">
        <v>412</v>
      </c>
      <c r="K175" s="9" t="s">
        <v>654</v>
      </c>
    </row>
    <row r="176" spans="1:11" ht="28.8">
      <c r="A176" s="9" t="s">
        <v>603</v>
      </c>
      <c r="B176" s="9" t="s">
        <v>613</v>
      </c>
      <c r="C176" s="9" t="s">
        <v>683</v>
      </c>
      <c r="D176" s="12">
        <v>0.17660000000000001</v>
      </c>
      <c r="E176" s="12">
        <v>-0.35630000000000001</v>
      </c>
      <c r="F176" s="12">
        <v>-0.21</v>
      </c>
      <c r="G176" s="12">
        <v>-8.9849999999999999E-2</v>
      </c>
      <c r="H176" s="12">
        <v>-0.12989999999999999</v>
      </c>
      <c r="I176" s="12">
        <v>0.24759999999999999</v>
      </c>
      <c r="J176" s="9" t="s">
        <v>412</v>
      </c>
      <c r="K176" s="9" t="s">
        <v>604</v>
      </c>
    </row>
    <row r="177" spans="1:11" ht="28.8">
      <c r="A177" s="9" t="s">
        <v>671</v>
      </c>
      <c r="B177" s="9" t="s">
        <v>672</v>
      </c>
      <c r="C177" s="9" t="s">
        <v>675</v>
      </c>
      <c r="D177" s="12">
        <v>0.10780000000000001</v>
      </c>
      <c r="E177" s="12">
        <v>0.44879999999999998</v>
      </c>
      <c r="F177" s="12">
        <v>0.185</v>
      </c>
      <c r="G177" s="12">
        <v>0.27829999999999999</v>
      </c>
      <c r="H177" s="12">
        <v>0.2472</v>
      </c>
      <c r="I177" s="12">
        <v>0.2472</v>
      </c>
      <c r="J177" s="9" t="s">
        <v>412</v>
      </c>
      <c r="K177" s="9" t="s">
        <v>654</v>
      </c>
    </row>
    <row r="178" spans="1:11">
      <c r="A178" s="9" t="s">
        <v>662</v>
      </c>
      <c r="B178" s="9" t="s">
        <v>668</v>
      </c>
      <c r="C178" s="9" t="s">
        <v>656</v>
      </c>
      <c r="D178" s="12">
        <v>0.26229999999999998</v>
      </c>
      <c r="E178" s="12">
        <v>5.5599999999999997E-2</v>
      </c>
      <c r="F178" s="12">
        <v>-0.42299999999999999</v>
      </c>
      <c r="G178" s="12">
        <v>0.15894999999999998</v>
      </c>
      <c r="H178" s="12">
        <v>-3.5000000000000003E-2</v>
      </c>
      <c r="I178" s="12">
        <v>0.247</v>
      </c>
      <c r="J178" s="9" t="s">
        <v>412</v>
      </c>
      <c r="K178" s="9" t="s">
        <v>604</v>
      </c>
    </row>
    <row r="179" spans="1:11" ht="28.8">
      <c r="A179" s="9" t="s">
        <v>603</v>
      </c>
      <c r="B179" s="9" t="s">
        <v>673</v>
      </c>
      <c r="C179" s="9" t="s">
        <v>666</v>
      </c>
      <c r="D179" s="12">
        <v>-0.26</v>
      </c>
      <c r="E179" s="12">
        <v>0.2681</v>
      </c>
      <c r="F179" s="12">
        <v>-0.2127</v>
      </c>
      <c r="G179" s="12">
        <v>4.049999999999998E-3</v>
      </c>
      <c r="H179" s="12">
        <v>-6.8199999999999997E-2</v>
      </c>
      <c r="I179" s="12">
        <v>0.24690000000000001</v>
      </c>
      <c r="J179" s="9" t="s">
        <v>412</v>
      </c>
      <c r="K179" s="9" t="s">
        <v>604</v>
      </c>
    </row>
    <row r="180" spans="1:11">
      <c r="A180" s="9" t="s">
        <v>662</v>
      </c>
      <c r="B180" s="9" t="s">
        <v>660</v>
      </c>
      <c r="C180" s="9" t="s">
        <v>656</v>
      </c>
      <c r="D180" s="12">
        <v>0.26229999999999998</v>
      </c>
      <c r="E180" s="12">
        <v>-0.1187</v>
      </c>
      <c r="F180" s="12">
        <v>-0.35949999999999999</v>
      </c>
      <c r="G180" s="12">
        <v>7.1799999999999989E-2</v>
      </c>
      <c r="H180" s="12">
        <v>-7.1900000000000006E-2</v>
      </c>
      <c r="I180" s="12">
        <v>0.24679999999999999</v>
      </c>
      <c r="J180" s="9" t="s">
        <v>412</v>
      </c>
      <c r="K180" s="9" t="s">
        <v>604</v>
      </c>
    </row>
    <row r="181" spans="1:11">
      <c r="A181" s="9" t="s">
        <v>609</v>
      </c>
      <c r="B181" s="9" t="s">
        <v>665</v>
      </c>
      <c r="C181" s="9" t="s">
        <v>659</v>
      </c>
      <c r="D181" s="12">
        <v>0.47620000000000001</v>
      </c>
      <c r="E181" s="12">
        <v>-0.11310000000000001</v>
      </c>
      <c r="F181" s="12">
        <v>0.1502</v>
      </c>
      <c r="G181" s="12">
        <v>0.18154999999999999</v>
      </c>
      <c r="H181" s="12">
        <v>0.1711</v>
      </c>
      <c r="I181" s="12">
        <v>0.2465</v>
      </c>
      <c r="J181" s="9" t="s">
        <v>412</v>
      </c>
      <c r="K181" s="9" t="s">
        <v>604</v>
      </c>
    </row>
    <row r="182" spans="1:11" ht="28.8">
      <c r="A182" s="9" t="s">
        <v>603</v>
      </c>
      <c r="B182" s="9" t="s">
        <v>676</v>
      </c>
      <c r="C182" s="9" t="s">
        <v>601</v>
      </c>
      <c r="D182" s="12">
        <v>0.45390000000000003</v>
      </c>
      <c r="E182" s="12">
        <v>-0.1002</v>
      </c>
      <c r="F182" s="12">
        <v>-0.18490000000000001</v>
      </c>
      <c r="G182" s="12">
        <v>0.17685000000000001</v>
      </c>
      <c r="H182" s="12">
        <v>5.6300000000000003E-2</v>
      </c>
      <c r="I182" s="12">
        <v>0.24629999999999999</v>
      </c>
      <c r="J182" s="9" t="s">
        <v>412</v>
      </c>
      <c r="K182" s="9" t="s">
        <v>604</v>
      </c>
    </row>
    <row r="183" spans="1:11">
      <c r="A183" s="9" t="s">
        <v>609</v>
      </c>
      <c r="B183" s="9" t="s">
        <v>680</v>
      </c>
      <c r="C183" s="9" t="s">
        <v>663</v>
      </c>
      <c r="D183" s="12">
        <v>-0.12770000000000001</v>
      </c>
      <c r="E183" s="12">
        <v>-0.1628</v>
      </c>
      <c r="F183" s="12">
        <v>0.44740000000000002</v>
      </c>
      <c r="G183" s="12">
        <v>-0.14524999999999999</v>
      </c>
      <c r="H183" s="12">
        <v>5.2299999999999999E-2</v>
      </c>
      <c r="I183" s="12">
        <v>0.246</v>
      </c>
      <c r="J183" s="9" t="s">
        <v>412</v>
      </c>
      <c r="K183" s="9" t="s">
        <v>604</v>
      </c>
    </row>
    <row r="184" spans="1:11" ht="28.8">
      <c r="A184" s="9" t="s">
        <v>610</v>
      </c>
      <c r="B184" s="9" t="s">
        <v>669</v>
      </c>
      <c r="C184" s="9" t="s">
        <v>674</v>
      </c>
      <c r="D184" s="12">
        <v>-0.1986</v>
      </c>
      <c r="E184" s="12">
        <v>-0.2331</v>
      </c>
      <c r="F184" s="12">
        <v>0.30640000000000001</v>
      </c>
      <c r="G184" s="12">
        <v>-0.21584999999999999</v>
      </c>
      <c r="H184" s="12">
        <v>-4.1799999999999997E-2</v>
      </c>
      <c r="I184" s="12">
        <v>0.246</v>
      </c>
      <c r="J184" s="9" t="s">
        <v>412</v>
      </c>
      <c r="K184" s="9" t="s">
        <v>604</v>
      </c>
    </row>
    <row r="185" spans="1:11" ht="28.8">
      <c r="A185" s="9" t="s">
        <v>671</v>
      </c>
      <c r="B185" s="9" t="s">
        <v>672</v>
      </c>
      <c r="C185" s="9" t="s">
        <v>667</v>
      </c>
      <c r="D185" s="12">
        <v>0.14219999999999999</v>
      </c>
      <c r="E185" s="12">
        <v>0.44879999999999998</v>
      </c>
      <c r="F185" s="12">
        <v>0.1469</v>
      </c>
      <c r="G185" s="12">
        <v>0.29549999999999998</v>
      </c>
      <c r="H185" s="12">
        <v>0.246</v>
      </c>
      <c r="I185" s="12">
        <v>0.246</v>
      </c>
      <c r="J185" s="9" t="s">
        <v>412</v>
      </c>
      <c r="K185" s="9" t="s">
        <v>654</v>
      </c>
    </row>
    <row r="186" spans="1:11" ht="28.8">
      <c r="A186" s="9" t="s">
        <v>609</v>
      </c>
      <c r="B186" s="9" t="s">
        <v>613</v>
      </c>
      <c r="C186" s="9" t="s">
        <v>664</v>
      </c>
      <c r="D186" s="12">
        <v>-6.5699999999999995E-2</v>
      </c>
      <c r="E186" s="12">
        <v>0.4844</v>
      </c>
      <c r="F186" s="12">
        <v>-0.18640000000000001</v>
      </c>
      <c r="G186" s="12">
        <v>0.20935000000000001</v>
      </c>
      <c r="H186" s="12">
        <v>7.7399999999999997E-2</v>
      </c>
      <c r="I186" s="12">
        <v>0.2455</v>
      </c>
      <c r="J186" s="9" t="s">
        <v>412</v>
      </c>
      <c r="K186" s="9" t="s">
        <v>604</v>
      </c>
    </row>
    <row r="187" spans="1:11" ht="28.8">
      <c r="A187" s="9" t="s">
        <v>603</v>
      </c>
      <c r="B187" s="9" t="s">
        <v>672</v>
      </c>
      <c r="C187" s="9" t="s">
        <v>670</v>
      </c>
      <c r="D187" s="12">
        <v>0.28070000000000001</v>
      </c>
      <c r="E187" s="12">
        <v>-0.21229999999999999</v>
      </c>
      <c r="F187" s="12">
        <v>-0.24260000000000001</v>
      </c>
      <c r="G187" s="12">
        <v>3.4200000000000008E-2</v>
      </c>
      <c r="H187" s="12">
        <v>-5.8099999999999999E-2</v>
      </c>
      <c r="I187" s="12">
        <v>0.2452</v>
      </c>
      <c r="J187" s="9" t="s">
        <v>412</v>
      </c>
      <c r="K187" s="9" t="s">
        <v>604</v>
      </c>
    </row>
    <row r="188" spans="1:11" ht="28.8">
      <c r="A188" s="9" t="s">
        <v>671</v>
      </c>
      <c r="B188" s="9" t="s">
        <v>658</v>
      </c>
      <c r="C188" s="9" t="s">
        <v>601</v>
      </c>
      <c r="D188" s="12">
        <v>-0.10879999999999999</v>
      </c>
      <c r="E188" s="12">
        <v>0.18609999999999999</v>
      </c>
      <c r="F188" s="12">
        <v>-0.4405</v>
      </c>
      <c r="G188" s="12">
        <v>3.8649999999999997E-2</v>
      </c>
      <c r="H188" s="12">
        <v>-0.1211</v>
      </c>
      <c r="I188" s="12">
        <v>0.24510000000000001</v>
      </c>
      <c r="J188" s="9" t="s">
        <v>412</v>
      </c>
      <c r="K188" s="9" t="s">
        <v>604</v>
      </c>
    </row>
    <row r="189" spans="1:11" ht="28.8">
      <c r="A189" s="9" t="s">
        <v>671</v>
      </c>
      <c r="B189" s="9" t="s">
        <v>678</v>
      </c>
      <c r="C189" s="9" t="s">
        <v>670</v>
      </c>
      <c r="D189" s="12">
        <v>-0.32890000000000003</v>
      </c>
      <c r="E189" s="12">
        <v>-0.14360000000000001</v>
      </c>
      <c r="F189" s="12">
        <v>0.26069999999999999</v>
      </c>
      <c r="G189" s="12">
        <v>-0.23625000000000002</v>
      </c>
      <c r="H189" s="12">
        <v>-7.0599999999999996E-2</v>
      </c>
      <c r="I189" s="12">
        <v>0.24440000000000001</v>
      </c>
      <c r="J189" s="9" t="s">
        <v>412</v>
      </c>
      <c r="K189" s="9" t="s">
        <v>604</v>
      </c>
    </row>
    <row r="190" spans="1:11" ht="28.8">
      <c r="A190" s="9" t="s">
        <v>661</v>
      </c>
      <c r="B190" s="9" t="s">
        <v>676</v>
      </c>
      <c r="C190" s="9" t="s">
        <v>666</v>
      </c>
      <c r="D190" s="12">
        <v>0.2175</v>
      </c>
      <c r="E190" s="12">
        <v>0.33629999999999999</v>
      </c>
      <c r="F190" s="12">
        <v>0.17879999999999999</v>
      </c>
      <c r="G190" s="12">
        <v>0.27689999999999998</v>
      </c>
      <c r="H190" s="12">
        <v>0.2442</v>
      </c>
      <c r="I190" s="12">
        <v>0.2442</v>
      </c>
      <c r="J190" s="9" t="s">
        <v>412</v>
      </c>
      <c r="K190" s="9" t="s">
        <v>654</v>
      </c>
    </row>
    <row r="191" spans="1:11" ht="28.8">
      <c r="A191" s="9" t="s">
        <v>662</v>
      </c>
      <c r="B191" s="9" t="s">
        <v>657</v>
      </c>
      <c r="C191" s="9" t="s">
        <v>601</v>
      </c>
      <c r="D191" s="12">
        <v>-0.1173</v>
      </c>
      <c r="E191" s="12">
        <v>4.3299999999999998E-2</v>
      </c>
      <c r="F191" s="12">
        <v>0.57169999999999999</v>
      </c>
      <c r="G191" s="12">
        <v>-3.7000000000000005E-2</v>
      </c>
      <c r="H191" s="12">
        <v>0.16589999999999999</v>
      </c>
      <c r="I191" s="12">
        <v>0.24410000000000001</v>
      </c>
      <c r="J191" s="9" t="s">
        <v>412</v>
      </c>
      <c r="K191" s="9" t="s">
        <v>604</v>
      </c>
    </row>
    <row r="192" spans="1:11" ht="28.8">
      <c r="A192" s="9" t="s">
        <v>661</v>
      </c>
      <c r="B192" s="9" t="s">
        <v>672</v>
      </c>
      <c r="C192" s="9" t="s">
        <v>666</v>
      </c>
      <c r="D192" s="12">
        <v>0.2175</v>
      </c>
      <c r="E192" s="12">
        <v>0.30880000000000002</v>
      </c>
      <c r="F192" s="12">
        <v>0.2054</v>
      </c>
      <c r="G192" s="12">
        <v>0.26315</v>
      </c>
      <c r="H192" s="12">
        <v>0.24390000000000001</v>
      </c>
      <c r="I192" s="12">
        <v>0.24390000000000001</v>
      </c>
      <c r="J192" s="9" t="s">
        <v>412</v>
      </c>
      <c r="K192" s="9" t="s">
        <v>654</v>
      </c>
    </row>
    <row r="193" spans="1:11">
      <c r="A193" s="9" t="s">
        <v>609</v>
      </c>
      <c r="B193" s="9" t="s">
        <v>684</v>
      </c>
      <c r="C193" s="9" t="s">
        <v>659</v>
      </c>
      <c r="D193" s="12">
        <v>0.47620000000000001</v>
      </c>
      <c r="E193" s="12">
        <v>-0.19400000000000001</v>
      </c>
      <c r="F193" s="12">
        <v>-5.9499999999999997E-2</v>
      </c>
      <c r="G193" s="12">
        <v>0.1411</v>
      </c>
      <c r="H193" s="12">
        <v>7.4200000000000002E-2</v>
      </c>
      <c r="I193" s="12">
        <v>0.2432</v>
      </c>
      <c r="J193" s="9" t="s">
        <v>412</v>
      </c>
      <c r="K193" s="9" t="s">
        <v>604</v>
      </c>
    </row>
    <row r="194" spans="1:11" ht="28.8">
      <c r="A194" s="9" t="s">
        <v>671</v>
      </c>
      <c r="B194" s="9" t="s">
        <v>672</v>
      </c>
      <c r="C194" s="9" t="s">
        <v>683</v>
      </c>
      <c r="D194" s="12">
        <v>0.1066</v>
      </c>
      <c r="E194" s="12">
        <v>0.44879999999999998</v>
      </c>
      <c r="F194" s="12">
        <v>0.17019999999999999</v>
      </c>
      <c r="G194" s="12">
        <v>0.2777</v>
      </c>
      <c r="H194" s="12">
        <v>0.2419</v>
      </c>
      <c r="I194" s="12">
        <v>0.2419</v>
      </c>
      <c r="J194" s="9" t="s">
        <v>412</v>
      </c>
      <c r="K194" s="9" t="s">
        <v>654</v>
      </c>
    </row>
    <row r="195" spans="1:11" ht="28.8">
      <c r="A195" s="9" t="s">
        <v>603</v>
      </c>
      <c r="B195" s="9" t="s">
        <v>672</v>
      </c>
      <c r="C195" s="9" t="s">
        <v>663</v>
      </c>
      <c r="D195" s="12">
        <v>-0.2828</v>
      </c>
      <c r="E195" s="12">
        <v>-0.21229999999999999</v>
      </c>
      <c r="F195" s="12">
        <v>0.22750000000000001</v>
      </c>
      <c r="G195" s="12">
        <v>-0.24754999999999999</v>
      </c>
      <c r="H195" s="12">
        <v>-8.9200000000000002E-2</v>
      </c>
      <c r="I195" s="12">
        <v>0.2409</v>
      </c>
      <c r="J195" s="9" t="s">
        <v>412</v>
      </c>
      <c r="K195" s="9" t="s">
        <v>604</v>
      </c>
    </row>
    <row r="196" spans="1:11" ht="28.8">
      <c r="A196" s="9" t="s">
        <v>661</v>
      </c>
      <c r="B196" s="9" t="s">
        <v>672</v>
      </c>
      <c r="C196" s="9" t="s">
        <v>601</v>
      </c>
      <c r="D196" s="12">
        <v>-0.2266</v>
      </c>
      <c r="E196" s="12">
        <v>0.30880000000000002</v>
      </c>
      <c r="F196" s="12">
        <v>-0.187</v>
      </c>
      <c r="G196" s="12">
        <v>4.1100000000000012E-2</v>
      </c>
      <c r="H196" s="12">
        <v>-3.49E-2</v>
      </c>
      <c r="I196" s="12">
        <v>0.24079999999999999</v>
      </c>
      <c r="J196" s="9" t="s">
        <v>412</v>
      </c>
      <c r="K196" s="9" t="s">
        <v>604</v>
      </c>
    </row>
    <row r="197" spans="1:11" ht="28.8">
      <c r="A197" s="9" t="s">
        <v>671</v>
      </c>
      <c r="B197" s="9" t="s">
        <v>657</v>
      </c>
      <c r="C197" s="9" t="s">
        <v>656</v>
      </c>
      <c r="D197" s="12">
        <v>6.54E-2</v>
      </c>
      <c r="E197" s="12">
        <v>-0.1326</v>
      </c>
      <c r="F197" s="12">
        <v>-0.52270000000000005</v>
      </c>
      <c r="G197" s="12">
        <v>-3.3599999999999998E-2</v>
      </c>
      <c r="H197" s="12">
        <v>-0.19670000000000001</v>
      </c>
      <c r="I197" s="12">
        <v>0.24030000000000001</v>
      </c>
      <c r="J197" s="9" t="s">
        <v>412</v>
      </c>
      <c r="K197" s="9" t="s">
        <v>604</v>
      </c>
    </row>
    <row r="198" spans="1:11" ht="28.8">
      <c r="A198" s="9" t="s">
        <v>661</v>
      </c>
      <c r="B198" s="9" t="s">
        <v>660</v>
      </c>
      <c r="C198" s="9" t="s">
        <v>670</v>
      </c>
      <c r="D198" s="12">
        <v>-0.29680000000000001</v>
      </c>
      <c r="E198" s="12">
        <v>-0.21290000000000001</v>
      </c>
      <c r="F198" s="12">
        <v>0.2104</v>
      </c>
      <c r="G198" s="12">
        <v>-0.25485000000000002</v>
      </c>
      <c r="H198" s="12">
        <v>-9.98E-2</v>
      </c>
      <c r="I198" s="12">
        <v>0.24</v>
      </c>
      <c r="J198" s="9" t="s">
        <v>412</v>
      </c>
      <c r="K198" s="9" t="s">
        <v>604</v>
      </c>
    </row>
    <row r="199" spans="1:11">
      <c r="A199" s="9" t="s">
        <v>609</v>
      </c>
      <c r="B199" s="9" t="s">
        <v>653</v>
      </c>
      <c r="C199" s="9" t="s">
        <v>663</v>
      </c>
      <c r="D199" s="12">
        <v>-0.12770000000000001</v>
      </c>
      <c r="E199" s="12">
        <v>-0.2389</v>
      </c>
      <c r="F199" s="12">
        <v>-0.35160000000000002</v>
      </c>
      <c r="G199" s="12">
        <v>-0.18330000000000002</v>
      </c>
      <c r="H199" s="12">
        <v>-0.2394</v>
      </c>
      <c r="I199" s="12">
        <v>0.2394</v>
      </c>
      <c r="J199" s="9" t="s">
        <v>412</v>
      </c>
      <c r="K199" s="9" t="s">
        <v>604</v>
      </c>
    </row>
    <row r="200" spans="1:11" ht="28.8">
      <c r="A200" s="9" t="s">
        <v>603</v>
      </c>
      <c r="B200" s="9" t="s">
        <v>657</v>
      </c>
      <c r="C200" s="9" t="s">
        <v>683</v>
      </c>
      <c r="D200" s="12">
        <v>0.17660000000000001</v>
      </c>
      <c r="E200" s="12">
        <v>0.45229999999999998</v>
      </c>
      <c r="F200" s="12">
        <v>8.9399999999999993E-2</v>
      </c>
      <c r="G200" s="12">
        <v>0.31445000000000001</v>
      </c>
      <c r="H200" s="12">
        <v>0.2394</v>
      </c>
      <c r="I200" s="12">
        <v>0.2394</v>
      </c>
      <c r="J200" s="9" t="s">
        <v>412</v>
      </c>
      <c r="K200" s="9" t="s">
        <v>654</v>
      </c>
    </row>
    <row r="201" spans="1:11" ht="28.8">
      <c r="A201" s="9" t="s">
        <v>609</v>
      </c>
      <c r="B201" s="9" t="s">
        <v>613</v>
      </c>
      <c r="C201" s="9" t="s">
        <v>677</v>
      </c>
      <c r="D201" s="12">
        <v>-6.1400000000000003E-2</v>
      </c>
      <c r="E201" s="12">
        <v>0.4844</v>
      </c>
      <c r="F201" s="12">
        <v>-0.1721</v>
      </c>
      <c r="G201" s="12">
        <v>0.21149999999999999</v>
      </c>
      <c r="H201" s="12">
        <v>8.3599999999999994E-2</v>
      </c>
      <c r="I201" s="12">
        <v>0.23930000000000001</v>
      </c>
      <c r="J201" s="9" t="s">
        <v>412</v>
      </c>
      <c r="K201" s="9" t="s">
        <v>604</v>
      </c>
    </row>
    <row r="202" spans="1:11">
      <c r="A202" s="9" t="s">
        <v>609</v>
      </c>
      <c r="B202" s="9" t="s">
        <v>673</v>
      </c>
      <c r="C202" s="9" t="s">
        <v>659</v>
      </c>
      <c r="D202" s="12">
        <v>0.47620000000000001</v>
      </c>
      <c r="E202" s="12">
        <v>-7.1300000000000002E-2</v>
      </c>
      <c r="F202" s="12">
        <v>-0.17030000000000001</v>
      </c>
      <c r="G202" s="12">
        <v>0.20245000000000002</v>
      </c>
      <c r="H202" s="12">
        <v>7.8200000000000006E-2</v>
      </c>
      <c r="I202" s="12">
        <v>0.23930000000000001</v>
      </c>
      <c r="J202" s="9" t="s">
        <v>412</v>
      </c>
      <c r="K202" s="9" t="s">
        <v>604</v>
      </c>
    </row>
    <row r="203" spans="1:11" ht="28.8">
      <c r="A203" s="9" t="s">
        <v>609</v>
      </c>
      <c r="B203" s="9" t="s">
        <v>653</v>
      </c>
      <c r="C203" s="9" t="s">
        <v>666</v>
      </c>
      <c r="D203" s="12">
        <v>-7.7700000000000005E-2</v>
      </c>
      <c r="E203" s="12">
        <v>-0.2389</v>
      </c>
      <c r="F203" s="12">
        <v>-0.40060000000000001</v>
      </c>
      <c r="G203" s="12">
        <v>-0.1583</v>
      </c>
      <c r="H203" s="12">
        <v>-0.23910000000000001</v>
      </c>
      <c r="I203" s="12">
        <v>0.23910000000000001</v>
      </c>
      <c r="J203" s="9" t="s">
        <v>412</v>
      </c>
      <c r="K203" s="9" t="s">
        <v>604</v>
      </c>
    </row>
    <row r="204" spans="1:11" ht="28.8">
      <c r="A204" s="9" t="s">
        <v>603</v>
      </c>
      <c r="B204" s="9" t="s">
        <v>678</v>
      </c>
      <c r="C204" s="9" t="s">
        <v>670</v>
      </c>
      <c r="D204" s="12">
        <v>0.28070000000000001</v>
      </c>
      <c r="E204" s="12">
        <v>0.17549999999999999</v>
      </c>
      <c r="F204" s="12">
        <v>0.26069999999999999</v>
      </c>
      <c r="G204" s="12">
        <v>0.2281</v>
      </c>
      <c r="H204" s="12">
        <v>0.23899999999999999</v>
      </c>
      <c r="I204" s="12">
        <v>0.23899999999999999</v>
      </c>
      <c r="J204" s="9" t="s">
        <v>412</v>
      </c>
      <c r="K204" s="9" t="s">
        <v>654</v>
      </c>
    </row>
    <row r="205" spans="1:11" ht="28.8">
      <c r="A205" s="9" t="s">
        <v>603</v>
      </c>
      <c r="B205" s="9" t="s">
        <v>658</v>
      </c>
      <c r="C205" s="9" t="s">
        <v>683</v>
      </c>
      <c r="D205" s="12">
        <v>0.17660000000000001</v>
      </c>
      <c r="E205" s="12">
        <v>-0.46400000000000002</v>
      </c>
      <c r="F205" s="12">
        <v>-7.4499999999999997E-2</v>
      </c>
      <c r="G205" s="12">
        <v>-0.14369999999999999</v>
      </c>
      <c r="H205" s="12">
        <v>-0.1207</v>
      </c>
      <c r="I205" s="12">
        <v>0.2384</v>
      </c>
      <c r="J205" s="9" t="s">
        <v>412</v>
      </c>
      <c r="K205" s="9" t="s">
        <v>604</v>
      </c>
    </row>
    <row r="206" spans="1:11" ht="28.8">
      <c r="A206" s="9" t="s">
        <v>603</v>
      </c>
      <c r="B206" s="9" t="s">
        <v>672</v>
      </c>
      <c r="C206" s="9" t="s">
        <v>664</v>
      </c>
      <c r="D206" s="12">
        <v>0.4093</v>
      </c>
      <c r="E206" s="12">
        <v>-0.21229999999999999</v>
      </c>
      <c r="F206" s="12">
        <v>-9.2899999999999996E-2</v>
      </c>
      <c r="G206" s="12">
        <v>9.8500000000000004E-2</v>
      </c>
      <c r="H206" s="12">
        <v>3.4700000000000002E-2</v>
      </c>
      <c r="I206" s="12">
        <v>0.2382</v>
      </c>
      <c r="J206" s="9" t="s">
        <v>412</v>
      </c>
      <c r="K206" s="9" t="s">
        <v>604</v>
      </c>
    </row>
    <row r="207" spans="1:11" ht="28.8">
      <c r="A207" s="9" t="s">
        <v>603</v>
      </c>
      <c r="B207" s="9" t="s">
        <v>613</v>
      </c>
      <c r="C207" s="9" t="s">
        <v>663</v>
      </c>
      <c r="D207" s="12">
        <v>-0.2828</v>
      </c>
      <c r="E207" s="12">
        <v>-0.35630000000000001</v>
      </c>
      <c r="F207" s="12">
        <v>-7.3700000000000002E-2</v>
      </c>
      <c r="G207" s="12">
        <v>-0.31955</v>
      </c>
      <c r="H207" s="12">
        <v>-0.23760000000000001</v>
      </c>
      <c r="I207" s="12">
        <v>0.23760000000000001</v>
      </c>
      <c r="J207" s="9" t="s">
        <v>412</v>
      </c>
      <c r="K207" s="9" t="s">
        <v>604</v>
      </c>
    </row>
    <row r="208" spans="1:11">
      <c r="A208" s="9" t="s">
        <v>662</v>
      </c>
      <c r="B208" s="9" t="s">
        <v>602</v>
      </c>
      <c r="C208" s="9" t="s">
        <v>656</v>
      </c>
      <c r="D208" s="12">
        <v>0.26229999999999998</v>
      </c>
      <c r="E208" s="12">
        <v>9.3799999999999994E-2</v>
      </c>
      <c r="F208" s="12">
        <v>0.35680000000000001</v>
      </c>
      <c r="G208" s="12">
        <v>0.17804999999999999</v>
      </c>
      <c r="H208" s="12">
        <v>0.23760000000000001</v>
      </c>
      <c r="I208" s="12">
        <v>0.23760000000000001</v>
      </c>
      <c r="J208" s="9" t="s">
        <v>412</v>
      </c>
      <c r="K208" s="9" t="s">
        <v>654</v>
      </c>
    </row>
    <row r="209" spans="1:11">
      <c r="A209" s="9" t="s">
        <v>610</v>
      </c>
      <c r="B209" s="9" t="s">
        <v>658</v>
      </c>
      <c r="C209" s="9" t="s">
        <v>655</v>
      </c>
      <c r="D209" s="12">
        <v>-9.4E-2</v>
      </c>
      <c r="E209" s="12">
        <v>-0.1421</v>
      </c>
      <c r="F209" s="12">
        <v>0.4758</v>
      </c>
      <c r="G209" s="12">
        <v>-0.11805</v>
      </c>
      <c r="H209" s="12">
        <v>7.9899999999999999E-2</v>
      </c>
      <c r="I209" s="12">
        <v>0.23730000000000001</v>
      </c>
      <c r="J209" s="9" t="s">
        <v>412</v>
      </c>
      <c r="K209" s="9" t="s">
        <v>604</v>
      </c>
    </row>
    <row r="210" spans="1:11" ht="28.8">
      <c r="A210" s="9" t="s">
        <v>662</v>
      </c>
      <c r="B210" s="9" t="s">
        <v>653</v>
      </c>
      <c r="C210" s="9" t="s">
        <v>666</v>
      </c>
      <c r="D210" s="12">
        <v>-0.1094</v>
      </c>
      <c r="E210" s="12">
        <v>-0.2021</v>
      </c>
      <c r="F210" s="12">
        <v>-0.40060000000000001</v>
      </c>
      <c r="G210" s="12">
        <v>-0.15575</v>
      </c>
      <c r="H210" s="12">
        <v>-0.23730000000000001</v>
      </c>
      <c r="I210" s="12">
        <v>0.23730000000000001</v>
      </c>
      <c r="J210" s="9" t="s">
        <v>412</v>
      </c>
      <c r="K210" s="9" t="s">
        <v>604</v>
      </c>
    </row>
    <row r="211" spans="1:11">
      <c r="A211" s="9" t="s">
        <v>609</v>
      </c>
      <c r="B211" s="9" t="s">
        <v>685</v>
      </c>
      <c r="C211" s="9" t="s">
        <v>667</v>
      </c>
      <c r="D211" s="12">
        <v>0.33360000000000001</v>
      </c>
      <c r="E211" s="12">
        <v>3.8399999999999997E-2</v>
      </c>
      <c r="F211" s="12">
        <v>0.33929999999999999</v>
      </c>
      <c r="G211" s="12">
        <v>0.186</v>
      </c>
      <c r="H211" s="12">
        <v>0.23710000000000001</v>
      </c>
      <c r="I211" s="12">
        <v>0.23710000000000001</v>
      </c>
      <c r="J211" s="9" t="s">
        <v>412</v>
      </c>
      <c r="K211" s="9" t="s">
        <v>654</v>
      </c>
    </row>
    <row r="212" spans="1:11">
      <c r="A212" s="9" t="s">
        <v>609</v>
      </c>
      <c r="B212" s="9" t="s">
        <v>602</v>
      </c>
      <c r="C212" s="9" t="s">
        <v>659</v>
      </c>
      <c r="D212" s="12">
        <v>0.47620000000000001</v>
      </c>
      <c r="E212" s="12">
        <v>-0.2089</v>
      </c>
      <c r="F212" s="12">
        <v>-2.64E-2</v>
      </c>
      <c r="G212" s="12">
        <v>0.13364999999999999</v>
      </c>
      <c r="H212" s="12">
        <v>8.0299999999999996E-2</v>
      </c>
      <c r="I212" s="12">
        <v>0.23710000000000001</v>
      </c>
      <c r="J212" s="9" t="s">
        <v>412</v>
      </c>
      <c r="K212" s="9" t="s">
        <v>604</v>
      </c>
    </row>
    <row r="213" spans="1:11" ht="28.8">
      <c r="A213" s="9" t="s">
        <v>661</v>
      </c>
      <c r="B213" s="9" t="s">
        <v>678</v>
      </c>
      <c r="C213" s="9" t="s">
        <v>670</v>
      </c>
      <c r="D213" s="12">
        <v>-0.29680000000000001</v>
      </c>
      <c r="E213" s="12">
        <v>-0.15379999999999999</v>
      </c>
      <c r="F213" s="12">
        <v>0.26069999999999999</v>
      </c>
      <c r="G213" s="12">
        <v>-0.2253</v>
      </c>
      <c r="H213" s="12">
        <v>-6.3299999999999995E-2</v>
      </c>
      <c r="I213" s="12">
        <v>0.23710000000000001</v>
      </c>
      <c r="J213" s="9" t="s">
        <v>412</v>
      </c>
      <c r="K213" s="9" t="s">
        <v>604</v>
      </c>
    </row>
    <row r="214" spans="1:11" ht="28.8">
      <c r="A214" s="9" t="s">
        <v>661</v>
      </c>
      <c r="B214" s="9" t="s">
        <v>685</v>
      </c>
      <c r="C214" s="9" t="s">
        <v>670</v>
      </c>
      <c r="D214" s="12">
        <v>-0.29680000000000001</v>
      </c>
      <c r="E214" s="12">
        <v>0.18970000000000001</v>
      </c>
      <c r="F214" s="12">
        <v>-0.22320000000000001</v>
      </c>
      <c r="G214" s="12">
        <v>-5.355E-2</v>
      </c>
      <c r="H214" s="12">
        <v>-0.1101</v>
      </c>
      <c r="I214" s="12">
        <v>0.2366</v>
      </c>
      <c r="J214" s="9" t="s">
        <v>412</v>
      </c>
      <c r="K214" s="9" t="s">
        <v>604</v>
      </c>
    </row>
    <row r="215" spans="1:11" ht="28.8">
      <c r="A215" s="9" t="s">
        <v>603</v>
      </c>
      <c r="B215" s="9" t="s">
        <v>668</v>
      </c>
      <c r="C215" s="9" t="s">
        <v>664</v>
      </c>
      <c r="D215" s="12">
        <v>0.4093</v>
      </c>
      <c r="E215" s="12">
        <v>0.23269999999999999</v>
      </c>
      <c r="F215" s="12">
        <v>6.7799999999999999E-2</v>
      </c>
      <c r="G215" s="12">
        <v>0.32100000000000001</v>
      </c>
      <c r="H215" s="12">
        <v>0.2366</v>
      </c>
      <c r="I215" s="12">
        <v>0.2366</v>
      </c>
      <c r="J215" s="9" t="s">
        <v>412</v>
      </c>
      <c r="K215" s="9" t="s">
        <v>654</v>
      </c>
    </row>
    <row r="216" spans="1:11" ht="28.8">
      <c r="A216" s="9" t="s">
        <v>682</v>
      </c>
      <c r="B216" s="9" t="s">
        <v>657</v>
      </c>
      <c r="C216" s="9" t="s">
        <v>601</v>
      </c>
      <c r="D216" s="12">
        <v>-3.2099999999999997E-2</v>
      </c>
      <c r="E216" s="12">
        <v>-0.1056</v>
      </c>
      <c r="F216" s="12">
        <v>0.57169999999999999</v>
      </c>
      <c r="G216" s="12">
        <v>-6.8849999999999995E-2</v>
      </c>
      <c r="H216" s="12">
        <v>0.1447</v>
      </c>
      <c r="I216" s="12">
        <v>0.23649999999999999</v>
      </c>
      <c r="J216" s="9" t="s">
        <v>412</v>
      </c>
      <c r="K216" s="9" t="s">
        <v>604</v>
      </c>
    </row>
    <row r="217" spans="1:11" ht="28.8">
      <c r="A217" s="9" t="s">
        <v>603</v>
      </c>
      <c r="B217" s="9" t="s">
        <v>657</v>
      </c>
      <c r="C217" s="9" t="s">
        <v>674</v>
      </c>
      <c r="D217" s="12">
        <v>-0.1212</v>
      </c>
      <c r="E217" s="12">
        <v>0.45229999999999998</v>
      </c>
      <c r="F217" s="12">
        <v>-0.1331</v>
      </c>
      <c r="G217" s="12">
        <v>0.16554999999999997</v>
      </c>
      <c r="H217" s="12">
        <v>6.6000000000000003E-2</v>
      </c>
      <c r="I217" s="12">
        <v>0.2356</v>
      </c>
      <c r="J217" s="9" t="s">
        <v>412</v>
      </c>
      <c r="K217" s="9" t="s">
        <v>604</v>
      </c>
    </row>
    <row r="218" spans="1:11" ht="28.8">
      <c r="A218" s="9" t="s">
        <v>661</v>
      </c>
      <c r="B218" s="9" t="s">
        <v>653</v>
      </c>
      <c r="C218" s="9" t="s">
        <v>670</v>
      </c>
      <c r="D218" s="12">
        <v>-0.29680000000000001</v>
      </c>
      <c r="E218" s="12">
        <v>-0.21010000000000001</v>
      </c>
      <c r="F218" s="12">
        <v>0.19900000000000001</v>
      </c>
      <c r="G218" s="12">
        <v>-0.25345000000000001</v>
      </c>
      <c r="H218" s="12">
        <v>-0.1026</v>
      </c>
      <c r="I218" s="12">
        <v>0.23530000000000001</v>
      </c>
      <c r="J218" s="9" t="s">
        <v>412</v>
      </c>
      <c r="K218" s="9" t="s">
        <v>604</v>
      </c>
    </row>
    <row r="219" spans="1:11">
      <c r="A219" s="9" t="s">
        <v>610</v>
      </c>
      <c r="B219" s="9" t="s">
        <v>657</v>
      </c>
      <c r="C219" s="9" t="s">
        <v>656</v>
      </c>
      <c r="D219" s="12">
        <v>6.5699999999999995E-2</v>
      </c>
      <c r="E219" s="12">
        <v>-0.1171</v>
      </c>
      <c r="F219" s="12">
        <v>-0.52270000000000005</v>
      </c>
      <c r="G219" s="12">
        <v>-2.5700000000000001E-2</v>
      </c>
      <c r="H219" s="12">
        <v>-0.19139999999999999</v>
      </c>
      <c r="I219" s="12">
        <v>0.23519999999999999</v>
      </c>
      <c r="J219" s="9" t="s">
        <v>412</v>
      </c>
      <c r="K219" s="9" t="s">
        <v>604</v>
      </c>
    </row>
    <row r="220" spans="1:11" ht="28.8">
      <c r="A220" s="9" t="s">
        <v>661</v>
      </c>
      <c r="B220" s="9" t="s">
        <v>602</v>
      </c>
      <c r="C220" s="9" t="s">
        <v>656</v>
      </c>
      <c r="D220" s="12">
        <v>0.32640000000000002</v>
      </c>
      <c r="E220" s="12">
        <v>2.06E-2</v>
      </c>
      <c r="F220" s="12">
        <v>0.35680000000000001</v>
      </c>
      <c r="G220" s="12">
        <v>0.17350000000000002</v>
      </c>
      <c r="H220" s="12">
        <v>0.2346</v>
      </c>
      <c r="I220" s="12">
        <v>0.2346</v>
      </c>
      <c r="J220" s="9" t="s">
        <v>412</v>
      </c>
      <c r="K220" s="9" t="s">
        <v>654</v>
      </c>
    </row>
    <row r="221" spans="1:11" ht="28.8">
      <c r="A221" s="9" t="s">
        <v>603</v>
      </c>
      <c r="B221" s="9" t="s">
        <v>686</v>
      </c>
      <c r="C221" s="9" t="s">
        <v>655</v>
      </c>
      <c r="D221" s="12">
        <v>-0.47539999999999999</v>
      </c>
      <c r="E221" s="12">
        <v>-0.11899999999999999</v>
      </c>
      <c r="F221" s="12">
        <v>0.1085</v>
      </c>
      <c r="G221" s="12">
        <v>-0.29720000000000002</v>
      </c>
      <c r="H221" s="12">
        <v>-0.16189999999999999</v>
      </c>
      <c r="I221" s="12">
        <v>0.23430000000000001</v>
      </c>
      <c r="J221" s="9" t="s">
        <v>412</v>
      </c>
      <c r="K221" s="9" t="s">
        <v>604</v>
      </c>
    </row>
    <row r="222" spans="1:11" ht="28.8">
      <c r="A222" s="9" t="s">
        <v>661</v>
      </c>
      <c r="B222" s="9" t="s">
        <v>665</v>
      </c>
      <c r="C222" s="9" t="s">
        <v>601</v>
      </c>
      <c r="D222" s="12">
        <v>-0.2266</v>
      </c>
      <c r="E222" s="12">
        <v>0.1731</v>
      </c>
      <c r="F222" s="12">
        <v>-0.30330000000000001</v>
      </c>
      <c r="G222" s="12">
        <v>-2.6749999999999996E-2</v>
      </c>
      <c r="H222" s="12">
        <v>-0.11890000000000001</v>
      </c>
      <c r="I222" s="12">
        <v>0.23430000000000001</v>
      </c>
      <c r="J222" s="9" t="s">
        <v>412</v>
      </c>
      <c r="K222" s="9" t="s">
        <v>604</v>
      </c>
    </row>
    <row r="223" spans="1:11" ht="28.8">
      <c r="A223" s="9" t="s">
        <v>603</v>
      </c>
      <c r="B223" s="9" t="s">
        <v>673</v>
      </c>
      <c r="C223" s="9" t="s">
        <v>675</v>
      </c>
      <c r="D223" s="12">
        <v>-0.18360000000000001</v>
      </c>
      <c r="E223" s="12">
        <v>0.2681</v>
      </c>
      <c r="F223" s="12">
        <v>-0.25030000000000002</v>
      </c>
      <c r="G223" s="12">
        <v>4.2249999999999996E-2</v>
      </c>
      <c r="H223" s="12">
        <v>-5.5300000000000002E-2</v>
      </c>
      <c r="I223" s="12">
        <v>0.23400000000000001</v>
      </c>
      <c r="J223" s="9" t="s">
        <v>412</v>
      </c>
      <c r="K223" s="9" t="s">
        <v>604</v>
      </c>
    </row>
    <row r="224" spans="1:11" ht="28.8">
      <c r="A224" s="9" t="s">
        <v>662</v>
      </c>
      <c r="B224" s="9" t="s">
        <v>660</v>
      </c>
      <c r="C224" s="9" t="s">
        <v>601</v>
      </c>
      <c r="D224" s="12">
        <v>-0.1173</v>
      </c>
      <c r="E224" s="12">
        <v>-0.1187</v>
      </c>
      <c r="F224" s="12">
        <v>0.4652</v>
      </c>
      <c r="G224" s="12">
        <v>-0.11799999999999999</v>
      </c>
      <c r="H224" s="12">
        <v>7.6399999999999996E-2</v>
      </c>
      <c r="I224" s="12">
        <v>0.23369999999999999</v>
      </c>
      <c r="J224" s="9" t="s">
        <v>412</v>
      </c>
      <c r="K224" s="9" t="s">
        <v>604</v>
      </c>
    </row>
    <row r="225" spans="1:11" ht="28.8">
      <c r="A225" s="9" t="s">
        <v>661</v>
      </c>
      <c r="B225" s="9" t="s">
        <v>668</v>
      </c>
      <c r="C225" s="9" t="s">
        <v>601</v>
      </c>
      <c r="D225" s="12">
        <v>-0.2266</v>
      </c>
      <c r="E225" s="12">
        <v>-0.13339999999999999</v>
      </c>
      <c r="F225" s="12">
        <v>0.33939999999999998</v>
      </c>
      <c r="G225" s="12">
        <v>-0.18</v>
      </c>
      <c r="H225" s="12">
        <v>-6.8999999999999999E-3</v>
      </c>
      <c r="I225" s="12">
        <v>0.2331</v>
      </c>
      <c r="J225" s="9" t="s">
        <v>412</v>
      </c>
      <c r="K225" s="9" t="s">
        <v>604</v>
      </c>
    </row>
    <row r="226" spans="1:11" ht="28.8">
      <c r="A226" s="9" t="s">
        <v>603</v>
      </c>
      <c r="B226" s="9" t="s">
        <v>673</v>
      </c>
      <c r="C226" s="9" t="s">
        <v>670</v>
      </c>
      <c r="D226" s="12">
        <v>0.28070000000000001</v>
      </c>
      <c r="E226" s="12">
        <v>0.2681</v>
      </c>
      <c r="F226" s="12">
        <v>0.15040000000000001</v>
      </c>
      <c r="G226" s="12">
        <v>0.27439999999999998</v>
      </c>
      <c r="H226" s="12">
        <v>0.2331</v>
      </c>
      <c r="I226" s="12">
        <v>0.2331</v>
      </c>
      <c r="J226" s="9" t="s">
        <v>412</v>
      </c>
      <c r="K226" s="9" t="s">
        <v>654</v>
      </c>
    </row>
    <row r="227" spans="1:11">
      <c r="A227" s="9" t="s">
        <v>609</v>
      </c>
      <c r="B227" s="9" t="s">
        <v>672</v>
      </c>
      <c r="C227" s="9" t="s">
        <v>659</v>
      </c>
      <c r="D227" s="12">
        <v>0.47620000000000001</v>
      </c>
      <c r="E227" s="12">
        <v>-0.1148</v>
      </c>
      <c r="F227" s="12">
        <v>-0.10730000000000001</v>
      </c>
      <c r="G227" s="12">
        <v>0.1807</v>
      </c>
      <c r="H227" s="12">
        <v>8.4699999999999998E-2</v>
      </c>
      <c r="I227" s="12">
        <v>0.23280000000000001</v>
      </c>
      <c r="J227" s="9" t="s">
        <v>412</v>
      </c>
      <c r="K227" s="9" t="s">
        <v>604</v>
      </c>
    </row>
    <row r="228" spans="1:11" ht="28.8">
      <c r="A228" s="9" t="s">
        <v>603</v>
      </c>
      <c r="B228" s="9" t="s">
        <v>676</v>
      </c>
      <c r="C228" s="9" t="s">
        <v>670</v>
      </c>
      <c r="D228" s="12">
        <v>0.28070000000000001</v>
      </c>
      <c r="E228" s="12">
        <v>-0.1002</v>
      </c>
      <c r="F228" s="12">
        <v>-0.3165</v>
      </c>
      <c r="G228" s="12">
        <v>9.0249999999999997E-2</v>
      </c>
      <c r="H228" s="12">
        <v>-4.53E-2</v>
      </c>
      <c r="I228" s="12">
        <v>0.23250000000000001</v>
      </c>
      <c r="J228" s="9" t="s">
        <v>412</v>
      </c>
      <c r="K228" s="9" t="s">
        <v>604</v>
      </c>
    </row>
    <row r="229" spans="1:11">
      <c r="A229" s="9" t="s">
        <v>662</v>
      </c>
      <c r="B229" s="9" t="s">
        <v>653</v>
      </c>
      <c r="C229" s="9" t="s">
        <v>667</v>
      </c>
      <c r="D229" s="12">
        <v>0.12540000000000001</v>
      </c>
      <c r="E229" s="12">
        <v>-0.2021</v>
      </c>
      <c r="F229" s="12">
        <v>-0.36870000000000003</v>
      </c>
      <c r="G229" s="12">
        <v>-3.8349999999999995E-2</v>
      </c>
      <c r="H229" s="12">
        <v>-0.1484</v>
      </c>
      <c r="I229" s="12">
        <v>0.2321</v>
      </c>
      <c r="J229" s="9" t="s">
        <v>412</v>
      </c>
      <c r="K229" s="9" t="s">
        <v>604</v>
      </c>
    </row>
    <row r="230" spans="1:11" ht="28.8">
      <c r="A230" s="9" t="s">
        <v>661</v>
      </c>
      <c r="B230" s="9" t="s">
        <v>672</v>
      </c>
      <c r="C230" s="9" t="s">
        <v>656</v>
      </c>
      <c r="D230" s="12">
        <v>0.32640000000000002</v>
      </c>
      <c r="E230" s="12">
        <v>0.30880000000000002</v>
      </c>
      <c r="F230" s="12">
        <v>6.0400000000000002E-2</v>
      </c>
      <c r="G230" s="12">
        <v>0.31759999999999999</v>
      </c>
      <c r="H230" s="12">
        <v>0.2319</v>
      </c>
      <c r="I230" s="12">
        <v>0.2319</v>
      </c>
      <c r="J230" s="9" t="s">
        <v>412</v>
      </c>
      <c r="K230" s="9" t="s">
        <v>654</v>
      </c>
    </row>
    <row r="231" spans="1:11">
      <c r="A231" s="9" t="s">
        <v>662</v>
      </c>
      <c r="B231" s="9" t="s">
        <v>657</v>
      </c>
      <c r="C231" s="9" t="s">
        <v>655</v>
      </c>
      <c r="D231" s="12">
        <v>5.6899999999999999E-2</v>
      </c>
      <c r="E231" s="12">
        <v>4.3299999999999998E-2</v>
      </c>
      <c r="F231" s="12">
        <v>-0.59499999999999997</v>
      </c>
      <c r="G231" s="12">
        <v>5.0099999999999999E-2</v>
      </c>
      <c r="H231" s="12">
        <v>-0.16489999999999999</v>
      </c>
      <c r="I231" s="12">
        <v>0.23180000000000001</v>
      </c>
      <c r="J231" s="9" t="s">
        <v>412</v>
      </c>
      <c r="K231" s="9" t="s">
        <v>604</v>
      </c>
    </row>
    <row r="232" spans="1:11" ht="28.8">
      <c r="A232" s="9" t="s">
        <v>671</v>
      </c>
      <c r="B232" s="9" t="s">
        <v>658</v>
      </c>
      <c r="C232" s="9" t="s">
        <v>663</v>
      </c>
      <c r="D232" s="12">
        <v>9.4399999999999998E-2</v>
      </c>
      <c r="E232" s="12">
        <v>0.18609999999999999</v>
      </c>
      <c r="F232" s="12">
        <v>0.41449999999999998</v>
      </c>
      <c r="G232" s="12">
        <v>0.14024999999999999</v>
      </c>
      <c r="H232" s="12">
        <v>0.23169999999999999</v>
      </c>
      <c r="I232" s="12">
        <v>0.23169999999999999</v>
      </c>
      <c r="J232" s="9" t="s">
        <v>412</v>
      </c>
      <c r="K232" s="9" t="s">
        <v>654</v>
      </c>
    </row>
    <row r="233" spans="1:11">
      <c r="A233" s="9" t="s">
        <v>609</v>
      </c>
      <c r="B233" s="9" t="s">
        <v>668</v>
      </c>
      <c r="C233" s="9" t="s">
        <v>659</v>
      </c>
      <c r="D233" s="12">
        <v>0.47620000000000001</v>
      </c>
      <c r="E233" s="12">
        <v>-4.02E-2</v>
      </c>
      <c r="F233" s="12">
        <v>-0.17549999999999999</v>
      </c>
      <c r="G233" s="12">
        <v>0.218</v>
      </c>
      <c r="H233" s="12">
        <v>8.6800000000000002E-2</v>
      </c>
      <c r="I233" s="12">
        <v>0.2306</v>
      </c>
      <c r="J233" s="9" t="s">
        <v>412</v>
      </c>
      <c r="K233" s="9" t="s">
        <v>604</v>
      </c>
    </row>
    <row r="234" spans="1:11" ht="28.8">
      <c r="A234" s="9" t="s">
        <v>603</v>
      </c>
      <c r="B234" s="9" t="s">
        <v>687</v>
      </c>
      <c r="C234" s="9" t="s">
        <v>656</v>
      </c>
      <c r="D234" s="12">
        <v>-0.41320000000000001</v>
      </c>
      <c r="E234" s="12">
        <v>-0.1457</v>
      </c>
      <c r="F234" s="12">
        <v>-0.13239999999999999</v>
      </c>
      <c r="G234" s="12">
        <v>-0.27944999999999998</v>
      </c>
      <c r="H234" s="12">
        <v>-0.23039999999999999</v>
      </c>
      <c r="I234" s="12">
        <v>0.23039999999999999</v>
      </c>
      <c r="J234" s="9" t="s">
        <v>412</v>
      </c>
      <c r="K234" s="9" t="s">
        <v>604</v>
      </c>
    </row>
    <row r="235" spans="1:11">
      <c r="A235" s="9" t="s">
        <v>609</v>
      </c>
      <c r="B235" s="9" t="s">
        <v>668</v>
      </c>
      <c r="C235" s="9" t="s">
        <v>656</v>
      </c>
      <c r="D235" s="12">
        <v>0.22770000000000001</v>
      </c>
      <c r="E235" s="12">
        <v>-4.02E-2</v>
      </c>
      <c r="F235" s="12">
        <v>-0.42299999999999999</v>
      </c>
      <c r="G235" s="12">
        <v>9.375E-2</v>
      </c>
      <c r="H235" s="12">
        <v>-7.85E-2</v>
      </c>
      <c r="I235" s="12">
        <v>0.2303</v>
      </c>
      <c r="J235" s="9" t="s">
        <v>412</v>
      </c>
      <c r="K235" s="9" t="s">
        <v>604</v>
      </c>
    </row>
    <row r="236" spans="1:11" ht="28.8">
      <c r="A236" s="9" t="s">
        <v>679</v>
      </c>
      <c r="B236" s="9" t="s">
        <v>685</v>
      </c>
      <c r="C236" s="9" t="s">
        <v>667</v>
      </c>
      <c r="D236" s="12">
        <v>-0.12280000000000001</v>
      </c>
      <c r="E236" s="12">
        <v>0.22770000000000001</v>
      </c>
      <c r="F236" s="12">
        <v>0.33929999999999999</v>
      </c>
      <c r="G236" s="12">
        <v>5.2450000000000004E-2</v>
      </c>
      <c r="H236" s="12">
        <v>0.14810000000000001</v>
      </c>
      <c r="I236" s="12">
        <v>0.23</v>
      </c>
      <c r="J236" s="9" t="s">
        <v>412</v>
      </c>
      <c r="K236" s="9" t="s">
        <v>604</v>
      </c>
    </row>
    <row r="237" spans="1:11" ht="28.8">
      <c r="A237" s="9" t="s">
        <v>661</v>
      </c>
      <c r="B237" s="9" t="s">
        <v>665</v>
      </c>
      <c r="C237" s="9" t="s">
        <v>655</v>
      </c>
      <c r="D237" s="12">
        <v>0.17599999999999999</v>
      </c>
      <c r="E237" s="12">
        <v>0.1731</v>
      </c>
      <c r="F237" s="12">
        <v>0.34079999999999999</v>
      </c>
      <c r="G237" s="12">
        <v>0.17454999999999998</v>
      </c>
      <c r="H237" s="12">
        <v>0.23</v>
      </c>
      <c r="I237" s="12">
        <v>0.23</v>
      </c>
      <c r="J237" s="9" t="s">
        <v>412</v>
      </c>
      <c r="K237" s="9" t="s">
        <v>654</v>
      </c>
    </row>
    <row r="238" spans="1:11" ht="28.8">
      <c r="A238" s="9" t="s">
        <v>609</v>
      </c>
      <c r="B238" s="9" t="s">
        <v>657</v>
      </c>
      <c r="C238" s="9" t="s">
        <v>666</v>
      </c>
      <c r="D238" s="12">
        <v>-7.7700000000000005E-2</v>
      </c>
      <c r="E238" s="12">
        <v>-0.28839999999999999</v>
      </c>
      <c r="F238" s="12">
        <v>-0.32350000000000001</v>
      </c>
      <c r="G238" s="12">
        <v>-0.18304999999999999</v>
      </c>
      <c r="H238" s="12">
        <v>-0.22989999999999999</v>
      </c>
      <c r="I238" s="12">
        <v>0.22989999999999999</v>
      </c>
      <c r="J238" s="9" t="s">
        <v>412</v>
      </c>
      <c r="K238" s="9" t="s">
        <v>604</v>
      </c>
    </row>
    <row r="239" spans="1:11" ht="28.8">
      <c r="A239" s="9" t="s">
        <v>610</v>
      </c>
      <c r="B239" s="9" t="s">
        <v>602</v>
      </c>
      <c r="C239" s="9" t="s">
        <v>601</v>
      </c>
      <c r="D239" s="12">
        <v>8.48E-2</v>
      </c>
      <c r="E239" s="12">
        <v>-0.19400000000000001</v>
      </c>
      <c r="F239" s="12">
        <v>-0.41089999999999999</v>
      </c>
      <c r="G239" s="12">
        <v>-5.4600000000000003E-2</v>
      </c>
      <c r="H239" s="12">
        <v>-0.17330000000000001</v>
      </c>
      <c r="I239" s="12">
        <v>0.22989999999999999</v>
      </c>
      <c r="J239" s="9" t="s">
        <v>412</v>
      </c>
      <c r="K239" s="9" t="s">
        <v>604</v>
      </c>
    </row>
    <row r="240" spans="1:11">
      <c r="A240" s="9" t="s">
        <v>610</v>
      </c>
      <c r="B240" s="9" t="s">
        <v>602</v>
      </c>
      <c r="C240" s="9" t="s">
        <v>655</v>
      </c>
      <c r="D240" s="12">
        <v>-9.4E-2</v>
      </c>
      <c r="E240" s="12">
        <v>-0.19400000000000001</v>
      </c>
      <c r="F240" s="12">
        <v>0.4002</v>
      </c>
      <c r="G240" s="12">
        <v>-0.14400000000000002</v>
      </c>
      <c r="H240" s="12">
        <v>3.7400000000000003E-2</v>
      </c>
      <c r="I240" s="12">
        <v>0.22939999999999999</v>
      </c>
      <c r="J240" s="9" t="s">
        <v>412</v>
      </c>
      <c r="K240" s="9" t="s">
        <v>604</v>
      </c>
    </row>
    <row r="241" spans="1:11" ht="28.8">
      <c r="A241" s="9" t="s">
        <v>671</v>
      </c>
      <c r="B241" s="9" t="s">
        <v>672</v>
      </c>
      <c r="C241" s="9" t="s">
        <v>659</v>
      </c>
      <c r="D241" s="12">
        <v>0.13159999999999999</v>
      </c>
      <c r="E241" s="12">
        <v>0.44879999999999998</v>
      </c>
      <c r="F241" s="12">
        <v>-0.10730000000000001</v>
      </c>
      <c r="G241" s="12">
        <v>0.29020000000000001</v>
      </c>
      <c r="H241" s="12">
        <v>0.15770000000000001</v>
      </c>
      <c r="I241" s="12">
        <v>0.2293</v>
      </c>
      <c r="J241" s="9" t="s">
        <v>412</v>
      </c>
      <c r="K241" s="9" t="s">
        <v>604</v>
      </c>
    </row>
    <row r="242" spans="1:11" ht="28.8">
      <c r="A242" s="9" t="s">
        <v>661</v>
      </c>
      <c r="B242" s="9" t="s">
        <v>676</v>
      </c>
      <c r="C242" s="9" t="s">
        <v>655</v>
      </c>
      <c r="D242" s="12">
        <v>0.17599999999999999</v>
      </c>
      <c r="E242" s="12">
        <v>0.33629999999999999</v>
      </c>
      <c r="F242" s="12">
        <v>0.17549999999999999</v>
      </c>
      <c r="G242" s="12">
        <v>0.25614999999999999</v>
      </c>
      <c r="H242" s="12">
        <v>0.2293</v>
      </c>
      <c r="I242" s="12">
        <v>0.2293</v>
      </c>
      <c r="J242" s="9" t="s">
        <v>412</v>
      </c>
      <c r="K242" s="9" t="s">
        <v>654</v>
      </c>
    </row>
    <row r="243" spans="1:11" ht="28.8">
      <c r="A243" s="9" t="s">
        <v>603</v>
      </c>
      <c r="B243" s="9" t="s">
        <v>658</v>
      </c>
      <c r="C243" s="9" t="s">
        <v>659</v>
      </c>
      <c r="D243" s="12">
        <v>-0.17230000000000001</v>
      </c>
      <c r="E243" s="12">
        <v>-0.46400000000000002</v>
      </c>
      <c r="F243" s="12">
        <v>-5.1400000000000001E-2</v>
      </c>
      <c r="G243" s="12">
        <v>-0.31815000000000004</v>
      </c>
      <c r="H243" s="12">
        <v>-0.22919999999999999</v>
      </c>
      <c r="I243" s="12">
        <v>0.22919999999999999</v>
      </c>
      <c r="J243" s="9" t="s">
        <v>412</v>
      </c>
      <c r="K243" s="9" t="s">
        <v>604</v>
      </c>
    </row>
    <row r="244" spans="1:11" ht="28.8">
      <c r="A244" s="9" t="s">
        <v>661</v>
      </c>
      <c r="B244" s="9" t="s">
        <v>658</v>
      </c>
      <c r="C244" s="9" t="s">
        <v>656</v>
      </c>
      <c r="D244" s="12">
        <v>0.32640000000000002</v>
      </c>
      <c r="E244" s="12">
        <v>9.5200000000000007E-2</v>
      </c>
      <c r="F244" s="12">
        <v>0.2661</v>
      </c>
      <c r="G244" s="12">
        <v>0.21080000000000002</v>
      </c>
      <c r="H244" s="12">
        <v>0.22919999999999999</v>
      </c>
      <c r="I244" s="12">
        <v>0.22919999999999999</v>
      </c>
      <c r="J244" s="9" t="s">
        <v>412</v>
      </c>
      <c r="K244" s="9" t="s">
        <v>654</v>
      </c>
    </row>
    <row r="245" spans="1:11" ht="28.8">
      <c r="A245" s="9" t="s">
        <v>679</v>
      </c>
      <c r="B245" s="9" t="s">
        <v>657</v>
      </c>
      <c r="C245" s="9" t="s">
        <v>656</v>
      </c>
      <c r="D245" s="12">
        <v>-2.2700000000000001E-2</v>
      </c>
      <c r="E245" s="12">
        <v>0.14180000000000001</v>
      </c>
      <c r="F245" s="12">
        <v>-0.52270000000000005</v>
      </c>
      <c r="G245" s="12">
        <v>5.9550000000000006E-2</v>
      </c>
      <c r="H245" s="12">
        <v>-0.13450000000000001</v>
      </c>
      <c r="I245" s="12">
        <v>0.2291</v>
      </c>
      <c r="J245" s="9" t="s">
        <v>412</v>
      </c>
      <c r="K245" s="9" t="s">
        <v>604</v>
      </c>
    </row>
    <row r="246" spans="1:11" ht="28.8">
      <c r="A246" s="9" t="s">
        <v>603</v>
      </c>
      <c r="B246" s="9" t="s">
        <v>672</v>
      </c>
      <c r="C246" s="9" t="s">
        <v>656</v>
      </c>
      <c r="D246" s="12">
        <v>-0.41320000000000001</v>
      </c>
      <c r="E246" s="12">
        <v>-0.21229999999999999</v>
      </c>
      <c r="F246" s="12">
        <v>6.0400000000000002E-2</v>
      </c>
      <c r="G246" s="12">
        <v>-0.31274999999999997</v>
      </c>
      <c r="H246" s="12">
        <v>-0.18840000000000001</v>
      </c>
      <c r="I246" s="12">
        <v>0.22869999999999999</v>
      </c>
      <c r="J246" s="9" t="s">
        <v>412</v>
      </c>
      <c r="K246" s="9" t="s">
        <v>604</v>
      </c>
    </row>
    <row r="247" spans="1:11">
      <c r="A247" s="9" t="s">
        <v>609</v>
      </c>
      <c r="B247" s="9" t="s">
        <v>613</v>
      </c>
      <c r="C247" s="9" t="s">
        <v>663</v>
      </c>
      <c r="D247" s="12">
        <v>-0.12770000000000001</v>
      </c>
      <c r="E247" s="12">
        <v>0.4844</v>
      </c>
      <c r="F247" s="12">
        <v>-7.3700000000000002E-2</v>
      </c>
      <c r="G247" s="12">
        <v>0.17835000000000001</v>
      </c>
      <c r="H247" s="12">
        <v>9.4299999999999995E-2</v>
      </c>
      <c r="I247" s="12">
        <v>0.2286</v>
      </c>
      <c r="J247" s="9" t="s">
        <v>412</v>
      </c>
      <c r="K247" s="9" t="s">
        <v>604</v>
      </c>
    </row>
    <row r="248" spans="1:11">
      <c r="A248" s="9" t="s">
        <v>609</v>
      </c>
      <c r="B248" s="9" t="s">
        <v>678</v>
      </c>
      <c r="C248" s="9" t="s">
        <v>670</v>
      </c>
      <c r="D248" s="12">
        <v>-0.32040000000000002</v>
      </c>
      <c r="E248" s="12">
        <v>-0.10390000000000001</v>
      </c>
      <c r="F248" s="12">
        <v>0.26069999999999999</v>
      </c>
      <c r="G248" s="12">
        <v>-0.21215000000000001</v>
      </c>
      <c r="H248" s="12">
        <v>-5.45E-2</v>
      </c>
      <c r="I248" s="12">
        <v>0.2283</v>
      </c>
      <c r="J248" s="9" t="s">
        <v>412</v>
      </c>
      <c r="K248" s="9" t="s">
        <v>604</v>
      </c>
    </row>
    <row r="249" spans="1:11" ht="28.8">
      <c r="A249" s="9" t="s">
        <v>603</v>
      </c>
      <c r="B249" s="9" t="s">
        <v>688</v>
      </c>
      <c r="C249" s="9" t="s">
        <v>664</v>
      </c>
      <c r="D249" s="12">
        <v>0.4093</v>
      </c>
      <c r="E249" s="12">
        <v>-2.2200000000000001E-2</v>
      </c>
      <c r="F249" s="12">
        <v>0.251</v>
      </c>
      <c r="G249" s="12">
        <v>0.19355</v>
      </c>
      <c r="H249" s="12">
        <v>0.2127</v>
      </c>
      <c r="I249" s="12">
        <v>0.22750000000000001</v>
      </c>
      <c r="J249" s="9" t="s">
        <v>412</v>
      </c>
      <c r="K249" s="9" t="s">
        <v>604</v>
      </c>
    </row>
    <row r="250" spans="1:11" ht="28.8">
      <c r="A250" s="9" t="s">
        <v>671</v>
      </c>
      <c r="B250" s="9" t="s">
        <v>660</v>
      </c>
      <c r="C250" s="9" t="s">
        <v>655</v>
      </c>
      <c r="D250" s="12">
        <v>0.1215</v>
      </c>
      <c r="E250" s="12">
        <v>-0.1037</v>
      </c>
      <c r="F250" s="12">
        <v>-0.45660000000000001</v>
      </c>
      <c r="G250" s="12">
        <v>8.8999999999999982E-3</v>
      </c>
      <c r="H250" s="12">
        <v>-0.14630000000000001</v>
      </c>
      <c r="I250" s="12">
        <v>0.2273</v>
      </c>
      <c r="J250" s="9" t="s">
        <v>412</v>
      </c>
      <c r="K250" s="9" t="s">
        <v>604</v>
      </c>
    </row>
    <row r="251" spans="1:11" ht="28.8">
      <c r="A251" s="9" t="s">
        <v>603</v>
      </c>
      <c r="B251" s="9" t="s">
        <v>681</v>
      </c>
      <c r="C251" s="9" t="s">
        <v>664</v>
      </c>
      <c r="D251" s="12">
        <v>0.4093</v>
      </c>
      <c r="E251" s="12">
        <v>-0.19009999999999999</v>
      </c>
      <c r="F251" s="12">
        <v>-8.14E-2</v>
      </c>
      <c r="G251" s="12">
        <v>0.1096</v>
      </c>
      <c r="H251" s="12">
        <v>4.5900000000000003E-2</v>
      </c>
      <c r="I251" s="12">
        <v>0.22700000000000001</v>
      </c>
      <c r="J251" s="9" t="s">
        <v>412</v>
      </c>
      <c r="K251" s="9" t="s">
        <v>604</v>
      </c>
    </row>
    <row r="252" spans="1:11">
      <c r="A252" s="9" t="s">
        <v>662</v>
      </c>
      <c r="B252" s="9" t="s">
        <v>676</v>
      </c>
      <c r="C252" s="9" t="s">
        <v>670</v>
      </c>
      <c r="D252" s="12">
        <v>-0.18790000000000001</v>
      </c>
      <c r="E252" s="12">
        <v>0.17610000000000001</v>
      </c>
      <c r="F252" s="12">
        <v>-0.3165</v>
      </c>
      <c r="G252" s="12">
        <v>-5.9000000000000025E-3</v>
      </c>
      <c r="H252" s="12">
        <v>-0.1095</v>
      </c>
      <c r="I252" s="12">
        <v>0.2268</v>
      </c>
      <c r="J252" s="9" t="s">
        <v>412</v>
      </c>
      <c r="K252" s="9" t="s">
        <v>604</v>
      </c>
    </row>
    <row r="253" spans="1:11" ht="28.8">
      <c r="A253" s="9" t="s">
        <v>679</v>
      </c>
      <c r="B253" s="9" t="s">
        <v>676</v>
      </c>
      <c r="C253" s="9" t="s">
        <v>670</v>
      </c>
      <c r="D253" s="12">
        <v>-9.5200000000000007E-2</v>
      </c>
      <c r="E253" s="12">
        <v>0.26829999999999998</v>
      </c>
      <c r="F253" s="12">
        <v>-0.3165</v>
      </c>
      <c r="G253" s="12">
        <v>8.6549999999999988E-2</v>
      </c>
      <c r="H253" s="12">
        <v>-4.7800000000000002E-2</v>
      </c>
      <c r="I253" s="12">
        <v>0.22670000000000001</v>
      </c>
      <c r="J253" s="9" t="s">
        <v>412</v>
      </c>
      <c r="K253" s="9" t="s">
        <v>604</v>
      </c>
    </row>
    <row r="254" spans="1:11" ht="28.8">
      <c r="A254" s="9" t="s">
        <v>671</v>
      </c>
      <c r="B254" s="9" t="s">
        <v>669</v>
      </c>
      <c r="C254" s="9" t="s">
        <v>670</v>
      </c>
      <c r="D254" s="12">
        <v>-0.32890000000000003</v>
      </c>
      <c r="E254" s="12">
        <v>0.20669999999999999</v>
      </c>
      <c r="F254" s="12">
        <v>-0.14330000000000001</v>
      </c>
      <c r="G254" s="12">
        <v>-6.1100000000000015E-2</v>
      </c>
      <c r="H254" s="12">
        <v>-8.8499999999999995E-2</v>
      </c>
      <c r="I254" s="12">
        <v>0.2263</v>
      </c>
      <c r="J254" s="9" t="s">
        <v>412</v>
      </c>
      <c r="K254" s="9" t="s">
        <v>604</v>
      </c>
    </row>
    <row r="255" spans="1:11" ht="28.8">
      <c r="A255" s="9" t="s">
        <v>603</v>
      </c>
      <c r="B255" s="9" t="s">
        <v>672</v>
      </c>
      <c r="C255" s="9" t="s">
        <v>666</v>
      </c>
      <c r="D255" s="12">
        <v>-0.26</v>
      </c>
      <c r="E255" s="12">
        <v>-0.21229999999999999</v>
      </c>
      <c r="F255" s="12">
        <v>0.2054</v>
      </c>
      <c r="G255" s="12">
        <v>-0.23615</v>
      </c>
      <c r="H255" s="12">
        <v>-8.8999999999999996E-2</v>
      </c>
      <c r="I255" s="12">
        <v>0.22589999999999999</v>
      </c>
      <c r="J255" s="9" t="s">
        <v>412</v>
      </c>
      <c r="K255" s="9" t="s">
        <v>604</v>
      </c>
    </row>
    <row r="256" spans="1:11" ht="28.8">
      <c r="A256" s="9" t="s">
        <v>671</v>
      </c>
      <c r="B256" s="9" t="s">
        <v>660</v>
      </c>
      <c r="C256" s="9" t="s">
        <v>601</v>
      </c>
      <c r="D256" s="12">
        <v>-0.10879999999999999</v>
      </c>
      <c r="E256" s="12">
        <v>-0.1037</v>
      </c>
      <c r="F256" s="12">
        <v>0.4652</v>
      </c>
      <c r="G256" s="12">
        <v>-0.10625</v>
      </c>
      <c r="H256" s="12">
        <v>8.4199999999999997E-2</v>
      </c>
      <c r="I256" s="12">
        <v>0.22589999999999999</v>
      </c>
      <c r="J256" s="9" t="s">
        <v>412</v>
      </c>
      <c r="K256" s="9" t="s">
        <v>604</v>
      </c>
    </row>
    <row r="257" spans="1:11">
      <c r="A257" s="9" t="s">
        <v>609</v>
      </c>
      <c r="B257" s="9" t="s">
        <v>672</v>
      </c>
      <c r="C257" s="9" t="s">
        <v>670</v>
      </c>
      <c r="D257" s="12">
        <v>-0.32040000000000002</v>
      </c>
      <c r="E257" s="12">
        <v>-0.1148</v>
      </c>
      <c r="F257" s="12">
        <v>-0.24260000000000001</v>
      </c>
      <c r="G257" s="12">
        <v>-0.21760000000000002</v>
      </c>
      <c r="H257" s="12">
        <v>-0.22589999999999999</v>
      </c>
      <c r="I257" s="12">
        <v>0.22589999999999999</v>
      </c>
      <c r="J257" s="9" t="s">
        <v>412</v>
      </c>
      <c r="K257" s="9" t="s">
        <v>604</v>
      </c>
    </row>
    <row r="258" spans="1:11" ht="28.8">
      <c r="A258" s="9" t="s">
        <v>603</v>
      </c>
      <c r="B258" s="9" t="s">
        <v>613</v>
      </c>
      <c r="C258" s="9" t="s">
        <v>667</v>
      </c>
      <c r="D258" s="12">
        <v>-6.3299999999999995E-2</v>
      </c>
      <c r="E258" s="12">
        <v>-0.35630000000000001</v>
      </c>
      <c r="F258" s="12">
        <v>0.25679999999999997</v>
      </c>
      <c r="G258" s="12">
        <v>-0.20979999999999999</v>
      </c>
      <c r="H258" s="12">
        <v>-5.4300000000000001E-2</v>
      </c>
      <c r="I258" s="12">
        <v>0.22550000000000001</v>
      </c>
      <c r="J258" s="9" t="s">
        <v>412</v>
      </c>
      <c r="K258" s="9" t="s">
        <v>604</v>
      </c>
    </row>
    <row r="259" spans="1:11">
      <c r="A259" s="9" t="s">
        <v>609</v>
      </c>
      <c r="B259" s="9" t="s">
        <v>676</v>
      </c>
      <c r="C259" s="9" t="s">
        <v>670</v>
      </c>
      <c r="D259" s="12">
        <v>-0.32040000000000002</v>
      </c>
      <c r="E259" s="12">
        <v>-3.9E-2</v>
      </c>
      <c r="F259" s="12">
        <v>-0.3165</v>
      </c>
      <c r="G259" s="12">
        <v>-0.1797</v>
      </c>
      <c r="H259" s="12">
        <v>-0.2253</v>
      </c>
      <c r="I259" s="12">
        <v>0.2253</v>
      </c>
      <c r="J259" s="9" t="s">
        <v>412</v>
      </c>
      <c r="K259" s="9" t="s">
        <v>604</v>
      </c>
    </row>
    <row r="260" spans="1:11" ht="28.8">
      <c r="A260" s="9" t="s">
        <v>671</v>
      </c>
      <c r="B260" s="9" t="s">
        <v>685</v>
      </c>
      <c r="C260" s="9" t="s">
        <v>667</v>
      </c>
      <c r="D260" s="12">
        <v>0.14219999999999999</v>
      </c>
      <c r="E260" s="12">
        <v>0.19439999999999999</v>
      </c>
      <c r="F260" s="12">
        <v>0.33929999999999999</v>
      </c>
      <c r="G260" s="12">
        <v>0.16830000000000001</v>
      </c>
      <c r="H260" s="12">
        <v>0.2253</v>
      </c>
      <c r="I260" s="12">
        <v>0.2253</v>
      </c>
      <c r="J260" s="9" t="s">
        <v>412</v>
      </c>
      <c r="K260" s="9" t="s">
        <v>654</v>
      </c>
    </row>
    <row r="261" spans="1:11" ht="28.8">
      <c r="A261" s="9" t="s">
        <v>603</v>
      </c>
      <c r="B261" s="9" t="s">
        <v>668</v>
      </c>
      <c r="C261" s="9" t="s">
        <v>670</v>
      </c>
      <c r="D261" s="12">
        <v>0.28070000000000001</v>
      </c>
      <c r="E261" s="12">
        <v>0.23269999999999999</v>
      </c>
      <c r="F261" s="12">
        <v>0.16139999999999999</v>
      </c>
      <c r="G261" s="12">
        <v>0.25669999999999998</v>
      </c>
      <c r="H261" s="12">
        <v>0.22489999999999999</v>
      </c>
      <c r="I261" s="12">
        <v>0.22489999999999999</v>
      </c>
      <c r="J261" s="9" t="s">
        <v>412</v>
      </c>
      <c r="K261" s="9" t="s">
        <v>654</v>
      </c>
    </row>
    <row r="262" spans="1:11" ht="28.8">
      <c r="A262" s="9" t="s">
        <v>682</v>
      </c>
      <c r="B262" s="9" t="s">
        <v>653</v>
      </c>
      <c r="C262" s="9" t="s">
        <v>666</v>
      </c>
      <c r="D262" s="12">
        <v>0.22600000000000001</v>
      </c>
      <c r="E262" s="12">
        <v>-4.8099999999999997E-2</v>
      </c>
      <c r="F262" s="12">
        <v>-0.40060000000000001</v>
      </c>
      <c r="G262" s="12">
        <v>8.8950000000000001E-2</v>
      </c>
      <c r="H262" s="12">
        <v>-7.4200000000000002E-2</v>
      </c>
      <c r="I262" s="12">
        <v>0.22489999999999999</v>
      </c>
      <c r="J262" s="9" t="s">
        <v>412</v>
      </c>
      <c r="K262" s="9" t="s">
        <v>604</v>
      </c>
    </row>
    <row r="263" spans="1:11" ht="28.8">
      <c r="A263" s="9" t="s">
        <v>603</v>
      </c>
      <c r="B263" s="9" t="s">
        <v>669</v>
      </c>
      <c r="C263" s="9" t="s">
        <v>674</v>
      </c>
      <c r="D263" s="12">
        <v>-0.1212</v>
      </c>
      <c r="E263" s="12">
        <v>-0.2472</v>
      </c>
      <c r="F263" s="12">
        <v>0.30640000000000001</v>
      </c>
      <c r="G263" s="12">
        <v>-0.1842</v>
      </c>
      <c r="H263" s="12">
        <v>-2.07E-2</v>
      </c>
      <c r="I263" s="12">
        <v>0.22489999999999999</v>
      </c>
      <c r="J263" s="9" t="s">
        <v>412</v>
      </c>
      <c r="K263" s="9" t="s">
        <v>604</v>
      </c>
    </row>
    <row r="264" spans="1:11" ht="28.8">
      <c r="A264" s="9" t="s">
        <v>603</v>
      </c>
      <c r="B264" s="9" t="s">
        <v>613</v>
      </c>
      <c r="C264" s="9" t="s">
        <v>666</v>
      </c>
      <c r="D264" s="12">
        <v>-0.26</v>
      </c>
      <c r="E264" s="12">
        <v>-0.35630000000000001</v>
      </c>
      <c r="F264" s="12">
        <v>5.6399999999999999E-2</v>
      </c>
      <c r="G264" s="12">
        <v>-0.30815000000000003</v>
      </c>
      <c r="H264" s="12">
        <v>-0.1867</v>
      </c>
      <c r="I264" s="12">
        <v>0.2243</v>
      </c>
      <c r="J264" s="9" t="s">
        <v>412</v>
      </c>
      <c r="K264" s="9" t="s">
        <v>604</v>
      </c>
    </row>
    <row r="265" spans="1:11" ht="28.8">
      <c r="A265" s="9" t="s">
        <v>661</v>
      </c>
      <c r="B265" s="9" t="s">
        <v>665</v>
      </c>
      <c r="C265" s="9" t="s">
        <v>656</v>
      </c>
      <c r="D265" s="12">
        <v>0.32640000000000002</v>
      </c>
      <c r="E265" s="12">
        <v>0.1731</v>
      </c>
      <c r="F265" s="12">
        <v>0.17330000000000001</v>
      </c>
      <c r="G265" s="12">
        <v>0.24975000000000003</v>
      </c>
      <c r="H265" s="12">
        <v>0.2243</v>
      </c>
      <c r="I265" s="12">
        <v>0.2243</v>
      </c>
      <c r="J265" s="9" t="s">
        <v>412</v>
      </c>
      <c r="K265" s="9" t="s">
        <v>654</v>
      </c>
    </row>
    <row r="266" spans="1:11" ht="28.8">
      <c r="A266" s="9" t="s">
        <v>661</v>
      </c>
      <c r="B266" s="9" t="s">
        <v>653</v>
      </c>
      <c r="C266" s="9" t="s">
        <v>674</v>
      </c>
      <c r="D266" s="12">
        <v>6.8199999999999997E-2</v>
      </c>
      <c r="E266" s="12">
        <v>-0.21010000000000001</v>
      </c>
      <c r="F266" s="12">
        <v>-0.39329999999999998</v>
      </c>
      <c r="G266" s="12">
        <v>-7.0950000000000013E-2</v>
      </c>
      <c r="H266" s="12">
        <v>-0.1784</v>
      </c>
      <c r="I266" s="12">
        <v>0.22389999999999999</v>
      </c>
      <c r="J266" s="9" t="s">
        <v>412</v>
      </c>
      <c r="K266" s="9" t="s">
        <v>604</v>
      </c>
    </row>
    <row r="267" spans="1:11" ht="28.8">
      <c r="A267" s="9" t="s">
        <v>603</v>
      </c>
      <c r="B267" s="9" t="s">
        <v>669</v>
      </c>
      <c r="C267" s="9" t="s">
        <v>670</v>
      </c>
      <c r="D267" s="12">
        <v>0.28070000000000001</v>
      </c>
      <c r="E267" s="12">
        <v>-0.2472</v>
      </c>
      <c r="F267" s="12">
        <v>-0.14330000000000001</v>
      </c>
      <c r="G267" s="12">
        <v>1.6750000000000001E-2</v>
      </c>
      <c r="H267" s="12">
        <v>-3.6600000000000001E-2</v>
      </c>
      <c r="I267" s="12">
        <v>0.2238</v>
      </c>
      <c r="J267" s="9" t="s">
        <v>412</v>
      </c>
      <c r="K267" s="9" t="s">
        <v>604</v>
      </c>
    </row>
    <row r="268" spans="1:11" ht="28.8">
      <c r="A268" s="9" t="s">
        <v>661</v>
      </c>
      <c r="B268" s="9" t="s">
        <v>672</v>
      </c>
      <c r="C268" s="9" t="s">
        <v>655</v>
      </c>
      <c r="D268" s="12">
        <v>0.17599999999999999</v>
      </c>
      <c r="E268" s="12">
        <v>0.30880000000000002</v>
      </c>
      <c r="F268" s="12">
        <v>0.1862</v>
      </c>
      <c r="G268" s="12">
        <v>0.2424</v>
      </c>
      <c r="H268" s="12">
        <v>0.22370000000000001</v>
      </c>
      <c r="I268" s="12">
        <v>0.22370000000000001</v>
      </c>
      <c r="J268" s="9" t="s">
        <v>412</v>
      </c>
      <c r="K268" s="9" t="s">
        <v>654</v>
      </c>
    </row>
    <row r="269" spans="1:11" ht="28.8">
      <c r="A269" s="9" t="s">
        <v>603</v>
      </c>
      <c r="B269" s="9" t="s">
        <v>613</v>
      </c>
      <c r="C269" s="9" t="s">
        <v>677</v>
      </c>
      <c r="D269" s="12">
        <v>0.14069999999999999</v>
      </c>
      <c r="E269" s="12">
        <v>-0.35630000000000001</v>
      </c>
      <c r="F269" s="12">
        <v>-0.1721</v>
      </c>
      <c r="G269" s="12">
        <v>-0.10780000000000001</v>
      </c>
      <c r="H269" s="12">
        <v>-0.12920000000000001</v>
      </c>
      <c r="I269" s="12">
        <v>0.223</v>
      </c>
      <c r="J269" s="9" t="s">
        <v>412</v>
      </c>
      <c r="K269" s="9" t="s">
        <v>604</v>
      </c>
    </row>
    <row r="270" spans="1:11" ht="28.8">
      <c r="A270" s="9" t="s">
        <v>662</v>
      </c>
      <c r="B270" s="9" t="s">
        <v>658</v>
      </c>
      <c r="C270" s="9" t="s">
        <v>601</v>
      </c>
      <c r="D270" s="12">
        <v>-0.1173</v>
      </c>
      <c r="E270" s="12">
        <v>0.11119999999999999</v>
      </c>
      <c r="F270" s="12">
        <v>-0.4405</v>
      </c>
      <c r="G270" s="12">
        <v>-3.0500000000000041E-3</v>
      </c>
      <c r="H270" s="12">
        <v>-0.1489</v>
      </c>
      <c r="I270" s="12">
        <v>0.223</v>
      </c>
      <c r="J270" s="9" t="s">
        <v>412</v>
      </c>
      <c r="K270" s="9" t="s">
        <v>604</v>
      </c>
    </row>
    <row r="271" spans="1:11" ht="28.8">
      <c r="A271" s="9" t="s">
        <v>603</v>
      </c>
      <c r="B271" s="9" t="s">
        <v>686</v>
      </c>
      <c r="C271" s="9" t="s">
        <v>601</v>
      </c>
      <c r="D271" s="12">
        <v>0.45390000000000003</v>
      </c>
      <c r="E271" s="12">
        <v>-0.11899999999999999</v>
      </c>
      <c r="F271" s="12">
        <v>-9.5100000000000004E-2</v>
      </c>
      <c r="G271" s="12">
        <v>0.16745000000000002</v>
      </c>
      <c r="H271" s="12">
        <v>7.9899999999999999E-2</v>
      </c>
      <c r="I271" s="12">
        <v>0.22270000000000001</v>
      </c>
      <c r="J271" s="9" t="s">
        <v>412</v>
      </c>
      <c r="K271" s="9" t="s">
        <v>604</v>
      </c>
    </row>
    <row r="272" spans="1:11" ht="28.8">
      <c r="A272" s="9" t="s">
        <v>661</v>
      </c>
      <c r="B272" s="9" t="s">
        <v>653</v>
      </c>
      <c r="C272" s="9" t="s">
        <v>675</v>
      </c>
      <c r="D272" s="12">
        <v>0.14380000000000001</v>
      </c>
      <c r="E272" s="12">
        <v>-0.21010000000000001</v>
      </c>
      <c r="F272" s="12">
        <v>-0.31430000000000002</v>
      </c>
      <c r="G272" s="12">
        <v>-3.3149999999999999E-2</v>
      </c>
      <c r="H272" s="12">
        <v>-0.12690000000000001</v>
      </c>
      <c r="I272" s="12">
        <v>0.22270000000000001</v>
      </c>
      <c r="J272" s="9" t="s">
        <v>412</v>
      </c>
      <c r="K272" s="9" t="s">
        <v>604</v>
      </c>
    </row>
    <row r="273" spans="1:11" ht="28.8">
      <c r="A273" s="9" t="s">
        <v>671</v>
      </c>
      <c r="B273" s="9" t="s">
        <v>672</v>
      </c>
      <c r="C273" s="9" t="s">
        <v>666</v>
      </c>
      <c r="D273" s="12">
        <v>1.34E-2</v>
      </c>
      <c r="E273" s="12">
        <v>0.44879999999999998</v>
      </c>
      <c r="F273" s="12">
        <v>0.2054</v>
      </c>
      <c r="G273" s="12">
        <v>0.2311</v>
      </c>
      <c r="H273" s="12">
        <v>0.2225</v>
      </c>
      <c r="I273" s="12">
        <v>0.2225</v>
      </c>
      <c r="J273" s="9" t="s">
        <v>412</v>
      </c>
      <c r="K273" s="9" t="s">
        <v>654</v>
      </c>
    </row>
    <row r="274" spans="1:11" ht="28.8">
      <c r="A274" s="9" t="s">
        <v>661</v>
      </c>
      <c r="B274" s="9" t="s">
        <v>684</v>
      </c>
      <c r="C274" s="9" t="s">
        <v>666</v>
      </c>
      <c r="D274" s="12">
        <v>0.2175</v>
      </c>
      <c r="E274" s="12">
        <v>0.1986</v>
      </c>
      <c r="F274" s="12">
        <v>0.25140000000000001</v>
      </c>
      <c r="G274" s="12">
        <v>0.20805000000000001</v>
      </c>
      <c r="H274" s="12">
        <v>0.2225</v>
      </c>
      <c r="I274" s="12">
        <v>0.2225</v>
      </c>
      <c r="J274" s="9" t="s">
        <v>412</v>
      </c>
      <c r="K274" s="9" t="s">
        <v>654</v>
      </c>
    </row>
    <row r="275" spans="1:11" ht="28.8">
      <c r="A275" s="9" t="s">
        <v>610</v>
      </c>
      <c r="B275" s="9" t="s">
        <v>658</v>
      </c>
      <c r="C275" s="9" t="s">
        <v>601</v>
      </c>
      <c r="D275" s="12">
        <v>8.48E-2</v>
      </c>
      <c r="E275" s="12">
        <v>-0.1421</v>
      </c>
      <c r="F275" s="12">
        <v>-0.4405</v>
      </c>
      <c r="G275" s="12">
        <v>-2.8650000000000002E-2</v>
      </c>
      <c r="H275" s="12">
        <v>-0.16589999999999999</v>
      </c>
      <c r="I275" s="12">
        <v>0.2225</v>
      </c>
      <c r="J275" s="9" t="s">
        <v>412</v>
      </c>
      <c r="K275" s="9" t="s">
        <v>604</v>
      </c>
    </row>
    <row r="276" spans="1:11" ht="28.8">
      <c r="A276" s="9" t="s">
        <v>603</v>
      </c>
      <c r="B276" s="9" t="s">
        <v>687</v>
      </c>
      <c r="C276" s="9" t="s">
        <v>655</v>
      </c>
      <c r="D276" s="12">
        <v>-0.47539999999999999</v>
      </c>
      <c r="E276" s="12">
        <v>-0.1457</v>
      </c>
      <c r="F276" s="12">
        <v>4.6100000000000002E-2</v>
      </c>
      <c r="G276" s="12">
        <v>-0.31054999999999999</v>
      </c>
      <c r="H276" s="12">
        <v>-0.19170000000000001</v>
      </c>
      <c r="I276" s="12">
        <v>0.22239999999999999</v>
      </c>
      <c r="J276" s="9" t="s">
        <v>412</v>
      </c>
      <c r="K276" s="9" t="s">
        <v>604</v>
      </c>
    </row>
    <row r="277" spans="1:11" ht="28.8">
      <c r="A277" s="9" t="s">
        <v>603</v>
      </c>
      <c r="B277" s="9" t="s">
        <v>681</v>
      </c>
      <c r="C277" s="9" t="s">
        <v>659</v>
      </c>
      <c r="D277" s="12">
        <v>-0.17230000000000001</v>
      </c>
      <c r="E277" s="12">
        <v>-0.19009999999999999</v>
      </c>
      <c r="F277" s="12">
        <v>0.30399999999999999</v>
      </c>
      <c r="G277" s="12">
        <v>-0.1812</v>
      </c>
      <c r="H277" s="12">
        <v>-1.95E-2</v>
      </c>
      <c r="I277" s="12">
        <v>0.22209999999999999</v>
      </c>
      <c r="J277" s="9" t="s">
        <v>412</v>
      </c>
      <c r="K277" s="9" t="s">
        <v>604</v>
      </c>
    </row>
    <row r="278" spans="1:11" ht="28.8">
      <c r="A278" s="9" t="s">
        <v>661</v>
      </c>
      <c r="B278" s="9" t="s">
        <v>665</v>
      </c>
      <c r="C278" s="9" t="s">
        <v>670</v>
      </c>
      <c r="D278" s="12">
        <v>-0.29680000000000001</v>
      </c>
      <c r="E278" s="12">
        <v>0.1731</v>
      </c>
      <c r="F278" s="12">
        <v>-0.1948</v>
      </c>
      <c r="G278" s="12">
        <v>-6.1850000000000002E-2</v>
      </c>
      <c r="H278" s="12">
        <v>-0.1062</v>
      </c>
      <c r="I278" s="12">
        <v>0.22159999999999999</v>
      </c>
      <c r="J278" s="9" t="s">
        <v>412</v>
      </c>
      <c r="K278" s="9" t="s">
        <v>604</v>
      </c>
    </row>
    <row r="279" spans="1:11" ht="28.8">
      <c r="A279" s="9" t="s">
        <v>603</v>
      </c>
      <c r="B279" s="9" t="s">
        <v>684</v>
      </c>
      <c r="C279" s="9" t="s">
        <v>655</v>
      </c>
      <c r="D279" s="12">
        <v>-0.47539999999999999</v>
      </c>
      <c r="E279" s="12">
        <v>-0.10829999999999999</v>
      </c>
      <c r="F279" s="12">
        <v>8.1100000000000005E-2</v>
      </c>
      <c r="G279" s="12">
        <v>-0.29185</v>
      </c>
      <c r="H279" s="12">
        <v>-0.16750000000000001</v>
      </c>
      <c r="I279" s="12">
        <v>0.22159999999999999</v>
      </c>
      <c r="J279" s="9" t="s">
        <v>412</v>
      </c>
      <c r="K279" s="9" t="s">
        <v>604</v>
      </c>
    </row>
    <row r="280" spans="1:11" ht="28.8">
      <c r="A280" s="9" t="s">
        <v>662</v>
      </c>
      <c r="B280" s="9" t="s">
        <v>653</v>
      </c>
      <c r="C280" s="9" t="s">
        <v>675</v>
      </c>
      <c r="D280" s="12">
        <v>0.14630000000000001</v>
      </c>
      <c r="E280" s="12">
        <v>-0.2021</v>
      </c>
      <c r="F280" s="12">
        <v>-0.31430000000000002</v>
      </c>
      <c r="G280" s="12">
        <v>-2.7899999999999994E-2</v>
      </c>
      <c r="H280" s="12">
        <v>-0.1234</v>
      </c>
      <c r="I280" s="12">
        <v>0.22090000000000001</v>
      </c>
      <c r="J280" s="9" t="s">
        <v>412</v>
      </c>
      <c r="K280" s="9" t="s">
        <v>604</v>
      </c>
    </row>
    <row r="281" spans="1:11" ht="28.8">
      <c r="A281" s="9" t="s">
        <v>661</v>
      </c>
      <c r="B281" s="9" t="s">
        <v>658</v>
      </c>
      <c r="C281" s="9" t="s">
        <v>670</v>
      </c>
      <c r="D281" s="12">
        <v>-0.29680000000000001</v>
      </c>
      <c r="E281" s="12">
        <v>9.5200000000000007E-2</v>
      </c>
      <c r="F281" s="12">
        <v>-0.27050000000000002</v>
      </c>
      <c r="G281" s="12">
        <v>-0.1008</v>
      </c>
      <c r="H281" s="12">
        <v>-0.15740000000000001</v>
      </c>
      <c r="I281" s="12">
        <v>0.2208</v>
      </c>
      <c r="J281" s="9" t="s">
        <v>412</v>
      </c>
      <c r="K281" s="9" t="s">
        <v>604</v>
      </c>
    </row>
    <row r="282" spans="1:11">
      <c r="A282" s="9" t="s">
        <v>682</v>
      </c>
      <c r="B282" s="9" t="s">
        <v>676</v>
      </c>
      <c r="C282" s="9" t="s">
        <v>670</v>
      </c>
      <c r="D282" s="12">
        <v>-0.19359999999999999</v>
      </c>
      <c r="E282" s="12">
        <v>0.1517</v>
      </c>
      <c r="F282" s="12">
        <v>-0.3165</v>
      </c>
      <c r="G282" s="12">
        <v>-2.0949999999999996E-2</v>
      </c>
      <c r="H282" s="12">
        <v>-0.1195</v>
      </c>
      <c r="I282" s="12">
        <v>0.22059999999999999</v>
      </c>
      <c r="J282" s="9" t="s">
        <v>412</v>
      </c>
      <c r="K282" s="9" t="s">
        <v>604</v>
      </c>
    </row>
    <row r="283" spans="1:11" ht="28.8">
      <c r="A283" s="9" t="s">
        <v>679</v>
      </c>
      <c r="B283" s="9" t="s">
        <v>669</v>
      </c>
      <c r="C283" s="9" t="s">
        <v>663</v>
      </c>
      <c r="D283" s="12">
        <v>0.13450000000000001</v>
      </c>
      <c r="E283" s="12">
        <v>8.3900000000000002E-2</v>
      </c>
      <c r="F283" s="12">
        <v>0.44319999999999998</v>
      </c>
      <c r="G283" s="12">
        <v>0.10920000000000001</v>
      </c>
      <c r="H283" s="12">
        <v>0.2205</v>
      </c>
      <c r="I283" s="12">
        <v>0.2205</v>
      </c>
      <c r="J283" s="9" t="s">
        <v>412</v>
      </c>
      <c r="K283" s="9" t="s">
        <v>654</v>
      </c>
    </row>
    <row r="284" spans="1:11" ht="28.8">
      <c r="A284" s="9" t="s">
        <v>661</v>
      </c>
      <c r="B284" s="9" t="s">
        <v>669</v>
      </c>
      <c r="C284" s="9" t="s">
        <v>601</v>
      </c>
      <c r="D284" s="12">
        <v>-0.2266</v>
      </c>
      <c r="E284" s="12">
        <v>9.1800000000000007E-2</v>
      </c>
      <c r="F284" s="12">
        <v>-0.34310000000000002</v>
      </c>
      <c r="G284" s="12">
        <v>-6.7399999999999988E-2</v>
      </c>
      <c r="H284" s="12">
        <v>-0.1593</v>
      </c>
      <c r="I284" s="12">
        <v>0.2205</v>
      </c>
      <c r="J284" s="9" t="s">
        <v>412</v>
      </c>
      <c r="K284" s="9" t="s">
        <v>604</v>
      </c>
    </row>
    <row r="285" spans="1:11" ht="28.8">
      <c r="A285" s="9" t="s">
        <v>610</v>
      </c>
      <c r="B285" s="9" t="s">
        <v>669</v>
      </c>
      <c r="C285" s="9" t="s">
        <v>601</v>
      </c>
      <c r="D285" s="12">
        <v>8.48E-2</v>
      </c>
      <c r="E285" s="12">
        <v>-0.2331</v>
      </c>
      <c r="F285" s="12">
        <v>-0.34310000000000002</v>
      </c>
      <c r="G285" s="12">
        <v>-7.4149999999999994E-2</v>
      </c>
      <c r="H285" s="12">
        <v>-0.1638</v>
      </c>
      <c r="I285" s="12">
        <v>0.2203</v>
      </c>
      <c r="J285" s="9" t="s">
        <v>412</v>
      </c>
      <c r="K285" s="9" t="s">
        <v>604</v>
      </c>
    </row>
    <row r="286" spans="1:11" ht="28.8">
      <c r="A286" s="9" t="s">
        <v>671</v>
      </c>
      <c r="B286" s="9" t="s">
        <v>669</v>
      </c>
      <c r="C286" s="9" t="s">
        <v>655</v>
      </c>
      <c r="D286" s="12">
        <v>0.1215</v>
      </c>
      <c r="E286" s="12">
        <v>0.20669999999999999</v>
      </c>
      <c r="F286" s="12">
        <v>0.33250000000000002</v>
      </c>
      <c r="G286" s="12">
        <v>0.1641</v>
      </c>
      <c r="H286" s="12">
        <v>0.22020000000000001</v>
      </c>
      <c r="I286" s="12">
        <v>0.22020000000000001</v>
      </c>
      <c r="J286" s="9" t="s">
        <v>412</v>
      </c>
      <c r="K286" s="9" t="s">
        <v>654</v>
      </c>
    </row>
    <row r="287" spans="1:11">
      <c r="A287" s="9" t="s">
        <v>610</v>
      </c>
      <c r="B287" s="9" t="s">
        <v>669</v>
      </c>
      <c r="C287" s="9" t="s">
        <v>655</v>
      </c>
      <c r="D287" s="12">
        <v>-9.4E-2</v>
      </c>
      <c r="E287" s="12">
        <v>-0.2331</v>
      </c>
      <c r="F287" s="12">
        <v>0.33250000000000002</v>
      </c>
      <c r="G287" s="12">
        <v>-0.16355</v>
      </c>
      <c r="H287" s="12">
        <v>1.8E-3</v>
      </c>
      <c r="I287" s="12">
        <v>0.21990000000000001</v>
      </c>
      <c r="J287" s="9" t="s">
        <v>412</v>
      </c>
      <c r="K287" s="9" t="s">
        <v>604</v>
      </c>
    </row>
    <row r="288" spans="1:11">
      <c r="A288" s="9" t="s">
        <v>609</v>
      </c>
      <c r="B288" s="9" t="s">
        <v>658</v>
      </c>
      <c r="C288" s="9" t="s">
        <v>655</v>
      </c>
      <c r="D288" s="12">
        <v>0.16819999999999999</v>
      </c>
      <c r="E288" s="12">
        <v>1.5599999999999999E-2</v>
      </c>
      <c r="F288" s="12">
        <v>0.4758</v>
      </c>
      <c r="G288" s="12">
        <v>9.1899999999999996E-2</v>
      </c>
      <c r="H288" s="12">
        <v>0.2198</v>
      </c>
      <c r="I288" s="12">
        <v>0.2198</v>
      </c>
      <c r="J288" s="9" t="s">
        <v>412</v>
      </c>
      <c r="K288" s="9" t="s">
        <v>654</v>
      </c>
    </row>
    <row r="289" spans="1:11" ht="28.8">
      <c r="A289" s="9" t="s">
        <v>603</v>
      </c>
      <c r="B289" s="9" t="s">
        <v>676</v>
      </c>
      <c r="C289" s="9" t="s">
        <v>656</v>
      </c>
      <c r="D289" s="12">
        <v>-0.41320000000000001</v>
      </c>
      <c r="E289" s="12">
        <v>-0.1002</v>
      </c>
      <c r="F289" s="12">
        <v>0.14560000000000001</v>
      </c>
      <c r="G289" s="12">
        <v>-0.25669999999999998</v>
      </c>
      <c r="H289" s="12">
        <v>-0.1226</v>
      </c>
      <c r="I289" s="12">
        <v>0.21970000000000001</v>
      </c>
      <c r="J289" s="9" t="s">
        <v>412</v>
      </c>
      <c r="K289" s="9" t="s">
        <v>604</v>
      </c>
    </row>
    <row r="290" spans="1:11" ht="28.8">
      <c r="A290" s="9" t="s">
        <v>671</v>
      </c>
      <c r="B290" s="9" t="s">
        <v>689</v>
      </c>
      <c r="C290" s="9" t="s">
        <v>670</v>
      </c>
      <c r="D290" s="12">
        <v>-0.32890000000000003</v>
      </c>
      <c r="E290" s="12">
        <v>-0.12859999999999999</v>
      </c>
      <c r="F290" s="12">
        <v>0.20100000000000001</v>
      </c>
      <c r="G290" s="12">
        <v>-0.22875000000000001</v>
      </c>
      <c r="H290" s="12">
        <v>-8.5500000000000007E-2</v>
      </c>
      <c r="I290" s="12">
        <v>0.2195</v>
      </c>
      <c r="J290" s="9" t="s">
        <v>412</v>
      </c>
      <c r="K290" s="9" t="s">
        <v>604</v>
      </c>
    </row>
    <row r="291" spans="1:11" ht="28.8">
      <c r="A291" s="9" t="s">
        <v>671</v>
      </c>
      <c r="B291" s="9" t="s">
        <v>669</v>
      </c>
      <c r="C291" s="9" t="s">
        <v>601</v>
      </c>
      <c r="D291" s="12">
        <v>-0.10879999999999999</v>
      </c>
      <c r="E291" s="12">
        <v>0.20669999999999999</v>
      </c>
      <c r="F291" s="12">
        <v>-0.34310000000000002</v>
      </c>
      <c r="G291" s="12">
        <v>4.895E-2</v>
      </c>
      <c r="H291" s="12">
        <v>-8.1699999999999995E-2</v>
      </c>
      <c r="I291" s="12">
        <v>0.2195</v>
      </c>
      <c r="J291" s="9" t="s">
        <v>412</v>
      </c>
      <c r="K291" s="9" t="s">
        <v>604</v>
      </c>
    </row>
    <row r="292" spans="1:11" ht="28.8">
      <c r="A292" s="9" t="s">
        <v>609</v>
      </c>
      <c r="B292" s="9" t="s">
        <v>613</v>
      </c>
      <c r="C292" s="9" t="s">
        <v>675</v>
      </c>
      <c r="D292" s="12">
        <v>9.6600000000000005E-2</v>
      </c>
      <c r="E292" s="12">
        <v>0.4844</v>
      </c>
      <c r="F292" s="12">
        <v>7.7100000000000002E-2</v>
      </c>
      <c r="G292" s="12">
        <v>0.29049999999999998</v>
      </c>
      <c r="H292" s="12">
        <v>0.21940000000000001</v>
      </c>
      <c r="I292" s="12">
        <v>0.21940000000000001</v>
      </c>
      <c r="J292" s="9" t="s">
        <v>412</v>
      </c>
      <c r="K292" s="9" t="s">
        <v>654</v>
      </c>
    </row>
    <row r="293" spans="1:11" ht="28.8">
      <c r="A293" s="9" t="s">
        <v>661</v>
      </c>
      <c r="B293" s="9" t="s">
        <v>602</v>
      </c>
      <c r="C293" s="9" t="s">
        <v>601</v>
      </c>
      <c r="D293" s="12">
        <v>-0.2266</v>
      </c>
      <c r="E293" s="12">
        <v>2.06E-2</v>
      </c>
      <c r="F293" s="12">
        <v>-0.41089999999999999</v>
      </c>
      <c r="G293" s="12">
        <v>-0.10299999999999999</v>
      </c>
      <c r="H293" s="12">
        <v>-0.2056</v>
      </c>
      <c r="I293" s="12">
        <v>0.21940000000000001</v>
      </c>
      <c r="J293" s="9" t="s">
        <v>412</v>
      </c>
      <c r="K293" s="9" t="s">
        <v>604</v>
      </c>
    </row>
    <row r="294" spans="1:11" ht="28.8">
      <c r="A294" s="9" t="s">
        <v>609</v>
      </c>
      <c r="B294" s="9" t="s">
        <v>660</v>
      </c>
      <c r="C294" s="9" t="s">
        <v>601</v>
      </c>
      <c r="D294" s="12">
        <v>-0.1671</v>
      </c>
      <c r="E294" s="12">
        <v>2.5700000000000001E-2</v>
      </c>
      <c r="F294" s="12">
        <v>0.4652</v>
      </c>
      <c r="G294" s="12">
        <v>-7.0699999999999999E-2</v>
      </c>
      <c r="H294" s="12">
        <v>0.108</v>
      </c>
      <c r="I294" s="12">
        <v>0.21929999999999999</v>
      </c>
      <c r="J294" s="9" t="s">
        <v>412</v>
      </c>
      <c r="K294" s="9" t="s">
        <v>604</v>
      </c>
    </row>
    <row r="295" spans="1:11" ht="28.8">
      <c r="A295" s="9" t="s">
        <v>603</v>
      </c>
      <c r="B295" s="9" t="s">
        <v>685</v>
      </c>
      <c r="C295" s="9" t="s">
        <v>655</v>
      </c>
      <c r="D295" s="12">
        <v>-0.47539999999999999</v>
      </c>
      <c r="E295" s="12">
        <v>1.0699999999999999E-2</v>
      </c>
      <c r="F295" s="12">
        <v>0.17069999999999999</v>
      </c>
      <c r="G295" s="12">
        <v>-0.23235</v>
      </c>
      <c r="H295" s="12">
        <v>-9.8000000000000004E-2</v>
      </c>
      <c r="I295" s="12">
        <v>0.21890000000000001</v>
      </c>
      <c r="J295" s="9" t="s">
        <v>412</v>
      </c>
      <c r="K295" s="9" t="s">
        <v>604</v>
      </c>
    </row>
    <row r="296" spans="1:11" ht="28.8">
      <c r="A296" s="9" t="s">
        <v>679</v>
      </c>
      <c r="B296" s="9" t="s">
        <v>680</v>
      </c>
      <c r="C296" s="9" t="s">
        <v>674</v>
      </c>
      <c r="D296" s="12">
        <v>0.11849999999999999</v>
      </c>
      <c r="E296" s="12">
        <v>0.1643</v>
      </c>
      <c r="F296" s="12">
        <v>0.37230000000000002</v>
      </c>
      <c r="G296" s="12">
        <v>0.1414</v>
      </c>
      <c r="H296" s="12">
        <v>0.21840000000000001</v>
      </c>
      <c r="I296" s="12">
        <v>0.21840000000000001</v>
      </c>
      <c r="J296" s="9" t="s">
        <v>412</v>
      </c>
      <c r="K296" s="9" t="s">
        <v>654</v>
      </c>
    </row>
    <row r="297" spans="1:11" ht="28.8">
      <c r="A297" s="9" t="s">
        <v>682</v>
      </c>
      <c r="B297" s="9" t="s">
        <v>657</v>
      </c>
      <c r="C297" s="9" t="s">
        <v>666</v>
      </c>
      <c r="D297" s="12">
        <v>0.22600000000000001</v>
      </c>
      <c r="E297" s="12">
        <v>-0.1056</v>
      </c>
      <c r="F297" s="12">
        <v>-0.32350000000000001</v>
      </c>
      <c r="G297" s="12">
        <v>6.0200000000000004E-2</v>
      </c>
      <c r="H297" s="12">
        <v>-6.7699999999999996E-2</v>
      </c>
      <c r="I297" s="12">
        <v>0.21840000000000001</v>
      </c>
      <c r="J297" s="9" t="s">
        <v>412</v>
      </c>
      <c r="K297" s="9" t="s">
        <v>604</v>
      </c>
    </row>
    <row r="298" spans="1:11" ht="28.8">
      <c r="A298" s="9" t="s">
        <v>610</v>
      </c>
      <c r="B298" s="9" t="s">
        <v>602</v>
      </c>
      <c r="C298" s="9" t="s">
        <v>674</v>
      </c>
      <c r="D298" s="12">
        <v>-0.1986</v>
      </c>
      <c r="E298" s="12">
        <v>-0.19400000000000001</v>
      </c>
      <c r="F298" s="12">
        <v>0.2581</v>
      </c>
      <c r="G298" s="12">
        <v>-0.1963</v>
      </c>
      <c r="H298" s="12">
        <v>-4.48E-2</v>
      </c>
      <c r="I298" s="12">
        <v>0.21690000000000001</v>
      </c>
      <c r="J298" s="9" t="s">
        <v>412</v>
      </c>
      <c r="K298" s="9" t="s">
        <v>604</v>
      </c>
    </row>
    <row r="299" spans="1:11">
      <c r="A299" s="9" t="s">
        <v>609</v>
      </c>
      <c r="B299" s="9" t="s">
        <v>660</v>
      </c>
      <c r="C299" s="9" t="s">
        <v>655</v>
      </c>
      <c r="D299" s="12">
        <v>0.16819999999999999</v>
      </c>
      <c r="E299" s="12">
        <v>2.5700000000000001E-2</v>
      </c>
      <c r="F299" s="12">
        <v>-0.45660000000000001</v>
      </c>
      <c r="G299" s="12">
        <v>9.6949999999999995E-2</v>
      </c>
      <c r="H299" s="12">
        <v>-8.7599999999999997E-2</v>
      </c>
      <c r="I299" s="12">
        <v>0.21679999999999999</v>
      </c>
      <c r="J299" s="9" t="s">
        <v>412</v>
      </c>
      <c r="K299" s="9" t="s">
        <v>604</v>
      </c>
    </row>
    <row r="300" spans="1:11" ht="28.8">
      <c r="A300" s="9" t="s">
        <v>661</v>
      </c>
      <c r="B300" s="9" t="s">
        <v>653</v>
      </c>
      <c r="C300" s="9" t="s">
        <v>663</v>
      </c>
      <c r="D300" s="12">
        <v>8.8300000000000003E-2</v>
      </c>
      <c r="E300" s="12">
        <v>-0.21010000000000001</v>
      </c>
      <c r="F300" s="12">
        <v>-0.35160000000000002</v>
      </c>
      <c r="G300" s="12">
        <v>-6.0900000000000003E-2</v>
      </c>
      <c r="H300" s="12">
        <v>-0.1578</v>
      </c>
      <c r="I300" s="12">
        <v>0.21659999999999999</v>
      </c>
      <c r="J300" s="9" t="s">
        <v>412</v>
      </c>
      <c r="K300" s="9" t="s">
        <v>604</v>
      </c>
    </row>
    <row r="301" spans="1:11" ht="28.8">
      <c r="A301" s="9" t="s">
        <v>609</v>
      </c>
      <c r="B301" s="9" t="s">
        <v>653</v>
      </c>
      <c r="C301" s="9" t="s">
        <v>675</v>
      </c>
      <c r="D301" s="12">
        <v>9.6600000000000005E-2</v>
      </c>
      <c r="E301" s="12">
        <v>-0.2389</v>
      </c>
      <c r="F301" s="12">
        <v>-0.31430000000000002</v>
      </c>
      <c r="G301" s="12">
        <v>-7.1149999999999991E-2</v>
      </c>
      <c r="H301" s="12">
        <v>-0.1522</v>
      </c>
      <c r="I301" s="12">
        <v>0.21659999999999999</v>
      </c>
      <c r="J301" s="9" t="s">
        <v>412</v>
      </c>
      <c r="K301" s="9" t="s">
        <v>604</v>
      </c>
    </row>
    <row r="302" spans="1:11">
      <c r="A302" s="9" t="s">
        <v>682</v>
      </c>
      <c r="B302" s="9" t="s">
        <v>657</v>
      </c>
      <c r="C302" s="9" t="s">
        <v>656</v>
      </c>
      <c r="D302" s="12">
        <v>-1.9900000000000001E-2</v>
      </c>
      <c r="E302" s="12">
        <v>-0.1056</v>
      </c>
      <c r="F302" s="12">
        <v>-0.52270000000000005</v>
      </c>
      <c r="G302" s="12">
        <v>-6.275E-2</v>
      </c>
      <c r="H302" s="12">
        <v>-0.21609999999999999</v>
      </c>
      <c r="I302" s="12">
        <v>0.21609999999999999</v>
      </c>
      <c r="J302" s="9" t="s">
        <v>412</v>
      </c>
      <c r="K302" s="9" t="s">
        <v>604</v>
      </c>
    </row>
    <row r="303" spans="1:11" ht="28.8">
      <c r="A303" s="9" t="s">
        <v>661</v>
      </c>
      <c r="B303" s="9" t="s">
        <v>673</v>
      </c>
      <c r="C303" s="9" t="s">
        <v>656</v>
      </c>
      <c r="D303" s="12">
        <v>0.32640000000000002</v>
      </c>
      <c r="E303" s="12">
        <v>-0.12659999999999999</v>
      </c>
      <c r="F303" s="12">
        <v>-0.19539999999999999</v>
      </c>
      <c r="G303" s="12">
        <v>9.9900000000000017E-2</v>
      </c>
      <c r="H303" s="12">
        <v>1.5E-3</v>
      </c>
      <c r="I303" s="12">
        <v>0.21609999999999999</v>
      </c>
      <c r="J303" s="9" t="s">
        <v>412</v>
      </c>
      <c r="K303" s="9" t="s">
        <v>604</v>
      </c>
    </row>
    <row r="304" spans="1:11">
      <c r="A304" s="9" t="s">
        <v>662</v>
      </c>
      <c r="B304" s="9" t="s">
        <v>669</v>
      </c>
      <c r="C304" s="9" t="s">
        <v>663</v>
      </c>
      <c r="D304" s="12">
        <v>7.4700000000000003E-2</v>
      </c>
      <c r="E304" s="12">
        <v>0.1298</v>
      </c>
      <c r="F304" s="12">
        <v>0.44319999999999998</v>
      </c>
      <c r="G304" s="12">
        <v>0.10225000000000001</v>
      </c>
      <c r="H304" s="12">
        <v>0.21590000000000001</v>
      </c>
      <c r="I304" s="12">
        <v>0.21590000000000001</v>
      </c>
      <c r="J304" s="9" t="s">
        <v>412</v>
      </c>
      <c r="K304" s="9" t="s">
        <v>654</v>
      </c>
    </row>
    <row r="305" spans="1:11">
      <c r="A305" s="9" t="s">
        <v>662</v>
      </c>
      <c r="B305" s="9" t="s">
        <v>658</v>
      </c>
      <c r="C305" s="9" t="s">
        <v>655</v>
      </c>
      <c r="D305" s="12">
        <v>5.6899999999999999E-2</v>
      </c>
      <c r="E305" s="12">
        <v>0.11119999999999999</v>
      </c>
      <c r="F305" s="12">
        <v>0.4758</v>
      </c>
      <c r="G305" s="12">
        <v>8.405E-2</v>
      </c>
      <c r="H305" s="12">
        <v>0.21460000000000001</v>
      </c>
      <c r="I305" s="12">
        <v>0.21460000000000001</v>
      </c>
      <c r="J305" s="9" t="s">
        <v>412</v>
      </c>
      <c r="K305" s="9" t="s">
        <v>654</v>
      </c>
    </row>
    <row r="306" spans="1:11" ht="28.8">
      <c r="A306" s="9" t="s">
        <v>661</v>
      </c>
      <c r="B306" s="9" t="s">
        <v>676</v>
      </c>
      <c r="C306" s="9" t="s">
        <v>675</v>
      </c>
      <c r="D306" s="12">
        <v>0.14380000000000001</v>
      </c>
      <c r="E306" s="12">
        <v>0.33629999999999999</v>
      </c>
      <c r="F306" s="12">
        <v>0.16320000000000001</v>
      </c>
      <c r="G306" s="12">
        <v>0.24004999999999999</v>
      </c>
      <c r="H306" s="12">
        <v>0.21440000000000001</v>
      </c>
      <c r="I306" s="12">
        <v>0.21440000000000001</v>
      </c>
      <c r="J306" s="9" t="s">
        <v>412</v>
      </c>
      <c r="K306" s="9" t="s">
        <v>654</v>
      </c>
    </row>
    <row r="307" spans="1:11" ht="28.8">
      <c r="A307" s="9" t="s">
        <v>603</v>
      </c>
      <c r="B307" s="9" t="s">
        <v>665</v>
      </c>
      <c r="C307" s="9" t="s">
        <v>659</v>
      </c>
      <c r="D307" s="12">
        <v>-0.17230000000000001</v>
      </c>
      <c r="E307" s="12">
        <v>-0.32069999999999999</v>
      </c>
      <c r="F307" s="12">
        <v>0.1502</v>
      </c>
      <c r="G307" s="12">
        <v>-0.2465</v>
      </c>
      <c r="H307" s="12">
        <v>-0.1143</v>
      </c>
      <c r="I307" s="12">
        <v>0.21440000000000001</v>
      </c>
      <c r="J307" s="9" t="s">
        <v>412</v>
      </c>
      <c r="K307" s="9" t="s">
        <v>604</v>
      </c>
    </row>
    <row r="308" spans="1:11" ht="28.8">
      <c r="A308" s="9" t="s">
        <v>671</v>
      </c>
      <c r="B308" s="9" t="s">
        <v>660</v>
      </c>
      <c r="C308" s="9" t="s">
        <v>670</v>
      </c>
      <c r="D308" s="12">
        <v>-0.32890000000000003</v>
      </c>
      <c r="E308" s="12">
        <v>-0.1037</v>
      </c>
      <c r="F308" s="12">
        <v>0.2104</v>
      </c>
      <c r="G308" s="12">
        <v>-0.21630000000000002</v>
      </c>
      <c r="H308" s="12">
        <v>-7.4099999999999999E-2</v>
      </c>
      <c r="I308" s="12">
        <v>0.21429999999999999</v>
      </c>
      <c r="J308" s="9" t="s">
        <v>412</v>
      </c>
      <c r="K308" s="9" t="s">
        <v>604</v>
      </c>
    </row>
    <row r="309" spans="1:11" ht="28.8">
      <c r="A309" s="9" t="s">
        <v>682</v>
      </c>
      <c r="B309" s="9" t="s">
        <v>660</v>
      </c>
      <c r="C309" s="9" t="s">
        <v>666</v>
      </c>
      <c r="D309" s="12">
        <v>0.22600000000000001</v>
      </c>
      <c r="E309" s="12">
        <v>-9.1399999999999995E-2</v>
      </c>
      <c r="F309" s="12">
        <v>-0.32500000000000001</v>
      </c>
      <c r="G309" s="12">
        <v>6.7299999999999999E-2</v>
      </c>
      <c r="H309" s="12">
        <v>-6.3500000000000001E-2</v>
      </c>
      <c r="I309" s="12">
        <v>0.21410000000000001</v>
      </c>
      <c r="J309" s="9" t="s">
        <v>412</v>
      </c>
      <c r="K309" s="9" t="s">
        <v>604</v>
      </c>
    </row>
    <row r="310" spans="1:11">
      <c r="A310" s="9" t="s">
        <v>609</v>
      </c>
      <c r="B310" s="9" t="s">
        <v>688</v>
      </c>
      <c r="C310" s="9" t="s">
        <v>659</v>
      </c>
      <c r="D310" s="12">
        <v>0.47620000000000001</v>
      </c>
      <c r="E310" s="12">
        <v>6.3E-3</v>
      </c>
      <c r="F310" s="12">
        <v>-0.15909999999999999</v>
      </c>
      <c r="G310" s="12">
        <v>0.24125000000000002</v>
      </c>
      <c r="H310" s="12">
        <v>0.10780000000000001</v>
      </c>
      <c r="I310" s="12">
        <v>0.21390000000000001</v>
      </c>
      <c r="J310" s="9" t="s">
        <v>412</v>
      </c>
      <c r="K310" s="9" t="s">
        <v>604</v>
      </c>
    </row>
    <row r="311" spans="1:11" ht="28.8">
      <c r="A311" s="9" t="s">
        <v>609</v>
      </c>
      <c r="B311" s="9" t="s">
        <v>653</v>
      </c>
      <c r="C311" s="9" t="s">
        <v>674</v>
      </c>
      <c r="D311" s="12">
        <v>-8.6999999999999994E-3</v>
      </c>
      <c r="E311" s="12">
        <v>-0.2389</v>
      </c>
      <c r="F311" s="12">
        <v>-0.39329999999999998</v>
      </c>
      <c r="G311" s="12">
        <v>-0.12379999999999999</v>
      </c>
      <c r="H311" s="12">
        <v>-0.21360000000000001</v>
      </c>
      <c r="I311" s="12">
        <v>0.21360000000000001</v>
      </c>
      <c r="J311" s="9" t="s">
        <v>412</v>
      </c>
      <c r="K311" s="9" t="s">
        <v>604</v>
      </c>
    </row>
    <row r="312" spans="1:11" ht="28.8">
      <c r="A312" s="9" t="s">
        <v>603</v>
      </c>
      <c r="B312" s="9" t="s">
        <v>684</v>
      </c>
      <c r="C312" s="9" t="s">
        <v>601</v>
      </c>
      <c r="D312" s="12">
        <v>0.45390000000000003</v>
      </c>
      <c r="E312" s="12">
        <v>-0.10829999999999999</v>
      </c>
      <c r="F312" s="12">
        <v>-7.7700000000000005E-2</v>
      </c>
      <c r="G312" s="12">
        <v>0.17280000000000001</v>
      </c>
      <c r="H312" s="12">
        <v>8.9300000000000004E-2</v>
      </c>
      <c r="I312" s="12">
        <v>0.21329999999999999</v>
      </c>
      <c r="J312" s="9" t="s">
        <v>412</v>
      </c>
      <c r="K312" s="9" t="s">
        <v>604</v>
      </c>
    </row>
    <row r="313" spans="1:11">
      <c r="A313" s="9" t="s">
        <v>662</v>
      </c>
      <c r="B313" s="9" t="s">
        <v>658</v>
      </c>
      <c r="C313" s="9" t="s">
        <v>656</v>
      </c>
      <c r="D313" s="12">
        <v>0.26229999999999998</v>
      </c>
      <c r="E313" s="12">
        <v>0.11119999999999999</v>
      </c>
      <c r="F313" s="12">
        <v>0.2661</v>
      </c>
      <c r="G313" s="12">
        <v>0.18674999999999997</v>
      </c>
      <c r="H313" s="12">
        <v>0.2132</v>
      </c>
      <c r="I313" s="12">
        <v>0.2132</v>
      </c>
      <c r="J313" s="9" t="s">
        <v>412</v>
      </c>
      <c r="K313" s="9" t="s">
        <v>654</v>
      </c>
    </row>
    <row r="314" spans="1:11" ht="28.8">
      <c r="A314" s="9" t="s">
        <v>603</v>
      </c>
      <c r="B314" s="9" t="s">
        <v>658</v>
      </c>
      <c r="C314" s="9" t="s">
        <v>677</v>
      </c>
      <c r="D314" s="12">
        <v>0.14069999999999999</v>
      </c>
      <c r="E314" s="12">
        <v>-0.46400000000000002</v>
      </c>
      <c r="F314" s="12">
        <v>-3.3099999999999997E-2</v>
      </c>
      <c r="G314" s="12">
        <v>-0.16165000000000002</v>
      </c>
      <c r="H314" s="12">
        <v>-0.1188</v>
      </c>
      <c r="I314" s="12">
        <v>0.21260000000000001</v>
      </c>
      <c r="J314" s="9" t="s">
        <v>412</v>
      </c>
      <c r="K314" s="9" t="s">
        <v>604</v>
      </c>
    </row>
    <row r="315" spans="1:11" ht="28.8">
      <c r="A315" s="9" t="s">
        <v>661</v>
      </c>
      <c r="B315" s="9" t="s">
        <v>672</v>
      </c>
      <c r="C315" s="9" t="s">
        <v>675</v>
      </c>
      <c r="D315" s="12">
        <v>0.14380000000000001</v>
      </c>
      <c r="E315" s="12">
        <v>0.30880000000000002</v>
      </c>
      <c r="F315" s="12">
        <v>0.185</v>
      </c>
      <c r="G315" s="12">
        <v>0.2263</v>
      </c>
      <c r="H315" s="12">
        <v>0.21249999999999999</v>
      </c>
      <c r="I315" s="12">
        <v>0.21249999999999999</v>
      </c>
      <c r="J315" s="9" t="s">
        <v>412</v>
      </c>
      <c r="K315" s="9" t="s">
        <v>654</v>
      </c>
    </row>
    <row r="316" spans="1:11" ht="28.8">
      <c r="A316" s="9" t="s">
        <v>679</v>
      </c>
      <c r="B316" s="9" t="s">
        <v>613</v>
      </c>
      <c r="C316" s="9" t="s">
        <v>656</v>
      </c>
      <c r="D316" s="12">
        <v>-2.2700000000000001E-2</v>
      </c>
      <c r="E316" s="12">
        <v>-0.1157</v>
      </c>
      <c r="F316" s="12">
        <v>0.498</v>
      </c>
      <c r="G316" s="12">
        <v>-6.9199999999999998E-2</v>
      </c>
      <c r="H316" s="12">
        <v>0.11990000000000001</v>
      </c>
      <c r="I316" s="12">
        <v>0.2122</v>
      </c>
      <c r="J316" s="9" t="s">
        <v>412</v>
      </c>
      <c r="K316" s="9" t="s">
        <v>604</v>
      </c>
    </row>
    <row r="317" spans="1:11" ht="28.8">
      <c r="A317" s="9" t="s">
        <v>671</v>
      </c>
      <c r="B317" s="9" t="s">
        <v>669</v>
      </c>
      <c r="C317" s="9" t="s">
        <v>675</v>
      </c>
      <c r="D317" s="12">
        <v>0.10780000000000001</v>
      </c>
      <c r="E317" s="12">
        <v>0.20669999999999999</v>
      </c>
      <c r="F317" s="12">
        <v>0.31819999999999998</v>
      </c>
      <c r="G317" s="12">
        <v>0.15725</v>
      </c>
      <c r="H317" s="12">
        <v>0.2109</v>
      </c>
      <c r="I317" s="12">
        <v>0.2109</v>
      </c>
      <c r="J317" s="9" t="s">
        <v>412</v>
      </c>
      <c r="K317" s="9" t="s">
        <v>654</v>
      </c>
    </row>
    <row r="318" spans="1:11" ht="28.8">
      <c r="A318" s="9" t="s">
        <v>671</v>
      </c>
      <c r="B318" s="9" t="s">
        <v>672</v>
      </c>
      <c r="C318" s="9" t="s">
        <v>664</v>
      </c>
      <c r="D318" s="12">
        <v>-9.0800000000000006E-2</v>
      </c>
      <c r="E318" s="12">
        <v>0.44879999999999998</v>
      </c>
      <c r="F318" s="12">
        <v>-9.2899999999999996E-2</v>
      </c>
      <c r="G318" s="12">
        <v>0.17899999999999999</v>
      </c>
      <c r="H318" s="12">
        <v>8.8400000000000006E-2</v>
      </c>
      <c r="I318" s="12">
        <v>0.21079999999999999</v>
      </c>
      <c r="J318" s="9" t="s">
        <v>412</v>
      </c>
      <c r="K318" s="9" t="s">
        <v>604</v>
      </c>
    </row>
    <row r="319" spans="1:11" ht="28.8">
      <c r="A319" s="9" t="s">
        <v>661</v>
      </c>
      <c r="B319" s="9" t="s">
        <v>653</v>
      </c>
      <c r="C319" s="9" t="s">
        <v>667</v>
      </c>
      <c r="D319" s="12">
        <v>5.3600000000000002E-2</v>
      </c>
      <c r="E319" s="12">
        <v>-0.21010000000000001</v>
      </c>
      <c r="F319" s="12">
        <v>-0.36870000000000003</v>
      </c>
      <c r="G319" s="12">
        <v>-7.825E-2</v>
      </c>
      <c r="H319" s="12">
        <v>-0.17499999999999999</v>
      </c>
      <c r="I319" s="12">
        <v>0.21079999999999999</v>
      </c>
      <c r="J319" s="9" t="s">
        <v>412</v>
      </c>
      <c r="K319" s="9" t="s">
        <v>604</v>
      </c>
    </row>
    <row r="320" spans="1:11">
      <c r="A320" s="9" t="s">
        <v>662</v>
      </c>
      <c r="B320" s="9" t="s">
        <v>660</v>
      </c>
      <c r="C320" s="9" t="s">
        <v>655</v>
      </c>
      <c r="D320" s="12">
        <v>5.6899999999999999E-2</v>
      </c>
      <c r="E320" s="12">
        <v>-0.1187</v>
      </c>
      <c r="F320" s="12">
        <v>-0.45660000000000001</v>
      </c>
      <c r="G320" s="12">
        <v>-3.09E-2</v>
      </c>
      <c r="H320" s="12">
        <v>-0.17280000000000001</v>
      </c>
      <c r="I320" s="12">
        <v>0.2107</v>
      </c>
      <c r="J320" s="9" t="s">
        <v>412</v>
      </c>
      <c r="K320" s="9" t="s">
        <v>604</v>
      </c>
    </row>
    <row r="321" spans="1:11" ht="28.8">
      <c r="A321" s="9" t="s">
        <v>662</v>
      </c>
      <c r="B321" s="9" t="s">
        <v>665</v>
      </c>
      <c r="C321" s="9" t="s">
        <v>666</v>
      </c>
      <c r="D321" s="12">
        <v>-0.1094</v>
      </c>
      <c r="E321" s="12">
        <v>-0.1681</v>
      </c>
      <c r="F321" s="12">
        <v>0.3533</v>
      </c>
      <c r="G321" s="12">
        <v>-0.13874999999999998</v>
      </c>
      <c r="H321" s="12">
        <v>2.53E-2</v>
      </c>
      <c r="I321" s="12">
        <v>0.2102</v>
      </c>
      <c r="J321" s="9" t="s">
        <v>412</v>
      </c>
      <c r="K321" s="9" t="s">
        <v>604</v>
      </c>
    </row>
    <row r="322" spans="1:11" ht="28.8">
      <c r="A322" s="9" t="s">
        <v>603</v>
      </c>
      <c r="B322" s="9" t="s">
        <v>687</v>
      </c>
      <c r="C322" s="9" t="s">
        <v>601</v>
      </c>
      <c r="D322" s="12">
        <v>0.45390000000000003</v>
      </c>
      <c r="E322" s="12">
        <v>-0.1457</v>
      </c>
      <c r="F322" s="12">
        <v>-3.04E-2</v>
      </c>
      <c r="G322" s="12">
        <v>0.15410000000000001</v>
      </c>
      <c r="H322" s="12">
        <v>9.2600000000000002E-2</v>
      </c>
      <c r="I322" s="12">
        <v>0.21</v>
      </c>
      <c r="J322" s="9" t="s">
        <v>412</v>
      </c>
      <c r="K322" s="9" t="s">
        <v>604</v>
      </c>
    </row>
    <row r="323" spans="1:11" ht="28.8">
      <c r="A323" s="9" t="s">
        <v>679</v>
      </c>
      <c r="B323" s="9" t="s">
        <v>688</v>
      </c>
      <c r="C323" s="9" t="s">
        <v>683</v>
      </c>
      <c r="D323" s="12">
        <v>0.16389999999999999</v>
      </c>
      <c r="E323" s="12">
        <v>0.14299999999999999</v>
      </c>
      <c r="F323" s="12">
        <v>0.3216</v>
      </c>
      <c r="G323" s="12">
        <v>0.15344999999999998</v>
      </c>
      <c r="H323" s="12">
        <v>0.20949999999999999</v>
      </c>
      <c r="I323" s="12">
        <v>0.20949999999999999</v>
      </c>
      <c r="J323" s="9" t="s">
        <v>412</v>
      </c>
      <c r="K323" s="9" t="s">
        <v>654</v>
      </c>
    </row>
    <row r="324" spans="1:11">
      <c r="A324" s="9" t="s">
        <v>662</v>
      </c>
      <c r="B324" s="9" t="s">
        <v>653</v>
      </c>
      <c r="C324" s="9" t="s">
        <v>663</v>
      </c>
      <c r="D324" s="12">
        <v>7.4700000000000003E-2</v>
      </c>
      <c r="E324" s="12">
        <v>-0.2021</v>
      </c>
      <c r="F324" s="12">
        <v>-0.35160000000000002</v>
      </c>
      <c r="G324" s="12">
        <v>-6.3700000000000007E-2</v>
      </c>
      <c r="H324" s="12">
        <v>-0.15970000000000001</v>
      </c>
      <c r="I324" s="12">
        <v>0.20949999999999999</v>
      </c>
      <c r="J324" s="9" t="s">
        <v>412</v>
      </c>
      <c r="K324" s="9" t="s">
        <v>604</v>
      </c>
    </row>
    <row r="325" spans="1:11" ht="28.8">
      <c r="A325" s="9" t="s">
        <v>609</v>
      </c>
      <c r="B325" s="9" t="s">
        <v>653</v>
      </c>
      <c r="C325" s="9" t="s">
        <v>677</v>
      </c>
      <c r="D325" s="12">
        <v>-6.1400000000000003E-2</v>
      </c>
      <c r="E325" s="12">
        <v>-0.2389</v>
      </c>
      <c r="F325" s="12">
        <v>0.32829999999999998</v>
      </c>
      <c r="G325" s="12">
        <v>-0.15015000000000001</v>
      </c>
      <c r="H325" s="12">
        <v>9.4000000000000004E-3</v>
      </c>
      <c r="I325" s="12">
        <v>0.20949999999999999</v>
      </c>
      <c r="J325" s="9" t="s">
        <v>412</v>
      </c>
      <c r="K325" s="9" t="s">
        <v>604</v>
      </c>
    </row>
    <row r="326" spans="1:11" ht="28.8">
      <c r="A326" s="9" t="s">
        <v>603</v>
      </c>
      <c r="B326" s="9" t="s">
        <v>678</v>
      </c>
      <c r="C326" s="9" t="s">
        <v>656</v>
      </c>
      <c r="D326" s="12">
        <v>-0.41320000000000001</v>
      </c>
      <c r="E326" s="12">
        <v>0.17549999999999999</v>
      </c>
      <c r="F326" s="12">
        <v>-3.9800000000000002E-2</v>
      </c>
      <c r="G326" s="12">
        <v>-0.11885000000000001</v>
      </c>
      <c r="H326" s="12">
        <v>-9.2499999999999999E-2</v>
      </c>
      <c r="I326" s="12">
        <v>0.20949999999999999</v>
      </c>
      <c r="J326" s="9" t="s">
        <v>412</v>
      </c>
      <c r="K326" s="9" t="s">
        <v>604</v>
      </c>
    </row>
    <row r="327" spans="1:11">
      <c r="A327" s="9" t="s">
        <v>609</v>
      </c>
      <c r="B327" s="9" t="s">
        <v>665</v>
      </c>
      <c r="C327" s="9" t="s">
        <v>670</v>
      </c>
      <c r="D327" s="12">
        <v>-0.32040000000000002</v>
      </c>
      <c r="E327" s="12">
        <v>-0.11310000000000001</v>
      </c>
      <c r="F327" s="12">
        <v>-0.1948</v>
      </c>
      <c r="G327" s="12">
        <v>-0.21675</v>
      </c>
      <c r="H327" s="12">
        <v>-0.2094</v>
      </c>
      <c r="I327" s="12">
        <v>0.2094</v>
      </c>
      <c r="J327" s="9" t="s">
        <v>412</v>
      </c>
      <c r="K327" s="9" t="s">
        <v>604</v>
      </c>
    </row>
    <row r="328" spans="1:11" ht="28.8">
      <c r="A328" s="9" t="s">
        <v>661</v>
      </c>
      <c r="B328" s="9" t="s">
        <v>672</v>
      </c>
      <c r="C328" s="9" t="s">
        <v>663</v>
      </c>
      <c r="D328" s="12">
        <v>8.8300000000000003E-2</v>
      </c>
      <c r="E328" s="12">
        <v>0.30880000000000002</v>
      </c>
      <c r="F328" s="12">
        <v>0.22750000000000001</v>
      </c>
      <c r="G328" s="12">
        <v>0.19855</v>
      </c>
      <c r="H328" s="12">
        <v>0.2082</v>
      </c>
      <c r="I328" s="12">
        <v>0.2082</v>
      </c>
      <c r="J328" s="9" t="s">
        <v>412</v>
      </c>
      <c r="K328" s="9" t="s">
        <v>654</v>
      </c>
    </row>
    <row r="329" spans="1:11" ht="28.8">
      <c r="A329" s="9" t="s">
        <v>671</v>
      </c>
      <c r="B329" s="9" t="s">
        <v>665</v>
      </c>
      <c r="C329" s="9" t="s">
        <v>670</v>
      </c>
      <c r="D329" s="12">
        <v>-0.32890000000000003</v>
      </c>
      <c r="E329" s="12">
        <v>0.1009</v>
      </c>
      <c r="F329" s="12">
        <v>-0.1948</v>
      </c>
      <c r="G329" s="12">
        <v>-0.11400000000000002</v>
      </c>
      <c r="H329" s="12">
        <v>-0.14099999999999999</v>
      </c>
      <c r="I329" s="12">
        <v>0.2082</v>
      </c>
      <c r="J329" s="9" t="s">
        <v>412</v>
      </c>
      <c r="K329" s="9" t="s">
        <v>604</v>
      </c>
    </row>
    <row r="330" spans="1:11" ht="28.8">
      <c r="A330" s="9" t="s">
        <v>603</v>
      </c>
      <c r="B330" s="9" t="s">
        <v>688</v>
      </c>
      <c r="C330" s="9" t="s">
        <v>601</v>
      </c>
      <c r="D330" s="12">
        <v>0.45390000000000003</v>
      </c>
      <c r="E330" s="12">
        <v>-2.2200000000000001E-2</v>
      </c>
      <c r="F330" s="12">
        <v>-0.1477</v>
      </c>
      <c r="G330" s="12">
        <v>0.21585000000000001</v>
      </c>
      <c r="H330" s="12">
        <v>9.4700000000000006E-2</v>
      </c>
      <c r="I330" s="12">
        <v>0.20799999999999999</v>
      </c>
      <c r="J330" s="9" t="s">
        <v>412</v>
      </c>
      <c r="K330" s="9" t="s">
        <v>604</v>
      </c>
    </row>
    <row r="331" spans="1:11" ht="28.8">
      <c r="A331" s="9" t="s">
        <v>661</v>
      </c>
      <c r="B331" s="9" t="s">
        <v>669</v>
      </c>
      <c r="C331" s="9" t="s">
        <v>663</v>
      </c>
      <c r="D331" s="12">
        <v>8.8300000000000003E-2</v>
      </c>
      <c r="E331" s="12">
        <v>9.1800000000000007E-2</v>
      </c>
      <c r="F331" s="12">
        <v>0.44319999999999998</v>
      </c>
      <c r="G331" s="12">
        <v>9.0050000000000005E-2</v>
      </c>
      <c r="H331" s="12">
        <v>0.20780000000000001</v>
      </c>
      <c r="I331" s="12">
        <v>0.20780000000000001</v>
      </c>
      <c r="J331" s="9" t="s">
        <v>412</v>
      </c>
      <c r="K331" s="9" t="s">
        <v>654</v>
      </c>
    </row>
    <row r="332" spans="1:11" ht="28.8">
      <c r="A332" s="9" t="s">
        <v>661</v>
      </c>
      <c r="B332" s="9" t="s">
        <v>673</v>
      </c>
      <c r="C332" s="9" t="s">
        <v>601</v>
      </c>
      <c r="D332" s="12">
        <v>-0.2266</v>
      </c>
      <c r="E332" s="12">
        <v>-0.12659999999999999</v>
      </c>
      <c r="F332" s="12">
        <v>0.27029999999999998</v>
      </c>
      <c r="G332" s="12">
        <v>-0.17659999999999998</v>
      </c>
      <c r="H332" s="12">
        <v>-2.7699999999999999E-2</v>
      </c>
      <c r="I332" s="12">
        <v>0.20780000000000001</v>
      </c>
      <c r="J332" s="9" t="s">
        <v>412</v>
      </c>
      <c r="K332" s="9" t="s">
        <v>604</v>
      </c>
    </row>
    <row r="333" spans="1:11" ht="28.8">
      <c r="A333" s="9" t="s">
        <v>603</v>
      </c>
      <c r="B333" s="9" t="s">
        <v>689</v>
      </c>
      <c r="C333" s="9" t="s">
        <v>656</v>
      </c>
      <c r="D333" s="12">
        <v>-0.41320000000000001</v>
      </c>
      <c r="E333" s="12">
        <v>2.1399999999999999E-2</v>
      </c>
      <c r="F333" s="12">
        <v>-0.1888</v>
      </c>
      <c r="G333" s="12">
        <v>-0.19590000000000002</v>
      </c>
      <c r="H333" s="12">
        <v>-0.19350000000000001</v>
      </c>
      <c r="I333" s="12">
        <v>0.20780000000000001</v>
      </c>
      <c r="J333" s="9" t="s">
        <v>412</v>
      </c>
      <c r="K333" s="9" t="s">
        <v>604</v>
      </c>
    </row>
    <row r="334" spans="1:11" ht="28.8">
      <c r="A334" s="9" t="s">
        <v>609</v>
      </c>
      <c r="B334" s="9" t="s">
        <v>658</v>
      </c>
      <c r="C334" s="9" t="s">
        <v>601</v>
      </c>
      <c r="D334" s="12">
        <v>-0.1671</v>
      </c>
      <c r="E334" s="12">
        <v>1.5599999999999999E-2</v>
      </c>
      <c r="F334" s="12">
        <v>-0.4405</v>
      </c>
      <c r="G334" s="12">
        <v>-7.5749999999999998E-2</v>
      </c>
      <c r="H334" s="12">
        <v>-0.1973</v>
      </c>
      <c r="I334" s="12">
        <v>0.2077</v>
      </c>
      <c r="J334" s="9" t="s">
        <v>412</v>
      </c>
      <c r="K334" s="9" t="s">
        <v>604</v>
      </c>
    </row>
    <row r="335" spans="1:11">
      <c r="A335" s="9" t="s">
        <v>609</v>
      </c>
      <c r="B335" s="9" t="s">
        <v>676</v>
      </c>
      <c r="C335" s="9" t="s">
        <v>659</v>
      </c>
      <c r="D335" s="12">
        <v>0.47620000000000001</v>
      </c>
      <c r="E335" s="12">
        <v>-3.9E-2</v>
      </c>
      <c r="F335" s="12">
        <v>0.1076</v>
      </c>
      <c r="G335" s="12">
        <v>0.21860000000000002</v>
      </c>
      <c r="H335" s="12">
        <v>0.18160000000000001</v>
      </c>
      <c r="I335" s="12">
        <v>0.20760000000000001</v>
      </c>
      <c r="J335" s="9" t="s">
        <v>412</v>
      </c>
      <c r="K335" s="9" t="s">
        <v>604</v>
      </c>
    </row>
    <row r="336" spans="1:11">
      <c r="A336" s="9" t="s">
        <v>609</v>
      </c>
      <c r="B336" s="9" t="s">
        <v>665</v>
      </c>
      <c r="C336" s="9" t="s">
        <v>655</v>
      </c>
      <c r="D336" s="12">
        <v>0.16819999999999999</v>
      </c>
      <c r="E336" s="12">
        <v>-0.11310000000000001</v>
      </c>
      <c r="F336" s="12">
        <v>0.34079999999999999</v>
      </c>
      <c r="G336" s="12">
        <v>2.7549999999999991E-2</v>
      </c>
      <c r="H336" s="12">
        <v>0.13200000000000001</v>
      </c>
      <c r="I336" s="12">
        <v>0.2074</v>
      </c>
      <c r="J336" s="9" t="s">
        <v>412</v>
      </c>
      <c r="K336" s="9" t="s">
        <v>604</v>
      </c>
    </row>
    <row r="337" spans="1:11" ht="28.8">
      <c r="A337" s="9" t="s">
        <v>662</v>
      </c>
      <c r="B337" s="9" t="s">
        <v>602</v>
      </c>
      <c r="C337" s="9" t="s">
        <v>601</v>
      </c>
      <c r="D337" s="12">
        <v>-0.1173</v>
      </c>
      <c r="E337" s="12">
        <v>9.3799999999999994E-2</v>
      </c>
      <c r="F337" s="12">
        <v>-0.41089999999999999</v>
      </c>
      <c r="G337" s="12">
        <v>-1.1750000000000003E-2</v>
      </c>
      <c r="H337" s="12">
        <v>-0.14480000000000001</v>
      </c>
      <c r="I337" s="12">
        <v>0.20730000000000001</v>
      </c>
      <c r="J337" s="9" t="s">
        <v>412</v>
      </c>
      <c r="K337" s="9" t="s">
        <v>604</v>
      </c>
    </row>
    <row r="338" spans="1:11" ht="28.8">
      <c r="A338" s="9" t="s">
        <v>603</v>
      </c>
      <c r="B338" s="9" t="s">
        <v>685</v>
      </c>
      <c r="C338" s="9" t="s">
        <v>601</v>
      </c>
      <c r="D338" s="12">
        <v>0.45390000000000003</v>
      </c>
      <c r="E338" s="12">
        <v>1.0699999999999999E-2</v>
      </c>
      <c r="F338" s="12">
        <v>-0.157</v>
      </c>
      <c r="G338" s="12">
        <v>0.23230000000000001</v>
      </c>
      <c r="H338" s="12">
        <v>0.10249999999999999</v>
      </c>
      <c r="I338" s="12">
        <v>0.2072</v>
      </c>
      <c r="J338" s="9" t="s">
        <v>412</v>
      </c>
      <c r="K338" s="9" t="s">
        <v>604</v>
      </c>
    </row>
    <row r="339" spans="1:11">
      <c r="A339" s="9" t="s">
        <v>682</v>
      </c>
      <c r="B339" s="9" t="s">
        <v>660</v>
      </c>
      <c r="C339" s="9" t="s">
        <v>655</v>
      </c>
      <c r="D339" s="12">
        <v>7.3099999999999998E-2</v>
      </c>
      <c r="E339" s="12">
        <v>-9.1399999999999995E-2</v>
      </c>
      <c r="F339" s="12">
        <v>-0.45660000000000001</v>
      </c>
      <c r="G339" s="12">
        <v>-9.1499999999999984E-3</v>
      </c>
      <c r="H339" s="12">
        <v>-0.1583</v>
      </c>
      <c r="I339" s="12">
        <v>0.20699999999999999</v>
      </c>
      <c r="J339" s="9" t="s">
        <v>412</v>
      </c>
      <c r="K339" s="9" t="s">
        <v>604</v>
      </c>
    </row>
    <row r="340" spans="1:11">
      <c r="A340" s="9" t="s">
        <v>682</v>
      </c>
      <c r="B340" s="9" t="s">
        <v>678</v>
      </c>
      <c r="C340" s="9" t="s">
        <v>670</v>
      </c>
      <c r="D340" s="12">
        <v>-0.19359999999999999</v>
      </c>
      <c r="E340" s="12">
        <v>-0.16669999999999999</v>
      </c>
      <c r="F340" s="12">
        <v>0.26069999999999999</v>
      </c>
      <c r="G340" s="12">
        <v>-0.18014999999999998</v>
      </c>
      <c r="H340" s="12">
        <v>-3.32E-2</v>
      </c>
      <c r="I340" s="12">
        <v>0.20699999999999999</v>
      </c>
      <c r="J340" s="9" t="s">
        <v>412</v>
      </c>
      <c r="K340" s="9" t="s">
        <v>604</v>
      </c>
    </row>
    <row r="341" spans="1:11" ht="28.8">
      <c r="A341" s="9" t="s">
        <v>603</v>
      </c>
      <c r="B341" s="9" t="s">
        <v>684</v>
      </c>
      <c r="C341" s="9" t="s">
        <v>666</v>
      </c>
      <c r="D341" s="12">
        <v>-0.26</v>
      </c>
      <c r="E341" s="12">
        <v>-0.10829999999999999</v>
      </c>
      <c r="F341" s="12">
        <v>0.25140000000000001</v>
      </c>
      <c r="G341" s="12">
        <v>-0.18415000000000001</v>
      </c>
      <c r="H341" s="12">
        <v>-3.9E-2</v>
      </c>
      <c r="I341" s="12">
        <v>0.20660000000000001</v>
      </c>
      <c r="J341" s="9" t="s">
        <v>412</v>
      </c>
      <c r="K341" s="9" t="s">
        <v>604</v>
      </c>
    </row>
    <row r="342" spans="1:11" ht="28.8">
      <c r="A342" s="9" t="s">
        <v>610</v>
      </c>
      <c r="B342" s="9" t="s">
        <v>669</v>
      </c>
      <c r="C342" s="9" t="s">
        <v>666</v>
      </c>
      <c r="D342" s="12">
        <v>9.5000000000000001E-2</v>
      </c>
      <c r="E342" s="12">
        <v>-0.2331</v>
      </c>
      <c r="F342" s="12">
        <v>0.2913</v>
      </c>
      <c r="G342" s="12">
        <v>-6.905E-2</v>
      </c>
      <c r="H342" s="12">
        <v>5.0999999999999997E-2</v>
      </c>
      <c r="I342" s="12">
        <v>0.20649999999999999</v>
      </c>
      <c r="J342" s="9" t="s">
        <v>412</v>
      </c>
      <c r="K342" s="9" t="s">
        <v>604</v>
      </c>
    </row>
    <row r="343" spans="1:11" ht="28.8">
      <c r="A343" s="9" t="s">
        <v>609</v>
      </c>
      <c r="B343" s="9" t="s">
        <v>613</v>
      </c>
      <c r="C343" s="9" t="s">
        <v>666</v>
      </c>
      <c r="D343" s="12">
        <v>-7.7700000000000005E-2</v>
      </c>
      <c r="E343" s="12">
        <v>0.4844</v>
      </c>
      <c r="F343" s="12">
        <v>5.6399999999999999E-2</v>
      </c>
      <c r="G343" s="12">
        <v>0.20335</v>
      </c>
      <c r="H343" s="12">
        <v>0.15440000000000001</v>
      </c>
      <c r="I343" s="12">
        <v>0.20619999999999999</v>
      </c>
      <c r="J343" s="9" t="s">
        <v>412</v>
      </c>
      <c r="K343" s="9" t="s">
        <v>604</v>
      </c>
    </row>
    <row r="344" spans="1:11" ht="28.8">
      <c r="A344" s="9" t="s">
        <v>671</v>
      </c>
      <c r="B344" s="9" t="s">
        <v>653</v>
      </c>
      <c r="C344" s="9" t="s">
        <v>670</v>
      </c>
      <c r="D344" s="12">
        <v>-0.32890000000000003</v>
      </c>
      <c r="E344" s="12">
        <v>-0.09</v>
      </c>
      <c r="F344" s="12">
        <v>0.19900000000000001</v>
      </c>
      <c r="G344" s="12">
        <v>-0.20945000000000003</v>
      </c>
      <c r="H344" s="12">
        <v>-7.3300000000000004E-2</v>
      </c>
      <c r="I344" s="12">
        <v>0.20599999999999999</v>
      </c>
      <c r="J344" s="9" t="s">
        <v>412</v>
      </c>
      <c r="K344" s="9" t="s">
        <v>604</v>
      </c>
    </row>
    <row r="345" spans="1:11" ht="28.8">
      <c r="A345" s="9" t="s">
        <v>661</v>
      </c>
      <c r="B345" s="9" t="s">
        <v>689</v>
      </c>
      <c r="C345" s="9" t="s">
        <v>656</v>
      </c>
      <c r="D345" s="12">
        <v>0.32640000000000002</v>
      </c>
      <c r="E345" s="12">
        <v>-0.1028</v>
      </c>
      <c r="F345" s="12">
        <v>-0.1888</v>
      </c>
      <c r="G345" s="12">
        <v>0.11180000000000001</v>
      </c>
      <c r="H345" s="12">
        <v>1.1599999999999999E-2</v>
      </c>
      <c r="I345" s="12">
        <v>0.20599999999999999</v>
      </c>
      <c r="J345" s="9" t="s">
        <v>412</v>
      </c>
      <c r="K345" s="9" t="s">
        <v>604</v>
      </c>
    </row>
    <row r="346" spans="1:11">
      <c r="A346" s="9" t="s">
        <v>662</v>
      </c>
      <c r="B346" s="9" t="s">
        <v>684</v>
      </c>
      <c r="C346" s="9" t="s">
        <v>667</v>
      </c>
      <c r="D346" s="12">
        <v>0.12540000000000001</v>
      </c>
      <c r="E346" s="12">
        <v>-0.2475</v>
      </c>
      <c r="F346" s="12">
        <v>-0.24479999999999999</v>
      </c>
      <c r="G346" s="12">
        <v>-6.1049999999999993E-2</v>
      </c>
      <c r="H346" s="12">
        <v>-0.12230000000000001</v>
      </c>
      <c r="I346" s="12">
        <v>0.2059</v>
      </c>
      <c r="J346" s="9" t="s">
        <v>412</v>
      </c>
      <c r="K346" s="9" t="s">
        <v>604</v>
      </c>
    </row>
    <row r="347" spans="1:11">
      <c r="A347" s="9" t="s">
        <v>609</v>
      </c>
      <c r="B347" s="9" t="s">
        <v>669</v>
      </c>
      <c r="C347" s="9" t="s">
        <v>663</v>
      </c>
      <c r="D347" s="12">
        <v>-0.12770000000000001</v>
      </c>
      <c r="E347" s="12">
        <v>4.6199999999999998E-2</v>
      </c>
      <c r="F347" s="12">
        <v>0.44319999999999998</v>
      </c>
      <c r="G347" s="12">
        <v>-4.0750000000000008E-2</v>
      </c>
      <c r="H347" s="12">
        <v>0.1206</v>
      </c>
      <c r="I347" s="12">
        <v>0.20569999999999999</v>
      </c>
      <c r="J347" s="9" t="s">
        <v>412</v>
      </c>
      <c r="K347" s="9" t="s">
        <v>604</v>
      </c>
    </row>
    <row r="348" spans="1:11" ht="28.8">
      <c r="A348" s="9" t="s">
        <v>603</v>
      </c>
      <c r="B348" s="9" t="s">
        <v>613</v>
      </c>
      <c r="C348" s="9" t="s">
        <v>675</v>
      </c>
      <c r="D348" s="12">
        <v>-0.18360000000000001</v>
      </c>
      <c r="E348" s="12">
        <v>-0.35630000000000001</v>
      </c>
      <c r="F348" s="12">
        <v>7.7100000000000002E-2</v>
      </c>
      <c r="G348" s="12">
        <v>-0.26995000000000002</v>
      </c>
      <c r="H348" s="12">
        <v>-0.15429999999999999</v>
      </c>
      <c r="I348" s="12">
        <v>0.20569999999999999</v>
      </c>
      <c r="J348" s="9" t="s">
        <v>412</v>
      </c>
      <c r="K348" s="9" t="s">
        <v>604</v>
      </c>
    </row>
    <row r="349" spans="1:11">
      <c r="A349" s="9" t="s">
        <v>610</v>
      </c>
      <c r="B349" s="9" t="s">
        <v>602</v>
      </c>
      <c r="C349" s="9" t="s">
        <v>656</v>
      </c>
      <c r="D349" s="12">
        <v>6.5699999999999995E-2</v>
      </c>
      <c r="E349" s="12">
        <v>-0.19400000000000001</v>
      </c>
      <c r="F349" s="12">
        <v>0.35680000000000001</v>
      </c>
      <c r="G349" s="12">
        <v>-6.4150000000000013E-2</v>
      </c>
      <c r="H349" s="12">
        <v>7.6200000000000004E-2</v>
      </c>
      <c r="I349" s="12">
        <v>0.20549999999999999</v>
      </c>
      <c r="J349" s="9" t="s">
        <v>412</v>
      </c>
      <c r="K349" s="9" t="s">
        <v>604</v>
      </c>
    </row>
    <row r="350" spans="1:11" ht="28.8">
      <c r="A350" s="9" t="s">
        <v>603</v>
      </c>
      <c r="B350" s="9" t="s">
        <v>678</v>
      </c>
      <c r="C350" s="9" t="s">
        <v>664</v>
      </c>
      <c r="D350" s="12">
        <v>0.4093</v>
      </c>
      <c r="E350" s="12">
        <v>0.17549999999999999</v>
      </c>
      <c r="F350" s="12">
        <v>3.1E-2</v>
      </c>
      <c r="G350" s="12">
        <v>0.29239999999999999</v>
      </c>
      <c r="H350" s="12">
        <v>0.20530000000000001</v>
      </c>
      <c r="I350" s="12">
        <v>0.20530000000000001</v>
      </c>
      <c r="J350" s="9" t="s">
        <v>412</v>
      </c>
      <c r="K350" s="9" t="s">
        <v>654</v>
      </c>
    </row>
    <row r="351" spans="1:11" ht="28.8">
      <c r="A351" s="9" t="s">
        <v>671</v>
      </c>
      <c r="B351" s="9" t="s">
        <v>657</v>
      </c>
      <c r="C351" s="9" t="s">
        <v>667</v>
      </c>
      <c r="D351" s="12">
        <v>0.14219999999999999</v>
      </c>
      <c r="E351" s="12">
        <v>-0.1326</v>
      </c>
      <c r="F351" s="12">
        <v>-0.3402</v>
      </c>
      <c r="G351" s="12">
        <v>4.7999999999999987E-3</v>
      </c>
      <c r="H351" s="12">
        <v>-0.11020000000000001</v>
      </c>
      <c r="I351" s="12">
        <v>0.20499999999999999</v>
      </c>
      <c r="J351" s="9" t="s">
        <v>412</v>
      </c>
      <c r="K351" s="9" t="s">
        <v>604</v>
      </c>
    </row>
    <row r="352" spans="1:11" ht="28.8">
      <c r="A352" s="9" t="s">
        <v>609</v>
      </c>
      <c r="B352" s="9" t="s">
        <v>613</v>
      </c>
      <c r="C352" s="9" t="s">
        <v>690</v>
      </c>
      <c r="D352" s="12">
        <v>4.9799999999999997E-2</v>
      </c>
      <c r="E352" s="12">
        <v>0.4844</v>
      </c>
      <c r="F352" s="12">
        <v>-8.0600000000000005E-2</v>
      </c>
      <c r="G352" s="12">
        <v>0.2671</v>
      </c>
      <c r="H352" s="12">
        <v>0.1512</v>
      </c>
      <c r="I352" s="12">
        <v>0.2049</v>
      </c>
      <c r="J352" s="9" t="s">
        <v>412</v>
      </c>
      <c r="K352" s="9" t="s">
        <v>604</v>
      </c>
    </row>
    <row r="353" spans="1:11" ht="28.8">
      <c r="A353" s="9" t="s">
        <v>603</v>
      </c>
      <c r="B353" s="9" t="s">
        <v>660</v>
      </c>
      <c r="C353" s="9" t="s">
        <v>667</v>
      </c>
      <c r="D353" s="12">
        <v>-6.3299999999999995E-2</v>
      </c>
      <c r="E353" s="12">
        <v>0.40089999999999998</v>
      </c>
      <c r="F353" s="12">
        <v>-0.14899999999999999</v>
      </c>
      <c r="G353" s="12">
        <v>0.16880000000000001</v>
      </c>
      <c r="H353" s="12">
        <v>6.2899999999999998E-2</v>
      </c>
      <c r="I353" s="12">
        <v>0.2044</v>
      </c>
      <c r="J353" s="9" t="s">
        <v>412</v>
      </c>
      <c r="K353" s="9" t="s">
        <v>604</v>
      </c>
    </row>
    <row r="354" spans="1:11" ht="28.8">
      <c r="A354" s="9" t="s">
        <v>662</v>
      </c>
      <c r="B354" s="9" t="s">
        <v>669</v>
      </c>
      <c r="C354" s="9" t="s">
        <v>674</v>
      </c>
      <c r="D354" s="12">
        <v>0.17680000000000001</v>
      </c>
      <c r="E354" s="12">
        <v>0.1298</v>
      </c>
      <c r="F354" s="12">
        <v>0.30640000000000001</v>
      </c>
      <c r="G354" s="12">
        <v>0.15329999999999999</v>
      </c>
      <c r="H354" s="12">
        <v>0.20430000000000001</v>
      </c>
      <c r="I354" s="12">
        <v>0.20430000000000001</v>
      </c>
      <c r="J354" s="9" t="s">
        <v>412</v>
      </c>
      <c r="K354" s="9" t="s">
        <v>654</v>
      </c>
    </row>
    <row r="355" spans="1:11">
      <c r="A355" s="9" t="s">
        <v>609</v>
      </c>
      <c r="B355" s="9" t="s">
        <v>660</v>
      </c>
      <c r="C355" s="9" t="s">
        <v>656</v>
      </c>
      <c r="D355" s="12">
        <v>0.22770000000000001</v>
      </c>
      <c r="E355" s="12">
        <v>2.5700000000000001E-2</v>
      </c>
      <c r="F355" s="12">
        <v>-0.35949999999999999</v>
      </c>
      <c r="G355" s="12">
        <v>0.12670000000000001</v>
      </c>
      <c r="H355" s="12">
        <v>-3.5299999999999998E-2</v>
      </c>
      <c r="I355" s="12">
        <v>0.20430000000000001</v>
      </c>
      <c r="J355" s="9" t="s">
        <v>412</v>
      </c>
      <c r="K355" s="9" t="s">
        <v>604</v>
      </c>
    </row>
    <row r="356" spans="1:11" ht="28.8">
      <c r="A356" s="9" t="s">
        <v>610</v>
      </c>
      <c r="B356" s="9" t="s">
        <v>653</v>
      </c>
      <c r="C356" s="9" t="s">
        <v>674</v>
      </c>
      <c r="D356" s="12">
        <v>-0.1986</v>
      </c>
      <c r="E356" s="12">
        <v>-1.9800000000000002E-2</v>
      </c>
      <c r="F356" s="12">
        <v>-0.39329999999999998</v>
      </c>
      <c r="G356" s="12">
        <v>-0.10920000000000001</v>
      </c>
      <c r="H356" s="12">
        <v>-0.2039</v>
      </c>
      <c r="I356" s="12">
        <v>0.2039</v>
      </c>
      <c r="J356" s="9" t="s">
        <v>412</v>
      </c>
      <c r="K356" s="9" t="s">
        <v>604</v>
      </c>
    </row>
    <row r="357" spans="1:11">
      <c r="A357" s="9" t="s">
        <v>609</v>
      </c>
      <c r="B357" s="9" t="s">
        <v>691</v>
      </c>
      <c r="C357" s="9" t="s">
        <v>659</v>
      </c>
      <c r="D357" s="12">
        <v>0.47620000000000001</v>
      </c>
      <c r="E357" s="12">
        <v>4.9399999999999999E-2</v>
      </c>
      <c r="F357" s="12">
        <v>-8.5900000000000004E-2</v>
      </c>
      <c r="G357" s="12">
        <v>0.26280000000000003</v>
      </c>
      <c r="H357" s="12">
        <v>0.14660000000000001</v>
      </c>
      <c r="I357" s="12">
        <v>0.20380000000000001</v>
      </c>
      <c r="J357" s="9" t="s">
        <v>412</v>
      </c>
      <c r="K357" s="9" t="s">
        <v>604</v>
      </c>
    </row>
    <row r="358" spans="1:11" ht="28.8">
      <c r="A358" s="9" t="s">
        <v>661</v>
      </c>
      <c r="B358" s="9" t="s">
        <v>668</v>
      </c>
      <c r="C358" s="9" t="s">
        <v>655</v>
      </c>
      <c r="D358" s="12">
        <v>0.17599999999999999</v>
      </c>
      <c r="E358" s="12">
        <v>-0.13339999999999999</v>
      </c>
      <c r="F358" s="12">
        <v>-0.3019</v>
      </c>
      <c r="G358" s="12">
        <v>2.1299999999999999E-2</v>
      </c>
      <c r="H358" s="12">
        <v>-8.6400000000000005E-2</v>
      </c>
      <c r="I358" s="12">
        <v>0.20380000000000001</v>
      </c>
      <c r="J358" s="9" t="s">
        <v>412</v>
      </c>
      <c r="K358" s="9" t="s">
        <v>604</v>
      </c>
    </row>
    <row r="359" spans="1:11" ht="28.8">
      <c r="A359" s="9" t="s">
        <v>603</v>
      </c>
      <c r="B359" s="9" t="s">
        <v>673</v>
      </c>
      <c r="C359" s="9" t="s">
        <v>659</v>
      </c>
      <c r="D359" s="12">
        <v>-0.17230000000000001</v>
      </c>
      <c r="E359" s="12">
        <v>0.2681</v>
      </c>
      <c r="F359" s="12">
        <v>-0.17030000000000001</v>
      </c>
      <c r="G359" s="12">
        <v>4.7899999999999998E-2</v>
      </c>
      <c r="H359" s="12">
        <v>-2.4799999999999999E-2</v>
      </c>
      <c r="I359" s="12">
        <v>0.2036</v>
      </c>
      <c r="J359" s="9" t="s">
        <v>412</v>
      </c>
      <c r="K359" s="9" t="s">
        <v>604</v>
      </c>
    </row>
    <row r="360" spans="1:11" ht="28.8">
      <c r="A360" s="9" t="s">
        <v>603</v>
      </c>
      <c r="B360" s="9" t="s">
        <v>684</v>
      </c>
      <c r="C360" s="9" t="s">
        <v>664</v>
      </c>
      <c r="D360" s="12">
        <v>0.4093</v>
      </c>
      <c r="E360" s="12">
        <v>-0.10829999999999999</v>
      </c>
      <c r="F360" s="12">
        <v>-9.2899999999999996E-2</v>
      </c>
      <c r="G360" s="12">
        <v>0.15049999999999999</v>
      </c>
      <c r="H360" s="12">
        <v>6.9400000000000003E-2</v>
      </c>
      <c r="I360" s="12">
        <v>0.20349999999999999</v>
      </c>
      <c r="J360" s="9" t="s">
        <v>412</v>
      </c>
      <c r="K360" s="9" t="s">
        <v>604</v>
      </c>
    </row>
    <row r="361" spans="1:11" ht="28.8">
      <c r="A361" s="9" t="s">
        <v>603</v>
      </c>
      <c r="B361" s="9" t="s">
        <v>660</v>
      </c>
      <c r="C361" s="9" t="s">
        <v>683</v>
      </c>
      <c r="D361" s="12">
        <v>0.17660000000000001</v>
      </c>
      <c r="E361" s="12">
        <v>0.40089999999999998</v>
      </c>
      <c r="F361" s="12">
        <v>-3.3000000000000002E-2</v>
      </c>
      <c r="G361" s="12">
        <v>0.28875000000000001</v>
      </c>
      <c r="H361" s="12">
        <v>0.18149999999999999</v>
      </c>
      <c r="I361" s="12">
        <v>0.20349999999999999</v>
      </c>
      <c r="J361" s="9" t="s">
        <v>412</v>
      </c>
      <c r="K361" s="9" t="s">
        <v>604</v>
      </c>
    </row>
    <row r="362" spans="1:11" ht="28.8">
      <c r="A362" s="9" t="s">
        <v>671</v>
      </c>
      <c r="B362" s="9" t="s">
        <v>672</v>
      </c>
      <c r="C362" s="9" t="s">
        <v>677</v>
      </c>
      <c r="D362" s="12">
        <v>6.8900000000000003E-2</v>
      </c>
      <c r="E362" s="12">
        <v>0.44879999999999998</v>
      </c>
      <c r="F362" s="12">
        <v>9.2299999999999993E-2</v>
      </c>
      <c r="G362" s="12">
        <v>0.25884999999999997</v>
      </c>
      <c r="H362" s="12">
        <v>0.20330000000000001</v>
      </c>
      <c r="I362" s="12">
        <v>0.20330000000000001</v>
      </c>
      <c r="J362" s="9" t="s">
        <v>412</v>
      </c>
      <c r="K362" s="9" t="s">
        <v>654</v>
      </c>
    </row>
    <row r="363" spans="1:11" ht="28.8">
      <c r="A363" s="9" t="s">
        <v>661</v>
      </c>
      <c r="B363" s="9" t="s">
        <v>669</v>
      </c>
      <c r="C363" s="9" t="s">
        <v>656</v>
      </c>
      <c r="D363" s="12">
        <v>0.32640000000000002</v>
      </c>
      <c r="E363" s="12">
        <v>9.1800000000000007E-2</v>
      </c>
      <c r="F363" s="12">
        <v>0.1903</v>
      </c>
      <c r="G363" s="12">
        <v>0.20910000000000001</v>
      </c>
      <c r="H363" s="12">
        <v>0.2029</v>
      </c>
      <c r="I363" s="12">
        <v>0.2029</v>
      </c>
      <c r="J363" s="9" t="s">
        <v>412</v>
      </c>
      <c r="K363" s="9" t="s">
        <v>654</v>
      </c>
    </row>
    <row r="364" spans="1:11" ht="28.8">
      <c r="A364" s="9" t="s">
        <v>603</v>
      </c>
      <c r="B364" s="9" t="s">
        <v>686</v>
      </c>
      <c r="C364" s="9" t="s">
        <v>656</v>
      </c>
      <c r="D364" s="12">
        <v>-0.41320000000000001</v>
      </c>
      <c r="E364" s="12">
        <v>-0.11899999999999999</v>
      </c>
      <c r="F364" s="12">
        <v>7.6300000000000007E-2</v>
      </c>
      <c r="G364" s="12">
        <v>-0.2661</v>
      </c>
      <c r="H364" s="12">
        <v>-0.152</v>
      </c>
      <c r="I364" s="12">
        <v>0.20280000000000001</v>
      </c>
      <c r="J364" s="9" t="s">
        <v>412</v>
      </c>
      <c r="K364" s="9" t="s">
        <v>604</v>
      </c>
    </row>
    <row r="365" spans="1:11" ht="28.8">
      <c r="A365" s="9" t="s">
        <v>662</v>
      </c>
      <c r="B365" s="9" t="s">
        <v>684</v>
      </c>
      <c r="C365" s="9" t="s">
        <v>666</v>
      </c>
      <c r="D365" s="12">
        <v>-0.1094</v>
      </c>
      <c r="E365" s="12">
        <v>-0.2475</v>
      </c>
      <c r="F365" s="12">
        <v>0.25140000000000001</v>
      </c>
      <c r="G365" s="12">
        <v>-0.17845</v>
      </c>
      <c r="H365" s="12">
        <v>-3.5099999999999999E-2</v>
      </c>
      <c r="I365" s="12">
        <v>0.20280000000000001</v>
      </c>
      <c r="J365" s="9" t="s">
        <v>412</v>
      </c>
      <c r="K365" s="9" t="s">
        <v>604</v>
      </c>
    </row>
    <row r="366" spans="1:11" ht="28.8">
      <c r="A366" s="9" t="s">
        <v>609</v>
      </c>
      <c r="B366" s="9" t="s">
        <v>657</v>
      </c>
      <c r="C366" s="9" t="s">
        <v>664</v>
      </c>
      <c r="D366" s="12">
        <v>-6.5699999999999995E-2</v>
      </c>
      <c r="E366" s="12">
        <v>-0.28839999999999999</v>
      </c>
      <c r="F366" s="12">
        <v>0.25440000000000002</v>
      </c>
      <c r="G366" s="12">
        <v>-0.17704999999999999</v>
      </c>
      <c r="H366" s="12">
        <v>-3.32E-2</v>
      </c>
      <c r="I366" s="12">
        <v>0.20280000000000001</v>
      </c>
      <c r="J366" s="9" t="s">
        <v>412</v>
      </c>
      <c r="K366" s="9" t="s">
        <v>604</v>
      </c>
    </row>
    <row r="367" spans="1:11" ht="28.8">
      <c r="A367" s="9" t="s">
        <v>671</v>
      </c>
      <c r="B367" s="9" t="s">
        <v>602</v>
      </c>
      <c r="C367" s="9" t="s">
        <v>655</v>
      </c>
      <c r="D367" s="12">
        <v>0.1215</v>
      </c>
      <c r="E367" s="12">
        <v>-8.6199999999999999E-2</v>
      </c>
      <c r="F367" s="12">
        <v>0.4002</v>
      </c>
      <c r="G367" s="12">
        <v>1.7649999999999999E-2</v>
      </c>
      <c r="H367" s="12">
        <v>0.1452</v>
      </c>
      <c r="I367" s="12">
        <v>0.2026</v>
      </c>
      <c r="J367" s="9" t="s">
        <v>412</v>
      </c>
      <c r="K367" s="9" t="s">
        <v>604</v>
      </c>
    </row>
    <row r="368" spans="1:11" ht="28.8">
      <c r="A368" s="9" t="s">
        <v>679</v>
      </c>
      <c r="B368" s="9" t="s">
        <v>676</v>
      </c>
      <c r="C368" s="9" t="s">
        <v>677</v>
      </c>
      <c r="D368" s="12">
        <v>0.13189999999999999</v>
      </c>
      <c r="E368" s="12">
        <v>0.26829999999999998</v>
      </c>
      <c r="F368" s="12">
        <v>0.2077</v>
      </c>
      <c r="G368" s="12">
        <v>0.2001</v>
      </c>
      <c r="H368" s="12">
        <v>0.2026</v>
      </c>
      <c r="I368" s="12">
        <v>0.2026</v>
      </c>
      <c r="J368" s="9" t="s">
        <v>412</v>
      </c>
      <c r="K368" s="9" t="s">
        <v>654</v>
      </c>
    </row>
    <row r="369" spans="1:11" ht="28.8">
      <c r="A369" s="9" t="s">
        <v>603</v>
      </c>
      <c r="B369" s="9" t="s">
        <v>660</v>
      </c>
      <c r="C369" s="9" t="s">
        <v>659</v>
      </c>
      <c r="D369" s="12">
        <v>-0.17230000000000001</v>
      </c>
      <c r="E369" s="12">
        <v>0.40089999999999998</v>
      </c>
      <c r="F369" s="12">
        <v>3.3799999999999997E-2</v>
      </c>
      <c r="G369" s="12">
        <v>0.11429999999999998</v>
      </c>
      <c r="H369" s="12">
        <v>8.7499999999999994E-2</v>
      </c>
      <c r="I369" s="12">
        <v>0.20230000000000001</v>
      </c>
      <c r="J369" s="9" t="s">
        <v>412</v>
      </c>
      <c r="K369" s="9" t="s">
        <v>604</v>
      </c>
    </row>
    <row r="370" spans="1:11">
      <c r="A370" s="9" t="s">
        <v>609</v>
      </c>
      <c r="B370" s="9" t="s">
        <v>658</v>
      </c>
      <c r="C370" s="9" t="s">
        <v>670</v>
      </c>
      <c r="D370" s="12">
        <v>-0.32040000000000002</v>
      </c>
      <c r="E370" s="12">
        <v>1.5599999999999999E-2</v>
      </c>
      <c r="F370" s="12">
        <v>-0.27050000000000002</v>
      </c>
      <c r="G370" s="12">
        <v>-0.15240000000000001</v>
      </c>
      <c r="H370" s="12">
        <v>-0.19170000000000001</v>
      </c>
      <c r="I370" s="12">
        <v>0.2021</v>
      </c>
      <c r="J370" s="9" t="s">
        <v>412</v>
      </c>
      <c r="K370" s="9" t="s">
        <v>604</v>
      </c>
    </row>
    <row r="371" spans="1:11" ht="28.8">
      <c r="A371" s="9" t="s">
        <v>603</v>
      </c>
      <c r="B371" s="9" t="s">
        <v>658</v>
      </c>
      <c r="C371" s="9" t="s">
        <v>667</v>
      </c>
      <c r="D371" s="12">
        <v>-6.3299999999999995E-2</v>
      </c>
      <c r="E371" s="12">
        <v>-0.46400000000000002</v>
      </c>
      <c r="F371" s="12">
        <v>7.9000000000000001E-2</v>
      </c>
      <c r="G371" s="12">
        <v>-0.26365</v>
      </c>
      <c r="H371" s="12">
        <v>-0.14940000000000001</v>
      </c>
      <c r="I371" s="12">
        <v>0.2021</v>
      </c>
      <c r="J371" s="9" t="s">
        <v>412</v>
      </c>
      <c r="K371" s="9" t="s">
        <v>604</v>
      </c>
    </row>
    <row r="372" spans="1:11" ht="28.8">
      <c r="A372" s="9" t="s">
        <v>671</v>
      </c>
      <c r="B372" s="9" t="s">
        <v>602</v>
      </c>
      <c r="C372" s="9" t="s">
        <v>601</v>
      </c>
      <c r="D372" s="12">
        <v>-0.10879999999999999</v>
      </c>
      <c r="E372" s="12">
        <v>-8.6199999999999999E-2</v>
      </c>
      <c r="F372" s="12">
        <v>-0.41089999999999999</v>
      </c>
      <c r="G372" s="12">
        <v>-9.7500000000000003E-2</v>
      </c>
      <c r="H372" s="12">
        <v>-0.2019</v>
      </c>
      <c r="I372" s="12">
        <v>0.2019</v>
      </c>
      <c r="J372" s="9" t="s">
        <v>412</v>
      </c>
      <c r="K372" s="9" t="s">
        <v>604</v>
      </c>
    </row>
    <row r="373" spans="1:11" ht="28.8">
      <c r="A373" s="9" t="s">
        <v>679</v>
      </c>
      <c r="B373" s="9" t="s">
        <v>657</v>
      </c>
      <c r="C373" s="9" t="s">
        <v>667</v>
      </c>
      <c r="D373" s="12">
        <v>-0.12280000000000001</v>
      </c>
      <c r="E373" s="12">
        <v>0.14180000000000001</v>
      </c>
      <c r="F373" s="12">
        <v>-0.3402</v>
      </c>
      <c r="G373" s="12">
        <v>9.5000000000000015E-3</v>
      </c>
      <c r="H373" s="12">
        <v>-0.1071</v>
      </c>
      <c r="I373" s="12">
        <v>0.2016</v>
      </c>
      <c r="J373" s="9" t="s">
        <v>412</v>
      </c>
      <c r="K373" s="9" t="s">
        <v>604</v>
      </c>
    </row>
    <row r="374" spans="1:11">
      <c r="A374" s="9" t="s">
        <v>682</v>
      </c>
      <c r="B374" s="9" t="s">
        <v>658</v>
      </c>
      <c r="C374" s="9" t="s">
        <v>655</v>
      </c>
      <c r="D374" s="12">
        <v>7.3099999999999998E-2</v>
      </c>
      <c r="E374" s="12">
        <v>-5.5500000000000001E-2</v>
      </c>
      <c r="F374" s="12">
        <v>0.4758</v>
      </c>
      <c r="G374" s="12">
        <v>8.7999999999999988E-3</v>
      </c>
      <c r="H374" s="12">
        <v>0.16439999999999999</v>
      </c>
      <c r="I374" s="12">
        <v>0.2014</v>
      </c>
      <c r="J374" s="9" t="s">
        <v>412</v>
      </c>
      <c r="K374" s="9" t="s">
        <v>604</v>
      </c>
    </row>
    <row r="375" spans="1:11" ht="28.8">
      <c r="A375" s="9" t="s">
        <v>679</v>
      </c>
      <c r="B375" s="9" t="s">
        <v>658</v>
      </c>
      <c r="C375" s="9" t="s">
        <v>655</v>
      </c>
      <c r="D375" s="12">
        <v>9.4500000000000001E-2</v>
      </c>
      <c r="E375" s="12">
        <v>3.4000000000000002E-2</v>
      </c>
      <c r="F375" s="12">
        <v>0.4758</v>
      </c>
      <c r="G375" s="12">
        <v>6.4250000000000002E-2</v>
      </c>
      <c r="H375" s="12">
        <v>0.2014</v>
      </c>
      <c r="I375" s="12">
        <v>0.2014</v>
      </c>
      <c r="J375" s="9" t="s">
        <v>412</v>
      </c>
      <c r="K375" s="9" t="s">
        <v>654</v>
      </c>
    </row>
    <row r="376" spans="1:11" ht="28.8">
      <c r="A376" s="9" t="s">
        <v>671</v>
      </c>
      <c r="B376" s="9" t="s">
        <v>673</v>
      </c>
      <c r="C376" s="9" t="s">
        <v>670</v>
      </c>
      <c r="D376" s="12">
        <v>-0.32890000000000003</v>
      </c>
      <c r="E376" s="12">
        <v>-0.12470000000000001</v>
      </c>
      <c r="F376" s="12">
        <v>0.15040000000000001</v>
      </c>
      <c r="G376" s="12">
        <v>-0.2268</v>
      </c>
      <c r="H376" s="12">
        <v>-0.1011</v>
      </c>
      <c r="I376" s="12">
        <v>0.2014</v>
      </c>
      <c r="J376" s="9" t="s">
        <v>412</v>
      </c>
      <c r="K376" s="9" t="s">
        <v>604</v>
      </c>
    </row>
    <row r="377" spans="1:11" ht="28.8">
      <c r="A377" s="9" t="s">
        <v>603</v>
      </c>
      <c r="B377" s="9" t="s">
        <v>681</v>
      </c>
      <c r="C377" s="9" t="s">
        <v>670</v>
      </c>
      <c r="D377" s="12">
        <v>0.28070000000000001</v>
      </c>
      <c r="E377" s="12">
        <v>-0.19009999999999999</v>
      </c>
      <c r="F377" s="12">
        <v>-0.1333</v>
      </c>
      <c r="G377" s="12">
        <v>4.5300000000000007E-2</v>
      </c>
      <c r="H377" s="12">
        <v>-1.4200000000000001E-2</v>
      </c>
      <c r="I377" s="12">
        <v>0.2014</v>
      </c>
      <c r="J377" s="9" t="s">
        <v>412</v>
      </c>
      <c r="K377" s="9" t="s">
        <v>604</v>
      </c>
    </row>
    <row r="378" spans="1:11">
      <c r="A378" s="9" t="s">
        <v>662</v>
      </c>
      <c r="B378" s="9" t="s">
        <v>665</v>
      </c>
      <c r="C378" s="9" t="s">
        <v>656</v>
      </c>
      <c r="D378" s="12">
        <v>0.26229999999999998</v>
      </c>
      <c r="E378" s="12">
        <v>-0.1681</v>
      </c>
      <c r="F378" s="12">
        <v>0.17330000000000001</v>
      </c>
      <c r="G378" s="12">
        <v>4.7099999999999989E-2</v>
      </c>
      <c r="H378" s="12">
        <v>8.9200000000000002E-2</v>
      </c>
      <c r="I378" s="12">
        <v>0.20119999999999999</v>
      </c>
      <c r="J378" s="9" t="s">
        <v>412</v>
      </c>
      <c r="K378" s="9" t="s">
        <v>604</v>
      </c>
    </row>
    <row r="379" spans="1:11" ht="28.8">
      <c r="A379" s="9" t="s">
        <v>661</v>
      </c>
      <c r="B379" s="9" t="s">
        <v>657</v>
      </c>
      <c r="C379" s="9" t="s">
        <v>667</v>
      </c>
      <c r="D379" s="12">
        <v>5.3600000000000002E-2</v>
      </c>
      <c r="E379" s="12">
        <v>-0.2077</v>
      </c>
      <c r="F379" s="12">
        <v>-0.3402</v>
      </c>
      <c r="G379" s="12">
        <v>-7.7049999999999993E-2</v>
      </c>
      <c r="H379" s="12">
        <v>-0.16470000000000001</v>
      </c>
      <c r="I379" s="12">
        <v>0.20050000000000001</v>
      </c>
      <c r="J379" s="9" t="s">
        <v>412</v>
      </c>
      <c r="K379" s="9" t="s">
        <v>604</v>
      </c>
    </row>
    <row r="380" spans="1:11">
      <c r="A380" s="9" t="s">
        <v>610</v>
      </c>
      <c r="B380" s="9" t="s">
        <v>653</v>
      </c>
      <c r="C380" s="9" t="s">
        <v>663</v>
      </c>
      <c r="D380" s="12">
        <v>-0.2303</v>
      </c>
      <c r="E380" s="12">
        <v>-1.9800000000000002E-2</v>
      </c>
      <c r="F380" s="12">
        <v>-0.35160000000000002</v>
      </c>
      <c r="G380" s="12">
        <v>-0.12504999999999999</v>
      </c>
      <c r="H380" s="12">
        <v>-0.20050000000000001</v>
      </c>
      <c r="I380" s="12">
        <v>0.20050000000000001</v>
      </c>
      <c r="J380" s="9" t="s">
        <v>412</v>
      </c>
      <c r="K380" s="9" t="s">
        <v>604</v>
      </c>
    </row>
    <row r="381" spans="1:11">
      <c r="A381" s="9" t="s">
        <v>610</v>
      </c>
      <c r="B381" s="9" t="s">
        <v>684</v>
      </c>
      <c r="C381" s="9" t="s">
        <v>663</v>
      </c>
      <c r="D381" s="12">
        <v>-0.2303</v>
      </c>
      <c r="E381" s="12">
        <v>0.2329</v>
      </c>
      <c r="F381" s="12">
        <v>0.13800000000000001</v>
      </c>
      <c r="G381" s="12">
        <v>1.2999999999999956E-3</v>
      </c>
      <c r="H381" s="12">
        <v>4.6899999999999997E-2</v>
      </c>
      <c r="I381" s="12">
        <v>0.20039999999999999</v>
      </c>
      <c r="J381" s="9" t="s">
        <v>412</v>
      </c>
      <c r="K381" s="9" t="s">
        <v>604</v>
      </c>
    </row>
    <row r="382" spans="1:11" ht="28.8">
      <c r="A382" s="9" t="s">
        <v>671</v>
      </c>
      <c r="B382" s="9" t="s">
        <v>653</v>
      </c>
      <c r="C382" s="9" t="s">
        <v>667</v>
      </c>
      <c r="D382" s="12">
        <v>0.14219999999999999</v>
      </c>
      <c r="E382" s="12">
        <v>-0.09</v>
      </c>
      <c r="F382" s="12">
        <v>-0.36870000000000003</v>
      </c>
      <c r="G382" s="12">
        <v>2.6099999999999998E-2</v>
      </c>
      <c r="H382" s="12">
        <v>-0.1055</v>
      </c>
      <c r="I382" s="12">
        <v>0.20030000000000001</v>
      </c>
      <c r="J382" s="9" t="s">
        <v>412</v>
      </c>
      <c r="K382" s="9" t="s">
        <v>604</v>
      </c>
    </row>
    <row r="383" spans="1:11" ht="28.8">
      <c r="A383" s="9" t="s">
        <v>661</v>
      </c>
      <c r="B383" s="9" t="s">
        <v>669</v>
      </c>
      <c r="C383" s="9" t="s">
        <v>666</v>
      </c>
      <c r="D383" s="12">
        <v>0.2175</v>
      </c>
      <c r="E383" s="12">
        <v>9.1800000000000007E-2</v>
      </c>
      <c r="F383" s="12">
        <v>0.2913</v>
      </c>
      <c r="G383" s="12">
        <v>0.15465000000000001</v>
      </c>
      <c r="H383" s="12">
        <v>0.20019999999999999</v>
      </c>
      <c r="I383" s="12">
        <v>0.20019999999999999</v>
      </c>
      <c r="J383" s="9" t="s">
        <v>412</v>
      </c>
      <c r="K383" s="9" t="s">
        <v>654</v>
      </c>
    </row>
    <row r="384" spans="1:11" ht="28.8">
      <c r="A384" s="9" t="s">
        <v>662</v>
      </c>
      <c r="B384" s="9" t="s">
        <v>688</v>
      </c>
      <c r="C384" s="9" t="s">
        <v>675</v>
      </c>
      <c r="D384" s="12">
        <v>0.14630000000000001</v>
      </c>
      <c r="E384" s="12">
        <v>0.1293</v>
      </c>
      <c r="F384" s="12">
        <v>0.3251</v>
      </c>
      <c r="G384" s="12">
        <v>0.13780000000000001</v>
      </c>
      <c r="H384" s="12">
        <v>0.20019999999999999</v>
      </c>
      <c r="I384" s="12">
        <v>0.20019999999999999</v>
      </c>
      <c r="J384" s="9" t="s">
        <v>412</v>
      </c>
      <c r="K384" s="9" t="s">
        <v>654</v>
      </c>
    </row>
    <row r="385" spans="1:11" ht="28.8">
      <c r="A385" s="9" t="s">
        <v>661</v>
      </c>
      <c r="B385" s="9" t="s">
        <v>689</v>
      </c>
      <c r="C385" s="9" t="s">
        <v>670</v>
      </c>
      <c r="D385" s="12">
        <v>-0.29680000000000001</v>
      </c>
      <c r="E385" s="12">
        <v>-0.1028</v>
      </c>
      <c r="F385" s="12">
        <v>0.20100000000000001</v>
      </c>
      <c r="G385" s="12">
        <v>-0.19980000000000001</v>
      </c>
      <c r="H385" s="12">
        <v>-6.6199999999999995E-2</v>
      </c>
      <c r="I385" s="12">
        <v>0.20019999999999999</v>
      </c>
      <c r="J385" s="9" t="s">
        <v>412</v>
      </c>
      <c r="K385" s="9" t="s">
        <v>604</v>
      </c>
    </row>
    <row r="386" spans="1:11">
      <c r="A386" s="9" t="s">
        <v>662</v>
      </c>
      <c r="B386" s="9" t="s">
        <v>658</v>
      </c>
      <c r="C386" s="9" t="s">
        <v>663</v>
      </c>
      <c r="D386" s="12">
        <v>7.4700000000000003E-2</v>
      </c>
      <c r="E386" s="12">
        <v>0.11119999999999999</v>
      </c>
      <c r="F386" s="12">
        <v>0.41449999999999998</v>
      </c>
      <c r="G386" s="12">
        <v>9.2950000000000005E-2</v>
      </c>
      <c r="H386" s="12">
        <v>0.2001</v>
      </c>
      <c r="I386" s="12">
        <v>0.2001</v>
      </c>
      <c r="J386" s="9" t="s">
        <v>412</v>
      </c>
      <c r="K386" s="9" t="s">
        <v>654</v>
      </c>
    </row>
    <row r="387" spans="1:11" ht="28.8">
      <c r="A387" s="9" t="s">
        <v>661</v>
      </c>
      <c r="B387" s="9" t="s">
        <v>669</v>
      </c>
      <c r="C387" s="9" t="s">
        <v>655</v>
      </c>
      <c r="D387" s="12">
        <v>0.17599999999999999</v>
      </c>
      <c r="E387" s="12">
        <v>9.1800000000000007E-2</v>
      </c>
      <c r="F387" s="12">
        <v>0.33250000000000002</v>
      </c>
      <c r="G387" s="12">
        <v>0.13389999999999999</v>
      </c>
      <c r="H387" s="12">
        <v>0.2001</v>
      </c>
      <c r="I387" s="12">
        <v>0.2001</v>
      </c>
      <c r="J387" s="9" t="s">
        <v>412</v>
      </c>
      <c r="K387" s="9" t="s">
        <v>654</v>
      </c>
    </row>
    <row r="388" spans="1:11" ht="28.8">
      <c r="A388" s="9" t="s">
        <v>682</v>
      </c>
      <c r="B388" s="9" t="s">
        <v>689</v>
      </c>
      <c r="C388" s="9" t="s">
        <v>690</v>
      </c>
      <c r="D388" s="12">
        <v>-7.1099999999999997E-2</v>
      </c>
      <c r="E388" s="12">
        <v>0.1298</v>
      </c>
      <c r="F388" s="12">
        <v>0.39879999999999999</v>
      </c>
      <c r="G388" s="12">
        <v>2.9350000000000001E-2</v>
      </c>
      <c r="H388" s="12">
        <v>0.1525</v>
      </c>
      <c r="I388" s="12">
        <v>0.19989999999999999</v>
      </c>
      <c r="J388" s="9" t="s">
        <v>412</v>
      </c>
      <c r="K388" s="9" t="s">
        <v>604</v>
      </c>
    </row>
    <row r="389" spans="1:11">
      <c r="A389" s="9" t="s">
        <v>682</v>
      </c>
      <c r="B389" s="9" t="s">
        <v>657</v>
      </c>
      <c r="C389" s="9" t="s">
        <v>670</v>
      </c>
      <c r="D389" s="12">
        <v>-0.19359999999999999</v>
      </c>
      <c r="E389" s="12">
        <v>-0.1056</v>
      </c>
      <c r="F389" s="12">
        <v>0.30049999999999999</v>
      </c>
      <c r="G389" s="12">
        <v>-0.14960000000000001</v>
      </c>
      <c r="H389" s="12">
        <v>4.0000000000000002E-4</v>
      </c>
      <c r="I389" s="12">
        <v>0.19989999999999999</v>
      </c>
      <c r="J389" s="9" t="s">
        <v>412</v>
      </c>
      <c r="K389" s="9" t="s">
        <v>604</v>
      </c>
    </row>
    <row r="390" spans="1:11" ht="28.8">
      <c r="A390" s="9" t="s">
        <v>671</v>
      </c>
      <c r="B390" s="9" t="s">
        <v>613</v>
      </c>
      <c r="C390" s="9" t="s">
        <v>656</v>
      </c>
      <c r="D390" s="12">
        <v>6.54E-2</v>
      </c>
      <c r="E390" s="12">
        <v>3.5900000000000001E-2</v>
      </c>
      <c r="F390" s="12">
        <v>0.498</v>
      </c>
      <c r="G390" s="12">
        <v>5.0650000000000001E-2</v>
      </c>
      <c r="H390" s="12">
        <v>0.19980000000000001</v>
      </c>
      <c r="I390" s="12">
        <v>0.19980000000000001</v>
      </c>
      <c r="J390" s="9" t="s">
        <v>412</v>
      </c>
      <c r="K390" s="9" t="s">
        <v>654</v>
      </c>
    </row>
    <row r="391" spans="1:11" ht="28.8">
      <c r="A391" s="9" t="s">
        <v>603</v>
      </c>
      <c r="B391" s="9" t="s">
        <v>680</v>
      </c>
      <c r="C391" s="9" t="s">
        <v>664</v>
      </c>
      <c r="D391" s="12">
        <v>0.4093</v>
      </c>
      <c r="E391" s="12">
        <v>-4.2000000000000003E-2</v>
      </c>
      <c r="F391" s="12">
        <v>0.14829999999999999</v>
      </c>
      <c r="G391" s="12">
        <v>0.18365000000000001</v>
      </c>
      <c r="H391" s="12">
        <v>0.1719</v>
      </c>
      <c r="I391" s="12">
        <v>0.19980000000000001</v>
      </c>
      <c r="J391" s="9" t="s">
        <v>412</v>
      </c>
      <c r="K391" s="9" t="s">
        <v>604</v>
      </c>
    </row>
    <row r="392" spans="1:11" ht="28.8">
      <c r="A392" s="9" t="s">
        <v>661</v>
      </c>
      <c r="B392" s="9" t="s">
        <v>658</v>
      </c>
      <c r="C392" s="9" t="s">
        <v>663</v>
      </c>
      <c r="D392" s="12">
        <v>8.8300000000000003E-2</v>
      </c>
      <c r="E392" s="12">
        <v>9.5200000000000007E-2</v>
      </c>
      <c r="F392" s="12">
        <v>0.41449999999999998</v>
      </c>
      <c r="G392" s="12">
        <v>9.1749999999999998E-2</v>
      </c>
      <c r="H392" s="12">
        <v>0.1993</v>
      </c>
      <c r="I392" s="12">
        <v>0.1993</v>
      </c>
      <c r="J392" s="9" t="s">
        <v>412</v>
      </c>
      <c r="K392" s="9" t="s">
        <v>654</v>
      </c>
    </row>
    <row r="393" spans="1:11" ht="28.8">
      <c r="A393" s="9" t="s">
        <v>671</v>
      </c>
      <c r="B393" s="9" t="s">
        <v>689</v>
      </c>
      <c r="C393" s="9" t="s">
        <v>690</v>
      </c>
      <c r="D393" s="12">
        <v>-7.0199999999999999E-2</v>
      </c>
      <c r="E393" s="12">
        <v>-0.12859999999999999</v>
      </c>
      <c r="F393" s="12">
        <v>0.39879999999999999</v>
      </c>
      <c r="G393" s="12">
        <v>-9.9399999999999988E-2</v>
      </c>
      <c r="H393" s="12">
        <v>6.6699999999999995E-2</v>
      </c>
      <c r="I393" s="12">
        <v>0.19919999999999999</v>
      </c>
      <c r="J393" s="9" t="s">
        <v>412</v>
      </c>
      <c r="K393" s="9" t="s">
        <v>604</v>
      </c>
    </row>
    <row r="394" spans="1:11" ht="28.8">
      <c r="A394" s="9" t="s">
        <v>661</v>
      </c>
      <c r="B394" s="9" t="s">
        <v>602</v>
      </c>
      <c r="C394" s="9" t="s">
        <v>655</v>
      </c>
      <c r="D394" s="12">
        <v>0.17599999999999999</v>
      </c>
      <c r="E394" s="12">
        <v>2.06E-2</v>
      </c>
      <c r="F394" s="12">
        <v>0.4002</v>
      </c>
      <c r="G394" s="12">
        <v>9.8299999999999998E-2</v>
      </c>
      <c r="H394" s="12">
        <v>0.19889999999999999</v>
      </c>
      <c r="I394" s="12">
        <v>0.19889999999999999</v>
      </c>
      <c r="J394" s="9" t="s">
        <v>412</v>
      </c>
      <c r="K394" s="9" t="s">
        <v>654</v>
      </c>
    </row>
    <row r="395" spans="1:11">
      <c r="A395" s="9" t="s">
        <v>609</v>
      </c>
      <c r="B395" s="9" t="s">
        <v>672</v>
      </c>
      <c r="C395" s="9" t="s">
        <v>667</v>
      </c>
      <c r="D395" s="12">
        <v>0.33360000000000001</v>
      </c>
      <c r="E395" s="12">
        <v>-0.1148</v>
      </c>
      <c r="F395" s="12">
        <v>0.1469</v>
      </c>
      <c r="G395" s="12">
        <v>0.1094</v>
      </c>
      <c r="H395" s="12">
        <v>0.12189999999999999</v>
      </c>
      <c r="I395" s="12">
        <v>0.19839999999999999</v>
      </c>
      <c r="J395" s="9" t="s">
        <v>412</v>
      </c>
      <c r="K395" s="9" t="s">
        <v>604</v>
      </c>
    </row>
    <row r="396" spans="1:11" ht="28.8">
      <c r="A396" s="9" t="s">
        <v>603</v>
      </c>
      <c r="B396" s="9" t="s">
        <v>665</v>
      </c>
      <c r="C396" s="9" t="s">
        <v>677</v>
      </c>
      <c r="D396" s="12">
        <v>0.14069999999999999</v>
      </c>
      <c r="E396" s="12">
        <v>-0.32069999999999999</v>
      </c>
      <c r="F396" s="12">
        <v>0.13339999999999999</v>
      </c>
      <c r="G396" s="12">
        <v>-0.09</v>
      </c>
      <c r="H396" s="12">
        <v>-1.55E-2</v>
      </c>
      <c r="I396" s="12">
        <v>0.1983</v>
      </c>
      <c r="J396" s="9" t="s">
        <v>412</v>
      </c>
      <c r="K396" s="9" t="s">
        <v>604</v>
      </c>
    </row>
    <row r="397" spans="1:11" ht="28.8">
      <c r="A397" s="9" t="s">
        <v>661</v>
      </c>
      <c r="B397" s="9" t="s">
        <v>660</v>
      </c>
      <c r="C397" s="9" t="s">
        <v>663</v>
      </c>
      <c r="D397" s="12">
        <v>8.8300000000000003E-2</v>
      </c>
      <c r="E397" s="12">
        <v>-0.21290000000000001</v>
      </c>
      <c r="F397" s="12">
        <v>-0.29349999999999998</v>
      </c>
      <c r="G397" s="12">
        <v>-6.2300000000000001E-2</v>
      </c>
      <c r="H397" s="12">
        <v>-0.1394</v>
      </c>
      <c r="I397" s="12">
        <v>0.19819999999999999</v>
      </c>
      <c r="J397" s="9" t="s">
        <v>412</v>
      </c>
      <c r="K397" s="9" t="s">
        <v>604</v>
      </c>
    </row>
    <row r="398" spans="1:11" ht="28.8">
      <c r="A398" s="9" t="s">
        <v>671</v>
      </c>
      <c r="B398" s="9" t="s">
        <v>686</v>
      </c>
      <c r="C398" s="9" t="s">
        <v>670</v>
      </c>
      <c r="D398" s="12">
        <v>-0.32890000000000003</v>
      </c>
      <c r="E398" s="12">
        <v>0.13</v>
      </c>
      <c r="F398" s="12">
        <v>-0.13539999999999999</v>
      </c>
      <c r="G398" s="12">
        <v>-9.9450000000000011E-2</v>
      </c>
      <c r="H398" s="12">
        <v>-0.1114</v>
      </c>
      <c r="I398" s="12">
        <v>0.1981</v>
      </c>
      <c r="J398" s="9" t="s">
        <v>412</v>
      </c>
      <c r="K398" s="9" t="s">
        <v>604</v>
      </c>
    </row>
    <row r="399" spans="1:11" ht="28.8">
      <c r="A399" s="9" t="s">
        <v>662</v>
      </c>
      <c r="B399" s="9" t="s">
        <v>669</v>
      </c>
      <c r="C399" s="9" t="s">
        <v>675</v>
      </c>
      <c r="D399" s="12">
        <v>0.14630000000000001</v>
      </c>
      <c r="E399" s="12">
        <v>0.1298</v>
      </c>
      <c r="F399" s="12">
        <v>0.31819999999999998</v>
      </c>
      <c r="G399" s="12">
        <v>0.13805000000000001</v>
      </c>
      <c r="H399" s="12">
        <v>0.1981</v>
      </c>
      <c r="I399" s="12">
        <v>0.1981</v>
      </c>
      <c r="J399" s="9" t="s">
        <v>412</v>
      </c>
      <c r="K399" s="9" t="s">
        <v>654</v>
      </c>
    </row>
    <row r="400" spans="1:11" ht="28.8">
      <c r="A400" s="9" t="s">
        <v>603</v>
      </c>
      <c r="B400" s="9" t="s">
        <v>687</v>
      </c>
      <c r="C400" s="9" t="s">
        <v>664</v>
      </c>
      <c r="D400" s="12">
        <v>0.4093</v>
      </c>
      <c r="E400" s="12">
        <v>-0.1457</v>
      </c>
      <c r="F400" s="12">
        <v>-3.8100000000000002E-2</v>
      </c>
      <c r="G400" s="12">
        <v>0.1318</v>
      </c>
      <c r="H400" s="12">
        <v>7.5200000000000003E-2</v>
      </c>
      <c r="I400" s="12">
        <v>0.19769999999999999</v>
      </c>
      <c r="J400" s="9" t="s">
        <v>412</v>
      </c>
      <c r="K400" s="9" t="s">
        <v>604</v>
      </c>
    </row>
    <row r="401" spans="1:11" ht="28.8">
      <c r="A401" s="9" t="s">
        <v>661</v>
      </c>
      <c r="B401" s="9" t="s">
        <v>668</v>
      </c>
      <c r="C401" s="9" t="s">
        <v>670</v>
      </c>
      <c r="D401" s="12">
        <v>-0.29680000000000001</v>
      </c>
      <c r="E401" s="12">
        <v>-0.13339999999999999</v>
      </c>
      <c r="F401" s="12">
        <v>0.16139999999999999</v>
      </c>
      <c r="G401" s="12">
        <v>-0.21510000000000001</v>
      </c>
      <c r="H401" s="12">
        <v>-8.9599999999999999E-2</v>
      </c>
      <c r="I401" s="12">
        <v>0.19719999999999999</v>
      </c>
      <c r="J401" s="9" t="s">
        <v>412</v>
      </c>
      <c r="K401" s="9" t="s">
        <v>604</v>
      </c>
    </row>
    <row r="402" spans="1:11" ht="28.8">
      <c r="A402" s="9" t="s">
        <v>662</v>
      </c>
      <c r="B402" s="9" t="s">
        <v>669</v>
      </c>
      <c r="C402" s="9" t="s">
        <v>601</v>
      </c>
      <c r="D402" s="12">
        <v>-0.1173</v>
      </c>
      <c r="E402" s="12">
        <v>0.1298</v>
      </c>
      <c r="F402" s="12">
        <v>-0.34310000000000002</v>
      </c>
      <c r="G402" s="12">
        <v>6.2499999999999986E-3</v>
      </c>
      <c r="H402" s="12">
        <v>-0.11020000000000001</v>
      </c>
      <c r="I402" s="12">
        <v>0.19670000000000001</v>
      </c>
      <c r="J402" s="9" t="s">
        <v>412</v>
      </c>
      <c r="K402" s="9" t="s">
        <v>604</v>
      </c>
    </row>
    <row r="403" spans="1:11" ht="28.8">
      <c r="A403" s="9" t="s">
        <v>671</v>
      </c>
      <c r="B403" s="9" t="s">
        <v>691</v>
      </c>
      <c r="C403" s="9" t="s">
        <v>670</v>
      </c>
      <c r="D403" s="12">
        <v>-0.32890000000000003</v>
      </c>
      <c r="E403" s="12">
        <v>-0.1353</v>
      </c>
      <c r="F403" s="12">
        <v>0.1258</v>
      </c>
      <c r="G403" s="12">
        <v>-0.23210000000000003</v>
      </c>
      <c r="H403" s="12">
        <v>-0.1128</v>
      </c>
      <c r="I403" s="12">
        <v>0.19670000000000001</v>
      </c>
      <c r="J403" s="9" t="s">
        <v>412</v>
      </c>
      <c r="K403" s="9" t="s">
        <v>604</v>
      </c>
    </row>
    <row r="404" spans="1:11">
      <c r="A404" s="9" t="s">
        <v>662</v>
      </c>
      <c r="B404" s="9" t="s">
        <v>653</v>
      </c>
      <c r="C404" s="9" t="s">
        <v>670</v>
      </c>
      <c r="D404" s="12">
        <v>-0.18790000000000001</v>
      </c>
      <c r="E404" s="12">
        <v>-0.2021</v>
      </c>
      <c r="F404" s="12">
        <v>0.19900000000000001</v>
      </c>
      <c r="G404" s="12">
        <v>-0.19500000000000001</v>
      </c>
      <c r="H404" s="12">
        <v>-6.3700000000000007E-2</v>
      </c>
      <c r="I404" s="12">
        <v>0.1963</v>
      </c>
      <c r="J404" s="9" t="s">
        <v>412</v>
      </c>
      <c r="K404" s="9" t="s">
        <v>604</v>
      </c>
    </row>
    <row r="405" spans="1:11" ht="28.8">
      <c r="A405" s="9" t="s">
        <v>682</v>
      </c>
      <c r="B405" s="9" t="s">
        <v>660</v>
      </c>
      <c r="C405" s="9" t="s">
        <v>601</v>
      </c>
      <c r="D405" s="12">
        <v>-3.2099999999999997E-2</v>
      </c>
      <c r="E405" s="12">
        <v>-9.1399999999999995E-2</v>
      </c>
      <c r="F405" s="12">
        <v>0.4652</v>
      </c>
      <c r="G405" s="12">
        <v>-6.1749999999999999E-2</v>
      </c>
      <c r="H405" s="12">
        <v>0.1139</v>
      </c>
      <c r="I405" s="12">
        <v>0.19620000000000001</v>
      </c>
      <c r="J405" s="9" t="s">
        <v>412</v>
      </c>
      <c r="K405" s="9" t="s">
        <v>604</v>
      </c>
    </row>
    <row r="406" spans="1:11" ht="28.8">
      <c r="A406" s="9" t="s">
        <v>662</v>
      </c>
      <c r="B406" s="9" t="s">
        <v>665</v>
      </c>
      <c r="C406" s="9" t="s">
        <v>601</v>
      </c>
      <c r="D406" s="12">
        <v>-0.1173</v>
      </c>
      <c r="E406" s="12">
        <v>-0.1681</v>
      </c>
      <c r="F406" s="12">
        <v>-0.30330000000000001</v>
      </c>
      <c r="G406" s="12">
        <v>-0.14269999999999999</v>
      </c>
      <c r="H406" s="12">
        <v>-0.19620000000000001</v>
      </c>
      <c r="I406" s="12">
        <v>0.19620000000000001</v>
      </c>
      <c r="J406" s="9" t="s">
        <v>412</v>
      </c>
      <c r="K406" s="9" t="s">
        <v>604</v>
      </c>
    </row>
    <row r="407" spans="1:11" ht="28.8">
      <c r="A407" s="9" t="s">
        <v>661</v>
      </c>
      <c r="B407" s="9" t="s">
        <v>678</v>
      </c>
      <c r="C407" s="9" t="s">
        <v>601</v>
      </c>
      <c r="D407" s="12">
        <v>-0.2266</v>
      </c>
      <c r="E407" s="12">
        <v>-0.15379999999999999</v>
      </c>
      <c r="F407" s="12">
        <v>0.2079</v>
      </c>
      <c r="G407" s="12">
        <v>-0.19019999999999998</v>
      </c>
      <c r="H407" s="12">
        <v>-5.7500000000000002E-2</v>
      </c>
      <c r="I407" s="12">
        <v>0.1961</v>
      </c>
      <c r="J407" s="9" t="s">
        <v>412</v>
      </c>
      <c r="K407" s="9" t="s">
        <v>604</v>
      </c>
    </row>
    <row r="408" spans="1:11">
      <c r="A408" s="9" t="s">
        <v>610</v>
      </c>
      <c r="B408" s="9" t="s">
        <v>691</v>
      </c>
      <c r="C408" s="9" t="s">
        <v>670</v>
      </c>
      <c r="D408" s="12">
        <v>-0.1699</v>
      </c>
      <c r="E408" s="12">
        <v>0.29249999999999998</v>
      </c>
      <c r="F408" s="12">
        <v>0.1258</v>
      </c>
      <c r="G408" s="12">
        <v>6.1299999999999993E-2</v>
      </c>
      <c r="H408" s="12">
        <v>8.2799999999999999E-2</v>
      </c>
      <c r="I408" s="12">
        <v>0.1961</v>
      </c>
      <c r="J408" s="9" t="s">
        <v>412</v>
      </c>
      <c r="K408" s="9" t="s">
        <v>604</v>
      </c>
    </row>
    <row r="409" spans="1:11">
      <c r="A409" s="9" t="s">
        <v>610</v>
      </c>
      <c r="B409" s="9" t="s">
        <v>657</v>
      </c>
      <c r="C409" s="9" t="s">
        <v>670</v>
      </c>
      <c r="D409" s="12">
        <v>-0.1699</v>
      </c>
      <c r="E409" s="12">
        <v>-0.1171</v>
      </c>
      <c r="F409" s="12">
        <v>0.30049999999999999</v>
      </c>
      <c r="G409" s="12">
        <v>-0.14349999999999999</v>
      </c>
      <c r="H409" s="12">
        <v>4.4999999999999997E-3</v>
      </c>
      <c r="I409" s="12">
        <v>0.1958</v>
      </c>
      <c r="J409" s="9" t="s">
        <v>412</v>
      </c>
      <c r="K409" s="9" t="s">
        <v>604</v>
      </c>
    </row>
    <row r="410" spans="1:11" ht="28.8">
      <c r="A410" s="9" t="s">
        <v>661</v>
      </c>
      <c r="B410" s="9" t="s">
        <v>680</v>
      </c>
      <c r="C410" s="9" t="s">
        <v>663</v>
      </c>
      <c r="D410" s="12">
        <v>8.8300000000000003E-2</v>
      </c>
      <c r="E410" s="12">
        <v>5.1799999999999999E-2</v>
      </c>
      <c r="F410" s="12">
        <v>0.44740000000000002</v>
      </c>
      <c r="G410" s="12">
        <v>7.0050000000000001E-2</v>
      </c>
      <c r="H410" s="12">
        <v>0.1958</v>
      </c>
      <c r="I410" s="12">
        <v>0.1958</v>
      </c>
      <c r="J410" s="9" t="s">
        <v>412</v>
      </c>
      <c r="K410" s="9" t="s">
        <v>654</v>
      </c>
    </row>
    <row r="411" spans="1:11">
      <c r="A411" s="9" t="s">
        <v>610</v>
      </c>
      <c r="B411" s="9" t="s">
        <v>668</v>
      </c>
      <c r="C411" s="9" t="s">
        <v>656</v>
      </c>
      <c r="D411" s="12">
        <v>6.5699999999999995E-2</v>
      </c>
      <c r="E411" s="12">
        <v>-9.64E-2</v>
      </c>
      <c r="F411" s="12">
        <v>-0.42299999999999999</v>
      </c>
      <c r="G411" s="12">
        <v>-1.5350000000000003E-2</v>
      </c>
      <c r="H411" s="12">
        <v>-0.1512</v>
      </c>
      <c r="I411" s="12">
        <v>0.19500000000000001</v>
      </c>
      <c r="J411" s="9" t="s">
        <v>412</v>
      </c>
      <c r="K411" s="9" t="s">
        <v>604</v>
      </c>
    </row>
    <row r="412" spans="1:11">
      <c r="A412" s="9" t="s">
        <v>609</v>
      </c>
      <c r="B412" s="9" t="s">
        <v>657</v>
      </c>
      <c r="C412" s="9" t="s">
        <v>663</v>
      </c>
      <c r="D412" s="12">
        <v>-0.12770000000000001</v>
      </c>
      <c r="E412" s="12">
        <v>-0.28839999999999999</v>
      </c>
      <c r="F412" s="12">
        <v>-0.16819999999999999</v>
      </c>
      <c r="G412" s="12">
        <v>-0.20805000000000001</v>
      </c>
      <c r="H412" s="12">
        <v>-0.1948</v>
      </c>
      <c r="I412" s="12">
        <v>0.1948</v>
      </c>
      <c r="J412" s="9" t="s">
        <v>412</v>
      </c>
      <c r="K412" s="9" t="s">
        <v>604</v>
      </c>
    </row>
    <row r="413" spans="1:11">
      <c r="A413" s="9" t="s">
        <v>662</v>
      </c>
      <c r="B413" s="9" t="s">
        <v>676</v>
      </c>
      <c r="C413" s="9" t="s">
        <v>656</v>
      </c>
      <c r="D413" s="12">
        <v>0.26229999999999998</v>
      </c>
      <c r="E413" s="12">
        <v>0.17610000000000001</v>
      </c>
      <c r="F413" s="12">
        <v>0.14560000000000001</v>
      </c>
      <c r="G413" s="12">
        <v>0.21920000000000001</v>
      </c>
      <c r="H413" s="12">
        <v>0.19470000000000001</v>
      </c>
      <c r="I413" s="12">
        <v>0.19470000000000001</v>
      </c>
      <c r="J413" s="9" t="s">
        <v>412</v>
      </c>
      <c r="K413" s="9" t="s">
        <v>654</v>
      </c>
    </row>
    <row r="414" spans="1:11" ht="28.8">
      <c r="A414" s="9" t="s">
        <v>609</v>
      </c>
      <c r="B414" s="9" t="s">
        <v>665</v>
      </c>
      <c r="C414" s="9" t="s">
        <v>601</v>
      </c>
      <c r="D414" s="12">
        <v>-0.1671</v>
      </c>
      <c r="E414" s="12">
        <v>-0.11310000000000001</v>
      </c>
      <c r="F414" s="12">
        <v>-0.30330000000000001</v>
      </c>
      <c r="G414" s="12">
        <v>-0.1401</v>
      </c>
      <c r="H414" s="12">
        <v>-0.19450000000000001</v>
      </c>
      <c r="I414" s="12">
        <v>0.19450000000000001</v>
      </c>
      <c r="J414" s="9" t="s">
        <v>412</v>
      </c>
      <c r="K414" s="9" t="s">
        <v>604</v>
      </c>
    </row>
    <row r="415" spans="1:11">
      <c r="A415" s="9" t="s">
        <v>610</v>
      </c>
      <c r="B415" s="9" t="s">
        <v>660</v>
      </c>
      <c r="C415" s="9" t="s">
        <v>655</v>
      </c>
      <c r="D415" s="12">
        <v>-9.4E-2</v>
      </c>
      <c r="E415" s="12">
        <v>-3.2599999999999997E-2</v>
      </c>
      <c r="F415" s="12">
        <v>-0.45660000000000001</v>
      </c>
      <c r="G415" s="12">
        <v>-6.3299999999999995E-2</v>
      </c>
      <c r="H415" s="12">
        <v>-0.19439999999999999</v>
      </c>
      <c r="I415" s="12">
        <v>0.19439999999999999</v>
      </c>
      <c r="J415" s="9" t="s">
        <v>412</v>
      </c>
      <c r="K415" s="9" t="s">
        <v>604</v>
      </c>
    </row>
    <row r="416" spans="1:11" ht="28.8">
      <c r="A416" s="9" t="s">
        <v>679</v>
      </c>
      <c r="B416" s="9" t="s">
        <v>658</v>
      </c>
      <c r="C416" s="9" t="s">
        <v>663</v>
      </c>
      <c r="D416" s="12">
        <v>0.13450000000000001</v>
      </c>
      <c r="E416" s="12">
        <v>3.4000000000000002E-2</v>
      </c>
      <c r="F416" s="12">
        <v>0.41449999999999998</v>
      </c>
      <c r="G416" s="12">
        <v>8.4250000000000005E-2</v>
      </c>
      <c r="H416" s="12">
        <v>0.1943</v>
      </c>
      <c r="I416" s="12">
        <v>0.1943</v>
      </c>
      <c r="J416" s="9" t="s">
        <v>412</v>
      </c>
      <c r="K416" s="9" t="s">
        <v>654</v>
      </c>
    </row>
    <row r="417" spans="1:11">
      <c r="A417" s="9" t="s">
        <v>662</v>
      </c>
      <c r="B417" s="9" t="s">
        <v>669</v>
      </c>
      <c r="C417" s="9" t="s">
        <v>656</v>
      </c>
      <c r="D417" s="12">
        <v>0.26229999999999998</v>
      </c>
      <c r="E417" s="12">
        <v>0.1298</v>
      </c>
      <c r="F417" s="12">
        <v>0.1903</v>
      </c>
      <c r="G417" s="12">
        <v>0.19605</v>
      </c>
      <c r="H417" s="12">
        <v>0.19420000000000001</v>
      </c>
      <c r="I417" s="12">
        <v>0.19420000000000001</v>
      </c>
      <c r="J417" s="9" t="s">
        <v>412</v>
      </c>
      <c r="K417" s="9" t="s">
        <v>654</v>
      </c>
    </row>
    <row r="418" spans="1:11" ht="28.8">
      <c r="A418" s="9" t="s">
        <v>661</v>
      </c>
      <c r="B418" s="9" t="s">
        <v>660</v>
      </c>
      <c r="C418" s="9" t="s">
        <v>675</v>
      </c>
      <c r="D418" s="12">
        <v>0.14380000000000001</v>
      </c>
      <c r="E418" s="12">
        <v>-0.21290000000000001</v>
      </c>
      <c r="F418" s="12">
        <v>-0.22600000000000001</v>
      </c>
      <c r="G418" s="12">
        <v>-3.4549999999999997E-2</v>
      </c>
      <c r="H418" s="12">
        <v>-9.8400000000000001E-2</v>
      </c>
      <c r="I418" s="12">
        <v>0.19420000000000001</v>
      </c>
      <c r="J418" s="9" t="s">
        <v>412</v>
      </c>
      <c r="K418" s="9" t="s">
        <v>604</v>
      </c>
    </row>
    <row r="419" spans="1:11" ht="28.8">
      <c r="A419" s="9" t="s">
        <v>661</v>
      </c>
      <c r="B419" s="9" t="s">
        <v>685</v>
      </c>
      <c r="C419" s="9" t="s">
        <v>667</v>
      </c>
      <c r="D419" s="12">
        <v>5.3600000000000002E-2</v>
      </c>
      <c r="E419" s="12">
        <v>0.18970000000000001</v>
      </c>
      <c r="F419" s="12">
        <v>0.33929999999999999</v>
      </c>
      <c r="G419" s="12">
        <v>0.12165000000000001</v>
      </c>
      <c r="H419" s="12">
        <v>0.19420000000000001</v>
      </c>
      <c r="I419" s="12">
        <v>0.19420000000000001</v>
      </c>
      <c r="J419" s="9" t="s">
        <v>412</v>
      </c>
      <c r="K419" s="9" t="s">
        <v>654</v>
      </c>
    </row>
    <row r="420" spans="1:11">
      <c r="A420" s="9" t="s">
        <v>610</v>
      </c>
      <c r="B420" s="9" t="s">
        <v>658</v>
      </c>
      <c r="C420" s="9" t="s">
        <v>670</v>
      </c>
      <c r="D420" s="12">
        <v>-0.1699</v>
      </c>
      <c r="E420" s="12">
        <v>-0.1421</v>
      </c>
      <c r="F420" s="12">
        <v>-0.27050000000000002</v>
      </c>
      <c r="G420" s="12">
        <v>-0.156</v>
      </c>
      <c r="H420" s="12">
        <v>-0.19420000000000001</v>
      </c>
      <c r="I420" s="12">
        <v>0.19420000000000001</v>
      </c>
      <c r="J420" s="9" t="s">
        <v>412</v>
      </c>
      <c r="K420" s="9" t="s">
        <v>604</v>
      </c>
    </row>
    <row r="421" spans="1:11" ht="28.8">
      <c r="A421" s="9" t="s">
        <v>610</v>
      </c>
      <c r="B421" s="9" t="s">
        <v>660</v>
      </c>
      <c r="C421" s="9" t="s">
        <v>601</v>
      </c>
      <c r="D421" s="12">
        <v>8.48E-2</v>
      </c>
      <c r="E421" s="12">
        <v>-3.2599999999999997E-2</v>
      </c>
      <c r="F421" s="12">
        <v>0.4652</v>
      </c>
      <c r="G421" s="12">
        <v>2.6100000000000002E-2</v>
      </c>
      <c r="H421" s="12">
        <v>0.17249999999999999</v>
      </c>
      <c r="I421" s="12">
        <v>0.19420000000000001</v>
      </c>
      <c r="J421" s="9" t="s">
        <v>412</v>
      </c>
      <c r="K421" s="9" t="s">
        <v>604</v>
      </c>
    </row>
    <row r="422" spans="1:11">
      <c r="A422" s="9" t="s">
        <v>609</v>
      </c>
      <c r="B422" s="9" t="s">
        <v>685</v>
      </c>
      <c r="C422" s="9" t="s">
        <v>670</v>
      </c>
      <c r="D422" s="12">
        <v>-0.32040000000000002</v>
      </c>
      <c r="E422" s="12">
        <v>3.8399999999999997E-2</v>
      </c>
      <c r="F422" s="12">
        <v>-0.22320000000000001</v>
      </c>
      <c r="G422" s="12">
        <v>-0.14100000000000001</v>
      </c>
      <c r="H422" s="12">
        <v>-0.16839999999999999</v>
      </c>
      <c r="I422" s="12">
        <v>0.19400000000000001</v>
      </c>
      <c r="J422" s="9" t="s">
        <v>412</v>
      </c>
      <c r="K422" s="9" t="s">
        <v>604</v>
      </c>
    </row>
    <row r="423" spans="1:11">
      <c r="A423" s="9" t="s">
        <v>682</v>
      </c>
      <c r="B423" s="9" t="s">
        <v>680</v>
      </c>
      <c r="C423" s="9" t="s">
        <v>663</v>
      </c>
      <c r="D423" s="12">
        <v>-6.7400000000000002E-2</v>
      </c>
      <c r="E423" s="12">
        <v>6.7000000000000004E-2</v>
      </c>
      <c r="F423" s="12">
        <v>0.44740000000000002</v>
      </c>
      <c r="G423" s="12">
        <v>-1.9999999999999879E-4</v>
      </c>
      <c r="H423" s="12">
        <v>0.14899999999999999</v>
      </c>
      <c r="I423" s="12">
        <v>0.19389999999999999</v>
      </c>
      <c r="J423" s="9" t="s">
        <v>412</v>
      </c>
      <c r="K423" s="9" t="s">
        <v>604</v>
      </c>
    </row>
    <row r="424" spans="1:11">
      <c r="A424" s="9" t="s">
        <v>682</v>
      </c>
      <c r="B424" s="9" t="s">
        <v>681</v>
      </c>
      <c r="C424" s="9" t="s">
        <v>659</v>
      </c>
      <c r="D424" s="12">
        <v>0.1188</v>
      </c>
      <c r="E424" s="12">
        <v>0.15890000000000001</v>
      </c>
      <c r="F424" s="12">
        <v>0.30399999999999999</v>
      </c>
      <c r="G424" s="12">
        <v>0.13885</v>
      </c>
      <c r="H424" s="12">
        <v>0.19389999999999999</v>
      </c>
      <c r="I424" s="12">
        <v>0.19389999999999999</v>
      </c>
      <c r="J424" s="9" t="s">
        <v>412</v>
      </c>
      <c r="K424" s="9" t="s">
        <v>654</v>
      </c>
    </row>
    <row r="425" spans="1:11" ht="28.8">
      <c r="A425" s="9" t="s">
        <v>661</v>
      </c>
      <c r="B425" s="9" t="s">
        <v>685</v>
      </c>
      <c r="C425" s="9" t="s">
        <v>656</v>
      </c>
      <c r="D425" s="12">
        <v>0.32640000000000002</v>
      </c>
      <c r="E425" s="12">
        <v>0.18970000000000001</v>
      </c>
      <c r="F425" s="12">
        <v>6.5100000000000005E-2</v>
      </c>
      <c r="G425" s="12">
        <v>0.25805</v>
      </c>
      <c r="H425" s="12">
        <v>0.19370000000000001</v>
      </c>
      <c r="I425" s="12">
        <v>0.19370000000000001</v>
      </c>
      <c r="J425" s="9" t="s">
        <v>412</v>
      </c>
      <c r="K425" s="9" t="s">
        <v>654</v>
      </c>
    </row>
    <row r="426" spans="1:11" ht="28.8">
      <c r="A426" s="9" t="s">
        <v>603</v>
      </c>
      <c r="B426" s="9" t="s">
        <v>672</v>
      </c>
      <c r="C426" s="9" t="s">
        <v>675</v>
      </c>
      <c r="D426" s="12">
        <v>-0.18360000000000001</v>
      </c>
      <c r="E426" s="12">
        <v>-0.21229999999999999</v>
      </c>
      <c r="F426" s="12">
        <v>0.185</v>
      </c>
      <c r="G426" s="12">
        <v>-0.19795000000000001</v>
      </c>
      <c r="H426" s="12">
        <v>-7.0300000000000001E-2</v>
      </c>
      <c r="I426" s="12">
        <v>0.19359999999999999</v>
      </c>
      <c r="J426" s="9" t="s">
        <v>412</v>
      </c>
      <c r="K426" s="9" t="s">
        <v>604</v>
      </c>
    </row>
    <row r="427" spans="1:11" ht="28.8">
      <c r="A427" s="9" t="s">
        <v>603</v>
      </c>
      <c r="B427" s="9" t="s">
        <v>668</v>
      </c>
      <c r="C427" s="9" t="s">
        <v>659</v>
      </c>
      <c r="D427" s="12">
        <v>-0.17230000000000001</v>
      </c>
      <c r="E427" s="12">
        <v>0.23269999999999999</v>
      </c>
      <c r="F427" s="12">
        <v>-0.17549999999999999</v>
      </c>
      <c r="G427" s="12">
        <v>3.0199999999999991E-2</v>
      </c>
      <c r="H427" s="12">
        <v>-3.8399999999999997E-2</v>
      </c>
      <c r="I427" s="12">
        <v>0.19350000000000001</v>
      </c>
      <c r="J427" s="9" t="s">
        <v>412</v>
      </c>
      <c r="K427" s="9" t="s">
        <v>604</v>
      </c>
    </row>
    <row r="428" spans="1:11" ht="28.8">
      <c r="A428" s="9" t="s">
        <v>682</v>
      </c>
      <c r="B428" s="9" t="s">
        <v>684</v>
      </c>
      <c r="C428" s="9" t="s">
        <v>666</v>
      </c>
      <c r="D428" s="12">
        <v>0.22600000000000001</v>
      </c>
      <c r="E428" s="12">
        <v>-0.1031</v>
      </c>
      <c r="F428" s="12">
        <v>0.25140000000000001</v>
      </c>
      <c r="G428" s="12">
        <v>6.1450000000000005E-2</v>
      </c>
      <c r="H428" s="12">
        <v>0.12479999999999999</v>
      </c>
      <c r="I428" s="12">
        <v>0.19350000000000001</v>
      </c>
      <c r="J428" s="9" t="s">
        <v>412</v>
      </c>
      <c r="K428" s="9" t="s">
        <v>604</v>
      </c>
    </row>
    <row r="429" spans="1:11" ht="28.8">
      <c r="A429" s="9" t="s">
        <v>682</v>
      </c>
      <c r="B429" s="9" t="s">
        <v>665</v>
      </c>
      <c r="C429" s="9" t="s">
        <v>666</v>
      </c>
      <c r="D429" s="12">
        <v>0.22600000000000001</v>
      </c>
      <c r="E429" s="12">
        <v>1.1000000000000001E-3</v>
      </c>
      <c r="F429" s="12">
        <v>0.3533</v>
      </c>
      <c r="G429" s="12">
        <v>0.11355</v>
      </c>
      <c r="H429" s="12">
        <v>0.19350000000000001</v>
      </c>
      <c r="I429" s="12">
        <v>0.19350000000000001</v>
      </c>
      <c r="J429" s="9" t="s">
        <v>412</v>
      </c>
      <c r="K429" s="9" t="s">
        <v>654</v>
      </c>
    </row>
    <row r="430" spans="1:11" ht="28.8">
      <c r="A430" s="9" t="s">
        <v>610</v>
      </c>
      <c r="B430" s="9" t="s">
        <v>684</v>
      </c>
      <c r="C430" s="9" t="s">
        <v>666</v>
      </c>
      <c r="D430" s="12">
        <v>9.5000000000000001E-2</v>
      </c>
      <c r="E430" s="12">
        <v>0.2329</v>
      </c>
      <c r="F430" s="12">
        <v>0.25140000000000001</v>
      </c>
      <c r="G430" s="12">
        <v>0.16394999999999998</v>
      </c>
      <c r="H430" s="12">
        <v>0.19309999999999999</v>
      </c>
      <c r="I430" s="12">
        <v>0.19309999999999999</v>
      </c>
      <c r="J430" s="9" t="s">
        <v>412</v>
      </c>
      <c r="K430" s="9" t="s">
        <v>654</v>
      </c>
    </row>
    <row r="431" spans="1:11" ht="28.8">
      <c r="A431" s="9" t="s">
        <v>609</v>
      </c>
      <c r="B431" s="9" t="s">
        <v>680</v>
      </c>
      <c r="C431" s="9" t="s">
        <v>601</v>
      </c>
      <c r="D431" s="12">
        <v>-0.1671</v>
      </c>
      <c r="E431" s="12">
        <v>-0.1628</v>
      </c>
      <c r="F431" s="12">
        <v>-0.2492</v>
      </c>
      <c r="G431" s="12">
        <v>-0.16494999999999999</v>
      </c>
      <c r="H431" s="12">
        <v>-0.193</v>
      </c>
      <c r="I431" s="12">
        <v>0.193</v>
      </c>
      <c r="J431" s="9" t="s">
        <v>412</v>
      </c>
      <c r="K431" s="9" t="s">
        <v>604</v>
      </c>
    </row>
    <row r="432" spans="1:11" ht="28.8">
      <c r="A432" s="9" t="s">
        <v>679</v>
      </c>
      <c r="B432" s="9" t="s">
        <v>657</v>
      </c>
      <c r="C432" s="9" t="s">
        <v>666</v>
      </c>
      <c r="D432" s="12">
        <v>-0.113</v>
      </c>
      <c r="E432" s="12">
        <v>0.14180000000000001</v>
      </c>
      <c r="F432" s="12">
        <v>-0.32350000000000001</v>
      </c>
      <c r="G432" s="12">
        <v>1.4400000000000003E-2</v>
      </c>
      <c r="H432" s="12">
        <v>-9.8199999999999996E-2</v>
      </c>
      <c r="I432" s="12">
        <v>0.1928</v>
      </c>
      <c r="J432" s="9" t="s">
        <v>412</v>
      </c>
      <c r="K432" s="9" t="s">
        <v>604</v>
      </c>
    </row>
    <row r="433" spans="1:11" ht="28.8">
      <c r="A433" s="9" t="s">
        <v>603</v>
      </c>
      <c r="B433" s="9" t="s">
        <v>688</v>
      </c>
      <c r="C433" s="9" t="s">
        <v>655</v>
      </c>
      <c r="D433" s="12">
        <v>-0.47539999999999999</v>
      </c>
      <c r="E433" s="12">
        <v>-2.2200000000000001E-2</v>
      </c>
      <c r="F433" s="12">
        <v>8.09E-2</v>
      </c>
      <c r="G433" s="12">
        <v>-0.24879999999999999</v>
      </c>
      <c r="H433" s="12">
        <v>-0.1389</v>
      </c>
      <c r="I433" s="12">
        <v>0.1928</v>
      </c>
      <c r="J433" s="9" t="s">
        <v>412</v>
      </c>
      <c r="K433" s="9" t="s">
        <v>604</v>
      </c>
    </row>
    <row r="434" spans="1:11" ht="28.8">
      <c r="A434" s="9" t="s">
        <v>609</v>
      </c>
      <c r="B434" s="9" t="s">
        <v>613</v>
      </c>
      <c r="C434" s="9" t="s">
        <v>674</v>
      </c>
      <c r="D434" s="12">
        <v>-8.6999999999999994E-3</v>
      </c>
      <c r="E434" s="12">
        <v>0.4844</v>
      </c>
      <c r="F434" s="12">
        <v>-8.48E-2</v>
      </c>
      <c r="G434" s="12">
        <v>0.23785000000000001</v>
      </c>
      <c r="H434" s="12">
        <v>0.1303</v>
      </c>
      <c r="I434" s="12">
        <v>0.19259999999999999</v>
      </c>
      <c r="J434" s="9" t="s">
        <v>412</v>
      </c>
      <c r="K434" s="9" t="s">
        <v>604</v>
      </c>
    </row>
    <row r="435" spans="1:11" ht="28.8">
      <c r="A435" s="9" t="s">
        <v>679</v>
      </c>
      <c r="B435" s="9" t="s">
        <v>653</v>
      </c>
      <c r="C435" s="9" t="s">
        <v>666</v>
      </c>
      <c r="D435" s="12">
        <v>-0.113</v>
      </c>
      <c r="E435" s="12">
        <v>6.2700000000000006E-2</v>
      </c>
      <c r="F435" s="12">
        <v>-0.40060000000000001</v>
      </c>
      <c r="G435" s="12">
        <v>-2.5149999999999999E-2</v>
      </c>
      <c r="H435" s="12">
        <v>-0.15029999999999999</v>
      </c>
      <c r="I435" s="12">
        <v>0.19209999999999999</v>
      </c>
      <c r="J435" s="9" t="s">
        <v>412</v>
      </c>
      <c r="K435" s="9" t="s">
        <v>604</v>
      </c>
    </row>
    <row r="436" spans="1:11" ht="28.8">
      <c r="A436" s="9" t="s">
        <v>671</v>
      </c>
      <c r="B436" s="9" t="s">
        <v>669</v>
      </c>
      <c r="C436" s="9" t="s">
        <v>674</v>
      </c>
      <c r="D436" s="12">
        <v>-6.2799999999999995E-2</v>
      </c>
      <c r="E436" s="12">
        <v>0.20669999999999999</v>
      </c>
      <c r="F436" s="12">
        <v>0.30640000000000001</v>
      </c>
      <c r="G436" s="12">
        <v>7.195E-2</v>
      </c>
      <c r="H436" s="12">
        <v>0.15010000000000001</v>
      </c>
      <c r="I436" s="12">
        <v>0.192</v>
      </c>
      <c r="J436" s="9" t="s">
        <v>412</v>
      </c>
      <c r="K436" s="9" t="s">
        <v>604</v>
      </c>
    </row>
    <row r="437" spans="1:11" ht="28.8">
      <c r="A437" s="9" t="s">
        <v>679</v>
      </c>
      <c r="B437" s="9" t="s">
        <v>660</v>
      </c>
      <c r="C437" s="9" t="s">
        <v>655</v>
      </c>
      <c r="D437" s="12">
        <v>9.4500000000000001E-2</v>
      </c>
      <c r="E437" s="12">
        <v>-2.46E-2</v>
      </c>
      <c r="F437" s="12">
        <v>-0.45660000000000001</v>
      </c>
      <c r="G437" s="12">
        <v>3.4950000000000002E-2</v>
      </c>
      <c r="H437" s="12">
        <v>-0.12889999999999999</v>
      </c>
      <c r="I437" s="12">
        <v>0.19189999999999999</v>
      </c>
      <c r="J437" s="9" t="s">
        <v>412</v>
      </c>
      <c r="K437" s="9" t="s">
        <v>604</v>
      </c>
    </row>
    <row r="438" spans="1:11" ht="28.8">
      <c r="A438" s="9" t="s">
        <v>679</v>
      </c>
      <c r="B438" s="9" t="s">
        <v>653</v>
      </c>
      <c r="C438" s="9" t="s">
        <v>674</v>
      </c>
      <c r="D438" s="12">
        <v>0.11849999999999999</v>
      </c>
      <c r="E438" s="12">
        <v>6.2700000000000006E-2</v>
      </c>
      <c r="F438" s="12">
        <v>-0.39329999999999998</v>
      </c>
      <c r="G438" s="12">
        <v>9.06E-2</v>
      </c>
      <c r="H438" s="12">
        <v>-7.0699999999999999E-2</v>
      </c>
      <c r="I438" s="12">
        <v>0.1915</v>
      </c>
      <c r="J438" s="9" t="s">
        <v>412</v>
      </c>
      <c r="K438" s="9" t="s">
        <v>604</v>
      </c>
    </row>
    <row r="439" spans="1:11" ht="28.8">
      <c r="A439" s="9" t="s">
        <v>671</v>
      </c>
      <c r="B439" s="9" t="s">
        <v>672</v>
      </c>
      <c r="C439" s="9" t="s">
        <v>656</v>
      </c>
      <c r="D439" s="12">
        <v>6.54E-2</v>
      </c>
      <c r="E439" s="12">
        <v>0.44879999999999998</v>
      </c>
      <c r="F439" s="12">
        <v>6.0400000000000002E-2</v>
      </c>
      <c r="G439" s="12">
        <v>0.2571</v>
      </c>
      <c r="H439" s="12">
        <v>0.1915</v>
      </c>
      <c r="I439" s="12">
        <v>0.1915</v>
      </c>
      <c r="J439" s="9" t="s">
        <v>412</v>
      </c>
      <c r="K439" s="9" t="s">
        <v>654</v>
      </c>
    </row>
    <row r="440" spans="1:11" ht="28.8">
      <c r="A440" s="9" t="s">
        <v>609</v>
      </c>
      <c r="B440" s="9" t="s">
        <v>657</v>
      </c>
      <c r="C440" s="9" t="s">
        <v>677</v>
      </c>
      <c r="D440" s="12">
        <v>-6.1400000000000003E-2</v>
      </c>
      <c r="E440" s="12">
        <v>-0.28839999999999999</v>
      </c>
      <c r="F440" s="12">
        <v>0.2248</v>
      </c>
      <c r="G440" s="12">
        <v>-0.1749</v>
      </c>
      <c r="H440" s="12">
        <v>-4.1700000000000001E-2</v>
      </c>
      <c r="I440" s="12">
        <v>0.1915</v>
      </c>
      <c r="J440" s="9" t="s">
        <v>412</v>
      </c>
      <c r="K440" s="9" t="s">
        <v>604</v>
      </c>
    </row>
    <row r="441" spans="1:11" ht="28.8">
      <c r="A441" s="9" t="s">
        <v>661</v>
      </c>
      <c r="B441" s="9" t="s">
        <v>673</v>
      </c>
      <c r="C441" s="9" t="s">
        <v>670</v>
      </c>
      <c r="D441" s="12">
        <v>-0.29680000000000001</v>
      </c>
      <c r="E441" s="12">
        <v>-0.12659999999999999</v>
      </c>
      <c r="F441" s="12">
        <v>0.15040000000000001</v>
      </c>
      <c r="G441" s="12">
        <v>-0.2117</v>
      </c>
      <c r="H441" s="12">
        <v>-9.0999999999999998E-2</v>
      </c>
      <c r="I441" s="12">
        <v>0.1913</v>
      </c>
      <c r="J441" s="9" t="s">
        <v>412</v>
      </c>
      <c r="K441" s="9" t="s">
        <v>604</v>
      </c>
    </row>
    <row r="442" spans="1:11" ht="28.8">
      <c r="A442" s="9" t="s">
        <v>679</v>
      </c>
      <c r="B442" s="9" t="s">
        <v>660</v>
      </c>
      <c r="C442" s="9" t="s">
        <v>601</v>
      </c>
      <c r="D442" s="12">
        <v>-8.3900000000000002E-2</v>
      </c>
      <c r="E442" s="12">
        <v>-2.46E-2</v>
      </c>
      <c r="F442" s="12">
        <v>0.4652</v>
      </c>
      <c r="G442" s="12">
        <v>-5.425E-2</v>
      </c>
      <c r="H442" s="12">
        <v>0.11890000000000001</v>
      </c>
      <c r="I442" s="12">
        <v>0.19120000000000001</v>
      </c>
      <c r="J442" s="9" t="s">
        <v>412</v>
      </c>
      <c r="K442" s="9" t="s">
        <v>604</v>
      </c>
    </row>
    <row r="443" spans="1:11" ht="28.8">
      <c r="A443" s="9" t="s">
        <v>661</v>
      </c>
      <c r="B443" s="9" t="s">
        <v>685</v>
      </c>
      <c r="C443" s="9" t="s">
        <v>601</v>
      </c>
      <c r="D443" s="12">
        <v>-0.2266</v>
      </c>
      <c r="E443" s="12">
        <v>0.18970000000000001</v>
      </c>
      <c r="F443" s="12">
        <v>-0.157</v>
      </c>
      <c r="G443" s="12">
        <v>-1.8449999999999994E-2</v>
      </c>
      <c r="H443" s="12">
        <v>-6.4600000000000005E-2</v>
      </c>
      <c r="I443" s="12">
        <v>0.19109999999999999</v>
      </c>
      <c r="J443" s="9" t="s">
        <v>412</v>
      </c>
      <c r="K443" s="9" t="s">
        <v>604</v>
      </c>
    </row>
    <row r="444" spans="1:11">
      <c r="A444" s="9" t="s">
        <v>662</v>
      </c>
      <c r="B444" s="9" t="s">
        <v>685</v>
      </c>
      <c r="C444" s="9" t="s">
        <v>667</v>
      </c>
      <c r="D444" s="12">
        <v>0.12540000000000001</v>
      </c>
      <c r="E444" s="12">
        <v>0.1087</v>
      </c>
      <c r="F444" s="12">
        <v>0.33929999999999999</v>
      </c>
      <c r="G444" s="12">
        <v>0.11705000000000002</v>
      </c>
      <c r="H444" s="12">
        <v>0.19109999999999999</v>
      </c>
      <c r="I444" s="12">
        <v>0.19109999999999999</v>
      </c>
      <c r="J444" s="9" t="s">
        <v>412</v>
      </c>
      <c r="K444" s="9" t="s">
        <v>654</v>
      </c>
    </row>
    <row r="445" spans="1:11" ht="28.8">
      <c r="A445" s="9" t="s">
        <v>661</v>
      </c>
      <c r="B445" s="9" t="s">
        <v>678</v>
      </c>
      <c r="C445" s="9" t="s">
        <v>655</v>
      </c>
      <c r="D445" s="12">
        <v>0.17599999999999999</v>
      </c>
      <c r="E445" s="12">
        <v>-0.15379999999999999</v>
      </c>
      <c r="F445" s="12">
        <v>-0.2429</v>
      </c>
      <c r="G445" s="12">
        <v>1.1099999999999999E-2</v>
      </c>
      <c r="H445" s="12">
        <v>-7.3599999999999999E-2</v>
      </c>
      <c r="I445" s="12">
        <v>0.19089999999999999</v>
      </c>
      <c r="J445" s="9" t="s">
        <v>412</v>
      </c>
      <c r="K445" s="9" t="s">
        <v>604</v>
      </c>
    </row>
    <row r="446" spans="1:11">
      <c r="A446" s="9" t="s">
        <v>609</v>
      </c>
      <c r="B446" s="9" t="s">
        <v>602</v>
      </c>
      <c r="C446" s="9" t="s">
        <v>670</v>
      </c>
      <c r="D446" s="12">
        <v>-0.32040000000000002</v>
      </c>
      <c r="E446" s="12">
        <v>-0.2089</v>
      </c>
      <c r="F446" s="12">
        <v>-4.3400000000000001E-2</v>
      </c>
      <c r="G446" s="12">
        <v>-0.26465</v>
      </c>
      <c r="H446" s="12">
        <v>-0.19089999999999999</v>
      </c>
      <c r="I446" s="12">
        <v>0.19089999999999999</v>
      </c>
      <c r="J446" s="9" t="s">
        <v>412</v>
      </c>
      <c r="K446" s="9" t="s">
        <v>604</v>
      </c>
    </row>
    <row r="447" spans="1:11">
      <c r="A447" s="9" t="s">
        <v>610</v>
      </c>
      <c r="B447" s="9" t="s">
        <v>613</v>
      </c>
      <c r="C447" s="9" t="s">
        <v>656</v>
      </c>
      <c r="D447" s="12">
        <v>6.5699999999999995E-2</v>
      </c>
      <c r="E447" s="12">
        <v>8.9999999999999993E-3</v>
      </c>
      <c r="F447" s="12">
        <v>0.498</v>
      </c>
      <c r="G447" s="12">
        <v>3.7349999999999994E-2</v>
      </c>
      <c r="H447" s="12">
        <v>0.19089999999999999</v>
      </c>
      <c r="I447" s="12">
        <v>0.19089999999999999</v>
      </c>
      <c r="J447" s="9" t="s">
        <v>412</v>
      </c>
      <c r="K447" s="9" t="s">
        <v>654</v>
      </c>
    </row>
    <row r="448" spans="1:11" ht="28.8">
      <c r="A448" s="9" t="s">
        <v>610</v>
      </c>
      <c r="B448" s="9" t="s">
        <v>669</v>
      </c>
      <c r="C448" s="9" t="s">
        <v>675</v>
      </c>
      <c r="D448" s="12">
        <v>-2.1399999999999999E-2</v>
      </c>
      <c r="E448" s="12">
        <v>-0.2331</v>
      </c>
      <c r="F448" s="12">
        <v>0.31819999999999998</v>
      </c>
      <c r="G448" s="12">
        <v>-0.12725</v>
      </c>
      <c r="H448" s="12">
        <v>2.12E-2</v>
      </c>
      <c r="I448" s="12">
        <v>0.19089999999999999</v>
      </c>
      <c r="J448" s="9" t="s">
        <v>412</v>
      </c>
      <c r="K448" s="9" t="s">
        <v>604</v>
      </c>
    </row>
    <row r="449" spans="1:11" ht="28.8">
      <c r="A449" s="9" t="s">
        <v>603</v>
      </c>
      <c r="B449" s="9" t="s">
        <v>678</v>
      </c>
      <c r="C449" s="9" t="s">
        <v>663</v>
      </c>
      <c r="D449" s="12">
        <v>-0.2828</v>
      </c>
      <c r="E449" s="12">
        <v>0.17549999999999999</v>
      </c>
      <c r="F449" s="12">
        <v>-0.1142</v>
      </c>
      <c r="G449" s="12">
        <v>-5.3650000000000003E-2</v>
      </c>
      <c r="H449" s="12">
        <v>-7.3800000000000004E-2</v>
      </c>
      <c r="I449" s="12">
        <v>0.1908</v>
      </c>
      <c r="J449" s="9" t="s">
        <v>412</v>
      </c>
      <c r="K449" s="9" t="s">
        <v>604</v>
      </c>
    </row>
    <row r="450" spans="1:11" ht="28.8">
      <c r="A450" s="9" t="s">
        <v>603</v>
      </c>
      <c r="B450" s="9" t="s">
        <v>668</v>
      </c>
      <c r="C450" s="9" t="s">
        <v>675</v>
      </c>
      <c r="D450" s="12">
        <v>-0.18360000000000001</v>
      </c>
      <c r="E450" s="12">
        <v>0.23269999999999999</v>
      </c>
      <c r="F450" s="12">
        <v>-0.15609999999999999</v>
      </c>
      <c r="G450" s="12">
        <v>2.4549999999999988E-2</v>
      </c>
      <c r="H450" s="12">
        <v>-3.5700000000000003E-2</v>
      </c>
      <c r="I450" s="12">
        <v>0.1908</v>
      </c>
      <c r="J450" s="9" t="s">
        <v>412</v>
      </c>
      <c r="K450" s="9" t="s">
        <v>604</v>
      </c>
    </row>
    <row r="451" spans="1:11" ht="28.8">
      <c r="A451" s="9" t="s">
        <v>603</v>
      </c>
      <c r="B451" s="9" t="s">
        <v>691</v>
      </c>
      <c r="C451" s="9" t="s">
        <v>664</v>
      </c>
      <c r="D451" s="12">
        <v>0.4093</v>
      </c>
      <c r="E451" s="12">
        <v>3.3000000000000002E-2</v>
      </c>
      <c r="F451" s="12">
        <v>0.13</v>
      </c>
      <c r="G451" s="12">
        <v>0.22115000000000001</v>
      </c>
      <c r="H451" s="12">
        <v>0.1908</v>
      </c>
      <c r="I451" s="12">
        <v>0.1908</v>
      </c>
      <c r="J451" s="9" t="s">
        <v>412</v>
      </c>
      <c r="K451" s="9" t="s">
        <v>654</v>
      </c>
    </row>
    <row r="452" spans="1:11">
      <c r="A452" s="9" t="s">
        <v>609</v>
      </c>
      <c r="B452" s="9" t="s">
        <v>680</v>
      </c>
      <c r="C452" s="9" t="s">
        <v>670</v>
      </c>
      <c r="D452" s="12">
        <v>-0.32040000000000002</v>
      </c>
      <c r="E452" s="12">
        <v>-0.1628</v>
      </c>
      <c r="F452" s="12">
        <v>8.8499999999999995E-2</v>
      </c>
      <c r="G452" s="12">
        <v>-0.24160000000000001</v>
      </c>
      <c r="H452" s="12">
        <v>-0.13159999999999999</v>
      </c>
      <c r="I452" s="12">
        <v>0.1905</v>
      </c>
      <c r="J452" s="9" t="s">
        <v>412</v>
      </c>
      <c r="K452" s="9" t="s">
        <v>604</v>
      </c>
    </row>
    <row r="453" spans="1:11">
      <c r="A453" s="9" t="s">
        <v>662</v>
      </c>
      <c r="B453" s="9" t="s">
        <v>681</v>
      </c>
      <c r="C453" s="9" t="s">
        <v>656</v>
      </c>
      <c r="D453" s="12">
        <v>0.26229999999999998</v>
      </c>
      <c r="E453" s="12">
        <v>0.1535</v>
      </c>
      <c r="F453" s="12">
        <v>0.15409999999999999</v>
      </c>
      <c r="G453" s="12">
        <v>0.20789999999999997</v>
      </c>
      <c r="H453" s="12">
        <v>0.19</v>
      </c>
      <c r="I453" s="12">
        <v>0.19</v>
      </c>
      <c r="J453" s="9" t="s">
        <v>412</v>
      </c>
      <c r="K453" s="9" t="s">
        <v>654</v>
      </c>
    </row>
    <row r="454" spans="1:11">
      <c r="A454" s="9" t="s">
        <v>662</v>
      </c>
      <c r="B454" s="9" t="s">
        <v>658</v>
      </c>
      <c r="C454" s="9" t="s">
        <v>670</v>
      </c>
      <c r="D454" s="12">
        <v>-0.18790000000000001</v>
      </c>
      <c r="E454" s="12">
        <v>0.11119999999999999</v>
      </c>
      <c r="F454" s="12">
        <v>-0.27050000000000002</v>
      </c>
      <c r="G454" s="12">
        <v>-3.8350000000000009E-2</v>
      </c>
      <c r="H454" s="12">
        <v>-0.1157</v>
      </c>
      <c r="I454" s="12">
        <v>0.18990000000000001</v>
      </c>
      <c r="J454" s="9" t="s">
        <v>412</v>
      </c>
      <c r="K454" s="9" t="s">
        <v>604</v>
      </c>
    </row>
    <row r="455" spans="1:11" ht="28.8">
      <c r="A455" s="9" t="s">
        <v>661</v>
      </c>
      <c r="B455" s="9" t="s">
        <v>676</v>
      </c>
      <c r="C455" s="9" t="s">
        <v>677</v>
      </c>
      <c r="D455" s="12">
        <v>2.5700000000000001E-2</v>
      </c>
      <c r="E455" s="12">
        <v>0.33629999999999999</v>
      </c>
      <c r="F455" s="12">
        <v>0.2077</v>
      </c>
      <c r="G455" s="12">
        <v>0.18099999999999999</v>
      </c>
      <c r="H455" s="12">
        <v>0.18990000000000001</v>
      </c>
      <c r="I455" s="12">
        <v>0.18990000000000001</v>
      </c>
      <c r="J455" s="9" t="s">
        <v>412</v>
      </c>
      <c r="K455" s="9" t="s">
        <v>654</v>
      </c>
    </row>
    <row r="456" spans="1:11">
      <c r="A456" s="9" t="s">
        <v>610</v>
      </c>
      <c r="B456" s="9" t="s">
        <v>676</v>
      </c>
      <c r="C456" s="9" t="s">
        <v>670</v>
      </c>
      <c r="D456" s="12">
        <v>-0.1699</v>
      </c>
      <c r="E456" s="12">
        <v>8.2799999999999999E-2</v>
      </c>
      <c r="F456" s="12">
        <v>-0.3165</v>
      </c>
      <c r="G456" s="12">
        <v>-4.3549999999999998E-2</v>
      </c>
      <c r="H456" s="12">
        <v>-0.13450000000000001</v>
      </c>
      <c r="I456" s="12">
        <v>0.18970000000000001</v>
      </c>
      <c r="J456" s="9" t="s">
        <v>412</v>
      </c>
      <c r="K456" s="9" t="s">
        <v>604</v>
      </c>
    </row>
    <row r="457" spans="1:11">
      <c r="A457" s="9" t="s">
        <v>682</v>
      </c>
      <c r="B457" s="9" t="s">
        <v>602</v>
      </c>
      <c r="C457" s="9" t="s">
        <v>655</v>
      </c>
      <c r="D457" s="12">
        <v>7.3099999999999998E-2</v>
      </c>
      <c r="E457" s="12">
        <v>9.5699999999999993E-2</v>
      </c>
      <c r="F457" s="12">
        <v>0.4002</v>
      </c>
      <c r="G457" s="12">
        <v>8.4400000000000003E-2</v>
      </c>
      <c r="H457" s="12">
        <v>0.18970000000000001</v>
      </c>
      <c r="I457" s="12">
        <v>0.18970000000000001</v>
      </c>
      <c r="J457" s="9" t="s">
        <v>412</v>
      </c>
      <c r="K457" s="9" t="s">
        <v>654</v>
      </c>
    </row>
    <row r="458" spans="1:11">
      <c r="A458" s="9" t="s">
        <v>609</v>
      </c>
      <c r="B458" s="9" t="s">
        <v>689</v>
      </c>
      <c r="C458" s="9" t="s">
        <v>670</v>
      </c>
      <c r="D458" s="12">
        <v>-0.32040000000000002</v>
      </c>
      <c r="E458" s="12">
        <v>-4.6100000000000002E-2</v>
      </c>
      <c r="F458" s="12">
        <v>0.20100000000000001</v>
      </c>
      <c r="G458" s="12">
        <v>-0.18325000000000002</v>
      </c>
      <c r="H458" s="12">
        <v>-5.5100000000000003E-2</v>
      </c>
      <c r="I458" s="12">
        <v>0.18920000000000001</v>
      </c>
      <c r="J458" s="9" t="s">
        <v>412</v>
      </c>
      <c r="K458" s="9" t="s">
        <v>604</v>
      </c>
    </row>
    <row r="459" spans="1:11" ht="28.8">
      <c r="A459" s="9" t="s">
        <v>662</v>
      </c>
      <c r="B459" s="9" t="s">
        <v>680</v>
      </c>
      <c r="C459" s="9" t="s">
        <v>674</v>
      </c>
      <c r="D459" s="12">
        <v>0.17680000000000001</v>
      </c>
      <c r="E459" s="12">
        <v>-1.8100000000000002E-2</v>
      </c>
      <c r="F459" s="12">
        <v>0.37230000000000002</v>
      </c>
      <c r="G459" s="12">
        <v>7.9350000000000004E-2</v>
      </c>
      <c r="H459" s="12">
        <v>0.17699999999999999</v>
      </c>
      <c r="I459" s="12">
        <v>0.18909999999999999</v>
      </c>
      <c r="J459" s="9" t="s">
        <v>412</v>
      </c>
      <c r="K459" s="9" t="s">
        <v>604</v>
      </c>
    </row>
    <row r="460" spans="1:11">
      <c r="A460" s="9" t="s">
        <v>609</v>
      </c>
      <c r="B460" s="9" t="s">
        <v>687</v>
      </c>
      <c r="C460" s="9" t="s">
        <v>659</v>
      </c>
      <c r="D460" s="12">
        <v>0.47620000000000001</v>
      </c>
      <c r="E460" s="12">
        <v>-4.5400000000000003E-2</v>
      </c>
      <c r="F460" s="12">
        <v>4.58E-2</v>
      </c>
      <c r="G460" s="12">
        <v>0.21540000000000001</v>
      </c>
      <c r="H460" s="12">
        <v>0.1588</v>
      </c>
      <c r="I460" s="12">
        <v>0.18909999999999999</v>
      </c>
      <c r="J460" s="9" t="s">
        <v>412</v>
      </c>
      <c r="K460" s="9" t="s">
        <v>604</v>
      </c>
    </row>
    <row r="461" spans="1:11">
      <c r="A461" s="9" t="s">
        <v>662</v>
      </c>
      <c r="B461" s="9" t="s">
        <v>665</v>
      </c>
      <c r="C461" s="9" t="s">
        <v>655</v>
      </c>
      <c r="D461" s="12">
        <v>5.6899999999999999E-2</v>
      </c>
      <c r="E461" s="12">
        <v>-0.1681</v>
      </c>
      <c r="F461" s="12">
        <v>0.34079999999999999</v>
      </c>
      <c r="G461" s="12">
        <v>-5.5599999999999997E-2</v>
      </c>
      <c r="H461" s="12">
        <v>7.6499999999999999E-2</v>
      </c>
      <c r="I461" s="12">
        <v>0.18859999999999999</v>
      </c>
      <c r="J461" s="9" t="s">
        <v>412</v>
      </c>
      <c r="K461" s="9" t="s">
        <v>604</v>
      </c>
    </row>
    <row r="462" spans="1:11" ht="28.8">
      <c r="A462" s="9" t="s">
        <v>603</v>
      </c>
      <c r="B462" s="9" t="s">
        <v>668</v>
      </c>
      <c r="C462" s="9" t="s">
        <v>663</v>
      </c>
      <c r="D462" s="12">
        <v>-0.2828</v>
      </c>
      <c r="E462" s="12">
        <v>0.23269999999999999</v>
      </c>
      <c r="F462" s="12">
        <v>-5.04E-2</v>
      </c>
      <c r="G462" s="12">
        <v>-2.5050000000000003E-2</v>
      </c>
      <c r="H462" s="12">
        <v>-3.3500000000000002E-2</v>
      </c>
      <c r="I462" s="12">
        <v>0.18859999999999999</v>
      </c>
      <c r="J462" s="9" t="s">
        <v>412</v>
      </c>
      <c r="K462" s="9" t="s">
        <v>604</v>
      </c>
    </row>
    <row r="463" spans="1:11" ht="28.8">
      <c r="A463" s="9" t="s">
        <v>603</v>
      </c>
      <c r="B463" s="9" t="s">
        <v>678</v>
      </c>
      <c r="C463" s="9" t="s">
        <v>666</v>
      </c>
      <c r="D463" s="12">
        <v>-0.26</v>
      </c>
      <c r="E463" s="12">
        <v>0.17549999999999999</v>
      </c>
      <c r="F463" s="12">
        <v>-0.12959999999999999</v>
      </c>
      <c r="G463" s="12">
        <v>-4.225000000000001E-2</v>
      </c>
      <c r="H463" s="12">
        <v>-7.1400000000000005E-2</v>
      </c>
      <c r="I463" s="12">
        <v>0.18840000000000001</v>
      </c>
      <c r="J463" s="9" t="s">
        <v>412</v>
      </c>
      <c r="K463" s="9" t="s">
        <v>604</v>
      </c>
    </row>
    <row r="464" spans="1:11" ht="28.8">
      <c r="A464" s="9" t="s">
        <v>661</v>
      </c>
      <c r="B464" s="9" t="s">
        <v>613</v>
      </c>
      <c r="C464" s="9" t="s">
        <v>601</v>
      </c>
      <c r="D464" s="12">
        <v>-0.2266</v>
      </c>
      <c r="E464" s="12">
        <v>3.3000000000000002E-2</v>
      </c>
      <c r="F464" s="12">
        <v>-0.30580000000000002</v>
      </c>
      <c r="G464" s="12">
        <v>-9.6799999999999997E-2</v>
      </c>
      <c r="H464" s="12">
        <v>-0.16650000000000001</v>
      </c>
      <c r="I464" s="12">
        <v>0.18840000000000001</v>
      </c>
      <c r="J464" s="9" t="s">
        <v>412</v>
      </c>
      <c r="K464" s="9" t="s">
        <v>604</v>
      </c>
    </row>
    <row r="465" spans="1:11" ht="28.8">
      <c r="A465" s="9" t="s">
        <v>679</v>
      </c>
      <c r="B465" s="9" t="s">
        <v>681</v>
      </c>
      <c r="C465" s="9" t="s">
        <v>659</v>
      </c>
      <c r="D465" s="12">
        <v>-6.4799999999999996E-2</v>
      </c>
      <c r="E465" s="12">
        <v>0.1958</v>
      </c>
      <c r="F465" s="12">
        <v>0.30399999999999999</v>
      </c>
      <c r="G465" s="12">
        <v>6.5500000000000003E-2</v>
      </c>
      <c r="H465" s="12">
        <v>0.14499999999999999</v>
      </c>
      <c r="I465" s="12">
        <v>0.18820000000000001</v>
      </c>
      <c r="J465" s="9" t="s">
        <v>412</v>
      </c>
      <c r="K465" s="9" t="s">
        <v>604</v>
      </c>
    </row>
    <row r="466" spans="1:11">
      <c r="A466" s="9" t="s">
        <v>610</v>
      </c>
      <c r="B466" s="9" t="s">
        <v>691</v>
      </c>
      <c r="C466" s="9" t="s">
        <v>663</v>
      </c>
      <c r="D466" s="12">
        <v>-0.2303</v>
      </c>
      <c r="E466" s="12">
        <v>0.29249999999999998</v>
      </c>
      <c r="F466" s="12">
        <v>4.1599999999999998E-2</v>
      </c>
      <c r="G466" s="12">
        <v>3.1099999999999989E-2</v>
      </c>
      <c r="H466" s="12">
        <v>3.4599999999999999E-2</v>
      </c>
      <c r="I466" s="12">
        <v>0.18809999999999999</v>
      </c>
      <c r="J466" s="9" t="s">
        <v>412</v>
      </c>
      <c r="K466" s="9" t="s">
        <v>604</v>
      </c>
    </row>
    <row r="467" spans="1:11">
      <c r="A467" s="9" t="s">
        <v>609</v>
      </c>
      <c r="B467" s="9" t="s">
        <v>680</v>
      </c>
      <c r="C467" s="9" t="s">
        <v>655</v>
      </c>
      <c r="D467" s="12">
        <v>0.16819999999999999</v>
      </c>
      <c r="E467" s="12">
        <v>-0.1628</v>
      </c>
      <c r="F467" s="12">
        <v>0.2334</v>
      </c>
      <c r="G467" s="12">
        <v>2.6999999999999941E-3</v>
      </c>
      <c r="H467" s="12">
        <v>7.9600000000000004E-2</v>
      </c>
      <c r="I467" s="12">
        <v>0.18809999999999999</v>
      </c>
      <c r="J467" s="9" t="s">
        <v>412</v>
      </c>
      <c r="K467" s="9" t="s">
        <v>604</v>
      </c>
    </row>
    <row r="468" spans="1:11" ht="28.8">
      <c r="A468" s="9" t="s">
        <v>671</v>
      </c>
      <c r="B468" s="9" t="s">
        <v>672</v>
      </c>
      <c r="C468" s="9" t="s">
        <v>674</v>
      </c>
      <c r="D468" s="12">
        <v>-6.2799999999999995E-2</v>
      </c>
      <c r="E468" s="12">
        <v>0.44879999999999998</v>
      </c>
      <c r="F468" s="12">
        <v>5.2299999999999999E-2</v>
      </c>
      <c r="G468" s="12">
        <v>0.193</v>
      </c>
      <c r="H468" s="12">
        <v>0.14610000000000001</v>
      </c>
      <c r="I468" s="12">
        <v>0.188</v>
      </c>
      <c r="J468" s="9" t="s">
        <v>412</v>
      </c>
      <c r="K468" s="9" t="s">
        <v>604</v>
      </c>
    </row>
    <row r="469" spans="1:11" ht="28.8">
      <c r="A469" s="9" t="s">
        <v>661</v>
      </c>
      <c r="B469" s="9" t="s">
        <v>653</v>
      </c>
      <c r="C469" s="9" t="s">
        <v>677</v>
      </c>
      <c r="D469" s="12">
        <v>2.5700000000000001E-2</v>
      </c>
      <c r="E469" s="12">
        <v>-0.21010000000000001</v>
      </c>
      <c r="F469" s="12">
        <v>0.32829999999999998</v>
      </c>
      <c r="G469" s="12">
        <v>-9.2200000000000004E-2</v>
      </c>
      <c r="H469" s="12">
        <v>4.8000000000000001E-2</v>
      </c>
      <c r="I469" s="12">
        <v>0.188</v>
      </c>
      <c r="J469" s="9" t="s">
        <v>412</v>
      </c>
      <c r="K469" s="9" t="s">
        <v>604</v>
      </c>
    </row>
    <row r="470" spans="1:11" ht="28.8">
      <c r="A470" s="9" t="s">
        <v>671</v>
      </c>
      <c r="B470" s="9" t="s">
        <v>665</v>
      </c>
      <c r="C470" s="9" t="s">
        <v>655</v>
      </c>
      <c r="D470" s="12">
        <v>0.1215</v>
      </c>
      <c r="E470" s="12">
        <v>0.1009</v>
      </c>
      <c r="F470" s="12">
        <v>0.34079999999999999</v>
      </c>
      <c r="G470" s="12">
        <v>0.11119999999999999</v>
      </c>
      <c r="H470" s="12">
        <v>0.18770000000000001</v>
      </c>
      <c r="I470" s="12">
        <v>0.18770000000000001</v>
      </c>
      <c r="J470" s="9" t="s">
        <v>412</v>
      </c>
      <c r="K470" s="9" t="s">
        <v>654</v>
      </c>
    </row>
    <row r="471" spans="1:11" ht="28.8">
      <c r="A471" s="9" t="s">
        <v>603</v>
      </c>
      <c r="B471" s="9" t="s">
        <v>681</v>
      </c>
      <c r="C471" s="9" t="s">
        <v>675</v>
      </c>
      <c r="D471" s="12">
        <v>-0.18360000000000001</v>
      </c>
      <c r="E471" s="12">
        <v>-0.19009999999999999</v>
      </c>
      <c r="F471" s="12">
        <v>0.1895</v>
      </c>
      <c r="G471" s="12">
        <v>-0.18685000000000002</v>
      </c>
      <c r="H471" s="12">
        <v>-6.1400000000000003E-2</v>
      </c>
      <c r="I471" s="12">
        <v>0.18770000000000001</v>
      </c>
      <c r="J471" s="9" t="s">
        <v>412</v>
      </c>
      <c r="K471" s="9" t="s">
        <v>604</v>
      </c>
    </row>
    <row r="472" spans="1:11" ht="28.8">
      <c r="A472" s="9" t="s">
        <v>603</v>
      </c>
      <c r="B472" s="9" t="s">
        <v>613</v>
      </c>
      <c r="C472" s="9" t="s">
        <v>674</v>
      </c>
      <c r="D472" s="12">
        <v>-0.1212</v>
      </c>
      <c r="E472" s="12">
        <v>-0.35630000000000001</v>
      </c>
      <c r="F472" s="12">
        <v>-8.48E-2</v>
      </c>
      <c r="G472" s="12">
        <v>-0.23875000000000002</v>
      </c>
      <c r="H472" s="12">
        <v>-0.1875</v>
      </c>
      <c r="I472" s="12">
        <v>0.1875</v>
      </c>
      <c r="J472" s="9" t="s">
        <v>412</v>
      </c>
      <c r="K472" s="9" t="s">
        <v>604</v>
      </c>
    </row>
    <row r="473" spans="1:11" ht="28.8">
      <c r="A473" s="9" t="s">
        <v>671</v>
      </c>
      <c r="B473" s="9" t="s">
        <v>658</v>
      </c>
      <c r="C473" s="9" t="s">
        <v>664</v>
      </c>
      <c r="D473" s="12">
        <v>-9.0800000000000006E-2</v>
      </c>
      <c r="E473" s="12">
        <v>0.18609999999999999</v>
      </c>
      <c r="F473" s="12">
        <v>-0.28549999999999998</v>
      </c>
      <c r="G473" s="12">
        <v>4.7649999999999991E-2</v>
      </c>
      <c r="H473" s="12">
        <v>-6.3399999999999998E-2</v>
      </c>
      <c r="I473" s="12">
        <v>0.1875</v>
      </c>
      <c r="J473" s="9" t="s">
        <v>412</v>
      </c>
      <c r="K473" s="9" t="s">
        <v>604</v>
      </c>
    </row>
    <row r="474" spans="1:11" ht="28.8">
      <c r="A474" s="9" t="s">
        <v>603</v>
      </c>
      <c r="B474" s="9" t="s">
        <v>689</v>
      </c>
      <c r="C474" s="9" t="s">
        <v>655</v>
      </c>
      <c r="D474" s="12">
        <v>-0.47539999999999999</v>
      </c>
      <c r="E474" s="12">
        <v>2.1399999999999999E-2</v>
      </c>
      <c r="F474" s="12">
        <v>-6.4000000000000001E-2</v>
      </c>
      <c r="G474" s="12">
        <v>-0.22700000000000001</v>
      </c>
      <c r="H474" s="12">
        <v>-0.17269999999999999</v>
      </c>
      <c r="I474" s="12">
        <v>0.18690000000000001</v>
      </c>
      <c r="J474" s="9" t="s">
        <v>412</v>
      </c>
      <c r="K474" s="9" t="s">
        <v>604</v>
      </c>
    </row>
    <row r="475" spans="1:11" ht="28.8">
      <c r="A475" s="9" t="s">
        <v>679</v>
      </c>
      <c r="B475" s="9" t="s">
        <v>613</v>
      </c>
      <c r="C475" s="9" t="s">
        <v>659</v>
      </c>
      <c r="D475" s="12">
        <v>-6.4799999999999996E-2</v>
      </c>
      <c r="E475" s="12">
        <v>-0.1157</v>
      </c>
      <c r="F475" s="12">
        <v>0.37969999999999998</v>
      </c>
      <c r="G475" s="12">
        <v>-9.0249999999999997E-2</v>
      </c>
      <c r="H475" s="12">
        <v>6.6400000000000001E-2</v>
      </c>
      <c r="I475" s="12">
        <v>0.18679999999999999</v>
      </c>
      <c r="J475" s="9" t="s">
        <v>412</v>
      </c>
      <c r="K475" s="9" t="s">
        <v>604</v>
      </c>
    </row>
    <row r="476" spans="1:11" ht="28.8">
      <c r="A476" s="9" t="s">
        <v>603</v>
      </c>
      <c r="B476" s="9" t="s">
        <v>665</v>
      </c>
      <c r="C476" s="9" t="s">
        <v>675</v>
      </c>
      <c r="D476" s="12">
        <v>-0.18360000000000001</v>
      </c>
      <c r="E476" s="12">
        <v>-0.32069999999999999</v>
      </c>
      <c r="F476" s="12">
        <v>5.5599999999999997E-2</v>
      </c>
      <c r="G476" s="12">
        <v>-0.25214999999999999</v>
      </c>
      <c r="H476" s="12">
        <v>-0.14960000000000001</v>
      </c>
      <c r="I476" s="12">
        <v>0.1867</v>
      </c>
      <c r="J476" s="9" t="s">
        <v>412</v>
      </c>
      <c r="K476" s="9" t="s">
        <v>604</v>
      </c>
    </row>
    <row r="477" spans="1:11" ht="28.8">
      <c r="A477" s="9" t="s">
        <v>679</v>
      </c>
      <c r="B477" s="9" t="s">
        <v>676</v>
      </c>
      <c r="C477" s="9" t="s">
        <v>666</v>
      </c>
      <c r="D477" s="12">
        <v>-0.113</v>
      </c>
      <c r="E477" s="12">
        <v>0.26829999999999998</v>
      </c>
      <c r="F477" s="12">
        <v>0.17879999999999999</v>
      </c>
      <c r="G477" s="12">
        <v>7.7649999999999997E-2</v>
      </c>
      <c r="H477" s="12">
        <v>0.1114</v>
      </c>
      <c r="I477" s="12">
        <v>0.1867</v>
      </c>
      <c r="J477" s="9" t="s">
        <v>412</v>
      </c>
      <c r="K477" s="9" t="s">
        <v>604</v>
      </c>
    </row>
    <row r="478" spans="1:11" ht="28.8">
      <c r="A478" s="9" t="s">
        <v>603</v>
      </c>
      <c r="B478" s="9" t="s">
        <v>687</v>
      </c>
      <c r="C478" s="9" t="s">
        <v>663</v>
      </c>
      <c r="D478" s="12">
        <v>-0.2828</v>
      </c>
      <c r="E478" s="12">
        <v>-0.1457</v>
      </c>
      <c r="F478" s="12">
        <v>0.13100000000000001</v>
      </c>
      <c r="G478" s="12">
        <v>-0.21425</v>
      </c>
      <c r="H478" s="12">
        <v>-9.9199999999999997E-2</v>
      </c>
      <c r="I478" s="12">
        <v>0.1865</v>
      </c>
      <c r="J478" s="9" t="s">
        <v>412</v>
      </c>
      <c r="K478" s="9" t="s">
        <v>604</v>
      </c>
    </row>
    <row r="479" spans="1:11" ht="28.8">
      <c r="A479" s="9" t="s">
        <v>603</v>
      </c>
      <c r="B479" s="9" t="s">
        <v>672</v>
      </c>
      <c r="C479" s="9" t="s">
        <v>683</v>
      </c>
      <c r="D479" s="12">
        <v>0.17660000000000001</v>
      </c>
      <c r="E479" s="12">
        <v>-0.21229999999999999</v>
      </c>
      <c r="F479" s="12">
        <v>0.17019999999999999</v>
      </c>
      <c r="G479" s="12">
        <v>-1.7849999999999991E-2</v>
      </c>
      <c r="H479" s="12">
        <v>4.48E-2</v>
      </c>
      <c r="I479" s="12">
        <v>0.18640000000000001</v>
      </c>
      <c r="J479" s="9" t="s">
        <v>412</v>
      </c>
      <c r="K479" s="9" t="s">
        <v>604</v>
      </c>
    </row>
    <row r="480" spans="1:11">
      <c r="A480" s="9" t="s">
        <v>609</v>
      </c>
      <c r="B480" s="9" t="s">
        <v>668</v>
      </c>
      <c r="C480" s="9" t="s">
        <v>667</v>
      </c>
      <c r="D480" s="12">
        <v>0.33360000000000001</v>
      </c>
      <c r="E480" s="12">
        <v>-4.02E-2</v>
      </c>
      <c r="F480" s="12">
        <v>-0.1852</v>
      </c>
      <c r="G480" s="12">
        <v>0.1467</v>
      </c>
      <c r="H480" s="12">
        <v>3.61E-2</v>
      </c>
      <c r="I480" s="12">
        <v>0.18629999999999999</v>
      </c>
      <c r="J480" s="9" t="s">
        <v>412</v>
      </c>
      <c r="K480" s="9" t="s">
        <v>604</v>
      </c>
    </row>
    <row r="481" spans="1:11" ht="28.8">
      <c r="A481" s="9" t="s">
        <v>679</v>
      </c>
      <c r="B481" s="9" t="s">
        <v>658</v>
      </c>
      <c r="C481" s="9" t="s">
        <v>601</v>
      </c>
      <c r="D481" s="12">
        <v>-8.3900000000000002E-2</v>
      </c>
      <c r="E481" s="12">
        <v>3.4000000000000002E-2</v>
      </c>
      <c r="F481" s="12">
        <v>-0.4405</v>
      </c>
      <c r="G481" s="12">
        <v>-2.495E-2</v>
      </c>
      <c r="H481" s="12">
        <v>-0.16350000000000001</v>
      </c>
      <c r="I481" s="12">
        <v>0.18609999999999999</v>
      </c>
      <c r="J481" s="9" t="s">
        <v>412</v>
      </c>
      <c r="K481" s="9" t="s">
        <v>604</v>
      </c>
    </row>
    <row r="482" spans="1:11">
      <c r="A482" s="9" t="s">
        <v>609</v>
      </c>
      <c r="B482" s="9" t="s">
        <v>658</v>
      </c>
      <c r="C482" s="9" t="s">
        <v>663</v>
      </c>
      <c r="D482" s="12">
        <v>-0.12770000000000001</v>
      </c>
      <c r="E482" s="12">
        <v>1.5599999999999999E-2</v>
      </c>
      <c r="F482" s="12">
        <v>0.41449999999999998</v>
      </c>
      <c r="G482" s="12">
        <v>-5.6050000000000003E-2</v>
      </c>
      <c r="H482" s="12">
        <v>0.1008</v>
      </c>
      <c r="I482" s="12">
        <v>0.18590000000000001</v>
      </c>
      <c r="J482" s="9" t="s">
        <v>412</v>
      </c>
      <c r="K482" s="9" t="s">
        <v>604</v>
      </c>
    </row>
    <row r="483" spans="1:11" ht="28.8">
      <c r="A483" s="9" t="s">
        <v>603</v>
      </c>
      <c r="B483" s="9" t="s">
        <v>668</v>
      </c>
      <c r="C483" s="9" t="s">
        <v>666</v>
      </c>
      <c r="D483" s="12">
        <v>-0.26</v>
      </c>
      <c r="E483" s="12">
        <v>0.23269999999999999</v>
      </c>
      <c r="F483" s="12">
        <v>-6.4299999999999996E-2</v>
      </c>
      <c r="G483" s="12">
        <v>-1.3650000000000009E-2</v>
      </c>
      <c r="H483" s="12">
        <v>-3.0599999999999999E-2</v>
      </c>
      <c r="I483" s="12">
        <v>0.1857</v>
      </c>
      <c r="J483" s="9" t="s">
        <v>412</v>
      </c>
      <c r="K483" s="9" t="s">
        <v>604</v>
      </c>
    </row>
    <row r="484" spans="1:11" ht="28.8">
      <c r="A484" s="9" t="s">
        <v>661</v>
      </c>
      <c r="B484" s="9" t="s">
        <v>673</v>
      </c>
      <c r="C484" s="9" t="s">
        <v>666</v>
      </c>
      <c r="D484" s="12">
        <v>0.2175</v>
      </c>
      <c r="E484" s="12">
        <v>-0.12659999999999999</v>
      </c>
      <c r="F484" s="12">
        <v>-0.2127</v>
      </c>
      <c r="G484" s="12">
        <v>4.5450000000000004E-2</v>
      </c>
      <c r="H484" s="12">
        <v>-4.0599999999999997E-2</v>
      </c>
      <c r="I484" s="12">
        <v>0.18559999999999999</v>
      </c>
      <c r="J484" s="9" t="s">
        <v>412</v>
      </c>
      <c r="K484" s="9" t="s">
        <v>604</v>
      </c>
    </row>
    <row r="485" spans="1:11" ht="28.8">
      <c r="A485" s="9" t="s">
        <v>682</v>
      </c>
      <c r="B485" s="9" t="s">
        <v>676</v>
      </c>
      <c r="C485" s="9" t="s">
        <v>666</v>
      </c>
      <c r="D485" s="12">
        <v>0.22600000000000001</v>
      </c>
      <c r="E485" s="12">
        <v>0.1517</v>
      </c>
      <c r="F485" s="12">
        <v>0.17879999999999999</v>
      </c>
      <c r="G485" s="12">
        <v>0.18885000000000002</v>
      </c>
      <c r="H485" s="12">
        <v>0.1855</v>
      </c>
      <c r="I485" s="12">
        <v>0.1855</v>
      </c>
      <c r="J485" s="9" t="s">
        <v>412</v>
      </c>
      <c r="K485" s="9" t="s">
        <v>654</v>
      </c>
    </row>
    <row r="486" spans="1:11">
      <c r="A486" s="9" t="s">
        <v>609</v>
      </c>
      <c r="B486" s="9" t="s">
        <v>660</v>
      </c>
      <c r="C486" s="9" t="s">
        <v>670</v>
      </c>
      <c r="D486" s="12">
        <v>-0.32040000000000002</v>
      </c>
      <c r="E486" s="12">
        <v>2.5700000000000001E-2</v>
      </c>
      <c r="F486" s="12">
        <v>0.2104</v>
      </c>
      <c r="G486" s="12">
        <v>-0.14735000000000001</v>
      </c>
      <c r="H486" s="12">
        <v>-2.81E-2</v>
      </c>
      <c r="I486" s="12">
        <v>0.1855</v>
      </c>
      <c r="J486" s="9" t="s">
        <v>412</v>
      </c>
      <c r="K486" s="9" t="s">
        <v>604</v>
      </c>
    </row>
    <row r="487" spans="1:11" ht="28.8">
      <c r="A487" s="9" t="s">
        <v>609</v>
      </c>
      <c r="B487" s="9" t="s">
        <v>669</v>
      </c>
      <c r="C487" s="9" t="s">
        <v>601</v>
      </c>
      <c r="D487" s="12">
        <v>-0.1671</v>
      </c>
      <c r="E487" s="12">
        <v>4.6199999999999998E-2</v>
      </c>
      <c r="F487" s="12">
        <v>-0.34310000000000002</v>
      </c>
      <c r="G487" s="12">
        <v>-6.0450000000000004E-2</v>
      </c>
      <c r="H487" s="12">
        <v>-0.15459999999999999</v>
      </c>
      <c r="I487" s="12">
        <v>0.1855</v>
      </c>
      <c r="J487" s="9" t="s">
        <v>412</v>
      </c>
      <c r="K487" s="9" t="s">
        <v>604</v>
      </c>
    </row>
    <row r="488" spans="1:11">
      <c r="A488" s="9" t="s">
        <v>610</v>
      </c>
      <c r="B488" s="9" t="s">
        <v>660</v>
      </c>
      <c r="C488" s="9" t="s">
        <v>663</v>
      </c>
      <c r="D488" s="12">
        <v>-0.2303</v>
      </c>
      <c r="E488" s="12">
        <v>-3.2599999999999997E-2</v>
      </c>
      <c r="F488" s="12">
        <v>-0.29349999999999998</v>
      </c>
      <c r="G488" s="12">
        <v>-0.13145000000000001</v>
      </c>
      <c r="H488" s="12">
        <v>-0.18540000000000001</v>
      </c>
      <c r="I488" s="12">
        <v>0.18540000000000001</v>
      </c>
      <c r="J488" s="9" t="s">
        <v>412</v>
      </c>
      <c r="K488" s="9" t="s">
        <v>604</v>
      </c>
    </row>
    <row r="489" spans="1:11" ht="28.8">
      <c r="A489" s="9" t="s">
        <v>661</v>
      </c>
      <c r="B489" s="9" t="s">
        <v>658</v>
      </c>
      <c r="C489" s="9" t="s">
        <v>666</v>
      </c>
      <c r="D489" s="12">
        <v>0.2175</v>
      </c>
      <c r="E489" s="12">
        <v>9.5200000000000007E-2</v>
      </c>
      <c r="F489" s="12">
        <v>0.24249999999999999</v>
      </c>
      <c r="G489" s="12">
        <v>0.15634999999999999</v>
      </c>
      <c r="H489" s="12">
        <v>0.185</v>
      </c>
      <c r="I489" s="12">
        <v>0.185</v>
      </c>
      <c r="J489" s="9" t="s">
        <v>412</v>
      </c>
      <c r="K489" s="9" t="s">
        <v>654</v>
      </c>
    </row>
    <row r="490" spans="1:11">
      <c r="A490" s="9" t="s">
        <v>609</v>
      </c>
      <c r="B490" s="9" t="s">
        <v>669</v>
      </c>
      <c r="C490" s="9" t="s">
        <v>659</v>
      </c>
      <c r="D490" s="12">
        <v>0.47620000000000001</v>
      </c>
      <c r="E490" s="12">
        <v>4.6199999999999998E-2</v>
      </c>
      <c r="F490" s="12">
        <v>3.1899999999999998E-2</v>
      </c>
      <c r="G490" s="12">
        <v>0.26119999999999999</v>
      </c>
      <c r="H490" s="12">
        <v>0.18479999999999999</v>
      </c>
      <c r="I490" s="12">
        <v>0.18479999999999999</v>
      </c>
      <c r="J490" s="9" t="s">
        <v>412</v>
      </c>
      <c r="K490" s="9" t="s">
        <v>654</v>
      </c>
    </row>
    <row r="491" spans="1:11" ht="28.8">
      <c r="A491" s="9" t="s">
        <v>671</v>
      </c>
      <c r="B491" s="9" t="s">
        <v>680</v>
      </c>
      <c r="C491" s="9" t="s">
        <v>663</v>
      </c>
      <c r="D491" s="12">
        <v>9.4399999999999998E-2</v>
      </c>
      <c r="E491" s="12">
        <v>-1.24E-2</v>
      </c>
      <c r="F491" s="12">
        <v>0.44740000000000002</v>
      </c>
      <c r="G491" s="12">
        <v>4.1000000000000002E-2</v>
      </c>
      <c r="H491" s="12">
        <v>0.1764</v>
      </c>
      <c r="I491" s="12">
        <v>0.1847</v>
      </c>
      <c r="J491" s="9" t="s">
        <v>412</v>
      </c>
      <c r="K491" s="9" t="s">
        <v>604</v>
      </c>
    </row>
    <row r="492" spans="1:11" ht="28.8">
      <c r="A492" s="9" t="s">
        <v>679</v>
      </c>
      <c r="B492" s="9" t="s">
        <v>653</v>
      </c>
      <c r="C492" s="9" t="s">
        <v>667</v>
      </c>
      <c r="D492" s="12">
        <v>-0.12280000000000001</v>
      </c>
      <c r="E492" s="12">
        <v>6.2700000000000006E-2</v>
      </c>
      <c r="F492" s="12">
        <v>-0.36870000000000003</v>
      </c>
      <c r="G492" s="12">
        <v>-3.005E-2</v>
      </c>
      <c r="H492" s="12">
        <v>-0.14299999999999999</v>
      </c>
      <c r="I492" s="12">
        <v>0.1847</v>
      </c>
      <c r="J492" s="9" t="s">
        <v>412</v>
      </c>
      <c r="K492" s="9" t="s">
        <v>604</v>
      </c>
    </row>
    <row r="493" spans="1:11" ht="28.8">
      <c r="A493" s="9" t="s">
        <v>603</v>
      </c>
      <c r="B493" s="9" t="s">
        <v>691</v>
      </c>
      <c r="C493" s="9" t="s">
        <v>655</v>
      </c>
      <c r="D493" s="12">
        <v>-0.47539999999999999</v>
      </c>
      <c r="E493" s="12">
        <v>3.3000000000000002E-2</v>
      </c>
      <c r="F493" s="12">
        <v>-4.5699999999999998E-2</v>
      </c>
      <c r="G493" s="12">
        <v>-0.22120000000000001</v>
      </c>
      <c r="H493" s="12">
        <v>-0.16270000000000001</v>
      </c>
      <c r="I493" s="12">
        <v>0.1847</v>
      </c>
      <c r="J493" s="9" t="s">
        <v>412</v>
      </c>
      <c r="K493" s="9" t="s">
        <v>604</v>
      </c>
    </row>
    <row r="494" spans="1:11" ht="28.8">
      <c r="A494" s="9" t="s">
        <v>661</v>
      </c>
      <c r="B494" s="9" t="s">
        <v>669</v>
      </c>
      <c r="C494" s="9" t="s">
        <v>675</v>
      </c>
      <c r="D494" s="12">
        <v>0.14380000000000001</v>
      </c>
      <c r="E494" s="12">
        <v>9.1800000000000007E-2</v>
      </c>
      <c r="F494" s="12">
        <v>0.31819999999999998</v>
      </c>
      <c r="G494" s="12">
        <v>0.11780000000000002</v>
      </c>
      <c r="H494" s="12">
        <v>0.18459999999999999</v>
      </c>
      <c r="I494" s="12">
        <v>0.18459999999999999</v>
      </c>
      <c r="J494" s="9" t="s">
        <v>412</v>
      </c>
      <c r="K494" s="9" t="s">
        <v>654</v>
      </c>
    </row>
    <row r="495" spans="1:11" ht="28.8">
      <c r="A495" s="9" t="s">
        <v>662</v>
      </c>
      <c r="B495" s="9" t="s">
        <v>660</v>
      </c>
      <c r="C495" s="9" t="s">
        <v>666</v>
      </c>
      <c r="D495" s="12">
        <v>-0.1094</v>
      </c>
      <c r="E495" s="12">
        <v>-0.1187</v>
      </c>
      <c r="F495" s="12">
        <v>-0.32500000000000001</v>
      </c>
      <c r="G495" s="12">
        <v>-0.11405</v>
      </c>
      <c r="H495" s="12">
        <v>-0.18440000000000001</v>
      </c>
      <c r="I495" s="12">
        <v>0.18440000000000001</v>
      </c>
      <c r="J495" s="9" t="s">
        <v>412</v>
      </c>
      <c r="K495" s="9" t="s">
        <v>604</v>
      </c>
    </row>
    <row r="496" spans="1:11" ht="28.8">
      <c r="A496" s="9" t="s">
        <v>603</v>
      </c>
      <c r="B496" s="9" t="s">
        <v>680</v>
      </c>
      <c r="C496" s="9" t="s">
        <v>666</v>
      </c>
      <c r="D496" s="12">
        <v>-0.26</v>
      </c>
      <c r="E496" s="12">
        <v>-4.2000000000000003E-2</v>
      </c>
      <c r="F496" s="12">
        <v>0.25119999999999998</v>
      </c>
      <c r="G496" s="12">
        <v>-0.151</v>
      </c>
      <c r="H496" s="12">
        <v>-1.6899999999999998E-2</v>
      </c>
      <c r="I496" s="12">
        <v>0.18440000000000001</v>
      </c>
      <c r="J496" s="9" t="s">
        <v>412</v>
      </c>
      <c r="K496" s="9" t="s">
        <v>604</v>
      </c>
    </row>
    <row r="497" spans="1:11">
      <c r="A497" s="9" t="s">
        <v>610</v>
      </c>
      <c r="B497" s="9" t="s">
        <v>681</v>
      </c>
      <c r="C497" s="9" t="s">
        <v>659</v>
      </c>
      <c r="D497" s="12">
        <v>0.1174</v>
      </c>
      <c r="E497" s="12">
        <v>0.13150000000000001</v>
      </c>
      <c r="F497" s="12">
        <v>0.30399999999999999</v>
      </c>
      <c r="G497" s="12">
        <v>0.12445000000000001</v>
      </c>
      <c r="H497" s="12">
        <v>0.18429999999999999</v>
      </c>
      <c r="I497" s="12">
        <v>0.18429999999999999</v>
      </c>
      <c r="J497" s="9" t="s">
        <v>412</v>
      </c>
      <c r="K497" s="9" t="s">
        <v>654</v>
      </c>
    </row>
    <row r="498" spans="1:11" ht="28.8">
      <c r="A498" s="9" t="s">
        <v>661</v>
      </c>
      <c r="B498" s="9" t="s">
        <v>684</v>
      </c>
      <c r="C498" s="9" t="s">
        <v>656</v>
      </c>
      <c r="D498" s="12">
        <v>0.32640000000000002</v>
      </c>
      <c r="E498" s="12">
        <v>0.1986</v>
      </c>
      <c r="F498" s="12">
        <v>2.6499999999999999E-2</v>
      </c>
      <c r="G498" s="12">
        <v>0.26250000000000001</v>
      </c>
      <c r="H498" s="12">
        <v>0.18379999999999999</v>
      </c>
      <c r="I498" s="12">
        <v>0.18379999999999999</v>
      </c>
      <c r="J498" s="9" t="s">
        <v>412</v>
      </c>
      <c r="K498" s="9" t="s">
        <v>654</v>
      </c>
    </row>
    <row r="499" spans="1:11">
      <c r="A499" s="9" t="s">
        <v>662</v>
      </c>
      <c r="B499" s="9" t="s">
        <v>665</v>
      </c>
      <c r="C499" s="9" t="s">
        <v>670</v>
      </c>
      <c r="D499" s="12">
        <v>-0.18790000000000001</v>
      </c>
      <c r="E499" s="12">
        <v>-0.1681</v>
      </c>
      <c r="F499" s="12">
        <v>-0.1948</v>
      </c>
      <c r="G499" s="12">
        <v>-0.17799999999999999</v>
      </c>
      <c r="H499" s="12">
        <v>-0.18360000000000001</v>
      </c>
      <c r="I499" s="12">
        <v>0.18360000000000001</v>
      </c>
      <c r="J499" s="9" t="s">
        <v>412</v>
      </c>
      <c r="K499" s="9" t="s">
        <v>604</v>
      </c>
    </row>
    <row r="500" spans="1:11">
      <c r="A500" s="9" t="s">
        <v>662</v>
      </c>
      <c r="B500" s="9" t="s">
        <v>602</v>
      </c>
      <c r="C500" s="9" t="s">
        <v>655</v>
      </c>
      <c r="D500" s="12">
        <v>5.6899999999999999E-2</v>
      </c>
      <c r="E500" s="12">
        <v>9.3799999999999994E-2</v>
      </c>
      <c r="F500" s="12">
        <v>0.4002</v>
      </c>
      <c r="G500" s="12">
        <v>7.535E-2</v>
      </c>
      <c r="H500" s="12">
        <v>0.18360000000000001</v>
      </c>
      <c r="I500" s="12">
        <v>0.18360000000000001</v>
      </c>
      <c r="J500" s="9" t="s">
        <v>412</v>
      </c>
      <c r="K500" s="9" t="s">
        <v>654</v>
      </c>
    </row>
    <row r="501" spans="1:11">
      <c r="A501" s="9" t="s">
        <v>609</v>
      </c>
      <c r="B501" s="9" t="s">
        <v>680</v>
      </c>
      <c r="C501" s="9" t="s">
        <v>667</v>
      </c>
      <c r="D501" s="12">
        <v>0.33360000000000001</v>
      </c>
      <c r="E501" s="12">
        <v>-0.1628</v>
      </c>
      <c r="F501" s="12">
        <v>-5.3800000000000001E-2</v>
      </c>
      <c r="G501" s="12">
        <v>8.5400000000000004E-2</v>
      </c>
      <c r="H501" s="12">
        <v>3.9E-2</v>
      </c>
      <c r="I501" s="12">
        <v>0.18340000000000001</v>
      </c>
      <c r="J501" s="9" t="s">
        <v>412</v>
      </c>
      <c r="K501" s="9" t="s">
        <v>604</v>
      </c>
    </row>
    <row r="502" spans="1:11" ht="28.8">
      <c r="A502" s="9" t="s">
        <v>679</v>
      </c>
      <c r="B502" s="9" t="s">
        <v>653</v>
      </c>
      <c r="C502" s="9" t="s">
        <v>663</v>
      </c>
      <c r="D502" s="12">
        <v>0.13450000000000001</v>
      </c>
      <c r="E502" s="12">
        <v>6.2700000000000006E-2</v>
      </c>
      <c r="F502" s="12">
        <v>-0.35160000000000002</v>
      </c>
      <c r="G502" s="12">
        <v>9.8600000000000007E-2</v>
      </c>
      <c r="H502" s="12">
        <v>-5.1499999999999997E-2</v>
      </c>
      <c r="I502" s="12">
        <v>0.18290000000000001</v>
      </c>
      <c r="J502" s="9" t="s">
        <v>412</v>
      </c>
      <c r="K502" s="9" t="s">
        <v>604</v>
      </c>
    </row>
    <row r="503" spans="1:11" ht="28.8">
      <c r="A503" s="9" t="s">
        <v>661</v>
      </c>
      <c r="B503" s="9" t="s">
        <v>687</v>
      </c>
      <c r="C503" s="9" t="s">
        <v>656</v>
      </c>
      <c r="D503" s="12">
        <v>0.32640000000000002</v>
      </c>
      <c r="E503" s="12">
        <v>-8.9700000000000002E-2</v>
      </c>
      <c r="F503" s="12">
        <v>-0.13239999999999999</v>
      </c>
      <c r="G503" s="12">
        <v>0.11835000000000001</v>
      </c>
      <c r="H503" s="12">
        <v>3.4799999999999998E-2</v>
      </c>
      <c r="I503" s="12">
        <v>0.18290000000000001</v>
      </c>
      <c r="J503" s="9" t="s">
        <v>412</v>
      </c>
      <c r="K503" s="9" t="s">
        <v>604</v>
      </c>
    </row>
    <row r="504" spans="1:11" ht="28.8">
      <c r="A504" s="9" t="s">
        <v>603</v>
      </c>
      <c r="B504" s="9" t="s">
        <v>686</v>
      </c>
      <c r="C504" s="9" t="s">
        <v>664</v>
      </c>
      <c r="D504" s="12">
        <v>0.4093</v>
      </c>
      <c r="E504" s="12">
        <v>-0.11899999999999999</v>
      </c>
      <c r="F504" s="12">
        <v>-2.01E-2</v>
      </c>
      <c r="G504" s="12">
        <v>0.14515</v>
      </c>
      <c r="H504" s="12">
        <v>9.01E-2</v>
      </c>
      <c r="I504" s="12">
        <v>0.18279999999999999</v>
      </c>
      <c r="J504" s="9" t="s">
        <v>412</v>
      </c>
      <c r="K504" s="9" t="s">
        <v>604</v>
      </c>
    </row>
    <row r="505" spans="1:11" ht="28.8">
      <c r="A505" s="9" t="s">
        <v>603</v>
      </c>
      <c r="B505" s="9" t="s">
        <v>684</v>
      </c>
      <c r="C505" s="9" t="s">
        <v>656</v>
      </c>
      <c r="D505" s="12">
        <v>-0.41320000000000001</v>
      </c>
      <c r="E505" s="12">
        <v>-0.10829999999999999</v>
      </c>
      <c r="F505" s="12">
        <v>2.6499999999999999E-2</v>
      </c>
      <c r="G505" s="12">
        <v>-0.26074999999999998</v>
      </c>
      <c r="H505" s="12">
        <v>-0.16500000000000001</v>
      </c>
      <c r="I505" s="12">
        <v>0.1827</v>
      </c>
      <c r="J505" s="9" t="s">
        <v>412</v>
      </c>
      <c r="K505" s="9" t="s">
        <v>604</v>
      </c>
    </row>
    <row r="506" spans="1:11" ht="28.8">
      <c r="A506" s="9" t="s">
        <v>671</v>
      </c>
      <c r="B506" s="9" t="s">
        <v>613</v>
      </c>
      <c r="C506" s="9" t="s">
        <v>670</v>
      </c>
      <c r="D506" s="12">
        <v>-0.32890000000000003</v>
      </c>
      <c r="E506" s="12">
        <v>3.5900000000000001E-2</v>
      </c>
      <c r="F506" s="12">
        <v>-0.1827</v>
      </c>
      <c r="G506" s="12">
        <v>-0.14650000000000002</v>
      </c>
      <c r="H506" s="12">
        <v>-0.15859999999999999</v>
      </c>
      <c r="I506" s="12">
        <v>0.1825</v>
      </c>
      <c r="J506" s="9" t="s">
        <v>412</v>
      </c>
      <c r="K506" s="9" t="s">
        <v>604</v>
      </c>
    </row>
    <row r="507" spans="1:11" ht="28.8">
      <c r="A507" s="9" t="s">
        <v>671</v>
      </c>
      <c r="B507" s="9" t="s">
        <v>658</v>
      </c>
      <c r="C507" s="9" t="s">
        <v>675</v>
      </c>
      <c r="D507" s="12">
        <v>0.10780000000000001</v>
      </c>
      <c r="E507" s="12">
        <v>0.18609999999999999</v>
      </c>
      <c r="F507" s="12">
        <v>0.25319999999999998</v>
      </c>
      <c r="G507" s="12">
        <v>0.14695</v>
      </c>
      <c r="H507" s="12">
        <v>0.18240000000000001</v>
      </c>
      <c r="I507" s="12">
        <v>0.18240000000000001</v>
      </c>
      <c r="J507" s="9" t="s">
        <v>412</v>
      </c>
      <c r="K507" s="9" t="s">
        <v>654</v>
      </c>
    </row>
    <row r="508" spans="1:11" ht="28.8">
      <c r="A508" s="9" t="s">
        <v>661</v>
      </c>
      <c r="B508" s="9" t="s">
        <v>676</v>
      </c>
      <c r="C508" s="9" t="s">
        <v>663</v>
      </c>
      <c r="D508" s="12">
        <v>8.8300000000000003E-2</v>
      </c>
      <c r="E508" s="12">
        <v>0.33629999999999999</v>
      </c>
      <c r="F508" s="12">
        <v>0.1225</v>
      </c>
      <c r="G508" s="12">
        <v>0.21229999999999999</v>
      </c>
      <c r="H508" s="12">
        <v>0.18240000000000001</v>
      </c>
      <c r="I508" s="12">
        <v>0.18240000000000001</v>
      </c>
      <c r="J508" s="9" t="s">
        <v>412</v>
      </c>
      <c r="K508" s="9" t="s">
        <v>654</v>
      </c>
    </row>
    <row r="509" spans="1:11" ht="28.8">
      <c r="A509" s="9" t="s">
        <v>671</v>
      </c>
      <c r="B509" s="9" t="s">
        <v>613</v>
      </c>
      <c r="C509" s="9" t="s">
        <v>659</v>
      </c>
      <c r="D509" s="12">
        <v>0.13159999999999999</v>
      </c>
      <c r="E509" s="12">
        <v>3.5900000000000001E-2</v>
      </c>
      <c r="F509" s="12">
        <v>0.37969999999999998</v>
      </c>
      <c r="G509" s="12">
        <v>8.3749999999999991E-2</v>
      </c>
      <c r="H509" s="12">
        <v>0.18240000000000001</v>
      </c>
      <c r="I509" s="12">
        <v>0.18240000000000001</v>
      </c>
      <c r="J509" s="9" t="s">
        <v>412</v>
      </c>
      <c r="K509" s="9" t="s">
        <v>654</v>
      </c>
    </row>
    <row r="510" spans="1:11" ht="28.8">
      <c r="A510" s="9" t="s">
        <v>661</v>
      </c>
      <c r="B510" s="9" t="s">
        <v>676</v>
      </c>
      <c r="C510" s="9" t="s">
        <v>674</v>
      </c>
      <c r="D510" s="12">
        <v>6.8199999999999997E-2</v>
      </c>
      <c r="E510" s="12">
        <v>0.33629999999999999</v>
      </c>
      <c r="F510" s="12">
        <v>0.14230000000000001</v>
      </c>
      <c r="G510" s="12">
        <v>0.20224999999999999</v>
      </c>
      <c r="H510" s="12">
        <v>0.18229999999999999</v>
      </c>
      <c r="I510" s="12">
        <v>0.18229999999999999</v>
      </c>
      <c r="J510" s="9" t="s">
        <v>412</v>
      </c>
      <c r="K510" s="9" t="s">
        <v>654</v>
      </c>
    </row>
    <row r="511" spans="1:11">
      <c r="A511" s="9" t="s">
        <v>609</v>
      </c>
      <c r="B511" s="9" t="s">
        <v>669</v>
      </c>
      <c r="C511" s="9" t="s">
        <v>655</v>
      </c>
      <c r="D511" s="12">
        <v>0.16819999999999999</v>
      </c>
      <c r="E511" s="12">
        <v>4.6199999999999998E-2</v>
      </c>
      <c r="F511" s="12">
        <v>0.33250000000000002</v>
      </c>
      <c r="G511" s="12">
        <v>0.10719999999999999</v>
      </c>
      <c r="H511" s="12">
        <v>0.18229999999999999</v>
      </c>
      <c r="I511" s="12">
        <v>0.18229999999999999</v>
      </c>
      <c r="J511" s="9" t="s">
        <v>412</v>
      </c>
      <c r="K511" s="9" t="s">
        <v>654</v>
      </c>
    </row>
    <row r="512" spans="1:11" ht="28.8">
      <c r="A512" s="9" t="s">
        <v>609</v>
      </c>
      <c r="B512" s="9" t="s">
        <v>668</v>
      </c>
      <c r="C512" s="9" t="s">
        <v>601</v>
      </c>
      <c r="D512" s="12">
        <v>-0.1671</v>
      </c>
      <c r="E512" s="12">
        <v>-4.02E-2</v>
      </c>
      <c r="F512" s="12">
        <v>0.33939999999999998</v>
      </c>
      <c r="G512" s="12">
        <v>-0.10364999999999999</v>
      </c>
      <c r="H512" s="12">
        <v>4.3999999999999997E-2</v>
      </c>
      <c r="I512" s="12">
        <v>0.1822</v>
      </c>
      <c r="J512" s="9" t="s">
        <v>412</v>
      </c>
      <c r="K512" s="9" t="s">
        <v>604</v>
      </c>
    </row>
    <row r="513" spans="1:11">
      <c r="A513" s="9" t="s">
        <v>610</v>
      </c>
      <c r="B513" s="9" t="s">
        <v>669</v>
      </c>
      <c r="C513" s="9" t="s">
        <v>670</v>
      </c>
      <c r="D513" s="12">
        <v>-0.1699</v>
      </c>
      <c r="E513" s="12">
        <v>-0.2331</v>
      </c>
      <c r="F513" s="12">
        <v>-0.14330000000000001</v>
      </c>
      <c r="G513" s="12">
        <v>-0.20150000000000001</v>
      </c>
      <c r="H513" s="12">
        <v>-0.18210000000000001</v>
      </c>
      <c r="I513" s="12">
        <v>0.18210000000000001</v>
      </c>
      <c r="J513" s="9" t="s">
        <v>412</v>
      </c>
      <c r="K513" s="9" t="s">
        <v>604</v>
      </c>
    </row>
    <row r="514" spans="1:11" ht="28.8">
      <c r="A514" s="9" t="s">
        <v>671</v>
      </c>
      <c r="B514" s="9" t="s">
        <v>653</v>
      </c>
      <c r="C514" s="9" t="s">
        <v>674</v>
      </c>
      <c r="D514" s="12">
        <v>-6.2799999999999995E-2</v>
      </c>
      <c r="E514" s="12">
        <v>-0.09</v>
      </c>
      <c r="F514" s="12">
        <v>-0.39329999999999998</v>
      </c>
      <c r="G514" s="12">
        <v>-7.6399999999999996E-2</v>
      </c>
      <c r="H514" s="12">
        <v>-0.18210000000000001</v>
      </c>
      <c r="I514" s="12">
        <v>0.18210000000000001</v>
      </c>
      <c r="J514" s="9" t="s">
        <v>412</v>
      </c>
      <c r="K514" s="9" t="s">
        <v>604</v>
      </c>
    </row>
    <row r="515" spans="1:11" ht="28.8">
      <c r="A515" s="9" t="s">
        <v>679</v>
      </c>
      <c r="B515" s="9" t="s">
        <v>685</v>
      </c>
      <c r="C515" s="9" t="s">
        <v>670</v>
      </c>
      <c r="D515" s="12">
        <v>-9.5200000000000007E-2</v>
      </c>
      <c r="E515" s="12">
        <v>0.22770000000000001</v>
      </c>
      <c r="F515" s="12">
        <v>-0.22320000000000001</v>
      </c>
      <c r="G515" s="12">
        <v>6.6250000000000003E-2</v>
      </c>
      <c r="H515" s="12">
        <v>-3.0200000000000001E-2</v>
      </c>
      <c r="I515" s="12">
        <v>0.182</v>
      </c>
      <c r="J515" s="9" t="s">
        <v>412</v>
      </c>
      <c r="K515" s="9" t="s">
        <v>604</v>
      </c>
    </row>
    <row r="516" spans="1:11" ht="28.8">
      <c r="A516" s="9" t="s">
        <v>609</v>
      </c>
      <c r="B516" s="9" t="s">
        <v>665</v>
      </c>
      <c r="C516" s="9" t="s">
        <v>666</v>
      </c>
      <c r="D516" s="12">
        <v>-7.7700000000000005E-2</v>
      </c>
      <c r="E516" s="12">
        <v>-0.11310000000000001</v>
      </c>
      <c r="F516" s="12">
        <v>0.3533</v>
      </c>
      <c r="G516" s="12">
        <v>-9.5400000000000013E-2</v>
      </c>
      <c r="H516" s="12">
        <v>5.4100000000000002E-2</v>
      </c>
      <c r="I516" s="12">
        <v>0.18140000000000001</v>
      </c>
      <c r="J516" s="9" t="s">
        <v>412</v>
      </c>
      <c r="K516" s="9" t="s">
        <v>604</v>
      </c>
    </row>
    <row r="517" spans="1:11" ht="28.8">
      <c r="A517" s="9" t="s">
        <v>682</v>
      </c>
      <c r="B517" s="9" t="s">
        <v>680</v>
      </c>
      <c r="C517" s="9" t="s">
        <v>666</v>
      </c>
      <c r="D517" s="12">
        <v>0.22600000000000001</v>
      </c>
      <c r="E517" s="12">
        <v>6.7000000000000004E-2</v>
      </c>
      <c r="F517" s="12">
        <v>0.25119999999999998</v>
      </c>
      <c r="G517" s="12">
        <v>0.14650000000000002</v>
      </c>
      <c r="H517" s="12">
        <v>0.18140000000000001</v>
      </c>
      <c r="I517" s="12">
        <v>0.18140000000000001</v>
      </c>
      <c r="J517" s="9" t="s">
        <v>412</v>
      </c>
      <c r="K517" s="9" t="s">
        <v>654</v>
      </c>
    </row>
    <row r="518" spans="1:11" ht="28.8">
      <c r="A518" s="9" t="s">
        <v>609</v>
      </c>
      <c r="B518" s="9" t="s">
        <v>680</v>
      </c>
      <c r="C518" s="9" t="s">
        <v>674</v>
      </c>
      <c r="D518" s="12">
        <v>-8.6999999999999994E-3</v>
      </c>
      <c r="E518" s="12">
        <v>-0.1628</v>
      </c>
      <c r="F518" s="12">
        <v>0.37230000000000002</v>
      </c>
      <c r="G518" s="12">
        <v>-8.5749999999999993E-2</v>
      </c>
      <c r="H518" s="12">
        <v>6.7000000000000004E-2</v>
      </c>
      <c r="I518" s="12">
        <v>0.18129999999999999</v>
      </c>
      <c r="J518" s="9" t="s">
        <v>412</v>
      </c>
      <c r="K518" s="9" t="s">
        <v>604</v>
      </c>
    </row>
    <row r="519" spans="1:11" ht="28.8">
      <c r="A519" s="9" t="s">
        <v>610</v>
      </c>
      <c r="B519" s="9" t="s">
        <v>680</v>
      </c>
      <c r="C519" s="9" t="s">
        <v>666</v>
      </c>
      <c r="D519" s="12">
        <v>9.5000000000000001E-2</v>
      </c>
      <c r="E519" s="12">
        <v>-0.1973</v>
      </c>
      <c r="F519" s="12">
        <v>0.25119999999999998</v>
      </c>
      <c r="G519" s="12">
        <v>-5.1150000000000001E-2</v>
      </c>
      <c r="H519" s="12">
        <v>4.9700000000000001E-2</v>
      </c>
      <c r="I519" s="12">
        <v>0.1812</v>
      </c>
      <c r="J519" s="9" t="s">
        <v>412</v>
      </c>
      <c r="K519" s="9" t="s">
        <v>604</v>
      </c>
    </row>
    <row r="520" spans="1:11" ht="28.8">
      <c r="A520" s="9" t="s">
        <v>661</v>
      </c>
      <c r="B520" s="9" t="s">
        <v>686</v>
      </c>
      <c r="C520" s="9" t="s">
        <v>670</v>
      </c>
      <c r="D520" s="12">
        <v>-0.29680000000000001</v>
      </c>
      <c r="E520" s="12">
        <v>0.111</v>
      </c>
      <c r="F520" s="12">
        <v>-0.13539999999999999</v>
      </c>
      <c r="G520" s="12">
        <v>-9.290000000000001E-2</v>
      </c>
      <c r="H520" s="12">
        <v>-0.107</v>
      </c>
      <c r="I520" s="12">
        <v>0.18110000000000001</v>
      </c>
      <c r="J520" s="9" t="s">
        <v>412</v>
      </c>
      <c r="K520" s="9" t="s">
        <v>604</v>
      </c>
    </row>
    <row r="521" spans="1:11">
      <c r="A521" s="9" t="s">
        <v>609</v>
      </c>
      <c r="B521" s="9" t="s">
        <v>658</v>
      </c>
      <c r="C521" s="9" t="s">
        <v>659</v>
      </c>
      <c r="D521" s="12">
        <v>0.47620000000000001</v>
      </c>
      <c r="E521" s="12">
        <v>1.5599999999999999E-2</v>
      </c>
      <c r="F521" s="12">
        <v>-5.1400000000000001E-2</v>
      </c>
      <c r="G521" s="12">
        <v>0.24590000000000001</v>
      </c>
      <c r="H521" s="12">
        <v>0.14680000000000001</v>
      </c>
      <c r="I521" s="12">
        <v>0.18099999999999999</v>
      </c>
      <c r="J521" s="9" t="s">
        <v>412</v>
      </c>
      <c r="K521" s="9" t="s">
        <v>604</v>
      </c>
    </row>
    <row r="522" spans="1:11" ht="28.8">
      <c r="A522" s="9" t="s">
        <v>662</v>
      </c>
      <c r="B522" s="9" t="s">
        <v>653</v>
      </c>
      <c r="C522" s="9" t="s">
        <v>677</v>
      </c>
      <c r="D522" s="12">
        <v>1.2200000000000001E-2</v>
      </c>
      <c r="E522" s="12">
        <v>-0.2021</v>
      </c>
      <c r="F522" s="12">
        <v>0.32829999999999998</v>
      </c>
      <c r="G522" s="12">
        <v>-9.4950000000000007E-2</v>
      </c>
      <c r="H522" s="12">
        <v>4.6100000000000002E-2</v>
      </c>
      <c r="I522" s="12">
        <v>0.18090000000000001</v>
      </c>
      <c r="J522" s="9" t="s">
        <v>412</v>
      </c>
      <c r="K522" s="9" t="s">
        <v>604</v>
      </c>
    </row>
    <row r="523" spans="1:11" ht="28.8">
      <c r="A523" s="9" t="s">
        <v>679</v>
      </c>
      <c r="B523" s="9" t="s">
        <v>665</v>
      </c>
      <c r="C523" s="9" t="s">
        <v>666</v>
      </c>
      <c r="D523" s="12">
        <v>-0.113</v>
      </c>
      <c r="E523" s="12">
        <v>7.6399999999999996E-2</v>
      </c>
      <c r="F523" s="12">
        <v>0.3533</v>
      </c>
      <c r="G523" s="12">
        <v>-1.8300000000000004E-2</v>
      </c>
      <c r="H523" s="12">
        <v>0.1055</v>
      </c>
      <c r="I523" s="12">
        <v>0.18090000000000001</v>
      </c>
      <c r="J523" s="9" t="s">
        <v>412</v>
      </c>
      <c r="K523" s="9" t="s">
        <v>604</v>
      </c>
    </row>
    <row r="524" spans="1:11">
      <c r="A524" s="9" t="s">
        <v>609</v>
      </c>
      <c r="B524" s="9" t="s">
        <v>689</v>
      </c>
      <c r="C524" s="9" t="s">
        <v>659</v>
      </c>
      <c r="D524" s="12">
        <v>0.47620000000000001</v>
      </c>
      <c r="E524" s="12">
        <v>-4.6100000000000002E-2</v>
      </c>
      <c r="F524" s="12">
        <v>-1.9900000000000001E-2</v>
      </c>
      <c r="G524" s="12">
        <v>0.21505000000000002</v>
      </c>
      <c r="H524" s="12">
        <v>0.13669999999999999</v>
      </c>
      <c r="I524" s="12">
        <v>0.1807</v>
      </c>
      <c r="J524" s="9" t="s">
        <v>412</v>
      </c>
      <c r="K524" s="9" t="s">
        <v>604</v>
      </c>
    </row>
    <row r="525" spans="1:11">
      <c r="A525" s="9" t="s">
        <v>609</v>
      </c>
      <c r="B525" s="9" t="s">
        <v>673</v>
      </c>
      <c r="C525" s="9" t="s">
        <v>670</v>
      </c>
      <c r="D525" s="12">
        <v>-0.32040000000000002</v>
      </c>
      <c r="E525" s="12">
        <v>-7.1300000000000002E-2</v>
      </c>
      <c r="F525" s="12">
        <v>0.15040000000000001</v>
      </c>
      <c r="G525" s="12">
        <v>-0.19585000000000002</v>
      </c>
      <c r="H525" s="12">
        <v>-8.0399999999999999E-2</v>
      </c>
      <c r="I525" s="12">
        <v>0.1807</v>
      </c>
      <c r="J525" s="9" t="s">
        <v>412</v>
      </c>
      <c r="K525" s="9" t="s">
        <v>604</v>
      </c>
    </row>
    <row r="526" spans="1:11" ht="28.8">
      <c r="A526" s="9" t="s">
        <v>603</v>
      </c>
      <c r="B526" s="9" t="s">
        <v>673</v>
      </c>
      <c r="C526" s="9" t="s">
        <v>683</v>
      </c>
      <c r="D526" s="12">
        <v>0.17660000000000001</v>
      </c>
      <c r="E526" s="12">
        <v>0.2681</v>
      </c>
      <c r="F526" s="12">
        <v>-9.69E-2</v>
      </c>
      <c r="G526" s="12">
        <v>0.22234999999999999</v>
      </c>
      <c r="H526" s="12">
        <v>0.1159</v>
      </c>
      <c r="I526" s="12">
        <v>0.18049999999999999</v>
      </c>
      <c r="J526" s="9" t="s">
        <v>412</v>
      </c>
      <c r="K526" s="9" t="s">
        <v>604</v>
      </c>
    </row>
    <row r="527" spans="1:11">
      <c r="A527" s="9" t="s">
        <v>662</v>
      </c>
      <c r="B527" s="9" t="s">
        <v>681</v>
      </c>
      <c r="C527" s="9" t="s">
        <v>659</v>
      </c>
      <c r="D527" s="12">
        <v>-8.3599999999999994E-2</v>
      </c>
      <c r="E527" s="12">
        <v>0.1535</v>
      </c>
      <c r="F527" s="12">
        <v>0.30399999999999999</v>
      </c>
      <c r="G527" s="12">
        <v>3.4950000000000002E-2</v>
      </c>
      <c r="H527" s="12">
        <v>0.1246</v>
      </c>
      <c r="I527" s="12">
        <v>0.1804</v>
      </c>
      <c r="J527" s="9" t="s">
        <v>412</v>
      </c>
      <c r="K527" s="9" t="s">
        <v>604</v>
      </c>
    </row>
    <row r="528" spans="1:11">
      <c r="A528" s="9" t="s">
        <v>682</v>
      </c>
      <c r="B528" s="9" t="s">
        <v>685</v>
      </c>
      <c r="C528" s="9" t="s">
        <v>670</v>
      </c>
      <c r="D528" s="12">
        <v>-0.19359999999999999</v>
      </c>
      <c r="E528" s="12">
        <v>0.12429999999999999</v>
      </c>
      <c r="F528" s="12">
        <v>-0.22320000000000001</v>
      </c>
      <c r="G528" s="12">
        <v>-3.465E-2</v>
      </c>
      <c r="H528" s="12">
        <v>-9.7500000000000003E-2</v>
      </c>
      <c r="I528" s="12">
        <v>0.18029999999999999</v>
      </c>
      <c r="J528" s="9" t="s">
        <v>412</v>
      </c>
      <c r="K528" s="9" t="s">
        <v>604</v>
      </c>
    </row>
    <row r="529" spans="1:11">
      <c r="A529" s="9" t="s">
        <v>662</v>
      </c>
      <c r="B529" s="9" t="s">
        <v>680</v>
      </c>
      <c r="C529" s="9" t="s">
        <v>663</v>
      </c>
      <c r="D529" s="12">
        <v>7.4700000000000003E-2</v>
      </c>
      <c r="E529" s="12">
        <v>-1.8100000000000002E-2</v>
      </c>
      <c r="F529" s="12">
        <v>0.44740000000000002</v>
      </c>
      <c r="G529" s="12">
        <v>2.8299999999999999E-2</v>
      </c>
      <c r="H529" s="12">
        <v>0.16800000000000001</v>
      </c>
      <c r="I529" s="12">
        <v>0.18010000000000001</v>
      </c>
      <c r="J529" s="9" t="s">
        <v>412</v>
      </c>
      <c r="K529" s="9" t="s">
        <v>604</v>
      </c>
    </row>
    <row r="530" spans="1:11">
      <c r="A530" s="9" t="s">
        <v>610</v>
      </c>
      <c r="B530" s="9" t="s">
        <v>684</v>
      </c>
      <c r="C530" s="9" t="s">
        <v>667</v>
      </c>
      <c r="D530" s="12">
        <v>6.1800000000000001E-2</v>
      </c>
      <c r="E530" s="12">
        <v>0.2329</v>
      </c>
      <c r="F530" s="12">
        <v>-0.24479999999999999</v>
      </c>
      <c r="G530" s="12">
        <v>0.14735000000000001</v>
      </c>
      <c r="H530" s="12">
        <v>1.67E-2</v>
      </c>
      <c r="I530" s="12">
        <v>0.1799</v>
      </c>
      <c r="J530" s="9" t="s">
        <v>412</v>
      </c>
      <c r="K530" s="9" t="s">
        <v>604</v>
      </c>
    </row>
    <row r="531" spans="1:11" ht="28.8">
      <c r="A531" s="9" t="s">
        <v>603</v>
      </c>
      <c r="B531" s="9" t="s">
        <v>676</v>
      </c>
      <c r="C531" s="9" t="s">
        <v>666</v>
      </c>
      <c r="D531" s="12">
        <v>-0.26</v>
      </c>
      <c r="E531" s="12">
        <v>-0.1002</v>
      </c>
      <c r="F531" s="12">
        <v>0.17879999999999999</v>
      </c>
      <c r="G531" s="12">
        <v>-0.18010000000000001</v>
      </c>
      <c r="H531" s="12">
        <v>-6.0499999999999998E-2</v>
      </c>
      <c r="I531" s="12">
        <v>0.1797</v>
      </c>
      <c r="J531" s="9" t="s">
        <v>412</v>
      </c>
      <c r="K531" s="9" t="s">
        <v>604</v>
      </c>
    </row>
    <row r="532" spans="1:11">
      <c r="A532" s="9" t="s">
        <v>662</v>
      </c>
      <c r="B532" s="9" t="s">
        <v>653</v>
      </c>
      <c r="C532" s="9" t="s">
        <v>659</v>
      </c>
      <c r="D532" s="12">
        <v>-8.3599999999999994E-2</v>
      </c>
      <c r="E532" s="12">
        <v>-0.2021</v>
      </c>
      <c r="F532" s="12">
        <v>-0.2535</v>
      </c>
      <c r="G532" s="12">
        <v>-0.14285</v>
      </c>
      <c r="H532" s="12">
        <v>-0.1797</v>
      </c>
      <c r="I532" s="12">
        <v>0.1797</v>
      </c>
      <c r="J532" s="9" t="s">
        <v>412</v>
      </c>
      <c r="K532" s="9" t="s">
        <v>604</v>
      </c>
    </row>
    <row r="533" spans="1:11" ht="28.8">
      <c r="A533" s="9" t="s">
        <v>603</v>
      </c>
      <c r="B533" s="9" t="s">
        <v>687</v>
      </c>
      <c r="C533" s="9" t="s">
        <v>666</v>
      </c>
      <c r="D533" s="12">
        <v>-0.26</v>
      </c>
      <c r="E533" s="12">
        <v>-0.1457</v>
      </c>
      <c r="F533" s="12">
        <v>0.1331</v>
      </c>
      <c r="G533" s="12">
        <v>-0.20285</v>
      </c>
      <c r="H533" s="12">
        <v>-9.0899999999999995E-2</v>
      </c>
      <c r="I533" s="12">
        <v>0.17960000000000001</v>
      </c>
      <c r="J533" s="9" t="s">
        <v>412</v>
      </c>
      <c r="K533" s="9" t="s">
        <v>604</v>
      </c>
    </row>
    <row r="534" spans="1:11" ht="28.8">
      <c r="A534" s="9" t="s">
        <v>682</v>
      </c>
      <c r="B534" s="9" t="s">
        <v>602</v>
      </c>
      <c r="C534" s="9" t="s">
        <v>601</v>
      </c>
      <c r="D534" s="12">
        <v>-3.2099999999999997E-2</v>
      </c>
      <c r="E534" s="12">
        <v>9.5699999999999993E-2</v>
      </c>
      <c r="F534" s="12">
        <v>-0.41089999999999999</v>
      </c>
      <c r="G534" s="12">
        <v>3.1799999999999995E-2</v>
      </c>
      <c r="H534" s="12">
        <v>-0.1157</v>
      </c>
      <c r="I534" s="12">
        <v>0.17960000000000001</v>
      </c>
      <c r="J534" s="9" t="s">
        <v>412</v>
      </c>
      <c r="K534" s="9" t="s">
        <v>604</v>
      </c>
    </row>
    <row r="535" spans="1:11" ht="28.8">
      <c r="A535" s="9" t="s">
        <v>679</v>
      </c>
      <c r="B535" s="9" t="s">
        <v>676</v>
      </c>
      <c r="C535" s="9" t="s">
        <v>655</v>
      </c>
      <c r="D535" s="12">
        <v>9.4500000000000001E-2</v>
      </c>
      <c r="E535" s="12">
        <v>0.26829999999999998</v>
      </c>
      <c r="F535" s="12">
        <v>0.17549999999999999</v>
      </c>
      <c r="G535" s="12">
        <v>0.18140000000000001</v>
      </c>
      <c r="H535" s="12">
        <v>0.17949999999999999</v>
      </c>
      <c r="I535" s="12">
        <v>0.17949999999999999</v>
      </c>
      <c r="J535" s="9" t="s">
        <v>412</v>
      </c>
      <c r="K535" s="9" t="s">
        <v>654</v>
      </c>
    </row>
    <row r="536" spans="1:11">
      <c r="A536" s="9" t="s">
        <v>662</v>
      </c>
      <c r="B536" s="9" t="s">
        <v>689</v>
      </c>
      <c r="C536" s="9" t="s">
        <v>656</v>
      </c>
      <c r="D536" s="12">
        <v>0.26229999999999998</v>
      </c>
      <c r="E536" s="12">
        <v>-8.6699999999999999E-2</v>
      </c>
      <c r="F536" s="12">
        <v>-0.1888</v>
      </c>
      <c r="G536" s="12">
        <v>8.7799999999999989E-2</v>
      </c>
      <c r="H536" s="12">
        <v>-4.4000000000000003E-3</v>
      </c>
      <c r="I536" s="12">
        <v>0.17929999999999999</v>
      </c>
      <c r="J536" s="9" t="s">
        <v>412</v>
      </c>
      <c r="K536" s="9" t="s">
        <v>604</v>
      </c>
    </row>
    <row r="537" spans="1:11">
      <c r="A537" s="9" t="s">
        <v>609</v>
      </c>
      <c r="B537" s="9" t="s">
        <v>688</v>
      </c>
      <c r="C537" s="9" t="s">
        <v>667</v>
      </c>
      <c r="D537" s="12">
        <v>0.33360000000000001</v>
      </c>
      <c r="E537" s="12">
        <v>6.3E-3</v>
      </c>
      <c r="F537" s="12">
        <v>0.19789999999999999</v>
      </c>
      <c r="G537" s="12">
        <v>0.16994999999999999</v>
      </c>
      <c r="H537" s="12">
        <v>0.17929999999999999</v>
      </c>
      <c r="I537" s="12">
        <v>0.17929999999999999</v>
      </c>
      <c r="J537" s="9" t="s">
        <v>412</v>
      </c>
      <c r="K537" s="9" t="s">
        <v>654</v>
      </c>
    </row>
    <row r="538" spans="1:11">
      <c r="A538" s="9" t="s">
        <v>682</v>
      </c>
      <c r="B538" s="9" t="s">
        <v>658</v>
      </c>
      <c r="C538" s="9" t="s">
        <v>663</v>
      </c>
      <c r="D538" s="12">
        <v>-6.7400000000000002E-2</v>
      </c>
      <c r="E538" s="12">
        <v>-5.5500000000000001E-2</v>
      </c>
      <c r="F538" s="12">
        <v>0.41449999999999998</v>
      </c>
      <c r="G538" s="12">
        <v>-6.1450000000000005E-2</v>
      </c>
      <c r="H538" s="12">
        <v>9.7199999999999995E-2</v>
      </c>
      <c r="I538" s="12">
        <v>0.1792</v>
      </c>
      <c r="J538" s="9" t="s">
        <v>412</v>
      </c>
      <c r="K538" s="9" t="s">
        <v>604</v>
      </c>
    </row>
    <row r="539" spans="1:11" ht="28.8">
      <c r="A539" s="9" t="s">
        <v>679</v>
      </c>
      <c r="B539" s="9" t="s">
        <v>657</v>
      </c>
      <c r="C539" s="9" t="s">
        <v>670</v>
      </c>
      <c r="D539" s="12">
        <v>-9.5200000000000007E-2</v>
      </c>
      <c r="E539" s="12">
        <v>0.14180000000000001</v>
      </c>
      <c r="F539" s="12">
        <v>0.30049999999999999</v>
      </c>
      <c r="G539" s="12">
        <v>2.3300000000000001E-2</v>
      </c>
      <c r="H539" s="12">
        <v>0.1157</v>
      </c>
      <c r="I539" s="12">
        <v>0.17910000000000001</v>
      </c>
      <c r="J539" s="9" t="s">
        <v>412</v>
      </c>
      <c r="K539" s="9" t="s">
        <v>604</v>
      </c>
    </row>
    <row r="540" spans="1:11" ht="28.8">
      <c r="A540" s="9" t="s">
        <v>661</v>
      </c>
      <c r="B540" s="9" t="s">
        <v>688</v>
      </c>
      <c r="C540" s="9" t="s">
        <v>675</v>
      </c>
      <c r="D540" s="12">
        <v>0.14380000000000001</v>
      </c>
      <c r="E540" s="12">
        <v>6.8500000000000005E-2</v>
      </c>
      <c r="F540" s="12">
        <v>0.3251</v>
      </c>
      <c r="G540" s="12">
        <v>0.10615000000000001</v>
      </c>
      <c r="H540" s="12">
        <v>0.17910000000000001</v>
      </c>
      <c r="I540" s="12">
        <v>0.17910000000000001</v>
      </c>
      <c r="J540" s="9" t="s">
        <v>412</v>
      </c>
      <c r="K540" s="9" t="s">
        <v>654</v>
      </c>
    </row>
    <row r="541" spans="1:11" ht="28.8">
      <c r="A541" s="9" t="s">
        <v>679</v>
      </c>
      <c r="B541" s="9" t="s">
        <v>676</v>
      </c>
      <c r="C541" s="9" t="s">
        <v>601</v>
      </c>
      <c r="D541" s="12">
        <v>-8.3900000000000002E-2</v>
      </c>
      <c r="E541" s="12">
        <v>0.26829999999999998</v>
      </c>
      <c r="F541" s="12">
        <v>-0.18490000000000001</v>
      </c>
      <c r="G541" s="12">
        <v>9.219999999999999E-2</v>
      </c>
      <c r="H541" s="12">
        <v>-1E-4</v>
      </c>
      <c r="I541" s="12">
        <v>0.17899999999999999</v>
      </c>
      <c r="J541" s="9" t="s">
        <v>412</v>
      </c>
      <c r="K541" s="9" t="s">
        <v>604</v>
      </c>
    </row>
    <row r="542" spans="1:11" ht="28.8">
      <c r="A542" s="9" t="s">
        <v>671</v>
      </c>
      <c r="B542" s="9" t="s">
        <v>657</v>
      </c>
      <c r="C542" s="9" t="s">
        <v>659</v>
      </c>
      <c r="D542" s="12">
        <v>0.13159999999999999</v>
      </c>
      <c r="E542" s="12">
        <v>-0.1326</v>
      </c>
      <c r="F542" s="12">
        <v>-0.27239999999999998</v>
      </c>
      <c r="G542" s="12">
        <v>-5.0000000000000044E-4</v>
      </c>
      <c r="H542" s="12">
        <v>-9.11E-2</v>
      </c>
      <c r="I542" s="12">
        <v>0.1789</v>
      </c>
      <c r="J542" s="9" t="s">
        <v>412</v>
      </c>
      <c r="K542" s="9" t="s">
        <v>604</v>
      </c>
    </row>
    <row r="543" spans="1:11" ht="28.8">
      <c r="A543" s="9" t="s">
        <v>679</v>
      </c>
      <c r="B543" s="9" t="s">
        <v>689</v>
      </c>
      <c r="C543" s="9" t="s">
        <v>690</v>
      </c>
      <c r="D543" s="12">
        <v>-6.6900000000000001E-2</v>
      </c>
      <c r="E543" s="12">
        <v>-7.0900000000000005E-2</v>
      </c>
      <c r="F543" s="12">
        <v>0.39879999999999999</v>
      </c>
      <c r="G543" s="12">
        <v>-6.8900000000000003E-2</v>
      </c>
      <c r="H543" s="12">
        <v>8.6999999999999994E-2</v>
      </c>
      <c r="I543" s="12">
        <v>0.1789</v>
      </c>
      <c r="J543" s="9" t="s">
        <v>412</v>
      </c>
      <c r="K543" s="9" t="s">
        <v>604</v>
      </c>
    </row>
    <row r="544" spans="1:11">
      <c r="A544" s="9" t="s">
        <v>662</v>
      </c>
      <c r="B544" s="9" t="s">
        <v>684</v>
      </c>
      <c r="C544" s="9" t="s">
        <v>656</v>
      </c>
      <c r="D544" s="12">
        <v>0.26229999999999998</v>
      </c>
      <c r="E544" s="12">
        <v>-0.2475</v>
      </c>
      <c r="F544" s="12">
        <v>2.6499999999999999E-2</v>
      </c>
      <c r="G544" s="12">
        <v>7.3999999999999899E-3</v>
      </c>
      <c r="H544" s="12">
        <v>1.38E-2</v>
      </c>
      <c r="I544" s="12">
        <v>0.17879999999999999</v>
      </c>
      <c r="J544" s="9" t="s">
        <v>412</v>
      </c>
      <c r="K544" s="9" t="s">
        <v>604</v>
      </c>
    </row>
    <row r="545" spans="1:11" ht="28.8">
      <c r="A545" s="9" t="s">
        <v>661</v>
      </c>
      <c r="B545" s="9" t="s">
        <v>685</v>
      </c>
      <c r="C545" s="9" t="s">
        <v>655</v>
      </c>
      <c r="D545" s="12">
        <v>0.17599999999999999</v>
      </c>
      <c r="E545" s="12">
        <v>0.18970000000000001</v>
      </c>
      <c r="F545" s="12">
        <v>0.17069999999999999</v>
      </c>
      <c r="G545" s="12">
        <v>0.18285000000000001</v>
      </c>
      <c r="H545" s="12">
        <v>0.17879999999999999</v>
      </c>
      <c r="I545" s="12">
        <v>0.17879999999999999</v>
      </c>
      <c r="J545" s="9" t="s">
        <v>412</v>
      </c>
      <c r="K545" s="9" t="s">
        <v>654</v>
      </c>
    </row>
    <row r="546" spans="1:11" ht="28.8">
      <c r="A546" s="9" t="s">
        <v>671</v>
      </c>
      <c r="B546" s="9" t="s">
        <v>653</v>
      </c>
      <c r="C546" s="9" t="s">
        <v>663</v>
      </c>
      <c r="D546" s="12">
        <v>9.4399999999999998E-2</v>
      </c>
      <c r="E546" s="12">
        <v>-0.09</v>
      </c>
      <c r="F546" s="12">
        <v>-0.35160000000000002</v>
      </c>
      <c r="G546" s="12">
        <v>2.2000000000000006E-3</v>
      </c>
      <c r="H546" s="12">
        <v>-0.1157</v>
      </c>
      <c r="I546" s="12">
        <v>0.1787</v>
      </c>
      <c r="J546" s="9" t="s">
        <v>412</v>
      </c>
      <c r="K546" s="9" t="s">
        <v>604</v>
      </c>
    </row>
    <row r="547" spans="1:11">
      <c r="A547" s="9" t="s">
        <v>609</v>
      </c>
      <c r="B547" s="9" t="s">
        <v>686</v>
      </c>
      <c r="C547" s="9" t="s">
        <v>659</v>
      </c>
      <c r="D547" s="12">
        <v>0.47620000000000001</v>
      </c>
      <c r="E547" s="12">
        <v>-8.5000000000000006E-3</v>
      </c>
      <c r="F547" s="12">
        <v>5.1200000000000002E-2</v>
      </c>
      <c r="G547" s="12">
        <v>0.23385</v>
      </c>
      <c r="H547" s="12">
        <v>0.17299999999999999</v>
      </c>
      <c r="I547" s="12">
        <v>0.17860000000000001</v>
      </c>
      <c r="J547" s="9" t="s">
        <v>412</v>
      </c>
      <c r="K547" s="9" t="s">
        <v>604</v>
      </c>
    </row>
    <row r="548" spans="1:11">
      <c r="A548" s="9" t="s">
        <v>609</v>
      </c>
      <c r="B548" s="9" t="s">
        <v>660</v>
      </c>
      <c r="C548" s="9" t="s">
        <v>659</v>
      </c>
      <c r="D548" s="12">
        <v>0.47620000000000001</v>
      </c>
      <c r="E548" s="12">
        <v>2.5700000000000001E-2</v>
      </c>
      <c r="F548" s="12">
        <v>3.3799999999999997E-2</v>
      </c>
      <c r="G548" s="12">
        <v>0.25095000000000001</v>
      </c>
      <c r="H548" s="12">
        <v>0.17849999999999999</v>
      </c>
      <c r="I548" s="12">
        <v>0.17849999999999999</v>
      </c>
      <c r="J548" s="9" t="s">
        <v>412</v>
      </c>
      <c r="K548" s="9" t="s">
        <v>654</v>
      </c>
    </row>
    <row r="549" spans="1:11" ht="28.8">
      <c r="A549" s="9" t="s">
        <v>603</v>
      </c>
      <c r="B549" s="9" t="s">
        <v>680</v>
      </c>
      <c r="C549" s="9" t="s">
        <v>674</v>
      </c>
      <c r="D549" s="12">
        <v>-0.1212</v>
      </c>
      <c r="E549" s="12">
        <v>-4.2000000000000003E-2</v>
      </c>
      <c r="F549" s="12">
        <v>0.37230000000000002</v>
      </c>
      <c r="G549" s="12">
        <v>-8.1600000000000006E-2</v>
      </c>
      <c r="H549" s="12">
        <v>6.9699999999999998E-2</v>
      </c>
      <c r="I549" s="12">
        <v>0.17849999999999999</v>
      </c>
      <c r="J549" s="9" t="s">
        <v>412</v>
      </c>
      <c r="K549" s="9" t="s">
        <v>604</v>
      </c>
    </row>
    <row r="550" spans="1:11" ht="28.8">
      <c r="A550" s="9" t="s">
        <v>610</v>
      </c>
      <c r="B550" s="9" t="s">
        <v>657</v>
      </c>
      <c r="C550" s="9" t="s">
        <v>666</v>
      </c>
      <c r="D550" s="12">
        <v>9.5000000000000001E-2</v>
      </c>
      <c r="E550" s="12">
        <v>-0.1171</v>
      </c>
      <c r="F550" s="12">
        <v>-0.32350000000000001</v>
      </c>
      <c r="G550" s="12">
        <v>-1.1049999999999997E-2</v>
      </c>
      <c r="H550" s="12">
        <v>-0.1152</v>
      </c>
      <c r="I550" s="12">
        <v>0.17849999999999999</v>
      </c>
      <c r="J550" s="9" t="s">
        <v>412</v>
      </c>
      <c r="K550" s="9" t="s">
        <v>604</v>
      </c>
    </row>
    <row r="551" spans="1:11" ht="28.8">
      <c r="A551" s="9" t="s">
        <v>661</v>
      </c>
      <c r="B551" s="9" t="s">
        <v>689</v>
      </c>
      <c r="C551" s="9" t="s">
        <v>690</v>
      </c>
      <c r="D551" s="12">
        <v>3.3700000000000001E-2</v>
      </c>
      <c r="E551" s="12">
        <v>-0.1028</v>
      </c>
      <c r="F551" s="12">
        <v>0.39879999999999999</v>
      </c>
      <c r="G551" s="12">
        <v>-3.4549999999999997E-2</v>
      </c>
      <c r="H551" s="12">
        <v>0.1099</v>
      </c>
      <c r="I551" s="12">
        <v>0.1784</v>
      </c>
      <c r="J551" s="9" t="s">
        <v>412</v>
      </c>
      <c r="K551" s="9" t="s">
        <v>604</v>
      </c>
    </row>
    <row r="552" spans="1:11" ht="28.8">
      <c r="A552" s="9" t="s">
        <v>603</v>
      </c>
      <c r="B552" s="9" t="s">
        <v>686</v>
      </c>
      <c r="C552" s="9" t="s">
        <v>670</v>
      </c>
      <c r="D552" s="12">
        <v>0.28070000000000001</v>
      </c>
      <c r="E552" s="12">
        <v>-0.11899999999999999</v>
      </c>
      <c r="F552" s="12">
        <v>-0.13539999999999999</v>
      </c>
      <c r="G552" s="12">
        <v>8.0850000000000005E-2</v>
      </c>
      <c r="H552" s="12">
        <v>8.8000000000000005E-3</v>
      </c>
      <c r="I552" s="12">
        <v>0.17829999999999999</v>
      </c>
      <c r="J552" s="9" t="s">
        <v>412</v>
      </c>
      <c r="K552" s="9" t="s">
        <v>604</v>
      </c>
    </row>
    <row r="553" spans="1:11">
      <c r="A553" s="9" t="s">
        <v>609</v>
      </c>
      <c r="B553" s="9" t="s">
        <v>673</v>
      </c>
      <c r="C553" s="9" t="s">
        <v>667</v>
      </c>
      <c r="D553" s="12">
        <v>0.33360000000000001</v>
      </c>
      <c r="E553" s="12">
        <v>-7.1300000000000002E-2</v>
      </c>
      <c r="F553" s="12">
        <v>-0.1298</v>
      </c>
      <c r="G553" s="12">
        <v>0.13114999999999999</v>
      </c>
      <c r="H553" s="12">
        <v>4.4200000000000003E-2</v>
      </c>
      <c r="I553" s="12">
        <v>0.1782</v>
      </c>
      <c r="J553" s="9" t="s">
        <v>412</v>
      </c>
      <c r="K553" s="9" t="s">
        <v>604</v>
      </c>
    </row>
    <row r="554" spans="1:11" ht="28.8">
      <c r="A554" s="9" t="s">
        <v>671</v>
      </c>
      <c r="B554" s="9" t="s">
        <v>681</v>
      </c>
      <c r="C554" s="9" t="s">
        <v>670</v>
      </c>
      <c r="D554" s="12">
        <v>-0.32890000000000003</v>
      </c>
      <c r="E554" s="12">
        <v>7.1800000000000003E-2</v>
      </c>
      <c r="F554" s="12">
        <v>-0.1333</v>
      </c>
      <c r="G554" s="12">
        <v>-0.12855</v>
      </c>
      <c r="H554" s="12">
        <v>-0.13009999999999999</v>
      </c>
      <c r="I554" s="12">
        <v>0.17799999999999999</v>
      </c>
      <c r="J554" s="9" t="s">
        <v>412</v>
      </c>
      <c r="K554" s="9" t="s">
        <v>604</v>
      </c>
    </row>
    <row r="555" spans="1:11">
      <c r="A555" s="9" t="s">
        <v>609</v>
      </c>
      <c r="B555" s="9" t="s">
        <v>685</v>
      </c>
      <c r="C555" s="9" t="s">
        <v>659</v>
      </c>
      <c r="D555" s="12">
        <v>0.47620000000000001</v>
      </c>
      <c r="E555" s="12">
        <v>3.8399999999999997E-2</v>
      </c>
      <c r="F555" s="12">
        <v>-1.7899999999999999E-2</v>
      </c>
      <c r="G555" s="12">
        <v>0.25730000000000003</v>
      </c>
      <c r="H555" s="12">
        <v>0.1656</v>
      </c>
      <c r="I555" s="12">
        <v>0.17749999999999999</v>
      </c>
      <c r="J555" s="9" t="s">
        <v>412</v>
      </c>
      <c r="K555" s="9" t="s">
        <v>604</v>
      </c>
    </row>
    <row r="556" spans="1:11" ht="28.8">
      <c r="A556" s="9" t="s">
        <v>661</v>
      </c>
      <c r="B556" s="9" t="s">
        <v>672</v>
      </c>
      <c r="C556" s="9" t="s">
        <v>683</v>
      </c>
      <c r="D556" s="12">
        <v>-5.3400000000000003E-2</v>
      </c>
      <c r="E556" s="12">
        <v>0.30880000000000002</v>
      </c>
      <c r="F556" s="12">
        <v>0.17019999999999999</v>
      </c>
      <c r="G556" s="12">
        <v>0.12770000000000001</v>
      </c>
      <c r="H556" s="12">
        <v>0.1419</v>
      </c>
      <c r="I556" s="12">
        <v>0.17749999999999999</v>
      </c>
      <c r="J556" s="9" t="s">
        <v>412</v>
      </c>
      <c r="K556" s="9" t="s">
        <v>604</v>
      </c>
    </row>
    <row r="557" spans="1:11">
      <c r="A557" s="9" t="s">
        <v>609</v>
      </c>
      <c r="B557" s="9" t="s">
        <v>689</v>
      </c>
      <c r="C557" s="9" t="s">
        <v>667</v>
      </c>
      <c r="D557" s="12">
        <v>0.33360000000000001</v>
      </c>
      <c r="E557" s="12">
        <v>-4.6100000000000002E-2</v>
      </c>
      <c r="F557" s="12">
        <v>-0.15240000000000001</v>
      </c>
      <c r="G557" s="12">
        <v>0.14374999999999999</v>
      </c>
      <c r="H557" s="12">
        <v>4.4999999999999998E-2</v>
      </c>
      <c r="I557" s="12">
        <v>0.1774</v>
      </c>
      <c r="J557" s="9" t="s">
        <v>412</v>
      </c>
      <c r="K557" s="9" t="s">
        <v>604</v>
      </c>
    </row>
    <row r="558" spans="1:11" ht="28.8">
      <c r="A558" s="9" t="s">
        <v>682</v>
      </c>
      <c r="B558" s="9" t="s">
        <v>669</v>
      </c>
      <c r="C558" s="9" t="s">
        <v>666</v>
      </c>
      <c r="D558" s="12">
        <v>0.22600000000000001</v>
      </c>
      <c r="E558" s="12">
        <v>-1.46E-2</v>
      </c>
      <c r="F558" s="12">
        <v>0.2913</v>
      </c>
      <c r="G558" s="12">
        <v>0.1057</v>
      </c>
      <c r="H558" s="12">
        <v>0.1676</v>
      </c>
      <c r="I558" s="12">
        <v>0.17730000000000001</v>
      </c>
      <c r="J558" s="9" t="s">
        <v>412</v>
      </c>
      <c r="K558" s="9" t="s">
        <v>604</v>
      </c>
    </row>
    <row r="559" spans="1:11" ht="28.8">
      <c r="A559" s="9" t="s">
        <v>661</v>
      </c>
      <c r="B559" s="9" t="s">
        <v>669</v>
      </c>
      <c r="C559" s="9" t="s">
        <v>670</v>
      </c>
      <c r="D559" s="12">
        <v>-0.29680000000000001</v>
      </c>
      <c r="E559" s="12">
        <v>9.1800000000000007E-2</v>
      </c>
      <c r="F559" s="12">
        <v>-0.14330000000000001</v>
      </c>
      <c r="G559" s="12">
        <v>-0.10250000000000001</v>
      </c>
      <c r="H559" s="12">
        <v>-0.11609999999999999</v>
      </c>
      <c r="I559" s="12">
        <v>0.17730000000000001</v>
      </c>
      <c r="J559" s="9" t="s">
        <v>412</v>
      </c>
      <c r="K559" s="9" t="s">
        <v>604</v>
      </c>
    </row>
    <row r="560" spans="1:11" ht="28.8">
      <c r="A560" s="9" t="s">
        <v>603</v>
      </c>
      <c r="B560" s="9" t="s">
        <v>680</v>
      </c>
      <c r="C560" s="9" t="s">
        <v>656</v>
      </c>
      <c r="D560" s="12">
        <v>-0.41320000000000001</v>
      </c>
      <c r="E560" s="12">
        <v>-4.2000000000000003E-2</v>
      </c>
      <c r="F560" s="12">
        <v>7.6399999999999996E-2</v>
      </c>
      <c r="G560" s="12">
        <v>-0.2276</v>
      </c>
      <c r="H560" s="12">
        <v>-0.1263</v>
      </c>
      <c r="I560" s="12">
        <v>0.1772</v>
      </c>
      <c r="J560" s="9" t="s">
        <v>412</v>
      </c>
      <c r="K560" s="9" t="s">
        <v>604</v>
      </c>
    </row>
    <row r="561" spans="1:11">
      <c r="A561" s="9" t="s">
        <v>662</v>
      </c>
      <c r="B561" s="9" t="s">
        <v>657</v>
      </c>
      <c r="C561" s="9" t="s">
        <v>670</v>
      </c>
      <c r="D561" s="12">
        <v>-0.18790000000000001</v>
      </c>
      <c r="E561" s="12">
        <v>4.3299999999999998E-2</v>
      </c>
      <c r="F561" s="12">
        <v>0.30049999999999999</v>
      </c>
      <c r="G561" s="12">
        <v>-7.2300000000000003E-2</v>
      </c>
      <c r="H561" s="12">
        <v>5.1999999999999998E-2</v>
      </c>
      <c r="I561" s="12">
        <v>0.1772</v>
      </c>
      <c r="J561" s="9" t="s">
        <v>412</v>
      </c>
      <c r="K561" s="9" t="s">
        <v>604</v>
      </c>
    </row>
    <row r="562" spans="1:11" ht="28.8">
      <c r="A562" s="9" t="s">
        <v>679</v>
      </c>
      <c r="B562" s="9" t="s">
        <v>657</v>
      </c>
      <c r="C562" s="9" t="s">
        <v>664</v>
      </c>
      <c r="D562" s="12">
        <v>0.1353</v>
      </c>
      <c r="E562" s="12">
        <v>0.14180000000000001</v>
      </c>
      <c r="F562" s="12">
        <v>0.25440000000000002</v>
      </c>
      <c r="G562" s="12">
        <v>0.13855000000000001</v>
      </c>
      <c r="H562" s="12">
        <v>0.1772</v>
      </c>
      <c r="I562" s="12">
        <v>0.1772</v>
      </c>
      <c r="J562" s="9" t="s">
        <v>412</v>
      </c>
      <c r="K562" s="9" t="s">
        <v>654</v>
      </c>
    </row>
    <row r="563" spans="1:11" ht="28.8">
      <c r="A563" s="9" t="s">
        <v>610</v>
      </c>
      <c r="B563" s="9" t="s">
        <v>680</v>
      </c>
      <c r="C563" s="9" t="s">
        <v>601</v>
      </c>
      <c r="D563" s="12">
        <v>8.48E-2</v>
      </c>
      <c r="E563" s="12">
        <v>-0.1973</v>
      </c>
      <c r="F563" s="12">
        <v>-0.2492</v>
      </c>
      <c r="G563" s="12">
        <v>-5.6250000000000001E-2</v>
      </c>
      <c r="H563" s="12">
        <v>-0.1206</v>
      </c>
      <c r="I563" s="12">
        <v>0.17710000000000001</v>
      </c>
      <c r="J563" s="9" t="s">
        <v>412</v>
      </c>
      <c r="K563" s="9" t="s">
        <v>604</v>
      </c>
    </row>
    <row r="564" spans="1:11" ht="28.8">
      <c r="A564" s="9" t="s">
        <v>603</v>
      </c>
      <c r="B564" s="9" t="s">
        <v>688</v>
      </c>
      <c r="C564" s="9" t="s">
        <v>675</v>
      </c>
      <c r="D564" s="12">
        <v>-0.18360000000000001</v>
      </c>
      <c r="E564" s="12">
        <v>-2.2200000000000001E-2</v>
      </c>
      <c r="F564" s="12">
        <v>0.3251</v>
      </c>
      <c r="G564" s="12">
        <v>-0.10290000000000001</v>
      </c>
      <c r="H564" s="12">
        <v>3.9699999999999999E-2</v>
      </c>
      <c r="I564" s="12">
        <v>0.17699999999999999</v>
      </c>
      <c r="J564" s="9" t="s">
        <v>412</v>
      </c>
      <c r="K564" s="9" t="s">
        <v>604</v>
      </c>
    </row>
    <row r="565" spans="1:11">
      <c r="A565" s="9" t="s">
        <v>682</v>
      </c>
      <c r="B565" s="9" t="s">
        <v>613</v>
      </c>
      <c r="C565" s="9" t="s">
        <v>656</v>
      </c>
      <c r="D565" s="12">
        <v>-1.9900000000000001E-2</v>
      </c>
      <c r="E565" s="12">
        <v>-1.2999999999999999E-2</v>
      </c>
      <c r="F565" s="12">
        <v>0.498</v>
      </c>
      <c r="G565" s="12">
        <v>-1.6449999999999999E-2</v>
      </c>
      <c r="H565" s="12">
        <v>0.155</v>
      </c>
      <c r="I565" s="12">
        <v>0.17699999999999999</v>
      </c>
      <c r="J565" s="9" t="s">
        <v>412</v>
      </c>
      <c r="K565" s="9" t="s">
        <v>604</v>
      </c>
    </row>
    <row r="566" spans="1:11" ht="28.8">
      <c r="A566" s="9" t="s">
        <v>603</v>
      </c>
      <c r="B566" s="9" t="s">
        <v>687</v>
      </c>
      <c r="C566" s="9" t="s">
        <v>675</v>
      </c>
      <c r="D566" s="12">
        <v>-0.18360000000000001</v>
      </c>
      <c r="E566" s="12">
        <v>-0.1457</v>
      </c>
      <c r="F566" s="12">
        <v>0.20180000000000001</v>
      </c>
      <c r="G566" s="12">
        <v>-0.16465000000000002</v>
      </c>
      <c r="H566" s="12">
        <v>-4.2500000000000003E-2</v>
      </c>
      <c r="I566" s="12">
        <v>0.17699999999999999</v>
      </c>
      <c r="J566" s="9" t="s">
        <v>412</v>
      </c>
      <c r="K566" s="9" t="s">
        <v>604</v>
      </c>
    </row>
    <row r="567" spans="1:11" ht="28.8">
      <c r="A567" s="9" t="s">
        <v>603</v>
      </c>
      <c r="B567" s="9" t="s">
        <v>689</v>
      </c>
      <c r="C567" s="9" t="s">
        <v>601</v>
      </c>
      <c r="D567" s="12">
        <v>0.45390000000000003</v>
      </c>
      <c r="E567" s="12">
        <v>2.1399999999999999E-2</v>
      </c>
      <c r="F567" s="12">
        <v>5.5399999999999998E-2</v>
      </c>
      <c r="G567" s="12">
        <v>0.23765</v>
      </c>
      <c r="H567" s="12">
        <v>0.1769</v>
      </c>
      <c r="I567" s="12">
        <v>0.1769</v>
      </c>
      <c r="J567" s="9" t="s">
        <v>412</v>
      </c>
      <c r="K567" s="9" t="s">
        <v>654</v>
      </c>
    </row>
    <row r="568" spans="1:11" ht="28.8">
      <c r="A568" s="9" t="s">
        <v>662</v>
      </c>
      <c r="B568" s="9" t="s">
        <v>660</v>
      </c>
      <c r="C568" s="9" t="s">
        <v>674</v>
      </c>
      <c r="D568" s="12">
        <v>0.17680000000000001</v>
      </c>
      <c r="E568" s="12">
        <v>-0.1187</v>
      </c>
      <c r="F568" s="12">
        <v>-0.2349</v>
      </c>
      <c r="G568" s="12">
        <v>2.9050000000000006E-2</v>
      </c>
      <c r="H568" s="12">
        <v>-5.8900000000000001E-2</v>
      </c>
      <c r="I568" s="12">
        <v>0.17680000000000001</v>
      </c>
      <c r="J568" s="9" t="s">
        <v>412</v>
      </c>
      <c r="K568" s="9" t="s">
        <v>604</v>
      </c>
    </row>
    <row r="569" spans="1:11" ht="28.8">
      <c r="A569" s="9" t="s">
        <v>662</v>
      </c>
      <c r="B569" s="9" t="s">
        <v>669</v>
      </c>
      <c r="C569" s="9" t="s">
        <v>666</v>
      </c>
      <c r="D569" s="12">
        <v>-0.1094</v>
      </c>
      <c r="E569" s="12">
        <v>0.1298</v>
      </c>
      <c r="F569" s="12">
        <v>0.2913</v>
      </c>
      <c r="G569" s="12">
        <v>1.0200000000000001E-2</v>
      </c>
      <c r="H569" s="12">
        <v>0.10390000000000001</v>
      </c>
      <c r="I569" s="12">
        <v>0.17680000000000001</v>
      </c>
      <c r="J569" s="9" t="s">
        <v>412</v>
      </c>
      <c r="K569" s="9" t="s">
        <v>604</v>
      </c>
    </row>
    <row r="570" spans="1:11" ht="28.8">
      <c r="A570" s="9" t="s">
        <v>603</v>
      </c>
      <c r="B570" s="9" t="s">
        <v>660</v>
      </c>
      <c r="C570" s="9" t="s">
        <v>690</v>
      </c>
      <c r="D570" s="12">
        <v>4.1099999999999998E-2</v>
      </c>
      <c r="E570" s="12">
        <v>0.40089999999999998</v>
      </c>
      <c r="F570" s="12">
        <v>-8.8499999999999995E-2</v>
      </c>
      <c r="G570" s="12">
        <v>0.22099999999999997</v>
      </c>
      <c r="H570" s="12">
        <v>0.1178</v>
      </c>
      <c r="I570" s="12">
        <v>0.17680000000000001</v>
      </c>
      <c r="J570" s="9" t="s">
        <v>412</v>
      </c>
      <c r="K570" s="9" t="s">
        <v>604</v>
      </c>
    </row>
    <row r="571" spans="1:11" ht="28.8">
      <c r="A571" s="9" t="s">
        <v>610</v>
      </c>
      <c r="B571" s="9" t="s">
        <v>684</v>
      </c>
      <c r="C571" s="9" t="s">
        <v>674</v>
      </c>
      <c r="D571" s="12">
        <v>-0.1986</v>
      </c>
      <c r="E571" s="12">
        <v>0.2329</v>
      </c>
      <c r="F571" s="12">
        <v>9.8699999999999996E-2</v>
      </c>
      <c r="G571" s="12">
        <v>1.7149999999999999E-2</v>
      </c>
      <c r="H571" s="12">
        <v>4.4299999999999999E-2</v>
      </c>
      <c r="I571" s="12">
        <v>0.1767</v>
      </c>
      <c r="J571" s="9" t="s">
        <v>412</v>
      </c>
      <c r="K571" s="9" t="s">
        <v>604</v>
      </c>
    </row>
    <row r="572" spans="1:11" ht="28.8">
      <c r="A572" s="9" t="s">
        <v>671</v>
      </c>
      <c r="B572" s="9" t="s">
        <v>672</v>
      </c>
      <c r="C572" s="9" t="s">
        <v>690</v>
      </c>
      <c r="D572" s="12">
        <v>-7.0199999999999999E-2</v>
      </c>
      <c r="E572" s="12">
        <v>0.44879999999999998</v>
      </c>
      <c r="F572" s="12">
        <v>1.11E-2</v>
      </c>
      <c r="G572" s="12">
        <v>0.1893</v>
      </c>
      <c r="H572" s="12">
        <v>0.12989999999999999</v>
      </c>
      <c r="I572" s="12">
        <v>0.1767</v>
      </c>
      <c r="J572" s="9" t="s">
        <v>412</v>
      </c>
      <c r="K572" s="9" t="s">
        <v>604</v>
      </c>
    </row>
    <row r="573" spans="1:11" ht="28.8">
      <c r="A573" s="9" t="s">
        <v>603</v>
      </c>
      <c r="B573" s="9" t="s">
        <v>657</v>
      </c>
      <c r="C573" s="9" t="s">
        <v>690</v>
      </c>
      <c r="D573" s="12">
        <v>4.1099999999999998E-2</v>
      </c>
      <c r="E573" s="12">
        <v>0.45229999999999998</v>
      </c>
      <c r="F573" s="12">
        <v>3.61E-2</v>
      </c>
      <c r="G573" s="12">
        <v>0.24669999999999997</v>
      </c>
      <c r="H573" s="12">
        <v>0.17649999999999999</v>
      </c>
      <c r="I573" s="12">
        <v>0.17649999999999999</v>
      </c>
      <c r="J573" s="9" t="s">
        <v>412</v>
      </c>
      <c r="K573" s="9" t="s">
        <v>654</v>
      </c>
    </row>
    <row r="574" spans="1:11" ht="28.8">
      <c r="A574" s="9" t="s">
        <v>679</v>
      </c>
      <c r="B574" s="9" t="s">
        <v>688</v>
      </c>
      <c r="C574" s="9" t="s">
        <v>664</v>
      </c>
      <c r="D574" s="12">
        <v>0.1353</v>
      </c>
      <c r="E574" s="12">
        <v>0.14299999999999999</v>
      </c>
      <c r="F574" s="12">
        <v>0.251</v>
      </c>
      <c r="G574" s="12">
        <v>0.13915</v>
      </c>
      <c r="H574" s="12">
        <v>0.1764</v>
      </c>
      <c r="I574" s="12">
        <v>0.1764</v>
      </c>
      <c r="J574" s="9" t="s">
        <v>412</v>
      </c>
      <c r="K574" s="9" t="s">
        <v>654</v>
      </c>
    </row>
    <row r="575" spans="1:11" ht="28.8">
      <c r="A575" s="9" t="s">
        <v>603</v>
      </c>
      <c r="B575" s="9" t="s">
        <v>684</v>
      </c>
      <c r="C575" s="9" t="s">
        <v>663</v>
      </c>
      <c r="D575" s="12">
        <v>-0.2828</v>
      </c>
      <c r="E575" s="12">
        <v>-0.10829999999999999</v>
      </c>
      <c r="F575" s="12">
        <v>0.13800000000000001</v>
      </c>
      <c r="G575" s="12">
        <v>-0.19555</v>
      </c>
      <c r="H575" s="12">
        <v>-8.4400000000000003E-2</v>
      </c>
      <c r="I575" s="12">
        <v>0.1764</v>
      </c>
      <c r="J575" s="9" t="s">
        <v>412</v>
      </c>
      <c r="K575" s="9" t="s">
        <v>604</v>
      </c>
    </row>
    <row r="576" spans="1:11" ht="28.8">
      <c r="A576" s="9" t="s">
        <v>679</v>
      </c>
      <c r="B576" s="9" t="s">
        <v>676</v>
      </c>
      <c r="C576" s="9" t="s">
        <v>674</v>
      </c>
      <c r="D576" s="12">
        <v>0.11849999999999999</v>
      </c>
      <c r="E576" s="12">
        <v>0.26829999999999998</v>
      </c>
      <c r="F576" s="12">
        <v>0.14230000000000001</v>
      </c>
      <c r="G576" s="12">
        <v>0.19339999999999999</v>
      </c>
      <c r="H576" s="12">
        <v>0.1764</v>
      </c>
      <c r="I576" s="12">
        <v>0.1764</v>
      </c>
      <c r="J576" s="9" t="s">
        <v>412</v>
      </c>
      <c r="K576" s="9" t="s">
        <v>654</v>
      </c>
    </row>
    <row r="577" spans="1:11">
      <c r="A577" s="9" t="s">
        <v>609</v>
      </c>
      <c r="B577" s="9" t="s">
        <v>684</v>
      </c>
      <c r="C577" s="9" t="s">
        <v>670</v>
      </c>
      <c r="D577" s="12">
        <v>-0.32040000000000002</v>
      </c>
      <c r="E577" s="12">
        <v>-0.19400000000000001</v>
      </c>
      <c r="F577" s="12">
        <v>-1.49E-2</v>
      </c>
      <c r="G577" s="12">
        <v>-0.25719999999999998</v>
      </c>
      <c r="H577" s="12">
        <v>-0.1764</v>
      </c>
      <c r="I577" s="12">
        <v>0.1764</v>
      </c>
      <c r="J577" s="9" t="s">
        <v>412</v>
      </c>
      <c r="K577" s="9" t="s">
        <v>604</v>
      </c>
    </row>
    <row r="578" spans="1:11">
      <c r="A578" s="9" t="s">
        <v>610</v>
      </c>
      <c r="B578" s="9" t="s">
        <v>672</v>
      </c>
      <c r="C578" s="9" t="s">
        <v>663</v>
      </c>
      <c r="D578" s="12">
        <v>-0.2303</v>
      </c>
      <c r="E578" s="12">
        <v>7.0999999999999994E-2</v>
      </c>
      <c r="F578" s="12">
        <v>0.22750000000000001</v>
      </c>
      <c r="G578" s="12">
        <v>-7.9649999999999999E-2</v>
      </c>
      <c r="H578" s="12">
        <v>2.2800000000000001E-2</v>
      </c>
      <c r="I578" s="12">
        <v>0.17630000000000001</v>
      </c>
      <c r="J578" s="9" t="s">
        <v>412</v>
      </c>
      <c r="K578" s="9" t="s">
        <v>604</v>
      </c>
    </row>
    <row r="579" spans="1:11" ht="28.8">
      <c r="A579" s="9" t="s">
        <v>679</v>
      </c>
      <c r="B579" s="9" t="s">
        <v>680</v>
      </c>
      <c r="C579" s="9" t="s">
        <v>666</v>
      </c>
      <c r="D579" s="12">
        <v>-0.113</v>
      </c>
      <c r="E579" s="12">
        <v>0.1643</v>
      </c>
      <c r="F579" s="12">
        <v>0.25119999999999998</v>
      </c>
      <c r="G579" s="12">
        <v>2.5649999999999999E-2</v>
      </c>
      <c r="H579" s="12">
        <v>0.1008</v>
      </c>
      <c r="I579" s="12">
        <v>0.1762</v>
      </c>
      <c r="J579" s="9" t="s">
        <v>412</v>
      </c>
      <c r="K579" s="9" t="s">
        <v>604</v>
      </c>
    </row>
    <row r="580" spans="1:11" ht="28.8">
      <c r="A580" s="9" t="s">
        <v>662</v>
      </c>
      <c r="B580" s="9" t="s">
        <v>602</v>
      </c>
      <c r="C580" s="9" t="s">
        <v>674</v>
      </c>
      <c r="D580" s="12">
        <v>0.17680000000000001</v>
      </c>
      <c r="E580" s="12">
        <v>9.3799999999999994E-2</v>
      </c>
      <c r="F580" s="12">
        <v>0.2581</v>
      </c>
      <c r="G580" s="12">
        <v>0.1353</v>
      </c>
      <c r="H580" s="12">
        <v>0.1762</v>
      </c>
      <c r="I580" s="12">
        <v>0.1762</v>
      </c>
      <c r="J580" s="9" t="s">
        <v>412</v>
      </c>
      <c r="K580" s="9" t="s">
        <v>654</v>
      </c>
    </row>
    <row r="581" spans="1:11" ht="28.8">
      <c r="A581" s="9" t="s">
        <v>671</v>
      </c>
      <c r="B581" s="9" t="s">
        <v>660</v>
      </c>
      <c r="C581" s="9" t="s">
        <v>656</v>
      </c>
      <c r="D581" s="12">
        <v>6.54E-2</v>
      </c>
      <c r="E581" s="12">
        <v>-0.1037</v>
      </c>
      <c r="F581" s="12">
        <v>-0.35949999999999999</v>
      </c>
      <c r="G581" s="12">
        <v>-1.915E-2</v>
      </c>
      <c r="H581" s="12">
        <v>-0.1326</v>
      </c>
      <c r="I581" s="12">
        <v>0.1762</v>
      </c>
      <c r="J581" s="9" t="s">
        <v>412</v>
      </c>
      <c r="K581" s="9" t="s">
        <v>604</v>
      </c>
    </row>
    <row r="582" spans="1:11" ht="28.8">
      <c r="A582" s="9" t="s">
        <v>682</v>
      </c>
      <c r="B582" s="9" t="s">
        <v>658</v>
      </c>
      <c r="C582" s="9" t="s">
        <v>601</v>
      </c>
      <c r="D582" s="12">
        <v>-3.2099999999999997E-2</v>
      </c>
      <c r="E582" s="12">
        <v>-5.5500000000000001E-2</v>
      </c>
      <c r="F582" s="12">
        <v>-0.4405</v>
      </c>
      <c r="G582" s="12">
        <v>-4.3799999999999999E-2</v>
      </c>
      <c r="H582" s="12">
        <v>-0.17599999999999999</v>
      </c>
      <c r="I582" s="12">
        <v>0.17599999999999999</v>
      </c>
      <c r="J582" s="9" t="s">
        <v>412</v>
      </c>
      <c r="K582" s="9" t="s">
        <v>604</v>
      </c>
    </row>
    <row r="583" spans="1:11" ht="28.8">
      <c r="A583" s="9" t="s">
        <v>661</v>
      </c>
      <c r="B583" s="9" t="s">
        <v>680</v>
      </c>
      <c r="C583" s="9" t="s">
        <v>601</v>
      </c>
      <c r="D583" s="12">
        <v>-0.2266</v>
      </c>
      <c r="E583" s="12">
        <v>5.1799999999999999E-2</v>
      </c>
      <c r="F583" s="12">
        <v>-0.2492</v>
      </c>
      <c r="G583" s="12">
        <v>-8.7400000000000005E-2</v>
      </c>
      <c r="H583" s="12">
        <v>-0.14130000000000001</v>
      </c>
      <c r="I583" s="12">
        <v>0.1759</v>
      </c>
      <c r="J583" s="9" t="s">
        <v>412</v>
      </c>
      <c r="K583" s="9" t="s">
        <v>604</v>
      </c>
    </row>
    <row r="584" spans="1:11">
      <c r="A584" s="9" t="s">
        <v>662</v>
      </c>
      <c r="B584" s="9" t="s">
        <v>613</v>
      </c>
      <c r="C584" s="9" t="s">
        <v>659</v>
      </c>
      <c r="D584" s="12">
        <v>-8.3599999999999994E-2</v>
      </c>
      <c r="E584" s="12">
        <v>6.2399999999999997E-2</v>
      </c>
      <c r="F584" s="12">
        <v>0.37969999999999998</v>
      </c>
      <c r="G584" s="12">
        <v>-1.0599999999999998E-2</v>
      </c>
      <c r="H584" s="12">
        <v>0.1195</v>
      </c>
      <c r="I584" s="12">
        <v>0.17530000000000001</v>
      </c>
      <c r="J584" s="9" t="s">
        <v>412</v>
      </c>
      <c r="K584" s="9" t="s">
        <v>604</v>
      </c>
    </row>
    <row r="585" spans="1:11" ht="28.8">
      <c r="A585" s="9" t="s">
        <v>661</v>
      </c>
      <c r="B585" s="9" t="s">
        <v>673</v>
      </c>
      <c r="C585" s="9" t="s">
        <v>655</v>
      </c>
      <c r="D585" s="12">
        <v>0.17599999999999999</v>
      </c>
      <c r="E585" s="12">
        <v>-0.12659999999999999</v>
      </c>
      <c r="F585" s="12">
        <v>-0.22339999999999999</v>
      </c>
      <c r="G585" s="12">
        <v>2.47E-2</v>
      </c>
      <c r="H585" s="12">
        <v>-5.8000000000000003E-2</v>
      </c>
      <c r="I585" s="12">
        <v>0.17530000000000001</v>
      </c>
      <c r="J585" s="9" t="s">
        <v>412</v>
      </c>
      <c r="K585" s="9" t="s">
        <v>604</v>
      </c>
    </row>
    <row r="586" spans="1:11" ht="28.8">
      <c r="A586" s="9" t="s">
        <v>679</v>
      </c>
      <c r="B586" s="9" t="s">
        <v>676</v>
      </c>
      <c r="C586" s="9" t="s">
        <v>663</v>
      </c>
      <c r="D586" s="12">
        <v>0.13450000000000001</v>
      </c>
      <c r="E586" s="12">
        <v>0.26829999999999998</v>
      </c>
      <c r="F586" s="12">
        <v>0.1225</v>
      </c>
      <c r="G586" s="12">
        <v>0.2014</v>
      </c>
      <c r="H586" s="12">
        <v>0.17510000000000001</v>
      </c>
      <c r="I586" s="12">
        <v>0.17510000000000001</v>
      </c>
      <c r="J586" s="9" t="s">
        <v>412</v>
      </c>
      <c r="K586" s="9" t="s">
        <v>654</v>
      </c>
    </row>
    <row r="587" spans="1:11">
      <c r="A587" s="9" t="s">
        <v>682</v>
      </c>
      <c r="B587" s="9" t="s">
        <v>669</v>
      </c>
      <c r="C587" s="9" t="s">
        <v>663</v>
      </c>
      <c r="D587" s="12">
        <v>-6.7400000000000002E-2</v>
      </c>
      <c r="E587" s="12">
        <v>-1.46E-2</v>
      </c>
      <c r="F587" s="12">
        <v>0.44319999999999998</v>
      </c>
      <c r="G587" s="12">
        <v>-4.1000000000000002E-2</v>
      </c>
      <c r="H587" s="12">
        <v>0.12039999999999999</v>
      </c>
      <c r="I587" s="12">
        <v>0.17510000000000001</v>
      </c>
      <c r="J587" s="9" t="s">
        <v>412</v>
      </c>
      <c r="K587" s="9" t="s">
        <v>604</v>
      </c>
    </row>
    <row r="588" spans="1:11" ht="28.8">
      <c r="A588" s="9" t="s">
        <v>603</v>
      </c>
      <c r="B588" s="9" t="s">
        <v>678</v>
      </c>
      <c r="C588" s="9" t="s">
        <v>659</v>
      </c>
      <c r="D588" s="12">
        <v>-0.17230000000000001</v>
      </c>
      <c r="E588" s="12">
        <v>0.17549999999999999</v>
      </c>
      <c r="F588" s="12">
        <v>-0.1774</v>
      </c>
      <c r="G588" s="12">
        <v>1.5999999999999903E-3</v>
      </c>
      <c r="H588" s="12">
        <v>-5.8099999999999999E-2</v>
      </c>
      <c r="I588" s="12">
        <v>0.17499999999999999</v>
      </c>
      <c r="J588" s="9" t="s">
        <v>412</v>
      </c>
      <c r="K588" s="9" t="s">
        <v>604</v>
      </c>
    </row>
    <row r="589" spans="1:11">
      <c r="A589" s="9" t="s">
        <v>610</v>
      </c>
      <c r="B589" s="9" t="s">
        <v>680</v>
      </c>
      <c r="C589" s="9" t="s">
        <v>655</v>
      </c>
      <c r="D589" s="12">
        <v>-9.4E-2</v>
      </c>
      <c r="E589" s="12">
        <v>-0.1973</v>
      </c>
      <c r="F589" s="12">
        <v>0.2334</v>
      </c>
      <c r="G589" s="12">
        <v>-0.14565</v>
      </c>
      <c r="H589" s="12">
        <v>-1.9300000000000001E-2</v>
      </c>
      <c r="I589" s="12">
        <v>0.1749</v>
      </c>
      <c r="J589" s="9" t="s">
        <v>412</v>
      </c>
      <c r="K589" s="9" t="s">
        <v>604</v>
      </c>
    </row>
    <row r="590" spans="1:11">
      <c r="A590" s="9" t="s">
        <v>682</v>
      </c>
      <c r="B590" s="9" t="s">
        <v>689</v>
      </c>
      <c r="C590" s="9" t="s">
        <v>670</v>
      </c>
      <c r="D590" s="12">
        <v>-0.19359999999999999</v>
      </c>
      <c r="E590" s="12">
        <v>0.1298</v>
      </c>
      <c r="F590" s="12">
        <v>0.20100000000000001</v>
      </c>
      <c r="G590" s="12">
        <v>-3.1899999999999998E-2</v>
      </c>
      <c r="H590" s="12">
        <v>4.5699999999999998E-2</v>
      </c>
      <c r="I590" s="12">
        <v>0.17480000000000001</v>
      </c>
      <c r="J590" s="9" t="s">
        <v>412</v>
      </c>
      <c r="K590" s="9" t="s">
        <v>604</v>
      </c>
    </row>
    <row r="591" spans="1:11" ht="28.8">
      <c r="A591" s="9" t="s">
        <v>682</v>
      </c>
      <c r="B591" s="9" t="s">
        <v>658</v>
      </c>
      <c r="C591" s="9" t="s">
        <v>666</v>
      </c>
      <c r="D591" s="12">
        <v>0.22600000000000001</v>
      </c>
      <c r="E591" s="12">
        <v>-5.5500000000000001E-2</v>
      </c>
      <c r="F591" s="12">
        <v>0.24249999999999999</v>
      </c>
      <c r="G591" s="12">
        <v>8.5250000000000006E-2</v>
      </c>
      <c r="H591" s="12">
        <v>0.13769999999999999</v>
      </c>
      <c r="I591" s="12">
        <v>0.17469999999999999</v>
      </c>
      <c r="J591" s="9" t="s">
        <v>412</v>
      </c>
      <c r="K591" s="9" t="s">
        <v>604</v>
      </c>
    </row>
    <row r="592" spans="1:11" ht="28.8">
      <c r="A592" s="9" t="s">
        <v>661</v>
      </c>
      <c r="B592" s="9" t="s">
        <v>657</v>
      </c>
      <c r="C592" s="9" t="s">
        <v>659</v>
      </c>
      <c r="D592" s="12">
        <v>4.3499999999999997E-2</v>
      </c>
      <c r="E592" s="12">
        <v>-0.2077</v>
      </c>
      <c r="F592" s="12">
        <v>-0.27239999999999998</v>
      </c>
      <c r="G592" s="12">
        <v>-8.2100000000000006E-2</v>
      </c>
      <c r="H592" s="12">
        <v>-0.14549999999999999</v>
      </c>
      <c r="I592" s="12">
        <v>0.17449999999999999</v>
      </c>
      <c r="J592" s="9" t="s">
        <v>412</v>
      </c>
      <c r="K592" s="9" t="s">
        <v>604</v>
      </c>
    </row>
    <row r="593" spans="1:11" ht="28.8">
      <c r="A593" s="9" t="s">
        <v>610</v>
      </c>
      <c r="B593" s="9" t="s">
        <v>665</v>
      </c>
      <c r="C593" s="9" t="s">
        <v>666</v>
      </c>
      <c r="D593" s="12">
        <v>9.5000000000000001E-2</v>
      </c>
      <c r="E593" s="12">
        <v>7.4899999999999994E-2</v>
      </c>
      <c r="F593" s="12">
        <v>0.3533</v>
      </c>
      <c r="G593" s="12">
        <v>8.4949999999999998E-2</v>
      </c>
      <c r="H593" s="12">
        <v>0.1744</v>
      </c>
      <c r="I593" s="12">
        <v>0.1744</v>
      </c>
      <c r="J593" s="9" t="s">
        <v>412</v>
      </c>
      <c r="K593" s="9" t="s">
        <v>654</v>
      </c>
    </row>
    <row r="594" spans="1:11" ht="28.8">
      <c r="A594" s="9" t="s">
        <v>609</v>
      </c>
      <c r="B594" s="9" t="s">
        <v>684</v>
      </c>
      <c r="C594" s="9" t="s">
        <v>666</v>
      </c>
      <c r="D594" s="12">
        <v>-7.7700000000000005E-2</v>
      </c>
      <c r="E594" s="12">
        <v>-0.19400000000000001</v>
      </c>
      <c r="F594" s="12">
        <v>0.25140000000000001</v>
      </c>
      <c r="G594" s="12">
        <v>-0.13585</v>
      </c>
      <c r="H594" s="12">
        <v>-6.7999999999999996E-3</v>
      </c>
      <c r="I594" s="12">
        <v>0.1744</v>
      </c>
      <c r="J594" s="9" t="s">
        <v>412</v>
      </c>
      <c r="K594" s="9" t="s">
        <v>604</v>
      </c>
    </row>
    <row r="595" spans="1:11" ht="28.8">
      <c r="A595" s="9" t="s">
        <v>662</v>
      </c>
      <c r="B595" s="9" t="s">
        <v>684</v>
      </c>
      <c r="C595" s="9" t="s">
        <v>674</v>
      </c>
      <c r="D595" s="12">
        <v>0.17680000000000001</v>
      </c>
      <c r="E595" s="12">
        <v>-0.2475</v>
      </c>
      <c r="F595" s="12">
        <v>9.8699999999999996E-2</v>
      </c>
      <c r="G595" s="12">
        <v>-3.5349999999999993E-2</v>
      </c>
      <c r="H595" s="12">
        <v>9.2999999999999992E-3</v>
      </c>
      <c r="I595" s="12">
        <v>0.17430000000000001</v>
      </c>
      <c r="J595" s="9" t="s">
        <v>412</v>
      </c>
      <c r="K595" s="9" t="s">
        <v>604</v>
      </c>
    </row>
    <row r="596" spans="1:11" ht="28.8">
      <c r="A596" s="9" t="s">
        <v>679</v>
      </c>
      <c r="B596" s="9" t="s">
        <v>653</v>
      </c>
      <c r="C596" s="9" t="s">
        <v>677</v>
      </c>
      <c r="D596" s="12">
        <v>0.13189999999999999</v>
      </c>
      <c r="E596" s="12">
        <v>6.2700000000000006E-2</v>
      </c>
      <c r="F596" s="12">
        <v>0.32829999999999998</v>
      </c>
      <c r="G596" s="12">
        <v>9.7299999999999998E-2</v>
      </c>
      <c r="H596" s="12">
        <v>0.17430000000000001</v>
      </c>
      <c r="I596" s="12">
        <v>0.17430000000000001</v>
      </c>
      <c r="J596" s="9" t="s">
        <v>412</v>
      </c>
      <c r="K596" s="9" t="s">
        <v>654</v>
      </c>
    </row>
    <row r="597" spans="1:11" ht="28.8">
      <c r="A597" s="9" t="s">
        <v>603</v>
      </c>
      <c r="B597" s="9" t="s">
        <v>658</v>
      </c>
      <c r="C597" s="9" t="s">
        <v>690</v>
      </c>
      <c r="D597" s="12">
        <v>4.1099999999999998E-2</v>
      </c>
      <c r="E597" s="12">
        <v>-0.46400000000000002</v>
      </c>
      <c r="F597" s="12">
        <v>-1.78E-2</v>
      </c>
      <c r="G597" s="12">
        <v>-0.21145000000000003</v>
      </c>
      <c r="H597" s="12">
        <v>-0.1469</v>
      </c>
      <c r="I597" s="12">
        <v>0.17430000000000001</v>
      </c>
      <c r="J597" s="9" t="s">
        <v>412</v>
      </c>
      <c r="K597" s="9" t="s">
        <v>604</v>
      </c>
    </row>
    <row r="598" spans="1:11">
      <c r="A598" s="9" t="s">
        <v>610</v>
      </c>
      <c r="B598" s="9" t="s">
        <v>602</v>
      </c>
      <c r="C598" s="9" t="s">
        <v>663</v>
      </c>
      <c r="D598" s="12">
        <v>-0.2303</v>
      </c>
      <c r="E598" s="12">
        <v>-0.19400000000000001</v>
      </c>
      <c r="F598" s="12">
        <v>9.8400000000000001E-2</v>
      </c>
      <c r="G598" s="12">
        <v>-0.21215000000000001</v>
      </c>
      <c r="H598" s="12">
        <v>-0.1086</v>
      </c>
      <c r="I598" s="12">
        <v>0.17419999999999999</v>
      </c>
      <c r="J598" s="9" t="s">
        <v>412</v>
      </c>
      <c r="K598" s="9" t="s">
        <v>604</v>
      </c>
    </row>
    <row r="599" spans="1:11" ht="28.8">
      <c r="A599" s="9" t="s">
        <v>682</v>
      </c>
      <c r="B599" s="9" t="s">
        <v>678</v>
      </c>
      <c r="C599" s="9" t="s">
        <v>666</v>
      </c>
      <c r="D599" s="12">
        <v>0.22600000000000001</v>
      </c>
      <c r="E599" s="12">
        <v>-0.16669999999999999</v>
      </c>
      <c r="F599" s="12">
        <v>-0.12959999999999999</v>
      </c>
      <c r="G599" s="12">
        <v>2.965000000000001E-2</v>
      </c>
      <c r="H599" s="12">
        <v>-2.3400000000000001E-2</v>
      </c>
      <c r="I599" s="12">
        <v>0.1741</v>
      </c>
      <c r="J599" s="9" t="s">
        <v>412</v>
      </c>
      <c r="K599" s="9" t="s">
        <v>604</v>
      </c>
    </row>
    <row r="600" spans="1:11" ht="28.8">
      <c r="A600" s="9" t="s">
        <v>671</v>
      </c>
      <c r="B600" s="9" t="s">
        <v>668</v>
      </c>
      <c r="C600" s="9" t="s">
        <v>670</v>
      </c>
      <c r="D600" s="12">
        <v>-0.32890000000000003</v>
      </c>
      <c r="E600" s="12">
        <v>-3.2099999999999997E-2</v>
      </c>
      <c r="F600" s="12">
        <v>0.16139999999999999</v>
      </c>
      <c r="G600" s="12">
        <v>-0.18050000000000002</v>
      </c>
      <c r="H600" s="12">
        <v>-6.6500000000000004E-2</v>
      </c>
      <c r="I600" s="12">
        <v>0.1741</v>
      </c>
      <c r="J600" s="9" t="s">
        <v>412</v>
      </c>
      <c r="K600" s="9" t="s">
        <v>604</v>
      </c>
    </row>
    <row r="601" spans="1:11">
      <c r="A601" s="9" t="s">
        <v>609</v>
      </c>
      <c r="B601" s="9" t="s">
        <v>668</v>
      </c>
      <c r="C601" s="9" t="s">
        <v>670</v>
      </c>
      <c r="D601" s="12">
        <v>-0.32040000000000002</v>
      </c>
      <c r="E601" s="12">
        <v>-4.02E-2</v>
      </c>
      <c r="F601" s="12">
        <v>0.16139999999999999</v>
      </c>
      <c r="G601" s="12">
        <v>-0.18030000000000002</v>
      </c>
      <c r="H601" s="12">
        <v>-6.6400000000000001E-2</v>
      </c>
      <c r="I601" s="12">
        <v>0.17399999999999999</v>
      </c>
      <c r="J601" s="9" t="s">
        <v>412</v>
      </c>
      <c r="K601" s="9" t="s">
        <v>604</v>
      </c>
    </row>
    <row r="602" spans="1:11" ht="28.8">
      <c r="A602" s="9" t="s">
        <v>661</v>
      </c>
      <c r="B602" s="9" t="s">
        <v>673</v>
      </c>
      <c r="C602" s="9" t="s">
        <v>675</v>
      </c>
      <c r="D602" s="12">
        <v>0.14380000000000001</v>
      </c>
      <c r="E602" s="12">
        <v>-0.12659999999999999</v>
      </c>
      <c r="F602" s="12">
        <v>-0.25030000000000002</v>
      </c>
      <c r="G602" s="12">
        <v>8.6000000000000104E-3</v>
      </c>
      <c r="H602" s="12">
        <v>-7.7700000000000005E-2</v>
      </c>
      <c r="I602" s="12">
        <v>0.1736</v>
      </c>
      <c r="J602" s="9" t="s">
        <v>412</v>
      </c>
      <c r="K602" s="9" t="s">
        <v>604</v>
      </c>
    </row>
    <row r="603" spans="1:11">
      <c r="A603" s="9" t="s">
        <v>610</v>
      </c>
      <c r="B603" s="9" t="s">
        <v>673</v>
      </c>
      <c r="C603" s="9" t="s">
        <v>663</v>
      </c>
      <c r="D603" s="12">
        <v>-0.2303</v>
      </c>
      <c r="E603" s="12">
        <v>-8.14E-2</v>
      </c>
      <c r="F603" s="12">
        <v>-0.20910000000000001</v>
      </c>
      <c r="G603" s="12">
        <v>-0.15584999999999999</v>
      </c>
      <c r="H603" s="12">
        <v>-0.1736</v>
      </c>
      <c r="I603" s="12">
        <v>0.1736</v>
      </c>
      <c r="J603" s="9" t="s">
        <v>412</v>
      </c>
      <c r="K603" s="9" t="s">
        <v>604</v>
      </c>
    </row>
    <row r="604" spans="1:11" ht="28.8">
      <c r="A604" s="9" t="s">
        <v>603</v>
      </c>
      <c r="B604" s="9" t="s">
        <v>688</v>
      </c>
      <c r="C604" s="9" t="s">
        <v>683</v>
      </c>
      <c r="D604" s="12">
        <v>0.17660000000000001</v>
      </c>
      <c r="E604" s="12">
        <v>-2.2200000000000001E-2</v>
      </c>
      <c r="F604" s="12">
        <v>0.3216</v>
      </c>
      <c r="G604" s="12">
        <v>7.7200000000000005E-2</v>
      </c>
      <c r="H604" s="12">
        <v>0.15859999999999999</v>
      </c>
      <c r="I604" s="12">
        <v>0.17349999999999999</v>
      </c>
      <c r="J604" s="9" t="s">
        <v>412</v>
      </c>
      <c r="K604" s="9" t="s">
        <v>604</v>
      </c>
    </row>
    <row r="605" spans="1:11" ht="28.8">
      <c r="A605" s="9" t="s">
        <v>610</v>
      </c>
      <c r="B605" s="9" t="s">
        <v>668</v>
      </c>
      <c r="C605" s="9" t="s">
        <v>601</v>
      </c>
      <c r="D605" s="12">
        <v>8.48E-2</v>
      </c>
      <c r="E605" s="12">
        <v>-9.64E-2</v>
      </c>
      <c r="F605" s="12">
        <v>0.33939999999999998</v>
      </c>
      <c r="G605" s="12">
        <v>-5.7999999999999996E-3</v>
      </c>
      <c r="H605" s="12">
        <v>0.10929999999999999</v>
      </c>
      <c r="I605" s="12">
        <v>0.17349999999999999</v>
      </c>
      <c r="J605" s="9" t="s">
        <v>412</v>
      </c>
      <c r="K605" s="9" t="s">
        <v>604</v>
      </c>
    </row>
    <row r="606" spans="1:11" ht="28.8">
      <c r="A606" s="9" t="s">
        <v>671</v>
      </c>
      <c r="B606" s="9" t="s">
        <v>668</v>
      </c>
      <c r="C606" s="9" t="s">
        <v>656</v>
      </c>
      <c r="D606" s="12">
        <v>6.54E-2</v>
      </c>
      <c r="E606" s="12">
        <v>-3.2099999999999997E-2</v>
      </c>
      <c r="F606" s="12">
        <v>-0.42299999999999999</v>
      </c>
      <c r="G606" s="12">
        <v>1.6650000000000002E-2</v>
      </c>
      <c r="H606" s="12">
        <v>-0.12989999999999999</v>
      </c>
      <c r="I606" s="12">
        <v>0.17349999999999999</v>
      </c>
      <c r="J606" s="9" t="s">
        <v>412</v>
      </c>
      <c r="K606" s="9" t="s">
        <v>604</v>
      </c>
    </row>
    <row r="607" spans="1:11" ht="28.8">
      <c r="A607" s="9" t="s">
        <v>662</v>
      </c>
      <c r="B607" s="9" t="s">
        <v>681</v>
      </c>
      <c r="C607" s="9" t="s">
        <v>674</v>
      </c>
      <c r="D607" s="12">
        <v>0.17680000000000001</v>
      </c>
      <c r="E607" s="12">
        <v>0.1535</v>
      </c>
      <c r="F607" s="12">
        <v>0.19020000000000001</v>
      </c>
      <c r="G607" s="12">
        <v>0.16515000000000002</v>
      </c>
      <c r="H607" s="12">
        <v>0.17349999999999999</v>
      </c>
      <c r="I607" s="12">
        <v>0.17349999999999999</v>
      </c>
      <c r="J607" s="9" t="s">
        <v>412</v>
      </c>
      <c r="K607" s="9" t="s">
        <v>654</v>
      </c>
    </row>
    <row r="608" spans="1:11" ht="28.8">
      <c r="A608" s="9" t="s">
        <v>661</v>
      </c>
      <c r="B608" s="9" t="s">
        <v>680</v>
      </c>
      <c r="C608" s="9" t="s">
        <v>666</v>
      </c>
      <c r="D608" s="12">
        <v>0.2175</v>
      </c>
      <c r="E608" s="12">
        <v>5.1799999999999999E-2</v>
      </c>
      <c r="F608" s="12">
        <v>0.25119999999999998</v>
      </c>
      <c r="G608" s="12">
        <v>0.13464999999999999</v>
      </c>
      <c r="H608" s="12">
        <v>0.17349999999999999</v>
      </c>
      <c r="I608" s="12">
        <v>0.17349999999999999</v>
      </c>
      <c r="J608" s="9" t="s">
        <v>412</v>
      </c>
      <c r="K608" s="9" t="s">
        <v>654</v>
      </c>
    </row>
    <row r="609" spans="1:11" ht="28.8">
      <c r="A609" s="9" t="s">
        <v>661</v>
      </c>
      <c r="B609" s="9" t="s">
        <v>678</v>
      </c>
      <c r="C609" s="9" t="s">
        <v>656</v>
      </c>
      <c r="D609" s="12">
        <v>0.32640000000000002</v>
      </c>
      <c r="E609" s="12">
        <v>-0.15379999999999999</v>
      </c>
      <c r="F609" s="12">
        <v>-3.9800000000000002E-2</v>
      </c>
      <c r="G609" s="12">
        <v>8.6300000000000016E-2</v>
      </c>
      <c r="H609" s="12">
        <v>4.4299999999999999E-2</v>
      </c>
      <c r="I609" s="12">
        <v>0.1734</v>
      </c>
      <c r="J609" s="9" t="s">
        <v>412</v>
      </c>
      <c r="K609" s="9" t="s">
        <v>604</v>
      </c>
    </row>
    <row r="610" spans="1:11" ht="28.8">
      <c r="A610" s="9" t="s">
        <v>610</v>
      </c>
      <c r="B610" s="9" t="s">
        <v>681</v>
      </c>
      <c r="C610" s="9" t="s">
        <v>674</v>
      </c>
      <c r="D610" s="12">
        <v>-0.1986</v>
      </c>
      <c r="E610" s="12">
        <v>0.13150000000000001</v>
      </c>
      <c r="F610" s="12">
        <v>0.19020000000000001</v>
      </c>
      <c r="G610" s="12">
        <v>-3.3549999999999996E-2</v>
      </c>
      <c r="H610" s="12">
        <v>4.1000000000000002E-2</v>
      </c>
      <c r="I610" s="12">
        <v>0.1734</v>
      </c>
      <c r="J610" s="9" t="s">
        <v>412</v>
      </c>
      <c r="K610" s="9" t="s">
        <v>604</v>
      </c>
    </row>
    <row r="611" spans="1:11">
      <c r="A611" s="9" t="s">
        <v>662</v>
      </c>
      <c r="B611" s="9" t="s">
        <v>685</v>
      </c>
      <c r="C611" s="9" t="s">
        <v>670</v>
      </c>
      <c r="D611" s="12">
        <v>-0.18790000000000001</v>
      </c>
      <c r="E611" s="12">
        <v>0.1087</v>
      </c>
      <c r="F611" s="12">
        <v>-0.22320000000000001</v>
      </c>
      <c r="G611" s="12">
        <v>-3.9600000000000003E-2</v>
      </c>
      <c r="H611" s="12">
        <v>-0.1008</v>
      </c>
      <c r="I611" s="12">
        <v>0.17330000000000001</v>
      </c>
      <c r="J611" s="9" t="s">
        <v>412</v>
      </c>
      <c r="K611" s="9" t="s">
        <v>604</v>
      </c>
    </row>
    <row r="612" spans="1:11">
      <c r="A612" s="9" t="s">
        <v>682</v>
      </c>
      <c r="B612" s="9" t="s">
        <v>658</v>
      </c>
      <c r="C612" s="9" t="s">
        <v>670</v>
      </c>
      <c r="D612" s="12">
        <v>-0.19359999999999999</v>
      </c>
      <c r="E612" s="12">
        <v>-5.5500000000000001E-2</v>
      </c>
      <c r="F612" s="12">
        <v>-0.27050000000000002</v>
      </c>
      <c r="G612" s="12">
        <v>-0.12454999999999999</v>
      </c>
      <c r="H612" s="12">
        <v>-0.17319999999999999</v>
      </c>
      <c r="I612" s="12">
        <v>0.17319999999999999</v>
      </c>
      <c r="J612" s="9" t="s">
        <v>412</v>
      </c>
      <c r="K612" s="9" t="s">
        <v>604</v>
      </c>
    </row>
    <row r="613" spans="1:11">
      <c r="A613" s="9" t="s">
        <v>662</v>
      </c>
      <c r="B613" s="9" t="s">
        <v>669</v>
      </c>
      <c r="C613" s="9" t="s">
        <v>655</v>
      </c>
      <c r="D613" s="12">
        <v>5.6899999999999999E-2</v>
      </c>
      <c r="E613" s="12">
        <v>0.1298</v>
      </c>
      <c r="F613" s="12">
        <v>0.33250000000000002</v>
      </c>
      <c r="G613" s="12">
        <v>9.3350000000000002E-2</v>
      </c>
      <c r="H613" s="12">
        <v>0.1731</v>
      </c>
      <c r="I613" s="12">
        <v>0.1731</v>
      </c>
      <c r="J613" s="9" t="s">
        <v>412</v>
      </c>
      <c r="K613" s="9" t="s">
        <v>654</v>
      </c>
    </row>
    <row r="614" spans="1:11">
      <c r="A614" s="9" t="s">
        <v>610</v>
      </c>
      <c r="B614" s="9" t="s">
        <v>657</v>
      </c>
      <c r="C614" s="9" t="s">
        <v>667</v>
      </c>
      <c r="D614" s="12">
        <v>6.1800000000000001E-2</v>
      </c>
      <c r="E614" s="12">
        <v>-0.1171</v>
      </c>
      <c r="F614" s="12">
        <v>-0.3402</v>
      </c>
      <c r="G614" s="12">
        <v>-2.7649999999999997E-2</v>
      </c>
      <c r="H614" s="12">
        <v>-0.1318</v>
      </c>
      <c r="I614" s="12">
        <v>0.17299999999999999</v>
      </c>
      <c r="J614" s="9" t="s">
        <v>412</v>
      </c>
      <c r="K614" s="9" t="s">
        <v>604</v>
      </c>
    </row>
    <row r="615" spans="1:11" ht="28.8">
      <c r="A615" s="9" t="s">
        <v>610</v>
      </c>
      <c r="B615" s="9" t="s">
        <v>658</v>
      </c>
      <c r="C615" s="9" t="s">
        <v>664</v>
      </c>
      <c r="D615" s="12">
        <v>-9.1300000000000006E-2</v>
      </c>
      <c r="E615" s="12">
        <v>-0.1421</v>
      </c>
      <c r="F615" s="12">
        <v>-0.28549999999999998</v>
      </c>
      <c r="G615" s="12">
        <v>-0.1167</v>
      </c>
      <c r="H615" s="12">
        <v>-0.17299999999999999</v>
      </c>
      <c r="I615" s="12">
        <v>0.17299999999999999</v>
      </c>
      <c r="J615" s="9" t="s">
        <v>412</v>
      </c>
      <c r="K615" s="9" t="s">
        <v>604</v>
      </c>
    </row>
    <row r="616" spans="1:11" ht="28.8">
      <c r="A616" s="9" t="s">
        <v>609</v>
      </c>
      <c r="B616" s="9" t="s">
        <v>657</v>
      </c>
      <c r="C616" s="9" t="s">
        <v>675</v>
      </c>
      <c r="D616" s="12">
        <v>9.6600000000000005E-2</v>
      </c>
      <c r="E616" s="12">
        <v>-0.28839999999999999</v>
      </c>
      <c r="F616" s="12">
        <v>-0.13370000000000001</v>
      </c>
      <c r="G616" s="12">
        <v>-9.5899999999999985E-2</v>
      </c>
      <c r="H616" s="12">
        <v>-0.1085</v>
      </c>
      <c r="I616" s="12">
        <v>0.1729</v>
      </c>
      <c r="J616" s="9" t="s">
        <v>412</v>
      </c>
      <c r="K616" s="9" t="s">
        <v>604</v>
      </c>
    </row>
    <row r="617" spans="1:11" ht="28.8">
      <c r="A617" s="9" t="s">
        <v>679</v>
      </c>
      <c r="B617" s="9" t="s">
        <v>602</v>
      </c>
      <c r="C617" s="9" t="s">
        <v>655</v>
      </c>
      <c r="D617" s="12">
        <v>9.4500000000000001E-2</v>
      </c>
      <c r="E617" s="12">
        <v>-2.3400000000000001E-2</v>
      </c>
      <c r="F617" s="12">
        <v>0.4002</v>
      </c>
      <c r="G617" s="12">
        <v>3.5549999999999998E-2</v>
      </c>
      <c r="H617" s="12">
        <v>0.15709999999999999</v>
      </c>
      <c r="I617" s="12">
        <v>0.17269999999999999</v>
      </c>
      <c r="J617" s="9" t="s">
        <v>412</v>
      </c>
      <c r="K617" s="9" t="s">
        <v>604</v>
      </c>
    </row>
    <row r="618" spans="1:11" ht="28.8">
      <c r="A618" s="9" t="s">
        <v>679</v>
      </c>
      <c r="B618" s="9" t="s">
        <v>602</v>
      </c>
      <c r="C618" s="9" t="s">
        <v>601</v>
      </c>
      <c r="D618" s="12">
        <v>-8.3900000000000002E-2</v>
      </c>
      <c r="E618" s="12">
        <v>-2.3400000000000001E-2</v>
      </c>
      <c r="F618" s="12">
        <v>-0.41089999999999999</v>
      </c>
      <c r="G618" s="12">
        <v>-5.3650000000000003E-2</v>
      </c>
      <c r="H618" s="12">
        <v>-0.17269999999999999</v>
      </c>
      <c r="I618" s="12">
        <v>0.17269999999999999</v>
      </c>
      <c r="J618" s="9" t="s">
        <v>412</v>
      </c>
      <c r="K618" s="9" t="s">
        <v>604</v>
      </c>
    </row>
    <row r="619" spans="1:11" ht="28.8">
      <c r="A619" s="9" t="s">
        <v>610</v>
      </c>
      <c r="B619" s="9" t="s">
        <v>602</v>
      </c>
      <c r="C619" s="9" t="s">
        <v>677</v>
      </c>
      <c r="D619" s="12">
        <v>0.10100000000000001</v>
      </c>
      <c r="E619" s="12">
        <v>-0.19400000000000001</v>
      </c>
      <c r="F619" s="12">
        <v>-0.223</v>
      </c>
      <c r="G619" s="12">
        <v>-4.65E-2</v>
      </c>
      <c r="H619" s="12">
        <v>-0.1053</v>
      </c>
      <c r="I619" s="12">
        <v>0.17269999999999999</v>
      </c>
      <c r="J619" s="9" t="s">
        <v>412</v>
      </c>
      <c r="K619" s="9" t="s">
        <v>604</v>
      </c>
    </row>
    <row r="620" spans="1:11" ht="28.8">
      <c r="A620" s="9" t="s">
        <v>671</v>
      </c>
      <c r="B620" s="9" t="s">
        <v>658</v>
      </c>
      <c r="C620" s="9" t="s">
        <v>656</v>
      </c>
      <c r="D620" s="12">
        <v>6.54E-2</v>
      </c>
      <c r="E620" s="12">
        <v>0.18609999999999999</v>
      </c>
      <c r="F620" s="12">
        <v>0.2661</v>
      </c>
      <c r="G620" s="12">
        <v>0.12575</v>
      </c>
      <c r="H620" s="12">
        <v>0.17249999999999999</v>
      </c>
      <c r="I620" s="12">
        <v>0.17249999999999999</v>
      </c>
      <c r="J620" s="9" t="s">
        <v>412</v>
      </c>
      <c r="K620" s="9" t="s">
        <v>654</v>
      </c>
    </row>
    <row r="621" spans="1:11" ht="28.8">
      <c r="A621" s="9" t="s">
        <v>671</v>
      </c>
      <c r="B621" s="9" t="s">
        <v>676</v>
      </c>
      <c r="C621" s="9" t="s">
        <v>655</v>
      </c>
      <c r="D621" s="12">
        <v>0.1215</v>
      </c>
      <c r="E621" s="12">
        <v>0.2205</v>
      </c>
      <c r="F621" s="12">
        <v>0.17549999999999999</v>
      </c>
      <c r="G621" s="12">
        <v>0.17099999999999999</v>
      </c>
      <c r="H621" s="12">
        <v>0.17249999999999999</v>
      </c>
      <c r="I621" s="12">
        <v>0.17249999999999999</v>
      </c>
      <c r="J621" s="9" t="s">
        <v>412</v>
      </c>
      <c r="K621" s="9" t="s">
        <v>654</v>
      </c>
    </row>
    <row r="622" spans="1:11">
      <c r="A622" s="9" t="s">
        <v>662</v>
      </c>
      <c r="B622" s="9" t="s">
        <v>660</v>
      </c>
      <c r="C622" s="9" t="s">
        <v>670</v>
      </c>
      <c r="D622" s="12">
        <v>-0.18790000000000001</v>
      </c>
      <c r="E622" s="12">
        <v>-0.1187</v>
      </c>
      <c r="F622" s="12">
        <v>0.2104</v>
      </c>
      <c r="G622" s="12">
        <v>-0.15329999999999999</v>
      </c>
      <c r="H622" s="12">
        <v>-3.2099999999999997E-2</v>
      </c>
      <c r="I622" s="12">
        <v>0.17230000000000001</v>
      </c>
      <c r="J622" s="9" t="s">
        <v>412</v>
      </c>
      <c r="K622" s="9" t="s">
        <v>604</v>
      </c>
    </row>
    <row r="623" spans="1:11" ht="28.8">
      <c r="A623" s="9" t="s">
        <v>662</v>
      </c>
      <c r="B623" s="9" t="s">
        <v>689</v>
      </c>
      <c r="C623" s="9" t="s">
        <v>690</v>
      </c>
      <c r="D623" s="12">
        <v>-3.1300000000000001E-2</v>
      </c>
      <c r="E623" s="12">
        <v>-8.6699999999999999E-2</v>
      </c>
      <c r="F623" s="12">
        <v>0.39879999999999999</v>
      </c>
      <c r="G623" s="12">
        <v>-5.8999999999999997E-2</v>
      </c>
      <c r="H623" s="12">
        <v>9.3600000000000003E-2</v>
      </c>
      <c r="I623" s="12">
        <v>0.17230000000000001</v>
      </c>
      <c r="J623" s="9" t="s">
        <v>412</v>
      </c>
      <c r="K623" s="9" t="s">
        <v>604</v>
      </c>
    </row>
    <row r="624" spans="1:11" ht="28.8">
      <c r="A624" s="9" t="s">
        <v>603</v>
      </c>
      <c r="B624" s="9" t="s">
        <v>665</v>
      </c>
      <c r="C624" s="9" t="s">
        <v>674</v>
      </c>
      <c r="D624" s="12">
        <v>-0.1212</v>
      </c>
      <c r="E624" s="12">
        <v>-0.32069999999999999</v>
      </c>
      <c r="F624" s="12">
        <v>7.4200000000000002E-2</v>
      </c>
      <c r="G624" s="12">
        <v>-0.22094999999999998</v>
      </c>
      <c r="H624" s="12">
        <v>-0.1226</v>
      </c>
      <c r="I624" s="12">
        <v>0.17199999999999999</v>
      </c>
      <c r="J624" s="9" t="s">
        <v>412</v>
      </c>
      <c r="K624" s="9" t="s">
        <v>604</v>
      </c>
    </row>
    <row r="625" spans="1:11" ht="28.8">
      <c r="A625" s="9" t="s">
        <v>661</v>
      </c>
      <c r="B625" s="9" t="s">
        <v>660</v>
      </c>
      <c r="C625" s="9" t="s">
        <v>674</v>
      </c>
      <c r="D625" s="12">
        <v>6.8199999999999997E-2</v>
      </c>
      <c r="E625" s="12">
        <v>-0.21290000000000001</v>
      </c>
      <c r="F625" s="12">
        <v>-0.2349</v>
      </c>
      <c r="G625" s="12">
        <v>-7.2349999999999998E-2</v>
      </c>
      <c r="H625" s="12">
        <v>-0.1265</v>
      </c>
      <c r="I625" s="12">
        <v>0.17199999999999999</v>
      </c>
      <c r="J625" s="9" t="s">
        <v>412</v>
      </c>
      <c r="K625" s="9" t="s">
        <v>604</v>
      </c>
    </row>
    <row r="626" spans="1:11" ht="28.8">
      <c r="A626" s="9" t="s">
        <v>610</v>
      </c>
      <c r="B626" s="9" t="s">
        <v>653</v>
      </c>
      <c r="C626" s="9" t="s">
        <v>666</v>
      </c>
      <c r="D626" s="12">
        <v>9.5000000000000001E-2</v>
      </c>
      <c r="E626" s="12">
        <v>-1.9800000000000002E-2</v>
      </c>
      <c r="F626" s="12">
        <v>-0.40060000000000001</v>
      </c>
      <c r="G626" s="12">
        <v>3.7600000000000001E-2</v>
      </c>
      <c r="H626" s="12">
        <v>-0.1085</v>
      </c>
      <c r="I626" s="12">
        <v>0.17180000000000001</v>
      </c>
      <c r="J626" s="9" t="s">
        <v>412</v>
      </c>
      <c r="K626" s="9" t="s">
        <v>604</v>
      </c>
    </row>
    <row r="627" spans="1:11">
      <c r="A627" s="9" t="s">
        <v>610</v>
      </c>
      <c r="B627" s="9" t="s">
        <v>657</v>
      </c>
      <c r="C627" s="9" t="s">
        <v>663</v>
      </c>
      <c r="D627" s="12">
        <v>-0.2303</v>
      </c>
      <c r="E627" s="12">
        <v>-0.1171</v>
      </c>
      <c r="F627" s="12">
        <v>-0.16819999999999999</v>
      </c>
      <c r="G627" s="12">
        <v>-0.17369999999999999</v>
      </c>
      <c r="H627" s="12">
        <v>-0.17180000000000001</v>
      </c>
      <c r="I627" s="12">
        <v>0.17180000000000001</v>
      </c>
      <c r="J627" s="9" t="s">
        <v>412</v>
      </c>
      <c r="K627" s="9" t="s">
        <v>604</v>
      </c>
    </row>
    <row r="628" spans="1:11">
      <c r="A628" s="9" t="s">
        <v>609</v>
      </c>
      <c r="B628" s="9" t="s">
        <v>678</v>
      </c>
      <c r="C628" s="9" t="s">
        <v>655</v>
      </c>
      <c r="D628" s="12">
        <v>0.16819999999999999</v>
      </c>
      <c r="E628" s="12">
        <v>-0.10390000000000001</v>
      </c>
      <c r="F628" s="12">
        <v>-0.2429</v>
      </c>
      <c r="G628" s="12">
        <v>3.2149999999999991E-2</v>
      </c>
      <c r="H628" s="12">
        <v>-5.9499999999999997E-2</v>
      </c>
      <c r="I628" s="12">
        <v>0.17169999999999999</v>
      </c>
      <c r="J628" s="9" t="s">
        <v>412</v>
      </c>
      <c r="K628" s="9" t="s">
        <v>604</v>
      </c>
    </row>
    <row r="629" spans="1:11" ht="28.8">
      <c r="A629" s="9" t="s">
        <v>610</v>
      </c>
      <c r="B629" s="9" t="s">
        <v>691</v>
      </c>
      <c r="C629" s="9" t="s">
        <v>666</v>
      </c>
      <c r="D629" s="12">
        <v>9.5000000000000001E-2</v>
      </c>
      <c r="E629" s="12">
        <v>0.29249999999999998</v>
      </c>
      <c r="F629" s="12">
        <v>0.12740000000000001</v>
      </c>
      <c r="G629" s="12">
        <v>0.19374999999999998</v>
      </c>
      <c r="H629" s="12">
        <v>0.1716</v>
      </c>
      <c r="I629" s="12">
        <v>0.1716</v>
      </c>
      <c r="J629" s="9" t="s">
        <v>412</v>
      </c>
      <c r="K629" s="9" t="s">
        <v>654</v>
      </c>
    </row>
    <row r="630" spans="1:11" ht="28.8">
      <c r="A630" s="9" t="s">
        <v>603</v>
      </c>
      <c r="B630" s="9" t="s">
        <v>685</v>
      </c>
      <c r="C630" s="9" t="s">
        <v>670</v>
      </c>
      <c r="D630" s="12">
        <v>0.28070000000000001</v>
      </c>
      <c r="E630" s="12">
        <v>1.0699999999999999E-2</v>
      </c>
      <c r="F630" s="12">
        <v>-0.22320000000000001</v>
      </c>
      <c r="G630" s="12">
        <v>0.1457</v>
      </c>
      <c r="H630" s="12">
        <v>2.2700000000000001E-2</v>
      </c>
      <c r="I630" s="12">
        <v>0.17150000000000001</v>
      </c>
      <c r="J630" s="9" t="s">
        <v>412</v>
      </c>
      <c r="K630" s="9" t="s">
        <v>604</v>
      </c>
    </row>
    <row r="631" spans="1:11" ht="28.8">
      <c r="A631" s="9" t="s">
        <v>671</v>
      </c>
      <c r="B631" s="9" t="s">
        <v>676</v>
      </c>
      <c r="C631" s="9" t="s">
        <v>601</v>
      </c>
      <c r="D631" s="12">
        <v>-0.10879999999999999</v>
      </c>
      <c r="E631" s="12">
        <v>0.2205</v>
      </c>
      <c r="F631" s="12">
        <v>-0.18490000000000001</v>
      </c>
      <c r="G631" s="12">
        <v>5.5850000000000004E-2</v>
      </c>
      <c r="H631" s="12">
        <v>-2.4400000000000002E-2</v>
      </c>
      <c r="I631" s="12">
        <v>0.1714</v>
      </c>
      <c r="J631" s="9" t="s">
        <v>412</v>
      </c>
      <c r="K631" s="9" t="s">
        <v>604</v>
      </c>
    </row>
    <row r="632" spans="1:11">
      <c r="A632" s="9" t="s">
        <v>609</v>
      </c>
      <c r="B632" s="9" t="s">
        <v>665</v>
      </c>
      <c r="C632" s="9" t="s">
        <v>656</v>
      </c>
      <c r="D632" s="12">
        <v>0.22770000000000001</v>
      </c>
      <c r="E632" s="12">
        <v>-0.11310000000000001</v>
      </c>
      <c r="F632" s="12">
        <v>0.17330000000000001</v>
      </c>
      <c r="G632" s="12">
        <v>5.7300000000000004E-2</v>
      </c>
      <c r="H632" s="12">
        <v>9.6000000000000002E-2</v>
      </c>
      <c r="I632" s="12">
        <v>0.1714</v>
      </c>
      <c r="J632" s="9" t="s">
        <v>412</v>
      </c>
      <c r="K632" s="9" t="s">
        <v>604</v>
      </c>
    </row>
    <row r="633" spans="1:11" ht="28.8">
      <c r="A633" s="9" t="s">
        <v>610</v>
      </c>
      <c r="B633" s="9" t="s">
        <v>691</v>
      </c>
      <c r="C633" s="9" t="s">
        <v>664</v>
      </c>
      <c r="D633" s="12">
        <v>-9.1300000000000006E-2</v>
      </c>
      <c r="E633" s="12">
        <v>0.29249999999999998</v>
      </c>
      <c r="F633" s="12">
        <v>0.13</v>
      </c>
      <c r="G633" s="12">
        <v>0.10059999999999999</v>
      </c>
      <c r="H633" s="12">
        <v>0.1104</v>
      </c>
      <c r="I633" s="12">
        <v>0.17130000000000001</v>
      </c>
      <c r="J633" s="9" t="s">
        <v>412</v>
      </c>
      <c r="K633" s="9" t="s">
        <v>604</v>
      </c>
    </row>
    <row r="634" spans="1:11" ht="28.8">
      <c r="A634" s="9" t="s">
        <v>661</v>
      </c>
      <c r="B634" s="9" t="s">
        <v>686</v>
      </c>
      <c r="C634" s="9" t="s">
        <v>656</v>
      </c>
      <c r="D634" s="12">
        <v>0.32640000000000002</v>
      </c>
      <c r="E634" s="12">
        <v>0.111</v>
      </c>
      <c r="F634" s="12">
        <v>7.6300000000000007E-2</v>
      </c>
      <c r="G634" s="12">
        <v>0.21870000000000001</v>
      </c>
      <c r="H634" s="12">
        <v>0.17119999999999999</v>
      </c>
      <c r="I634" s="12">
        <v>0.17119999999999999</v>
      </c>
      <c r="J634" s="9" t="s">
        <v>412</v>
      </c>
      <c r="K634" s="9" t="s">
        <v>654</v>
      </c>
    </row>
    <row r="635" spans="1:11" ht="28.8">
      <c r="A635" s="9" t="s">
        <v>671</v>
      </c>
      <c r="B635" s="9" t="s">
        <v>665</v>
      </c>
      <c r="C635" s="9" t="s">
        <v>601</v>
      </c>
      <c r="D635" s="12">
        <v>-0.10879999999999999</v>
      </c>
      <c r="E635" s="12">
        <v>0.1009</v>
      </c>
      <c r="F635" s="12">
        <v>-0.30330000000000001</v>
      </c>
      <c r="G635" s="12">
        <v>-3.9499999999999952E-3</v>
      </c>
      <c r="H635" s="12">
        <v>-0.1037</v>
      </c>
      <c r="I635" s="12">
        <v>0.17100000000000001</v>
      </c>
      <c r="J635" s="9" t="s">
        <v>412</v>
      </c>
      <c r="K635" s="9" t="s">
        <v>604</v>
      </c>
    </row>
    <row r="636" spans="1:11">
      <c r="A636" s="9" t="s">
        <v>662</v>
      </c>
      <c r="B636" s="9" t="s">
        <v>678</v>
      </c>
      <c r="C636" s="9" t="s">
        <v>670</v>
      </c>
      <c r="D636" s="12">
        <v>-0.18790000000000001</v>
      </c>
      <c r="E636" s="12">
        <v>-6.4199999999999993E-2</v>
      </c>
      <c r="F636" s="12">
        <v>0.26069999999999999</v>
      </c>
      <c r="G636" s="12">
        <v>-0.12605</v>
      </c>
      <c r="H636" s="12">
        <v>2.8999999999999998E-3</v>
      </c>
      <c r="I636" s="12">
        <v>0.1709</v>
      </c>
      <c r="J636" s="9" t="s">
        <v>412</v>
      </c>
      <c r="K636" s="9" t="s">
        <v>604</v>
      </c>
    </row>
    <row r="637" spans="1:11" ht="28.8">
      <c r="A637" s="9" t="s">
        <v>603</v>
      </c>
      <c r="B637" s="9" t="s">
        <v>681</v>
      </c>
      <c r="C637" s="9" t="s">
        <v>666</v>
      </c>
      <c r="D637" s="12">
        <v>-0.26</v>
      </c>
      <c r="E637" s="12">
        <v>-0.19009999999999999</v>
      </c>
      <c r="F637" s="12">
        <v>6.2399999999999997E-2</v>
      </c>
      <c r="G637" s="12">
        <v>-0.22505</v>
      </c>
      <c r="H637" s="12">
        <v>-0.1293</v>
      </c>
      <c r="I637" s="12">
        <v>0.17080000000000001</v>
      </c>
      <c r="J637" s="9" t="s">
        <v>412</v>
      </c>
      <c r="K637" s="9" t="s">
        <v>604</v>
      </c>
    </row>
    <row r="638" spans="1:11" ht="28.8">
      <c r="A638" s="9" t="s">
        <v>662</v>
      </c>
      <c r="B638" s="9" t="s">
        <v>668</v>
      </c>
      <c r="C638" s="9" t="s">
        <v>601</v>
      </c>
      <c r="D638" s="12">
        <v>-0.1173</v>
      </c>
      <c r="E638" s="12">
        <v>5.5599999999999997E-2</v>
      </c>
      <c r="F638" s="12">
        <v>0.33939999999999998</v>
      </c>
      <c r="G638" s="12">
        <v>-3.0850000000000002E-2</v>
      </c>
      <c r="H638" s="12">
        <v>9.2600000000000002E-2</v>
      </c>
      <c r="I638" s="12">
        <v>0.17080000000000001</v>
      </c>
      <c r="J638" s="9" t="s">
        <v>412</v>
      </c>
      <c r="K638" s="9" t="s">
        <v>604</v>
      </c>
    </row>
    <row r="639" spans="1:11" ht="28.8">
      <c r="A639" s="9" t="s">
        <v>603</v>
      </c>
      <c r="B639" s="9" t="s">
        <v>653</v>
      </c>
      <c r="C639" s="9" t="s">
        <v>690</v>
      </c>
      <c r="D639" s="12">
        <v>4.1099999999999998E-2</v>
      </c>
      <c r="E639" s="12">
        <v>0.47020000000000001</v>
      </c>
      <c r="F639" s="12">
        <v>-1.1999999999999999E-3</v>
      </c>
      <c r="G639" s="12">
        <v>0.25564999999999999</v>
      </c>
      <c r="H639" s="12">
        <v>0.17</v>
      </c>
      <c r="I639" s="12">
        <v>0.17080000000000001</v>
      </c>
      <c r="J639" s="9" t="s">
        <v>412</v>
      </c>
      <c r="K639" s="9" t="s">
        <v>604</v>
      </c>
    </row>
    <row r="640" spans="1:11" ht="28.8">
      <c r="A640" s="9" t="s">
        <v>661</v>
      </c>
      <c r="B640" s="9" t="s">
        <v>613</v>
      </c>
      <c r="C640" s="9" t="s">
        <v>670</v>
      </c>
      <c r="D640" s="12">
        <v>-0.29680000000000001</v>
      </c>
      <c r="E640" s="12">
        <v>3.3000000000000002E-2</v>
      </c>
      <c r="F640" s="12">
        <v>-0.1827</v>
      </c>
      <c r="G640" s="12">
        <v>-0.13190000000000002</v>
      </c>
      <c r="H640" s="12">
        <v>-0.14879999999999999</v>
      </c>
      <c r="I640" s="12">
        <v>0.17080000000000001</v>
      </c>
      <c r="J640" s="9" t="s">
        <v>412</v>
      </c>
      <c r="K640" s="9" t="s">
        <v>604</v>
      </c>
    </row>
    <row r="641" spans="1:11" ht="28.8">
      <c r="A641" s="9" t="s">
        <v>671</v>
      </c>
      <c r="B641" s="9" t="s">
        <v>653</v>
      </c>
      <c r="C641" s="9" t="s">
        <v>675</v>
      </c>
      <c r="D641" s="12">
        <v>0.10780000000000001</v>
      </c>
      <c r="E641" s="12">
        <v>-0.09</v>
      </c>
      <c r="F641" s="12">
        <v>-0.31430000000000002</v>
      </c>
      <c r="G641" s="12">
        <v>8.9000000000000051E-3</v>
      </c>
      <c r="H641" s="12">
        <v>-9.8799999999999999E-2</v>
      </c>
      <c r="I641" s="12">
        <v>0.17069999999999999</v>
      </c>
      <c r="J641" s="9" t="s">
        <v>412</v>
      </c>
      <c r="K641" s="9" t="s">
        <v>604</v>
      </c>
    </row>
    <row r="642" spans="1:11" ht="28.8">
      <c r="A642" s="9" t="s">
        <v>679</v>
      </c>
      <c r="B642" s="9" t="s">
        <v>665</v>
      </c>
      <c r="C642" s="9" t="s">
        <v>655</v>
      </c>
      <c r="D642" s="12">
        <v>9.4500000000000001E-2</v>
      </c>
      <c r="E642" s="12">
        <v>7.6399999999999996E-2</v>
      </c>
      <c r="F642" s="12">
        <v>0.34079999999999999</v>
      </c>
      <c r="G642" s="12">
        <v>8.5449999999999998E-2</v>
      </c>
      <c r="H642" s="12">
        <v>0.1706</v>
      </c>
      <c r="I642" s="12">
        <v>0.1706</v>
      </c>
      <c r="J642" s="9" t="s">
        <v>412</v>
      </c>
      <c r="K642" s="9" t="s">
        <v>654</v>
      </c>
    </row>
    <row r="643" spans="1:11">
      <c r="A643" s="9" t="s">
        <v>682</v>
      </c>
      <c r="B643" s="9" t="s">
        <v>613</v>
      </c>
      <c r="C643" s="9" t="s">
        <v>659</v>
      </c>
      <c r="D643" s="12">
        <v>0.1188</v>
      </c>
      <c r="E643" s="12">
        <v>-1.2999999999999999E-2</v>
      </c>
      <c r="F643" s="12">
        <v>0.37969999999999998</v>
      </c>
      <c r="G643" s="12">
        <v>5.2900000000000003E-2</v>
      </c>
      <c r="H643" s="12">
        <v>0.1618</v>
      </c>
      <c r="I643" s="12">
        <v>0.17050000000000001</v>
      </c>
      <c r="J643" s="9" t="s">
        <v>412</v>
      </c>
      <c r="K643" s="9" t="s">
        <v>604</v>
      </c>
    </row>
    <row r="644" spans="1:11" ht="28.8">
      <c r="A644" s="9" t="s">
        <v>671</v>
      </c>
      <c r="B644" s="9" t="s">
        <v>669</v>
      </c>
      <c r="C644" s="9" t="s">
        <v>666</v>
      </c>
      <c r="D644" s="12">
        <v>1.34E-2</v>
      </c>
      <c r="E644" s="12">
        <v>0.20669999999999999</v>
      </c>
      <c r="F644" s="12">
        <v>0.2913</v>
      </c>
      <c r="G644" s="12">
        <v>0.11005</v>
      </c>
      <c r="H644" s="12">
        <v>0.1704</v>
      </c>
      <c r="I644" s="12">
        <v>0.1704</v>
      </c>
      <c r="J644" s="9" t="s">
        <v>412</v>
      </c>
      <c r="K644" s="9" t="s">
        <v>654</v>
      </c>
    </row>
    <row r="645" spans="1:11" ht="28.8">
      <c r="A645" s="9" t="s">
        <v>603</v>
      </c>
      <c r="B645" s="9" t="s">
        <v>691</v>
      </c>
      <c r="C645" s="9" t="s">
        <v>601</v>
      </c>
      <c r="D645" s="12">
        <v>0.45390000000000003</v>
      </c>
      <c r="E645" s="12">
        <v>3.3000000000000002E-2</v>
      </c>
      <c r="F645" s="12">
        <v>2.4299999999999999E-2</v>
      </c>
      <c r="G645" s="12">
        <v>0.24345</v>
      </c>
      <c r="H645" s="12">
        <v>0.1704</v>
      </c>
      <c r="I645" s="12">
        <v>0.1704</v>
      </c>
      <c r="J645" s="9" t="s">
        <v>412</v>
      </c>
      <c r="K645" s="9" t="s">
        <v>654</v>
      </c>
    </row>
    <row r="646" spans="1:11" ht="28.8">
      <c r="A646" s="9" t="s">
        <v>662</v>
      </c>
      <c r="B646" s="9" t="s">
        <v>688</v>
      </c>
      <c r="C646" s="9" t="s">
        <v>683</v>
      </c>
      <c r="D646" s="12">
        <v>-6.0100000000000001E-2</v>
      </c>
      <c r="E646" s="12">
        <v>0.1293</v>
      </c>
      <c r="F646" s="12">
        <v>0.3216</v>
      </c>
      <c r="G646" s="12">
        <v>3.4599999999999999E-2</v>
      </c>
      <c r="H646" s="12">
        <v>0.1303</v>
      </c>
      <c r="I646" s="12">
        <v>0.17030000000000001</v>
      </c>
      <c r="J646" s="9" t="s">
        <v>412</v>
      </c>
      <c r="K646" s="9" t="s">
        <v>604</v>
      </c>
    </row>
    <row r="647" spans="1:11" ht="28.8">
      <c r="A647" s="9" t="s">
        <v>679</v>
      </c>
      <c r="B647" s="9" t="s">
        <v>669</v>
      </c>
      <c r="C647" s="9" t="s">
        <v>655</v>
      </c>
      <c r="D647" s="12">
        <v>9.4500000000000001E-2</v>
      </c>
      <c r="E647" s="12">
        <v>8.3900000000000002E-2</v>
      </c>
      <c r="F647" s="12">
        <v>0.33250000000000002</v>
      </c>
      <c r="G647" s="12">
        <v>8.9200000000000002E-2</v>
      </c>
      <c r="H647" s="12">
        <v>0.17030000000000001</v>
      </c>
      <c r="I647" s="12">
        <v>0.17030000000000001</v>
      </c>
      <c r="J647" s="9" t="s">
        <v>412</v>
      </c>
      <c r="K647" s="9" t="s">
        <v>654</v>
      </c>
    </row>
    <row r="648" spans="1:11" ht="28.8">
      <c r="A648" s="9" t="s">
        <v>679</v>
      </c>
      <c r="B648" s="9" t="s">
        <v>669</v>
      </c>
      <c r="C648" s="9" t="s">
        <v>601</v>
      </c>
      <c r="D648" s="12">
        <v>-8.3900000000000002E-2</v>
      </c>
      <c r="E648" s="12">
        <v>8.3900000000000002E-2</v>
      </c>
      <c r="F648" s="12">
        <v>-0.34310000000000002</v>
      </c>
      <c r="G648" s="12">
        <v>0</v>
      </c>
      <c r="H648" s="12">
        <v>-0.1143</v>
      </c>
      <c r="I648" s="12">
        <v>0.17030000000000001</v>
      </c>
      <c r="J648" s="9" t="s">
        <v>412</v>
      </c>
      <c r="K648" s="9" t="s">
        <v>604</v>
      </c>
    </row>
    <row r="649" spans="1:11" ht="28.8">
      <c r="A649" s="9" t="s">
        <v>662</v>
      </c>
      <c r="B649" s="9" t="s">
        <v>658</v>
      </c>
      <c r="C649" s="9" t="s">
        <v>675</v>
      </c>
      <c r="D649" s="12">
        <v>0.14630000000000001</v>
      </c>
      <c r="E649" s="12">
        <v>0.11119999999999999</v>
      </c>
      <c r="F649" s="12">
        <v>0.25319999999999998</v>
      </c>
      <c r="G649" s="12">
        <v>0.12875</v>
      </c>
      <c r="H649" s="12">
        <v>0.17019999999999999</v>
      </c>
      <c r="I649" s="12">
        <v>0.17019999999999999</v>
      </c>
      <c r="J649" s="9" t="s">
        <v>412</v>
      </c>
      <c r="K649" s="9" t="s">
        <v>654</v>
      </c>
    </row>
    <row r="650" spans="1:11">
      <c r="A650" s="9" t="s">
        <v>609</v>
      </c>
      <c r="B650" s="9" t="s">
        <v>668</v>
      </c>
      <c r="C650" s="9" t="s">
        <v>655</v>
      </c>
      <c r="D650" s="12">
        <v>0.16819999999999999</v>
      </c>
      <c r="E650" s="12">
        <v>-4.02E-2</v>
      </c>
      <c r="F650" s="12">
        <v>-0.3019</v>
      </c>
      <c r="G650" s="12">
        <v>6.4000000000000001E-2</v>
      </c>
      <c r="H650" s="12">
        <v>-5.8000000000000003E-2</v>
      </c>
      <c r="I650" s="12">
        <v>0.1701</v>
      </c>
      <c r="J650" s="9" t="s">
        <v>412</v>
      </c>
      <c r="K650" s="9" t="s">
        <v>604</v>
      </c>
    </row>
    <row r="651" spans="1:11" ht="28.8">
      <c r="A651" s="9" t="s">
        <v>661</v>
      </c>
      <c r="B651" s="9" t="s">
        <v>684</v>
      </c>
      <c r="C651" s="9" t="s">
        <v>670</v>
      </c>
      <c r="D651" s="12">
        <v>-0.29680000000000001</v>
      </c>
      <c r="E651" s="12">
        <v>0.1986</v>
      </c>
      <c r="F651" s="12">
        <v>-1.49E-2</v>
      </c>
      <c r="G651" s="12">
        <v>-4.9100000000000005E-2</v>
      </c>
      <c r="H651" s="12">
        <v>-3.7699999999999997E-2</v>
      </c>
      <c r="I651" s="12">
        <v>0.1701</v>
      </c>
      <c r="J651" s="9" t="s">
        <v>412</v>
      </c>
      <c r="K651" s="9" t="s">
        <v>604</v>
      </c>
    </row>
    <row r="652" spans="1:11">
      <c r="A652" s="9" t="s">
        <v>609</v>
      </c>
      <c r="B652" s="9" t="s">
        <v>669</v>
      </c>
      <c r="C652" s="9" t="s">
        <v>670</v>
      </c>
      <c r="D652" s="12">
        <v>-0.32040000000000002</v>
      </c>
      <c r="E652" s="12">
        <v>4.6199999999999998E-2</v>
      </c>
      <c r="F652" s="12">
        <v>-0.14330000000000001</v>
      </c>
      <c r="G652" s="12">
        <v>-0.1371</v>
      </c>
      <c r="H652" s="12">
        <v>-0.13919999999999999</v>
      </c>
      <c r="I652" s="12">
        <v>0.17</v>
      </c>
      <c r="J652" s="9" t="s">
        <v>412</v>
      </c>
      <c r="K652" s="9" t="s">
        <v>604</v>
      </c>
    </row>
    <row r="653" spans="1:11" ht="28.8">
      <c r="A653" s="9" t="s">
        <v>603</v>
      </c>
      <c r="B653" s="9" t="s">
        <v>676</v>
      </c>
      <c r="C653" s="9" t="s">
        <v>664</v>
      </c>
      <c r="D653" s="12">
        <v>0.4093</v>
      </c>
      <c r="E653" s="12">
        <v>-0.1002</v>
      </c>
      <c r="F653" s="12">
        <v>-2.9999999999999997E-4</v>
      </c>
      <c r="G653" s="12">
        <v>0.15454999999999999</v>
      </c>
      <c r="H653" s="12">
        <v>0.10290000000000001</v>
      </c>
      <c r="I653" s="12">
        <v>0.1699</v>
      </c>
      <c r="J653" s="9" t="s">
        <v>412</v>
      </c>
      <c r="K653" s="9" t="s">
        <v>604</v>
      </c>
    </row>
    <row r="654" spans="1:11">
      <c r="A654" s="9" t="s">
        <v>610</v>
      </c>
      <c r="B654" s="9" t="s">
        <v>665</v>
      </c>
      <c r="C654" s="9" t="s">
        <v>655</v>
      </c>
      <c r="D654" s="12">
        <v>-9.4E-2</v>
      </c>
      <c r="E654" s="12">
        <v>7.4899999999999994E-2</v>
      </c>
      <c r="F654" s="12">
        <v>0.34079999999999999</v>
      </c>
      <c r="G654" s="12">
        <v>-9.5500000000000029E-3</v>
      </c>
      <c r="H654" s="12">
        <v>0.10730000000000001</v>
      </c>
      <c r="I654" s="12">
        <v>0.1699</v>
      </c>
      <c r="J654" s="9" t="s">
        <v>412</v>
      </c>
      <c r="K654" s="9" t="s">
        <v>604</v>
      </c>
    </row>
    <row r="655" spans="1:11" ht="28.8">
      <c r="A655" s="9" t="s">
        <v>661</v>
      </c>
      <c r="B655" s="9" t="s">
        <v>672</v>
      </c>
      <c r="C655" s="9" t="s">
        <v>667</v>
      </c>
      <c r="D655" s="12">
        <v>5.3600000000000002E-2</v>
      </c>
      <c r="E655" s="12">
        <v>0.30880000000000002</v>
      </c>
      <c r="F655" s="12">
        <v>0.1469</v>
      </c>
      <c r="G655" s="12">
        <v>0.1812</v>
      </c>
      <c r="H655" s="12">
        <v>0.16980000000000001</v>
      </c>
      <c r="I655" s="12">
        <v>0.16980000000000001</v>
      </c>
      <c r="J655" s="9" t="s">
        <v>412</v>
      </c>
      <c r="K655" s="9" t="s">
        <v>654</v>
      </c>
    </row>
    <row r="656" spans="1:11" ht="28.8">
      <c r="A656" s="9" t="s">
        <v>610</v>
      </c>
      <c r="B656" s="9" t="s">
        <v>691</v>
      </c>
      <c r="C656" s="9" t="s">
        <v>674</v>
      </c>
      <c r="D656" s="12">
        <v>-0.1986</v>
      </c>
      <c r="E656" s="12">
        <v>0.29249999999999998</v>
      </c>
      <c r="F656" s="12">
        <v>-1.83E-2</v>
      </c>
      <c r="G656" s="12">
        <v>4.6949999999999992E-2</v>
      </c>
      <c r="H656" s="12">
        <v>2.52E-2</v>
      </c>
      <c r="I656" s="12">
        <v>0.16980000000000001</v>
      </c>
      <c r="J656" s="9" t="s">
        <v>412</v>
      </c>
      <c r="K656" s="9" t="s">
        <v>604</v>
      </c>
    </row>
    <row r="657" spans="1:11">
      <c r="A657" s="9" t="s">
        <v>609</v>
      </c>
      <c r="B657" s="9" t="s">
        <v>658</v>
      </c>
      <c r="C657" s="9" t="s">
        <v>656</v>
      </c>
      <c r="D657" s="12">
        <v>0.22770000000000001</v>
      </c>
      <c r="E657" s="12">
        <v>1.5599999999999999E-2</v>
      </c>
      <c r="F657" s="12">
        <v>0.2661</v>
      </c>
      <c r="G657" s="12">
        <v>0.12165000000000001</v>
      </c>
      <c r="H657" s="12">
        <v>0.16980000000000001</v>
      </c>
      <c r="I657" s="12">
        <v>0.16980000000000001</v>
      </c>
      <c r="J657" s="9" t="s">
        <v>412</v>
      </c>
      <c r="K657" s="9" t="s">
        <v>654</v>
      </c>
    </row>
    <row r="658" spans="1:11" ht="28.8">
      <c r="A658" s="9" t="s">
        <v>679</v>
      </c>
      <c r="B658" s="9" t="s">
        <v>669</v>
      </c>
      <c r="C658" s="9" t="s">
        <v>674</v>
      </c>
      <c r="D658" s="12">
        <v>0.11849999999999999</v>
      </c>
      <c r="E658" s="12">
        <v>8.3900000000000002E-2</v>
      </c>
      <c r="F658" s="12">
        <v>0.30640000000000001</v>
      </c>
      <c r="G658" s="12">
        <v>0.1012</v>
      </c>
      <c r="H658" s="12">
        <v>0.1696</v>
      </c>
      <c r="I658" s="12">
        <v>0.1696</v>
      </c>
      <c r="J658" s="9" t="s">
        <v>412</v>
      </c>
      <c r="K658" s="9" t="s">
        <v>654</v>
      </c>
    </row>
    <row r="659" spans="1:11" ht="28.8">
      <c r="A659" s="9" t="s">
        <v>679</v>
      </c>
      <c r="B659" s="9" t="s">
        <v>688</v>
      </c>
      <c r="C659" s="9" t="s">
        <v>675</v>
      </c>
      <c r="D659" s="12">
        <v>4.0599999999999997E-2</v>
      </c>
      <c r="E659" s="12">
        <v>0.14299999999999999</v>
      </c>
      <c r="F659" s="12">
        <v>0.3251</v>
      </c>
      <c r="G659" s="12">
        <v>9.1799999999999993E-2</v>
      </c>
      <c r="H659" s="12">
        <v>0.1696</v>
      </c>
      <c r="I659" s="12">
        <v>0.1696</v>
      </c>
      <c r="J659" s="9" t="s">
        <v>412</v>
      </c>
      <c r="K659" s="9" t="s">
        <v>654</v>
      </c>
    </row>
    <row r="660" spans="1:11">
      <c r="A660" s="9" t="s">
        <v>662</v>
      </c>
      <c r="B660" s="9" t="s">
        <v>657</v>
      </c>
      <c r="C660" s="9" t="s">
        <v>667</v>
      </c>
      <c r="D660" s="12">
        <v>0.12540000000000001</v>
      </c>
      <c r="E660" s="12">
        <v>4.3299999999999998E-2</v>
      </c>
      <c r="F660" s="12">
        <v>-0.3402</v>
      </c>
      <c r="G660" s="12">
        <v>8.4350000000000008E-2</v>
      </c>
      <c r="H660" s="12">
        <v>-5.7099999999999998E-2</v>
      </c>
      <c r="I660" s="12">
        <v>0.1696</v>
      </c>
      <c r="J660" s="9" t="s">
        <v>412</v>
      </c>
      <c r="K660" s="9" t="s">
        <v>604</v>
      </c>
    </row>
    <row r="661" spans="1:11" ht="28.8">
      <c r="A661" s="9" t="s">
        <v>671</v>
      </c>
      <c r="B661" s="9" t="s">
        <v>602</v>
      </c>
      <c r="C661" s="9" t="s">
        <v>656</v>
      </c>
      <c r="D661" s="12">
        <v>6.54E-2</v>
      </c>
      <c r="E661" s="12">
        <v>-8.6199999999999999E-2</v>
      </c>
      <c r="F661" s="12">
        <v>0.35680000000000001</v>
      </c>
      <c r="G661" s="12">
        <v>-1.04E-2</v>
      </c>
      <c r="H661" s="12">
        <v>0.112</v>
      </c>
      <c r="I661" s="12">
        <v>0.16950000000000001</v>
      </c>
      <c r="J661" s="9" t="s">
        <v>412</v>
      </c>
      <c r="K661" s="9" t="s">
        <v>604</v>
      </c>
    </row>
    <row r="662" spans="1:11" ht="28.8">
      <c r="A662" s="9" t="s">
        <v>609</v>
      </c>
      <c r="B662" s="9" t="s">
        <v>673</v>
      </c>
      <c r="C662" s="9" t="s">
        <v>601</v>
      </c>
      <c r="D662" s="12">
        <v>-0.1671</v>
      </c>
      <c r="E662" s="12">
        <v>-7.1300000000000002E-2</v>
      </c>
      <c r="F662" s="12">
        <v>0.27029999999999998</v>
      </c>
      <c r="G662" s="12">
        <v>-0.1192</v>
      </c>
      <c r="H662" s="12">
        <v>1.06E-2</v>
      </c>
      <c r="I662" s="12">
        <v>0.16950000000000001</v>
      </c>
      <c r="J662" s="9" t="s">
        <v>412</v>
      </c>
      <c r="K662" s="9" t="s">
        <v>604</v>
      </c>
    </row>
    <row r="663" spans="1:11" ht="28.8">
      <c r="A663" s="9" t="s">
        <v>603</v>
      </c>
      <c r="B663" s="9" t="s">
        <v>602</v>
      </c>
      <c r="C663" s="9" t="s">
        <v>664</v>
      </c>
      <c r="D663" s="12">
        <v>0.4093</v>
      </c>
      <c r="E663" s="12">
        <v>3.5099999999999999E-2</v>
      </c>
      <c r="F663" s="12">
        <v>6.3899999999999998E-2</v>
      </c>
      <c r="G663" s="12">
        <v>0.22220000000000001</v>
      </c>
      <c r="H663" s="12">
        <v>0.1694</v>
      </c>
      <c r="I663" s="12">
        <v>0.1694</v>
      </c>
      <c r="J663" s="9" t="s">
        <v>412</v>
      </c>
      <c r="K663" s="9" t="s">
        <v>654</v>
      </c>
    </row>
    <row r="664" spans="1:11">
      <c r="A664" s="9" t="s">
        <v>609</v>
      </c>
      <c r="B664" s="9" t="s">
        <v>660</v>
      </c>
      <c r="C664" s="9" t="s">
        <v>667</v>
      </c>
      <c r="D664" s="12">
        <v>0.33360000000000001</v>
      </c>
      <c r="E664" s="12">
        <v>2.5700000000000001E-2</v>
      </c>
      <c r="F664" s="12">
        <v>-0.14899999999999999</v>
      </c>
      <c r="G664" s="12">
        <v>0.17965</v>
      </c>
      <c r="H664" s="12">
        <v>7.0099999999999996E-2</v>
      </c>
      <c r="I664" s="12">
        <v>0.1694</v>
      </c>
      <c r="J664" s="9" t="s">
        <v>412</v>
      </c>
      <c r="K664" s="9" t="s">
        <v>604</v>
      </c>
    </row>
    <row r="665" spans="1:11" ht="28.8">
      <c r="A665" s="9" t="s">
        <v>671</v>
      </c>
      <c r="B665" s="9" t="s">
        <v>678</v>
      </c>
      <c r="C665" s="9" t="s">
        <v>655</v>
      </c>
      <c r="D665" s="12">
        <v>0.1215</v>
      </c>
      <c r="E665" s="12">
        <v>-0.14360000000000001</v>
      </c>
      <c r="F665" s="12">
        <v>-0.2429</v>
      </c>
      <c r="G665" s="12">
        <v>-1.1050000000000004E-2</v>
      </c>
      <c r="H665" s="12">
        <v>-8.8400000000000006E-2</v>
      </c>
      <c r="I665" s="12">
        <v>0.16930000000000001</v>
      </c>
      <c r="J665" s="9" t="s">
        <v>412</v>
      </c>
      <c r="K665" s="9" t="s">
        <v>604</v>
      </c>
    </row>
    <row r="666" spans="1:11" ht="28.8">
      <c r="A666" s="9" t="s">
        <v>603</v>
      </c>
      <c r="B666" s="9" t="s">
        <v>665</v>
      </c>
      <c r="C666" s="9" t="s">
        <v>683</v>
      </c>
      <c r="D666" s="12">
        <v>0.17660000000000001</v>
      </c>
      <c r="E666" s="12">
        <v>-0.32069999999999999</v>
      </c>
      <c r="F666" s="12">
        <v>1.03E-2</v>
      </c>
      <c r="G666" s="12">
        <v>-7.2049999999999989E-2</v>
      </c>
      <c r="H666" s="12">
        <v>-4.4600000000000001E-2</v>
      </c>
      <c r="I666" s="12">
        <v>0.16919999999999999</v>
      </c>
      <c r="J666" s="9" t="s">
        <v>412</v>
      </c>
      <c r="K666" s="9" t="s">
        <v>604</v>
      </c>
    </row>
    <row r="667" spans="1:11" ht="28.8">
      <c r="A667" s="9" t="s">
        <v>671</v>
      </c>
      <c r="B667" s="9" t="s">
        <v>681</v>
      </c>
      <c r="C667" s="9" t="s">
        <v>659</v>
      </c>
      <c r="D667" s="12">
        <v>0.13159999999999999</v>
      </c>
      <c r="E667" s="12">
        <v>7.1800000000000003E-2</v>
      </c>
      <c r="F667" s="12">
        <v>0.30399999999999999</v>
      </c>
      <c r="G667" s="12">
        <v>0.1017</v>
      </c>
      <c r="H667" s="12">
        <v>0.1691</v>
      </c>
      <c r="I667" s="12">
        <v>0.1691</v>
      </c>
      <c r="J667" s="9" t="s">
        <v>412</v>
      </c>
      <c r="K667" s="9" t="s">
        <v>654</v>
      </c>
    </row>
    <row r="668" spans="1:11">
      <c r="A668" s="9" t="s">
        <v>610</v>
      </c>
      <c r="B668" s="9" t="s">
        <v>657</v>
      </c>
      <c r="C668" s="9" t="s">
        <v>659</v>
      </c>
      <c r="D668" s="12">
        <v>0.1174</v>
      </c>
      <c r="E668" s="12">
        <v>-0.1171</v>
      </c>
      <c r="F668" s="12">
        <v>-0.27239999999999998</v>
      </c>
      <c r="G668" s="12">
        <v>1.500000000000043E-4</v>
      </c>
      <c r="H668" s="12">
        <v>-9.0700000000000003E-2</v>
      </c>
      <c r="I668" s="12">
        <v>0.16900000000000001</v>
      </c>
      <c r="J668" s="9" t="s">
        <v>412</v>
      </c>
      <c r="K668" s="9" t="s">
        <v>604</v>
      </c>
    </row>
    <row r="669" spans="1:11" ht="28.8">
      <c r="A669" s="9" t="s">
        <v>603</v>
      </c>
      <c r="B669" s="9" t="s">
        <v>688</v>
      </c>
      <c r="C669" s="9" t="s">
        <v>656</v>
      </c>
      <c r="D669" s="12">
        <v>-0.41320000000000001</v>
      </c>
      <c r="E669" s="12">
        <v>-2.2200000000000001E-2</v>
      </c>
      <c r="F669" s="12">
        <v>7.1499999999999994E-2</v>
      </c>
      <c r="G669" s="12">
        <v>-0.2177</v>
      </c>
      <c r="H669" s="12">
        <v>-0.12130000000000001</v>
      </c>
      <c r="I669" s="12">
        <v>0.16900000000000001</v>
      </c>
      <c r="J669" s="9" t="s">
        <v>412</v>
      </c>
      <c r="K669" s="9" t="s">
        <v>604</v>
      </c>
    </row>
    <row r="670" spans="1:11" ht="28.8">
      <c r="A670" s="9" t="s">
        <v>661</v>
      </c>
      <c r="B670" s="9" t="s">
        <v>653</v>
      </c>
      <c r="C670" s="9" t="s">
        <v>659</v>
      </c>
      <c r="D670" s="12">
        <v>4.3499999999999997E-2</v>
      </c>
      <c r="E670" s="12">
        <v>-0.21010000000000001</v>
      </c>
      <c r="F670" s="12">
        <v>-0.2535</v>
      </c>
      <c r="G670" s="12">
        <v>-8.3300000000000013E-2</v>
      </c>
      <c r="H670" s="12">
        <v>-0.14000000000000001</v>
      </c>
      <c r="I670" s="12">
        <v>0.16900000000000001</v>
      </c>
      <c r="J670" s="9" t="s">
        <v>412</v>
      </c>
      <c r="K670" s="9" t="s">
        <v>604</v>
      </c>
    </row>
    <row r="671" spans="1:11">
      <c r="A671" s="9" t="s">
        <v>610</v>
      </c>
      <c r="B671" s="9" t="s">
        <v>602</v>
      </c>
      <c r="C671" s="9" t="s">
        <v>667</v>
      </c>
      <c r="D671" s="12">
        <v>6.1800000000000001E-2</v>
      </c>
      <c r="E671" s="12">
        <v>-0.19400000000000001</v>
      </c>
      <c r="F671" s="12">
        <v>0.25119999999999998</v>
      </c>
      <c r="G671" s="12">
        <v>-6.6100000000000006E-2</v>
      </c>
      <c r="H671" s="12">
        <v>3.9699999999999999E-2</v>
      </c>
      <c r="I671" s="12">
        <v>0.16900000000000001</v>
      </c>
      <c r="J671" s="9" t="s">
        <v>412</v>
      </c>
      <c r="K671" s="9" t="s">
        <v>604</v>
      </c>
    </row>
    <row r="672" spans="1:11" ht="28.8">
      <c r="A672" s="9" t="s">
        <v>603</v>
      </c>
      <c r="B672" s="9" t="s">
        <v>669</v>
      </c>
      <c r="C672" s="9" t="s">
        <v>677</v>
      </c>
      <c r="D672" s="12">
        <v>0.14069999999999999</v>
      </c>
      <c r="E672" s="12">
        <v>-0.2472</v>
      </c>
      <c r="F672" s="12">
        <v>-0.1188</v>
      </c>
      <c r="G672" s="12">
        <v>-5.3250000000000006E-2</v>
      </c>
      <c r="H672" s="12">
        <v>-7.51E-2</v>
      </c>
      <c r="I672" s="12">
        <v>0.16889999999999999</v>
      </c>
      <c r="J672" s="9" t="s">
        <v>412</v>
      </c>
      <c r="K672" s="9" t="s">
        <v>604</v>
      </c>
    </row>
    <row r="673" spans="1:11" ht="28.8">
      <c r="A673" s="9" t="s">
        <v>603</v>
      </c>
      <c r="B673" s="9" t="s">
        <v>673</v>
      </c>
      <c r="C673" s="9" t="s">
        <v>674</v>
      </c>
      <c r="D673" s="12">
        <v>-0.1212</v>
      </c>
      <c r="E673" s="12">
        <v>0.2681</v>
      </c>
      <c r="F673" s="12">
        <v>-0.11700000000000001</v>
      </c>
      <c r="G673" s="12">
        <v>7.3450000000000001E-2</v>
      </c>
      <c r="H673" s="12">
        <v>0.01</v>
      </c>
      <c r="I673" s="12">
        <v>0.16880000000000001</v>
      </c>
      <c r="J673" s="9" t="s">
        <v>412</v>
      </c>
      <c r="K673" s="9" t="s">
        <v>604</v>
      </c>
    </row>
    <row r="674" spans="1:11">
      <c r="A674" s="9" t="s">
        <v>610</v>
      </c>
      <c r="B674" s="9" t="s">
        <v>613</v>
      </c>
      <c r="C674" s="9" t="s">
        <v>659</v>
      </c>
      <c r="D674" s="12">
        <v>0.1174</v>
      </c>
      <c r="E674" s="12">
        <v>8.9999999999999993E-3</v>
      </c>
      <c r="F674" s="12">
        <v>0.37969999999999998</v>
      </c>
      <c r="G674" s="12">
        <v>6.3200000000000006E-2</v>
      </c>
      <c r="H674" s="12">
        <v>0.16869999999999999</v>
      </c>
      <c r="I674" s="12">
        <v>0.16869999999999999</v>
      </c>
      <c r="J674" s="9" t="s">
        <v>412</v>
      </c>
      <c r="K674" s="9" t="s">
        <v>654</v>
      </c>
    </row>
    <row r="675" spans="1:11" ht="28.8">
      <c r="A675" s="9" t="s">
        <v>679</v>
      </c>
      <c r="B675" s="9" t="s">
        <v>613</v>
      </c>
      <c r="C675" s="9" t="s">
        <v>601</v>
      </c>
      <c r="D675" s="12">
        <v>-8.3900000000000002E-2</v>
      </c>
      <c r="E675" s="12">
        <v>-0.1157</v>
      </c>
      <c r="F675" s="12">
        <v>-0.30580000000000002</v>
      </c>
      <c r="G675" s="12">
        <v>-9.98E-2</v>
      </c>
      <c r="H675" s="12">
        <v>-0.16850000000000001</v>
      </c>
      <c r="I675" s="12">
        <v>0.16850000000000001</v>
      </c>
      <c r="J675" s="9" t="s">
        <v>412</v>
      </c>
      <c r="K675" s="9" t="s">
        <v>604</v>
      </c>
    </row>
    <row r="676" spans="1:11" ht="28.8">
      <c r="A676" s="9" t="s">
        <v>603</v>
      </c>
      <c r="B676" s="9" t="s">
        <v>676</v>
      </c>
      <c r="C676" s="9" t="s">
        <v>663</v>
      </c>
      <c r="D676" s="12">
        <v>-0.2828</v>
      </c>
      <c r="E676" s="12">
        <v>-0.1002</v>
      </c>
      <c r="F676" s="12">
        <v>0.1225</v>
      </c>
      <c r="G676" s="12">
        <v>-0.1915</v>
      </c>
      <c r="H676" s="12">
        <v>-8.6800000000000002E-2</v>
      </c>
      <c r="I676" s="12">
        <v>0.16850000000000001</v>
      </c>
      <c r="J676" s="9" t="s">
        <v>412</v>
      </c>
      <c r="K676" s="9" t="s">
        <v>604</v>
      </c>
    </row>
    <row r="677" spans="1:11" ht="28.8">
      <c r="A677" s="9" t="s">
        <v>679</v>
      </c>
      <c r="B677" s="9" t="s">
        <v>681</v>
      </c>
      <c r="C677" s="9" t="s">
        <v>674</v>
      </c>
      <c r="D677" s="12">
        <v>0.11849999999999999</v>
      </c>
      <c r="E677" s="12">
        <v>0.1958</v>
      </c>
      <c r="F677" s="12">
        <v>0.19020000000000001</v>
      </c>
      <c r="G677" s="12">
        <v>0.15715000000000001</v>
      </c>
      <c r="H677" s="12">
        <v>0.16819999999999999</v>
      </c>
      <c r="I677" s="12">
        <v>0.16819999999999999</v>
      </c>
      <c r="J677" s="9" t="s">
        <v>412</v>
      </c>
      <c r="K677" s="9" t="s">
        <v>654</v>
      </c>
    </row>
    <row r="678" spans="1:11" ht="28.8">
      <c r="A678" s="9" t="s">
        <v>661</v>
      </c>
      <c r="B678" s="9" t="s">
        <v>681</v>
      </c>
      <c r="C678" s="9" t="s">
        <v>656</v>
      </c>
      <c r="D678" s="12">
        <v>0.32640000000000002</v>
      </c>
      <c r="E678" s="12">
        <v>2.3900000000000001E-2</v>
      </c>
      <c r="F678" s="12">
        <v>0.15409999999999999</v>
      </c>
      <c r="G678" s="12">
        <v>0.17515</v>
      </c>
      <c r="H678" s="12">
        <v>0.1681</v>
      </c>
      <c r="I678" s="12">
        <v>0.1681</v>
      </c>
      <c r="J678" s="9" t="s">
        <v>412</v>
      </c>
      <c r="K678" s="9" t="s">
        <v>654</v>
      </c>
    </row>
    <row r="679" spans="1:11" ht="28.8">
      <c r="A679" s="9" t="s">
        <v>671</v>
      </c>
      <c r="B679" s="9" t="s">
        <v>653</v>
      </c>
      <c r="C679" s="9" t="s">
        <v>666</v>
      </c>
      <c r="D679" s="12">
        <v>1.34E-2</v>
      </c>
      <c r="E679" s="12">
        <v>-0.09</v>
      </c>
      <c r="F679" s="12">
        <v>-0.40060000000000001</v>
      </c>
      <c r="G679" s="12">
        <v>-3.8300000000000001E-2</v>
      </c>
      <c r="H679" s="12">
        <v>-0.15909999999999999</v>
      </c>
      <c r="I679" s="12">
        <v>0.16800000000000001</v>
      </c>
      <c r="J679" s="9" t="s">
        <v>412</v>
      </c>
      <c r="K679" s="9" t="s">
        <v>604</v>
      </c>
    </row>
    <row r="680" spans="1:11" ht="28.8">
      <c r="A680" s="9" t="s">
        <v>671</v>
      </c>
      <c r="B680" s="9" t="s">
        <v>673</v>
      </c>
      <c r="C680" s="9" t="s">
        <v>601</v>
      </c>
      <c r="D680" s="12">
        <v>-0.10879999999999999</v>
      </c>
      <c r="E680" s="12">
        <v>-0.12470000000000001</v>
      </c>
      <c r="F680" s="12">
        <v>0.27029999999999998</v>
      </c>
      <c r="G680" s="12">
        <v>-0.11674999999999999</v>
      </c>
      <c r="H680" s="12">
        <v>1.23E-2</v>
      </c>
      <c r="I680" s="12">
        <v>0.16789999999999999</v>
      </c>
      <c r="J680" s="9" t="s">
        <v>412</v>
      </c>
      <c r="K680" s="9" t="s">
        <v>604</v>
      </c>
    </row>
    <row r="681" spans="1:11" ht="28.8">
      <c r="A681" s="9" t="s">
        <v>603</v>
      </c>
      <c r="B681" s="9" t="s">
        <v>689</v>
      </c>
      <c r="C681" s="9" t="s">
        <v>670</v>
      </c>
      <c r="D681" s="12">
        <v>0.28070000000000001</v>
      </c>
      <c r="E681" s="12">
        <v>2.1399999999999999E-2</v>
      </c>
      <c r="F681" s="12">
        <v>0.20100000000000001</v>
      </c>
      <c r="G681" s="12">
        <v>0.15104999999999999</v>
      </c>
      <c r="H681" s="12">
        <v>0.16769999999999999</v>
      </c>
      <c r="I681" s="12">
        <v>0.16769999999999999</v>
      </c>
      <c r="J681" s="9" t="s">
        <v>412</v>
      </c>
      <c r="K681" s="9" t="s">
        <v>654</v>
      </c>
    </row>
    <row r="682" spans="1:11" ht="28.8">
      <c r="A682" s="9" t="s">
        <v>661</v>
      </c>
      <c r="B682" s="9" t="s">
        <v>684</v>
      </c>
      <c r="C682" s="9" t="s">
        <v>601</v>
      </c>
      <c r="D682" s="12">
        <v>-0.2266</v>
      </c>
      <c r="E682" s="12">
        <v>0.1986</v>
      </c>
      <c r="F682" s="12">
        <v>-7.7700000000000005E-2</v>
      </c>
      <c r="G682" s="12">
        <v>-1.3999999999999999E-2</v>
      </c>
      <c r="H682" s="12">
        <v>-3.5299999999999998E-2</v>
      </c>
      <c r="I682" s="12">
        <v>0.1676</v>
      </c>
      <c r="J682" s="9" t="s">
        <v>412</v>
      </c>
      <c r="K682" s="9" t="s">
        <v>604</v>
      </c>
    </row>
    <row r="683" spans="1:11" ht="28.8">
      <c r="A683" s="9" t="s">
        <v>610</v>
      </c>
      <c r="B683" s="9" t="s">
        <v>658</v>
      </c>
      <c r="C683" s="9" t="s">
        <v>674</v>
      </c>
      <c r="D683" s="12">
        <v>-0.1986</v>
      </c>
      <c r="E683" s="12">
        <v>-0.1421</v>
      </c>
      <c r="F683" s="12">
        <v>0.16159999999999999</v>
      </c>
      <c r="G683" s="12">
        <v>-0.17035</v>
      </c>
      <c r="H683" s="12">
        <v>-5.9700000000000003E-2</v>
      </c>
      <c r="I683" s="12">
        <v>0.16739999999999999</v>
      </c>
      <c r="J683" s="9" t="s">
        <v>412</v>
      </c>
      <c r="K683" s="9" t="s">
        <v>604</v>
      </c>
    </row>
    <row r="684" spans="1:11" ht="28.8">
      <c r="A684" s="9" t="s">
        <v>679</v>
      </c>
      <c r="B684" s="9" t="s">
        <v>676</v>
      </c>
      <c r="C684" s="9" t="s">
        <v>667</v>
      </c>
      <c r="D684" s="12">
        <v>-0.12280000000000001</v>
      </c>
      <c r="E684" s="12">
        <v>0.26829999999999998</v>
      </c>
      <c r="F684" s="12">
        <v>0.1105</v>
      </c>
      <c r="G684" s="12">
        <v>7.2749999999999981E-2</v>
      </c>
      <c r="H684" s="12">
        <v>8.5300000000000001E-2</v>
      </c>
      <c r="I684" s="12">
        <v>0.16719999999999999</v>
      </c>
      <c r="J684" s="9" t="s">
        <v>412</v>
      </c>
      <c r="K684" s="9" t="s">
        <v>604</v>
      </c>
    </row>
    <row r="685" spans="1:11" ht="28.8">
      <c r="A685" s="9" t="s">
        <v>603</v>
      </c>
      <c r="B685" s="9" t="s">
        <v>681</v>
      </c>
      <c r="C685" s="9" t="s">
        <v>674</v>
      </c>
      <c r="D685" s="12">
        <v>-0.1212</v>
      </c>
      <c r="E685" s="12">
        <v>-0.19009999999999999</v>
      </c>
      <c r="F685" s="12">
        <v>0.19020000000000001</v>
      </c>
      <c r="G685" s="12">
        <v>-0.15565000000000001</v>
      </c>
      <c r="H685" s="12">
        <v>-4.0399999999999998E-2</v>
      </c>
      <c r="I685" s="12">
        <v>0.16719999999999999</v>
      </c>
      <c r="J685" s="9" t="s">
        <v>412</v>
      </c>
      <c r="K685" s="9" t="s">
        <v>604</v>
      </c>
    </row>
    <row r="686" spans="1:11" ht="28.8">
      <c r="A686" s="9" t="s">
        <v>661</v>
      </c>
      <c r="B686" s="9" t="s">
        <v>678</v>
      </c>
      <c r="C686" s="9" t="s">
        <v>666</v>
      </c>
      <c r="D686" s="12">
        <v>0.2175</v>
      </c>
      <c r="E686" s="12">
        <v>-0.15379999999999999</v>
      </c>
      <c r="F686" s="12">
        <v>-0.12959999999999999</v>
      </c>
      <c r="G686" s="12">
        <v>3.1850000000000003E-2</v>
      </c>
      <c r="H686" s="12">
        <v>-2.1999999999999999E-2</v>
      </c>
      <c r="I686" s="12">
        <v>0.16700000000000001</v>
      </c>
      <c r="J686" s="9" t="s">
        <v>412</v>
      </c>
      <c r="K686" s="9" t="s">
        <v>604</v>
      </c>
    </row>
    <row r="687" spans="1:11">
      <c r="A687" s="9" t="s">
        <v>662</v>
      </c>
      <c r="B687" s="9" t="s">
        <v>673</v>
      </c>
      <c r="C687" s="9" t="s">
        <v>656</v>
      </c>
      <c r="D687" s="12">
        <v>0.26229999999999998</v>
      </c>
      <c r="E687" s="12">
        <v>4.2999999999999997E-2</v>
      </c>
      <c r="F687" s="12">
        <v>-0.19539999999999999</v>
      </c>
      <c r="G687" s="12">
        <v>0.15264999999999998</v>
      </c>
      <c r="H687" s="12">
        <v>3.6600000000000001E-2</v>
      </c>
      <c r="I687" s="12">
        <v>0.16689999999999999</v>
      </c>
      <c r="J687" s="9" t="s">
        <v>412</v>
      </c>
      <c r="K687" s="9" t="s">
        <v>604</v>
      </c>
    </row>
    <row r="688" spans="1:11" ht="28.8">
      <c r="A688" s="9" t="s">
        <v>661</v>
      </c>
      <c r="B688" s="9" t="s">
        <v>676</v>
      </c>
      <c r="C688" s="9" t="s">
        <v>667</v>
      </c>
      <c r="D688" s="12">
        <v>5.3600000000000002E-2</v>
      </c>
      <c r="E688" s="12">
        <v>0.33629999999999999</v>
      </c>
      <c r="F688" s="12">
        <v>0.1105</v>
      </c>
      <c r="G688" s="12">
        <v>0.19494999999999998</v>
      </c>
      <c r="H688" s="12">
        <v>0.1668</v>
      </c>
      <c r="I688" s="12">
        <v>0.1668</v>
      </c>
      <c r="J688" s="9" t="s">
        <v>412</v>
      </c>
      <c r="K688" s="9" t="s">
        <v>654</v>
      </c>
    </row>
    <row r="689" spans="1:11" ht="28.8">
      <c r="A689" s="9" t="s">
        <v>603</v>
      </c>
      <c r="B689" s="9" t="s">
        <v>681</v>
      </c>
      <c r="C689" s="9" t="s">
        <v>683</v>
      </c>
      <c r="D689" s="12">
        <v>0.17660000000000001</v>
      </c>
      <c r="E689" s="12">
        <v>-0.19009999999999999</v>
      </c>
      <c r="F689" s="12">
        <v>-0.13270000000000001</v>
      </c>
      <c r="G689" s="12">
        <v>-6.7499999999999921E-3</v>
      </c>
      <c r="H689" s="12">
        <v>-4.8800000000000003E-2</v>
      </c>
      <c r="I689" s="12">
        <v>0.16650000000000001</v>
      </c>
      <c r="J689" s="9" t="s">
        <v>412</v>
      </c>
      <c r="K689" s="9" t="s">
        <v>604</v>
      </c>
    </row>
    <row r="690" spans="1:11" ht="28.8">
      <c r="A690" s="9" t="s">
        <v>679</v>
      </c>
      <c r="B690" s="9" t="s">
        <v>685</v>
      </c>
      <c r="C690" s="9" t="s">
        <v>683</v>
      </c>
      <c r="D690" s="12">
        <v>0.16389999999999999</v>
      </c>
      <c r="E690" s="12">
        <v>0.22770000000000001</v>
      </c>
      <c r="F690" s="12">
        <v>0.108</v>
      </c>
      <c r="G690" s="12">
        <v>0.1958</v>
      </c>
      <c r="H690" s="12">
        <v>0.16650000000000001</v>
      </c>
      <c r="I690" s="12">
        <v>0.16650000000000001</v>
      </c>
      <c r="J690" s="9" t="s">
        <v>412</v>
      </c>
      <c r="K690" s="9" t="s">
        <v>654</v>
      </c>
    </row>
    <row r="691" spans="1:11" ht="28.8">
      <c r="A691" s="9" t="s">
        <v>679</v>
      </c>
      <c r="B691" s="9" t="s">
        <v>657</v>
      </c>
      <c r="C691" s="9" t="s">
        <v>677</v>
      </c>
      <c r="D691" s="12">
        <v>0.13189999999999999</v>
      </c>
      <c r="E691" s="12">
        <v>0.14180000000000001</v>
      </c>
      <c r="F691" s="12">
        <v>0.2248</v>
      </c>
      <c r="G691" s="12">
        <v>0.13685</v>
      </c>
      <c r="H691" s="12">
        <v>0.16619999999999999</v>
      </c>
      <c r="I691" s="12">
        <v>0.16619999999999999</v>
      </c>
      <c r="J691" s="9" t="s">
        <v>412</v>
      </c>
      <c r="K691" s="9" t="s">
        <v>654</v>
      </c>
    </row>
    <row r="692" spans="1:11" ht="28.8">
      <c r="A692" s="9" t="s">
        <v>679</v>
      </c>
      <c r="B692" s="9" t="s">
        <v>680</v>
      </c>
      <c r="C692" s="9" t="s">
        <v>601</v>
      </c>
      <c r="D692" s="12">
        <v>-8.3900000000000002E-2</v>
      </c>
      <c r="E692" s="12">
        <v>0.1643</v>
      </c>
      <c r="F692" s="12">
        <v>-0.2492</v>
      </c>
      <c r="G692" s="12">
        <v>4.02E-2</v>
      </c>
      <c r="H692" s="12">
        <v>-5.6300000000000003E-2</v>
      </c>
      <c r="I692" s="12">
        <v>0.1658</v>
      </c>
      <c r="J692" s="9" t="s">
        <v>412</v>
      </c>
      <c r="K692" s="9" t="s">
        <v>604</v>
      </c>
    </row>
    <row r="693" spans="1:11" ht="28.8">
      <c r="A693" s="9" t="s">
        <v>671</v>
      </c>
      <c r="B693" s="9" t="s">
        <v>676</v>
      </c>
      <c r="C693" s="9" t="s">
        <v>677</v>
      </c>
      <c r="D693" s="12">
        <v>6.8900000000000003E-2</v>
      </c>
      <c r="E693" s="12">
        <v>0.2205</v>
      </c>
      <c r="F693" s="12">
        <v>0.2077</v>
      </c>
      <c r="G693" s="12">
        <v>0.1447</v>
      </c>
      <c r="H693" s="12">
        <v>0.16569999999999999</v>
      </c>
      <c r="I693" s="12">
        <v>0.16569999999999999</v>
      </c>
      <c r="J693" s="9" t="s">
        <v>412</v>
      </c>
      <c r="K693" s="9" t="s">
        <v>654</v>
      </c>
    </row>
    <row r="694" spans="1:11" ht="28.8">
      <c r="A694" s="9" t="s">
        <v>661</v>
      </c>
      <c r="B694" s="9" t="s">
        <v>684</v>
      </c>
      <c r="C694" s="9" t="s">
        <v>667</v>
      </c>
      <c r="D694" s="12">
        <v>5.3600000000000002E-2</v>
      </c>
      <c r="E694" s="12">
        <v>0.1986</v>
      </c>
      <c r="F694" s="12">
        <v>-0.24479999999999999</v>
      </c>
      <c r="G694" s="12">
        <v>0.12609999999999999</v>
      </c>
      <c r="H694" s="12">
        <v>2.5000000000000001E-3</v>
      </c>
      <c r="I694" s="12">
        <v>0.16569999999999999</v>
      </c>
      <c r="J694" s="9" t="s">
        <v>412</v>
      </c>
      <c r="K694" s="9" t="s">
        <v>604</v>
      </c>
    </row>
    <row r="695" spans="1:11">
      <c r="A695" s="9" t="s">
        <v>682</v>
      </c>
      <c r="B695" s="9" t="s">
        <v>657</v>
      </c>
      <c r="C695" s="9" t="s">
        <v>659</v>
      </c>
      <c r="D695" s="12">
        <v>0.1188</v>
      </c>
      <c r="E695" s="12">
        <v>-0.1056</v>
      </c>
      <c r="F695" s="12">
        <v>-0.27239999999999998</v>
      </c>
      <c r="G695" s="12">
        <v>6.6000000000000017E-3</v>
      </c>
      <c r="H695" s="12">
        <v>-8.6400000000000005E-2</v>
      </c>
      <c r="I695" s="12">
        <v>0.1656</v>
      </c>
      <c r="J695" s="9" t="s">
        <v>412</v>
      </c>
      <c r="K695" s="9" t="s">
        <v>604</v>
      </c>
    </row>
    <row r="696" spans="1:11">
      <c r="A696" s="9" t="s">
        <v>609</v>
      </c>
      <c r="B696" s="9" t="s">
        <v>665</v>
      </c>
      <c r="C696" s="9" t="s">
        <v>667</v>
      </c>
      <c r="D696" s="12">
        <v>0.33360000000000001</v>
      </c>
      <c r="E696" s="12">
        <v>-0.11310000000000001</v>
      </c>
      <c r="F696" s="12">
        <v>-4.9799999999999997E-2</v>
      </c>
      <c r="G696" s="12">
        <v>0.11025</v>
      </c>
      <c r="H696" s="12">
        <v>5.6899999999999999E-2</v>
      </c>
      <c r="I696" s="12">
        <v>0.16550000000000001</v>
      </c>
      <c r="J696" s="9" t="s">
        <v>412</v>
      </c>
      <c r="K696" s="9" t="s">
        <v>604</v>
      </c>
    </row>
    <row r="697" spans="1:11">
      <c r="A697" s="9" t="s">
        <v>610</v>
      </c>
      <c r="B697" s="9" t="s">
        <v>691</v>
      </c>
      <c r="C697" s="9" t="s">
        <v>659</v>
      </c>
      <c r="D697" s="12">
        <v>0.1174</v>
      </c>
      <c r="E697" s="12">
        <v>0.29249999999999998</v>
      </c>
      <c r="F697" s="12">
        <v>-8.5900000000000004E-2</v>
      </c>
      <c r="G697" s="12">
        <v>0.20494999999999999</v>
      </c>
      <c r="H697" s="12">
        <v>0.108</v>
      </c>
      <c r="I697" s="12">
        <v>0.1653</v>
      </c>
      <c r="J697" s="9" t="s">
        <v>412</v>
      </c>
      <c r="K697" s="9" t="s">
        <v>604</v>
      </c>
    </row>
    <row r="698" spans="1:11">
      <c r="A698" s="9" t="s">
        <v>609</v>
      </c>
      <c r="B698" s="9" t="s">
        <v>691</v>
      </c>
      <c r="C698" s="9" t="s">
        <v>670</v>
      </c>
      <c r="D698" s="12">
        <v>-0.32040000000000002</v>
      </c>
      <c r="E698" s="12">
        <v>4.9399999999999999E-2</v>
      </c>
      <c r="F698" s="12">
        <v>0.1258</v>
      </c>
      <c r="G698" s="12">
        <v>-0.13550000000000001</v>
      </c>
      <c r="H698" s="12">
        <v>-4.8399999999999999E-2</v>
      </c>
      <c r="I698" s="12">
        <v>0.16520000000000001</v>
      </c>
      <c r="J698" s="9" t="s">
        <v>412</v>
      </c>
      <c r="K698" s="9" t="s">
        <v>604</v>
      </c>
    </row>
    <row r="699" spans="1:11" ht="28.8">
      <c r="A699" s="9" t="s">
        <v>679</v>
      </c>
      <c r="B699" s="9" t="s">
        <v>613</v>
      </c>
      <c r="C699" s="9" t="s">
        <v>655</v>
      </c>
      <c r="D699" s="12">
        <v>9.4500000000000001E-2</v>
      </c>
      <c r="E699" s="12">
        <v>-0.1157</v>
      </c>
      <c r="F699" s="12">
        <v>0.28510000000000002</v>
      </c>
      <c r="G699" s="12">
        <v>-1.0599999999999998E-2</v>
      </c>
      <c r="H699" s="12">
        <v>8.7999999999999995E-2</v>
      </c>
      <c r="I699" s="12">
        <v>0.1651</v>
      </c>
      <c r="J699" s="9" t="s">
        <v>412</v>
      </c>
      <c r="K699" s="9" t="s">
        <v>604</v>
      </c>
    </row>
    <row r="700" spans="1:11" ht="28.8">
      <c r="A700" s="9" t="s">
        <v>679</v>
      </c>
      <c r="B700" s="9" t="s">
        <v>613</v>
      </c>
      <c r="C700" s="9" t="s">
        <v>667</v>
      </c>
      <c r="D700" s="12">
        <v>-0.12280000000000001</v>
      </c>
      <c r="E700" s="12">
        <v>-0.1157</v>
      </c>
      <c r="F700" s="12">
        <v>0.25679999999999997</v>
      </c>
      <c r="G700" s="12">
        <v>-0.11924999999999999</v>
      </c>
      <c r="H700" s="12">
        <v>6.1000000000000004E-3</v>
      </c>
      <c r="I700" s="12">
        <v>0.1651</v>
      </c>
      <c r="J700" s="9" t="s">
        <v>412</v>
      </c>
      <c r="K700" s="9" t="s">
        <v>604</v>
      </c>
    </row>
    <row r="701" spans="1:11">
      <c r="A701" s="9" t="s">
        <v>682</v>
      </c>
      <c r="B701" s="9" t="s">
        <v>660</v>
      </c>
      <c r="C701" s="9" t="s">
        <v>670</v>
      </c>
      <c r="D701" s="12">
        <v>-0.19359999999999999</v>
      </c>
      <c r="E701" s="12">
        <v>-9.1399999999999995E-2</v>
      </c>
      <c r="F701" s="12">
        <v>0.2104</v>
      </c>
      <c r="G701" s="12">
        <v>-0.14249999999999999</v>
      </c>
      <c r="H701" s="12">
        <v>-2.4799999999999999E-2</v>
      </c>
      <c r="I701" s="12">
        <v>0.1651</v>
      </c>
      <c r="J701" s="9" t="s">
        <v>412</v>
      </c>
      <c r="K701" s="9" t="s">
        <v>604</v>
      </c>
    </row>
    <row r="702" spans="1:11" ht="28.8">
      <c r="A702" s="9" t="s">
        <v>662</v>
      </c>
      <c r="B702" s="9" t="s">
        <v>676</v>
      </c>
      <c r="C702" s="9" t="s">
        <v>674</v>
      </c>
      <c r="D702" s="12">
        <v>0.17680000000000001</v>
      </c>
      <c r="E702" s="12">
        <v>0.17610000000000001</v>
      </c>
      <c r="F702" s="12">
        <v>0.14230000000000001</v>
      </c>
      <c r="G702" s="12">
        <v>0.17645</v>
      </c>
      <c r="H702" s="12">
        <v>0.16500000000000001</v>
      </c>
      <c r="I702" s="12">
        <v>0.16500000000000001</v>
      </c>
      <c r="J702" s="9" t="s">
        <v>412</v>
      </c>
      <c r="K702" s="9" t="s">
        <v>654</v>
      </c>
    </row>
    <row r="703" spans="1:11" ht="28.8">
      <c r="A703" s="9" t="s">
        <v>679</v>
      </c>
      <c r="B703" s="9" t="s">
        <v>681</v>
      </c>
      <c r="C703" s="9" t="s">
        <v>655</v>
      </c>
      <c r="D703" s="12">
        <v>9.4500000000000001E-2</v>
      </c>
      <c r="E703" s="12">
        <v>0.1958</v>
      </c>
      <c r="F703" s="12">
        <v>0.20449999999999999</v>
      </c>
      <c r="G703" s="12">
        <v>0.14515</v>
      </c>
      <c r="H703" s="12">
        <v>0.16489999999999999</v>
      </c>
      <c r="I703" s="12">
        <v>0.16489999999999999</v>
      </c>
      <c r="J703" s="9" t="s">
        <v>412</v>
      </c>
      <c r="K703" s="9" t="s">
        <v>654</v>
      </c>
    </row>
    <row r="704" spans="1:11" ht="28.8">
      <c r="A704" s="9" t="s">
        <v>679</v>
      </c>
      <c r="B704" s="9" t="s">
        <v>672</v>
      </c>
      <c r="C704" s="9" t="s">
        <v>663</v>
      </c>
      <c r="D704" s="12">
        <v>0.13450000000000001</v>
      </c>
      <c r="E704" s="12">
        <v>0.13270000000000001</v>
      </c>
      <c r="F704" s="12">
        <v>0.22750000000000001</v>
      </c>
      <c r="G704" s="12">
        <v>0.1336</v>
      </c>
      <c r="H704" s="12">
        <v>0.16489999999999999</v>
      </c>
      <c r="I704" s="12">
        <v>0.16489999999999999</v>
      </c>
      <c r="J704" s="9" t="s">
        <v>412</v>
      </c>
      <c r="K704" s="9" t="s">
        <v>654</v>
      </c>
    </row>
    <row r="705" spans="1:11" ht="28.8">
      <c r="A705" s="9" t="s">
        <v>609</v>
      </c>
      <c r="B705" s="9" t="s">
        <v>689</v>
      </c>
      <c r="C705" s="9" t="s">
        <v>690</v>
      </c>
      <c r="D705" s="12">
        <v>4.9799999999999997E-2</v>
      </c>
      <c r="E705" s="12">
        <v>-4.6100000000000002E-2</v>
      </c>
      <c r="F705" s="12">
        <v>0.39879999999999999</v>
      </c>
      <c r="G705" s="12">
        <v>1.8499999999999975E-3</v>
      </c>
      <c r="H705" s="12">
        <v>0.13420000000000001</v>
      </c>
      <c r="I705" s="12">
        <v>0.16489999999999999</v>
      </c>
      <c r="J705" s="9" t="s">
        <v>412</v>
      </c>
      <c r="K705" s="9" t="s">
        <v>604</v>
      </c>
    </row>
    <row r="706" spans="1:11">
      <c r="A706" s="9" t="s">
        <v>609</v>
      </c>
      <c r="B706" s="9" t="s">
        <v>673</v>
      </c>
      <c r="C706" s="9" t="s">
        <v>656</v>
      </c>
      <c r="D706" s="12">
        <v>0.22770000000000001</v>
      </c>
      <c r="E706" s="12">
        <v>-7.1300000000000002E-2</v>
      </c>
      <c r="F706" s="12">
        <v>-0.19539999999999999</v>
      </c>
      <c r="G706" s="12">
        <v>7.8200000000000006E-2</v>
      </c>
      <c r="H706" s="12">
        <v>-1.2999999999999999E-2</v>
      </c>
      <c r="I706" s="12">
        <v>0.1648</v>
      </c>
      <c r="J706" s="9" t="s">
        <v>412</v>
      </c>
      <c r="K706" s="9" t="s">
        <v>604</v>
      </c>
    </row>
    <row r="707" spans="1:11" ht="28.8">
      <c r="A707" s="9" t="s">
        <v>661</v>
      </c>
      <c r="B707" s="9" t="s">
        <v>613</v>
      </c>
      <c r="C707" s="9" t="s">
        <v>655</v>
      </c>
      <c r="D707" s="12">
        <v>0.17599999999999999</v>
      </c>
      <c r="E707" s="12">
        <v>3.3000000000000002E-2</v>
      </c>
      <c r="F707" s="12">
        <v>0.28510000000000002</v>
      </c>
      <c r="G707" s="12">
        <v>0.1045</v>
      </c>
      <c r="H707" s="12">
        <v>0.16470000000000001</v>
      </c>
      <c r="I707" s="12">
        <v>0.16470000000000001</v>
      </c>
      <c r="J707" s="9" t="s">
        <v>412</v>
      </c>
      <c r="K707" s="9" t="s">
        <v>654</v>
      </c>
    </row>
    <row r="708" spans="1:11" ht="28.8">
      <c r="A708" s="9" t="s">
        <v>682</v>
      </c>
      <c r="B708" s="9" t="s">
        <v>687</v>
      </c>
      <c r="C708" s="9" t="s">
        <v>666</v>
      </c>
      <c r="D708" s="12">
        <v>0.22600000000000001</v>
      </c>
      <c r="E708" s="12">
        <v>0.13450000000000001</v>
      </c>
      <c r="F708" s="12">
        <v>0.1331</v>
      </c>
      <c r="G708" s="12">
        <v>0.18025000000000002</v>
      </c>
      <c r="H708" s="12">
        <v>0.1646</v>
      </c>
      <c r="I708" s="12">
        <v>0.1646</v>
      </c>
      <c r="J708" s="9" t="s">
        <v>412</v>
      </c>
      <c r="K708" s="9" t="s">
        <v>654</v>
      </c>
    </row>
    <row r="709" spans="1:11" ht="28.8">
      <c r="A709" s="9" t="s">
        <v>609</v>
      </c>
      <c r="B709" s="9" t="s">
        <v>602</v>
      </c>
      <c r="C709" s="9" t="s">
        <v>677</v>
      </c>
      <c r="D709" s="12">
        <v>-6.1400000000000003E-2</v>
      </c>
      <c r="E709" s="12">
        <v>-0.2089</v>
      </c>
      <c r="F709" s="12">
        <v>-0.223</v>
      </c>
      <c r="G709" s="12">
        <v>-0.13514999999999999</v>
      </c>
      <c r="H709" s="12">
        <v>-0.16439999999999999</v>
      </c>
      <c r="I709" s="12">
        <v>0.16439999999999999</v>
      </c>
      <c r="J709" s="9" t="s">
        <v>412</v>
      </c>
      <c r="K709" s="9" t="s">
        <v>604</v>
      </c>
    </row>
    <row r="710" spans="1:11" ht="28.8">
      <c r="A710" s="9" t="s">
        <v>671</v>
      </c>
      <c r="B710" s="9" t="s">
        <v>687</v>
      </c>
      <c r="C710" s="9" t="s">
        <v>670</v>
      </c>
      <c r="D710" s="12">
        <v>-0.32890000000000003</v>
      </c>
      <c r="E710" s="12">
        <v>0.13850000000000001</v>
      </c>
      <c r="F710" s="12">
        <v>2.5499999999999998E-2</v>
      </c>
      <c r="G710" s="12">
        <v>-9.5200000000000007E-2</v>
      </c>
      <c r="H710" s="12">
        <v>-5.5E-2</v>
      </c>
      <c r="I710" s="12">
        <v>0.1643</v>
      </c>
      <c r="J710" s="9" t="s">
        <v>412</v>
      </c>
      <c r="K710" s="9" t="s">
        <v>604</v>
      </c>
    </row>
    <row r="711" spans="1:11" ht="28.8">
      <c r="A711" s="9" t="s">
        <v>679</v>
      </c>
      <c r="B711" s="9" t="s">
        <v>685</v>
      </c>
      <c r="C711" s="9" t="s">
        <v>655</v>
      </c>
      <c r="D711" s="12">
        <v>9.4500000000000001E-2</v>
      </c>
      <c r="E711" s="12">
        <v>0.22770000000000001</v>
      </c>
      <c r="F711" s="12">
        <v>0.17069999999999999</v>
      </c>
      <c r="G711" s="12">
        <v>0.16110000000000002</v>
      </c>
      <c r="H711" s="12">
        <v>0.1643</v>
      </c>
      <c r="I711" s="12">
        <v>0.1643</v>
      </c>
      <c r="J711" s="9" t="s">
        <v>412</v>
      </c>
      <c r="K711" s="9" t="s">
        <v>654</v>
      </c>
    </row>
    <row r="712" spans="1:11" ht="28.8">
      <c r="A712" s="9" t="s">
        <v>661</v>
      </c>
      <c r="B712" s="9" t="s">
        <v>680</v>
      </c>
      <c r="C712" s="9" t="s">
        <v>674</v>
      </c>
      <c r="D712" s="12">
        <v>6.8199999999999997E-2</v>
      </c>
      <c r="E712" s="12">
        <v>5.1799999999999999E-2</v>
      </c>
      <c r="F712" s="12">
        <v>0.37230000000000002</v>
      </c>
      <c r="G712" s="12">
        <v>0.06</v>
      </c>
      <c r="H712" s="12">
        <v>0.1641</v>
      </c>
      <c r="I712" s="12">
        <v>0.1641</v>
      </c>
      <c r="J712" s="9" t="s">
        <v>412</v>
      </c>
      <c r="K712" s="9" t="s">
        <v>654</v>
      </c>
    </row>
    <row r="713" spans="1:11" ht="28.8">
      <c r="A713" s="9" t="s">
        <v>661</v>
      </c>
      <c r="B713" s="9" t="s">
        <v>658</v>
      </c>
      <c r="C713" s="9" t="s">
        <v>675</v>
      </c>
      <c r="D713" s="12">
        <v>0.14380000000000001</v>
      </c>
      <c r="E713" s="12">
        <v>9.5200000000000007E-2</v>
      </c>
      <c r="F713" s="12">
        <v>0.25319999999999998</v>
      </c>
      <c r="G713" s="12">
        <v>0.11950000000000001</v>
      </c>
      <c r="H713" s="12">
        <v>0.1641</v>
      </c>
      <c r="I713" s="12">
        <v>0.1641</v>
      </c>
      <c r="J713" s="9" t="s">
        <v>412</v>
      </c>
      <c r="K713" s="9" t="s">
        <v>654</v>
      </c>
    </row>
    <row r="714" spans="1:11" ht="28.8">
      <c r="A714" s="9" t="s">
        <v>679</v>
      </c>
      <c r="B714" s="9" t="s">
        <v>680</v>
      </c>
      <c r="C714" s="9" t="s">
        <v>655</v>
      </c>
      <c r="D714" s="12">
        <v>9.4500000000000001E-2</v>
      </c>
      <c r="E714" s="12">
        <v>0.1643</v>
      </c>
      <c r="F714" s="12">
        <v>0.2334</v>
      </c>
      <c r="G714" s="12">
        <v>0.12940000000000002</v>
      </c>
      <c r="H714" s="12">
        <v>0.1641</v>
      </c>
      <c r="I714" s="12">
        <v>0.1641</v>
      </c>
      <c r="J714" s="9" t="s">
        <v>412</v>
      </c>
      <c r="K714" s="9" t="s">
        <v>654</v>
      </c>
    </row>
    <row r="715" spans="1:11">
      <c r="A715" s="9" t="s">
        <v>610</v>
      </c>
      <c r="B715" s="9" t="s">
        <v>668</v>
      </c>
      <c r="C715" s="9" t="s">
        <v>655</v>
      </c>
      <c r="D715" s="12">
        <v>-9.4E-2</v>
      </c>
      <c r="E715" s="12">
        <v>-9.64E-2</v>
      </c>
      <c r="F715" s="12">
        <v>-0.3019</v>
      </c>
      <c r="G715" s="12">
        <v>-9.5200000000000007E-2</v>
      </c>
      <c r="H715" s="12">
        <v>-0.1641</v>
      </c>
      <c r="I715" s="12">
        <v>0.1641</v>
      </c>
      <c r="J715" s="9" t="s">
        <v>412</v>
      </c>
      <c r="K715" s="9" t="s">
        <v>604</v>
      </c>
    </row>
    <row r="716" spans="1:11" ht="28.8">
      <c r="A716" s="9" t="s">
        <v>679</v>
      </c>
      <c r="B716" s="9" t="s">
        <v>681</v>
      </c>
      <c r="C716" s="9" t="s">
        <v>683</v>
      </c>
      <c r="D716" s="12">
        <v>0.16389999999999999</v>
      </c>
      <c r="E716" s="12">
        <v>0.1958</v>
      </c>
      <c r="F716" s="12">
        <v>-0.13270000000000001</v>
      </c>
      <c r="G716" s="12">
        <v>0.17985000000000001</v>
      </c>
      <c r="H716" s="12">
        <v>7.5700000000000003E-2</v>
      </c>
      <c r="I716" s="12">
        <v>0.1641</v>
      </c>
      <c r="J716" s="9" t="s">
        <v>412</v>
      </c>
      <c r="K716" s="9" t="s">
        <v>604</v>
      </c>
    </row>
    <row r="717" spans="1:11" ht="28.8">
      <c r="A717" s="9" t="s">
        <v>603</v>
      </c>
      <c r="B717" s="9" t="s">
        <v>672</v>
      </c>
      <c r="C717" s="9" t="s">
        <v>659</v>
      </c>
      <c r="D717" s="12">
        <v>-0.17230000000000001</v>
      </c>
      <c r="E717" s="12">
        <v>-0.21229999999999999</v>
      </c>
      <c r="F717" s="12">
        <v>-0.10730000000000001</v>
      </c>
      <c r="G717" s="12">
        <v>-0.1923</v>
      </c>
      <c r="H717" s="12">
        <v>-0.16400000000000001</v>
      </c>
      <c r="I717" s="12">
        <v>0.16400000000000001</v>
      </c>
      <c r="J717" s="9" t="s">
        <v>412</v>
      </c>
      <c r="K717" s="9" t="s">
        <v>604</v>
      </c>
    </row>
    <row r="718" spans="1:11" ht="28.8">
      <c r="A718" s="9" t="s">
        <v>609</v>
      </c>
      <c r="B718" s="9" t="s">
        <v>680</v>
      </c>
      <c r="C718" s="9" t="s">
        <v>666</v>
      </c>
      <c r="D718" s="12">
        <v>-7.7700000000000005E-2</v>
      </c>
      <c r="E718" s="12">
        <v>-0.1628</v>
      </c>
      <c r="F718" s="12">
        <v>0.25119999999999998</v>
      </c>
      <c r="G718" s="12">
        <v>-0.12025</v>
      </c>
      <c r="H718" s="12">
        <v>3.5999999999999999E-3</v>
      </c>
      <c r="I718" s="12">
        <v>0.16389999999999999</v>
      </c>
      <c r="J718" s="9" t="s">
        <v>412</v>
      </c>
      <c r="K718" s="9" t="s">
        <v>604</v>
      </c>
    </row>
    <row r="719" spans="1:11" ht="28.8">
      <c r="A719" s="9" t="s">
        <v>671</v>
      </c>
      <c r="B719" s="9" t="s">
        <v>676</v>
      </c>
      <c r="C719" s="9" t="s">
        <v>675</v>
      </c>
      <c r="D719" s="12">
        <v>0.10780000000000001</v>
      </c>
      <c r="E719" s="12">
        <v>0.2205</v>
      </c>
      <c r="F719" s="12">
        <v>0.16320000000000001</v>
      </c>
      <c r="G719" s="12">
        <v>0.16415000000000002</v>
      </c>
      <c r="H719" s="12">
        <v>0.16389999999999999</v>
      </c>
      <c r="I719" s="12">
        <v>0.16389999999999999</v>
      </c>
      <c r="J719" s="9" t="s">
        <v>412</v>
      </c>
      <c r="K719" s="9" t="s">
        <v>654</v>
      </c>
    </row>
    <row r="720" spans="1:11" ht="28.8">
      <c r="A720" s="9" t="s">
        <v>671</v>
      </c>
      <c r="B720" s="9" t="s">
        <v>660</v>
      </c>
      <c r="C720" s="9" t="s">
        <v>663</v>
      </c>
      <c r="D720" s="12">
        <v>9.4399999999999998E-2</v>
      </c>
      <c r="E720" s="12">
        <v>-0.1037</v>
      </c>
      <c r="F720" s="12">
        <v>-0.29349999999999998</v>
      </c>
      <c r="G720" s="12">
        <v>-4.6500000000000014E-3</v>
      </c>
      <c r="H720" s="12">
        <v>-0.1009</v>
      </c>
      <c r="I720" s="12">
        <v>0.1638</v>
      </c>
      <c r="J720" s="9" t="s">
        <v>412</v>
      </c>
      <c r="K720" s="9" t="s">
        <v>604</v>
      </c>
    </row>
    <row r="721" spans="1:11" ht="28.8">
      <c r="A721" s="9" t="s">
        <v>662</v>
      </c>
      <c r="B721" s="9" t="s">
        <v>660</v>
      </c>
      <c r="C721" s="9" t="s">
        <v>675</v>
      </c>
      <c r="D721" s="12">
        <v>0.14630000000000001</v>
      </c>
      <c r="E721" s="12">
        <v>-0.1187</v>
      </c>
      <c r="F721" s="12">
        <v>-0.22600000000000001</v>
      </c>
      <c r="G721" s="12">
        <v>1.3800000000000007E-2</v>
      </c>
      <c r="H721" s="12">
        <v>-6.6100000000000006E-2</v>
      </c>
      <c r="I721" s="12">
        <v>0.16370000000000001</v>
      </c>
      <c r="J721" s="9" t="s">
        <v>412</v>
      </c>
      <c r="K721" s="9" t="s">
        <v>604</v>
      </c>
    </row>
    <row r="722" spans="1:11" ht="28.8">
      <c r="A722" s="9" t="s">
        <v>679</v>
      </c>
      <c r="B722" s="9" t="s">
        <v>613</v>
      </c>
      <c r="C722" s="9" t="s">
        <v>683</v>
      </c>
      <c r="D722" s="12">
        <v>0.16389999999999999</v>
      </c>
      <c r="E722" s="12">
        <v>-0.1157</v>
      </c>
      <c r="F722" s="12">
        <v>-0.21</v>
      </c>
      <c r="G722" s="12">
        <v>2.4099999999999996E-2</v>
      </c>
      <c r="H722" s="12">
        <v>-5.3900000000000003E-2</v>
      </c>
      <c r="I722" s="12">
        <v>0.16320000000000001</v>
      </c>
      <c r="J722" s="9" t="s">
        <v>412</v>
      </c>
      <c r="K722" s="9" t="s">
        <v>604</v>
      </c>
    </row>
    <row r="723" spans="1:11" ht="28.8">
      <c r="A723" s="9" t="s">
        <v>662</v>
      </c>
      <c r="B723" s="9" t="s">
        <v>681</v>
      </c>
      <c r="C723" s="9" t="s">
        <v>675</v>
      </c>
      <c r="D723" s="12">
        <v>0.14630000000000001</v>
      </c>
      <c r="E723" s="12">
        <v>0.1535</v>
      </c>
      <c r="F723" s="12">
        <v>0.1895</v>
      </c>
      <c r="G723" s="12">
        <v>0.14990000000000001</v>
      </c>
      <c r="H723" s="12">
        <v>0.16309999999999999</v>
      </c>
      <c r="I723" s="12">
        <v>0.16309999999999999</v>
      </c>
      <c r="J723" s="9" t="s">
        <v>412</v>
      </c>
      <c r="K723" s="9" t="s">
        <v>654</v>
      </c>
    </row>
    <row r="724" spans="1:11">
      <c r="A724" s="9" t="s">
        <v>610</v>
      </c>
      <c r="B724" s="9" t="s">
        <v>669</v>
      </c>
      <c r="C724" s="9" t="s">
        <v>656</v>
      </c>
      <c r="D724" s="12">
        <v>6.5699999999999995E-2</v>
      </c>
      <c r="E724" s="12">
        <v>-0.2331</v>
      </c>
      <c r="F724" s="12">
        <v>0.1903</v>
      </c>
      <c r="G724" s="12">
        <v>-8.3699999999999997E-2</v>
      </c>
      <c r="H724" s="12">
        <v>7.6E-3</v>
      </c>
      <c r="I724" s="12">
        <v>0.16309999999999999</v>
      </c>
      <c r="J724" s="9" t="s">
        <v>412</v>
      </c>
      <c r="K724" s="9" t="s">
        <v>604</v>
      </c>
    </row>
    <row r="725" spans="1:11" ht="28.8">
      <c r="A725" s="9" t="s">
        <v>603</v>
      </c>
      <c r="B725" s="9" t="s">
        <v>685</v>
      </c>
      <c r="C725" s="9" t="s">
        <v>656</v>
      </c>
      <c r="D725" s="12">
        <v>-0.41320000000000001</v>
      </c>
      <c r="E725" s="12">
        <v>1.0699999999999999E-2</v>
      </c>
      <c r="F725" s="12">
        <v>6.5100000000000005E-2</v>
      </c>
      <c r="G725" s="12">
        <v>-0.20125000000000001</v>
      </c>
      <c r="H725" s="12">
        <v>-0.1125</v>
      </c>
      <c r="I725" s="12">
        <v>0.16300000000000001</v>
      </c>
      <c r="J725" s="9" t="s">
        <v>412</v>
      </c>
      <c r="K725" s="9" t="s">
        <v>604</v>
      </c>
    </row>
    <row r="726" spans="1:11" ht="28.8">
      <c r="A726" s="9" t="s">
        <v>603</v>
      </c>
      <c r="B726" s="9" t="s">
        <v>669</v>
      </c>
      <c r="C726" s="9" t="s">
        <v>683</v>
      </c>
      <c r="D726" s="12">
        <v>0.17660000000000001</v>
      </c>
      <c r="E726" s="12">
        <v>-0.2472</v>
      </c>
      <c r="F726" s="12">
        <v>6.4799999999999996E-2</v>
      </c>
      <c r="G726" s="12">
        <v>-3.5299999999999998E-2</v>
      </c>
      <c r="H726" s="12">
        <v>-2E-3</v>
      </c>
      <c r="I726" s="12">
        <v>0.16289999999999999</v>
      </c>
      <c r="J726" s="9" t="s">
        <v>412</v>
      </c>
      <c r="K726" s="9" t="s">
        <v>604</v>
      </c>
    </row>
    <row r="727" spans="1:11" ht="28.8">
      <c r="A727" s="9" t="s">
        <v>610</v>
      </c>
      <c r="B727" s="9" t="s">
        <v>688</v>
      </c>
      <c r="C727" s="9" t="s">
        <v>683</v>
      </c>
      <c r="D727" s="12">
        <v>-8.1500000000000003E-2</v>
      </c>
      <c r="E727" s="12">
        <v>8.5699999999999998E-2</v>
      </c>
      <c r="F727" s="12">
        <v>0.3216</v>
      </c>
      <c r="G727" s="12">
        <v>2.0999999999999977E-3</v>
      </c>
      <c r="H727" s="12">
        <v>0.1086</v>
      </c>
      <c r="I727" s="12">
        <v>0.16289999999999999</v>
      </c>
      <c r="J727" s="9" t="s">
        <v>412</v>
      </c>
      <c r="K727" s="9" t="s">
        <v>604</v>
      </c>
    </row>
    <row r="728" spans="1:11" ht="28.8">
      <c r="A728" s="9" t="s">
        <v>679</v>
      </c>
      <c r="B728" s="9" t="s">
        <v>669</v>
      </c>
      <c r="C728" s="9" t="s">
        <v>666</v>
      </c>
      <c r="D728" s="12">
        <v>-0.113</v>
      </c>
      <c r="E728" s="12">
        <v>8.3900000000000002E-2</v>
      </c>
      <c r="F728" s="12">
        <v>0.2913</v>
      </c>
      <c r="G728" s="12">
        <v>-1.455E-2</v>
      </c>
      <c r="H728" s="12">
        <v>8.7400000000000005E-2</v>
      </c>
      <c r="I728" s="12">
        <v>0.16270000000000001</v>
      </c>
      <c r="J728" s="9" t="s">
        <v>412</v>
      </c>
      <c r="K728" s="9" t="s">
        <v>604</v>
      </c>
    </row>
    <row r="729" spans="1:11" ht="28.8">
      <c r="A729" s="9" t="s">
        <v>661</v>
      </c>
      <c r="B729" s="9" t="s">
        <v>676</v>
      </c>
      <c r="C729" s="9" t="s">
        <v>659</v>
      </c>
      <c r="D729" s="12">
        <v>4.3499999999999997E-2</v>
      </c>
      <c r="E729" s="12">
        <v>0.33629999999999999</v>
      </c>
      <c r="F729" s="12">
        <v>0.1076</v>
      </c>
      <c r="G729" s="12">
        <v>0.18989999999999999</v>
      </c>
      <c r="H729" s="12">
        <v>0.16250000000000001</v>
      </c>
      <c r="I729" s="12">
        <v>0.16250000000000001</v>
      </c>
      <c r="J729" s="9" t="s">
        <v>412</v>
      </c>
      <c r="K729" s="9" t="s">
        <v>654</v>
      </c>
    </row>
    <row r="730" spans="1:11" ht="28.8">
      <c r="A730" s="9" t="s">
        <v>671</v>
      </c>
      <c r="B730" s="9" t="s">
        <v>653</v>
      </c>
      <c r="C730" s="9" t="s">
        <v>677</v>
      </c>
      <c r="D730" s="12">
        <v>6.8900000000000003E-2</v>
      </c>
      <c r="E730" s="12">
        <v>-0.09</v>
      </c>
      <c r="F730" s="12">
        <v>0.32829999999999998</v>
      </c>
      <c r="G730" s="12">
        <v>-1.0549999999999997E-2</v>
      </c>
      <c r="H730" s="12">
        <v>0.1024</v>
      </c>
      <c r="I730" s="12">
        <v>0.16239999999999999</v>
      </c>
      <c r="J730" s="9" t="s">
        <v>412</v>
      </c>
      <c r="K730" s="9" t="s">
        <v>604</v>
      </c>
    </row>
    <row r="731" spans="1:11">
      <c r="A731" s="9" t="s">
        <v>662</v>
      </c>
      <c r="B731" s="9" t="s">
        <v>660</v>
      </c>
      <c r="C731" s="9" t="s">
        <v>663</v>
      </c>
      <c r="D731" s="12">
        <v>7.4700000000000003E-2</v>
      </c>
      <c r="E731" s="12">
        <v>-0.1187</v>
      </c>
      <c r="F731" s="12">
        <v>-0.29349999999999998</v>
      </c>
      <c r="G731" s="12">
        <v>-2.1999999999999999E-2</v>
      </c>
      <c r="H731" s="12">
        <v>-0.1125</v>
      </c>
      <c r="I731" s="12">
        <v>0.1623</v>
      </c>
      <c r="J731" s="9" t="s">
        <v>412</v>
      </c>
      <c r="K731" s="9" t="s">
        <v>604</v>
      </c>
    </row>
    <row r="732" spans="1:11" ht="28.8">
      <c r="A732" s="9" t="s">
        <v>671</v>
      </c>
      <c r="B732" s="9" t="s">
        <v>685</v>
      </c>
      <c r="C732" s="9" t="s">
        <v>655</v>
      </c>
      <c r="D732" s="12">
        <v>0.1215</v>
      </c>
      <c r="E732" s="12">
        <v>0.19439999999999999</v>
      </c>
      <c r="F732" s="12">
        <v>0.17069999999999999</v>
      </c>
      <c r="G732" s="12">
        <v>0.15794999999999998</v>
      </c>
      <c r="H732" s="12">
        <v>0.16220000000000001</v>
      </c>
      <c r="I732" s="12">
        <v>0.16220000000000001</v>
      </c>
      <c r="J732" s="9" t="s">
        <v>412</v>
      </c>
      <c r="K732" s="9" t="s">
        <v>654</v>
      </c>
    </row>
    <row r="733" spans="1:11" ht="28.8">
      <c r="A733" s="9" t="s">
        <v>661</v>
      </c>
      <c r="B733" s="9" t="s">
        <v>657</v>
      </c>
      <c r="C733" s="9" t="s">
        <v>664</v>
      </c>
      <c r="D733" s="12">
        <v>-2.4199999999999999E-2</v>
      </c>
      <c r="E733" s="12">
        <v>-0.2077</v>
      </c>
      <c r="F733" s="12">
        <v>0.25440000000000002</v>
      </c>
      <c r="G733" s="12">
        <v>-0.11595</v>
      </c>
      <c r="H733" s="12">
        <v>7.4999999999999997E-3</v>
      </c>
      <c r="I733" s="12">
        <v>0.16209999999999999</v>
      </c>
      <c r="J733" s="9" t="s">
        <v>412</v>
      </c>
      <c r="K733" s="9" t="s">
        <v>604</v>
      </c>
    </row>
    <row r="734" spans="1:11" ht="28.8">
      <c r="A734" s="9" t="s">
        <v>603</v>
      </c>
      <c r="B734" s="9" t="s">
        <v>678</v>
      </c>
      <c r="C734" s="9" t="s">
        <v>674</v>
      </c>
      <c r="D734" s="12">
        <v>-0.1212</v>
      </c>
      <c r="E734" s="12">
        <v>0.17549999999999999</v>
      </c>
      <c r="F734" s="12">
        <v>-0.18970000000000001</v>
      </c>
      <c r="G734" s="12">
        <v>2.7149999999999994E-2</v>
      </c>
      <c r="H734" s="12">
        <v>-4.5199999999999997E-2</v>
      </c>
      <c r="I734" s="12">
        <v>0.16209999999999999</v>
      </c>
      <c r="J734" s="9" t="s">
        <v>412</v>
      </c>
      <c r="K734" s="9" t="s">
        <v>604</v>
      </c>
    </row>
    <row r="735" spans="1:11" ht="28.8">
      <c r="A735" s="9" t="s">
        <v>662</v>
      </c>
      <c r="B735" s="9" t="s">
        <v>676</v>
      </c>
      <c r="C735" s="9" t="s">
        <v>675</v>
      </c>
      <c r="D735" s="12">
        <v>0.14630000000000001</v>
      </c>
      <c r="E735" s="12">
        <v>0.17610000000000001</v>
      </c>
      <c r="F735" s="12">
        <v>0.16320000000000001</v>
      </c>
      <c r="G735" s="12">
        <v>0.16120000000000001</v>
      </c>
      <c r="H735" s="12">
        <v>0.16189999999999999</v>
      </c>
      <c r="I735" s="12">
        <v>0.16189999999999999</v>
      </c>
      <c r="J735" s="9" t="s">
        <v>412</v>
      </c>
      <c r="K735" s="9" t="s">
        <v>654</v>
      </c>
    </row>
    <row r="736" spans="1:11">
      <c r="A736" s="9" t="s">
        <v>682</v>
      </c>
      <c r="B736" s="9" t="s">
        <v>681</v>
      </c>
      <c r="C736" s="9" t="s">
        <v>670</v>
      </c>
      <c r="D736" s="12">
        <v>-0.19359999999999999</v>
      </c>
      <c r="E736" s="12">
        <v>0.15890000000000001</v>
      </c>
      <c r="F736" s="12">
        <v>-0.1333</v>
      </c>
      <c r="G736" s="12">
        <v>-1.734999999999999E-2</v>
      </c>
      <c r="H736" s="12">
        <v>-5.6000000000000001E-2</v>
      </c>
      <c r="I736" s="12">
        <v>0.16189999999999999</v>
      </c>
      <c r="J736" s="9" t="s">
        <v>412</v>
      </c>
      <c r="K736" s="9" t="s">
        <v>604</v>
      </c>
    </row>
    <row r="737" spans="1:11" ht="28.8">
      <c r="A737" s="9" t="s">
        <v>662</v>
      </c>
      <c r="B737" s="9" t="s">
        <v>613</v>
      </c>
      <c r="C737" s="9" t="s">
        <v>601</v>
      </c>
      <c r="D737" s="12">
        <v>-0.1173</v>
      </c>
      <c r="E737" s="12">
        <v>6.2399999999999997E-2</v>
      </c>
      <c r="F737" s="12">
        <v>-0.30580000000000002</v>
      </c>
      <c r="G737" s="12">
        <v>-2.7450000000000002E-2</v>
      </c>
      <c r="H737" s="12">
        <v>-0.1202</v>
      </c>
      <c r="I737" s="12">
        <v>0.1618</v>
      </c>
      <c r="J737" s="9" t="s">
        <v>412</v>
      </c>
      <c r="K737" s="9" t="s">
        <v>604</v>
      </c>
    </row>
    <row r="738" spans="1:11" ht="28.8">
      <c r="A738" s="9" t="s">
        <v>603</v>
      </c>
      <c r="B738" s="9" t="s">
        <v>681</v>
      </c>
      <c r="C738" s="9" t="s">
        <v>663</v>
      </c>
      <c r="D738" s="12">
        <v>-0.2828</v>
      </c>
      <c r="E738" s="12">
        <v>-0.19009999999999999</v>
      </c>
      <c r="F738" s="12">
        <v>1.23E-2</v>
      </c>
      <c r="G738" s="12">
        <v>-0.23644999999999999</v>
      </c>
      <c r="H738" s="12">
        <v>-0.1535</v>
      </c>
      <c r="I738" s="12">
        <v>0.16170000000000001</v>
      </c>
      <c r="J738" s="9" t="s">
        <v>412</v>
      </c>
      <c r="K738" s="9" t="s">
        <v>604</v>
      </c>
    </row>
    <row r="739" spans="1:11" ht="28.8">
      <c r="A739" s="9" t="s">
        <v>661</v>
      </c>
      <c r="B739" s="9" t="s">
        <v>657</v>
      </c>
      <c r="C739" s="9" t="s">
        <v>675</v>
      </c>
      <c r="D739" s="12">
        <v>0.14380000000000001</v>
      </c>
      <c r="E739" s="12">
        <v>-0.2077</v>
      </c>
      <c r="F739" s="12">
        <v>-0.13370000000000001</v>
      </c>
      <c r="G739" s="12">
        <v>-3.1949999999999992E-2</v>
      </c>
      <c r="H739" s="12">
        <v>-6.59E-2</v>
      </c>
      <c r="I739" s="12">
        <v>0.16170000000000001</v>
      </c>
      <c r="J739" s="9" t="s">
        <v>412</v>
      </c>
      <c r="K739" s="9" t="s">
        <v>604</v>
      </c>
    </row>
    <row r="740" spans="1:11">
      <c r="A740" s="9" t="s">
        <v>610</v>
      </c>
      <c r="B740" s="9" t="s">
        <v>672</v>
      </c>
      <c r="C740" s="9" t="s">
        <v>670</v>
      </c>
      <c r="D740" s="12">
        <v>-0.1699</v>
      </c>
      <c r="E740" s="12">
        <v>7.0999999999999994E-2</v>
      </c>
      <c r="F740" s="12">
        <v>-0.24260000000000001</v>
      </c>
      <c r="G740" s="12">
        <v>-4.9450000000000001E-2</v>
      </c>
      <c r="H740" s="12">
        <v>-0.1138</v>
      </c>
      <c r="I740" s="12">
        <v>0.16120000000000001</v>
      </c>
      <c r="J740" s="9" t="s">
        <v>412</v>
      </c>
      <c r="K740" s="9" t="s">
        <v>604</v>
      </c>
    </row>
    <row r="741" spans="1:11">
      <c r="A741" s="9" t="s">
        <v>682</v>
      </c>
      <c r="B741" s="9" t="s">
        <v>685</v>
      </c>
      <c r="C741" s="9" t="s">
        <v>667</v>
      </c>
      <c r="D741" s="12">
        <v>-0.02</v>
      </c>
      <c r="E741" s="12">
        <v>0.12429999999999999</v>
      </c>
      <c r="F741" s="12">
        <v>0.33929999999999999</v>
      </c>
      <c r="G741" s="12">
        <v>5.2149999999999995E-2</v>
      </c>
      <c r="H741" s="12">
        <v>0.1479</v>
      </c>
      <c r="I741" s="12">
        <v>0.16120000000000001</v>
      </c>
      <c r="J741" s="9" t="s">
        <v>412</v>
      </c>
      <c r="K741" s="9" t="s">
        <v>604</v>
      </c>
    </row>
    <row r="742" spans="1:11" ht="28.8">
      <c r="A742" s="9" t="s">
        <v>609</v>
      </c>
      <c r="B742" s="9" t="s">
        <v>657</v>
      </c>
      <c r="C742" s="9" t="s">
        <v>683</v>
      </c>
      <c r="D742" s="12">
        <v>-0.105</v>
      </c>
      <c r="E742" s="12">
        <v>-0.28839999999999999</v>
      </c>
      <c r="F742" s="12">
        <v>8.9399999999999993E-2</v>
      </c>
      <c r="G742" s="12">
        <v>-0.19669999999999999</v>
      </c>
      <c r="H742" s="12">
        <v>-0.1013</v>
      </c>
      <c r="I742" s="12">
        <v>0.161</v>
      </c>
      <c r="J742" s="9" t="s">
        <v>412</v>
      </c>
      <c r="K742" s="9" t="s">
        <v>604</v>
      </c>
    </row>
    <row r="743" spans="1:11" ht="28.8">
      <c r="A743" s="9" t="s">
        <v>671</v>
      </c>
      <c r="B743" s="9" t="s">
        <v>673</v>
      </c>
      <c r="C743" s="9" t="s">
        <v>675</v>
      </c>
      <c r="D743" s="12">
        <v>0.10780000000000001</v>
      </c>
      <c r="E743" s="12">
        <v>-0.12470000000000001</v>
      </c>
      <c r="F743" s="12">
        <v>-0.25030000000000002</v>
      </c>
      <c r="G743" s="12">
        <v>-8.4499999999999992E-3</v>
      </c>
      <c r="H743" s="12">
        <v>-8.9099999999999999E-2</v>
      </c>
      <c r="I743" s="12">
        <v>0.161</v>
      </c>
      <c r="J743" s="9" t="s">
        <v>412</v>
      </c>
      <c r="K743" s="9" t="s">
        <v>604</v>
      </c>
    </row>
    <row r="744" spans="1:11">
      <c r="A744" s="9" t="s">
        <v>609</v>
      </c>
      <c r="B744" s="9" t="s">
        <v>676</v>
      </c>
      <c r="C744" s="9" t="s">
        <v>667</v>
      </c>
      <c r="D744" s="12">
        <v>0.33360000000000001</v>
      </c>
      <c r="E744" s="12">
        <v>-3.9E-2</v>
      </c>
      <c r="F744" s="12">
        <v>0.1105</v>
      </c>
      <c r="G744" s="12">
        <v>0.14730000000000001</v>
      </c>
      <c r="H744" s="12">
        <v>0.13500000000000001</v>
      </c>
      <c r="I744" s="12">
        <v>0.161</v>
      </c>
      <c r="J744" s="9" t="s">
        <v>412</v>
      </c>
      <c r="K744" s="9" t="s">
        <v>604</v>
      </c>
    </row>
    <row r="745" spans="1:11">
      <c r="A745" s="9" t="s">
        <v>682</v>
      </c>
      <c r="B745" s="9" t="s">
        <v>678</v>
      </c>
      <c r="C745" s="9" t="s">
        <v>655</v>
      </c>
      <c r="D745" s="12">
        <v>7.3099999999999998E-2</v>
      </c>
      <c r="E745" s="12">
        <v>-0.16669999999999999</v>
      </c>
      <c r="F745" s="12">
        <v>-0.2429</v>
      </c>
      <c r="G745" s="12">
        <v>-4.6799999999999994E-2</v>
      </c>
      <c r="H745" s="12">
        <v>-0.11219999999999999</v>
      </c>
      <c r="I745" s="12">
        <v>0.16089999999999999</v>
      </c>
      <c r="J745" s="9" t="s">
        <v>412</v>
      </c>
      <c r="K745" s="9" t="s">
        <v>604</v>
      </c>
    </row>
    <row r="746" spans="1:11" ht="28.8">
      <c r="A746" s="9" t="s">
        <v>679</v>
      </c>
      <c r="B746" s="9" t="s">
        <v>685</v>
      </c>
      <c r="C746" s="9" t="s">
        <v>663</v>
      </c>
      <c r="D746" s="12">
        <v>0.13450000000000001</v>
      </c>
      <c r="E746" s="12">
        <v>0.22770000000000001</v>
      </c>
      <c r="F746" s="12">
        <v>0.1195</v>
      </c>
      <c r="G746" s="12">
        <v>0.18110000000000001</v>
      </c>
      <c r="H746" s="12">
        <v>0.16059999999999999</v>
      </c>
      <c r="I746" s="12">
        <v>0.16059999999999999</v>
      </c>
      <c r="J746" s="9" t="s">
        <v>412</v>
      </c>
      <c r="K746" s="9" t="s">
        <v>654</v>
      </c>
    </row>
    <row r="747" spans="1:11" ht="28.8">
      <c r="A747" s="9" t="s">
        <v>603</v>
      </c>
      <c r="B747" s="9" t="s">
        <v>668</v>
      </c>
      <c r="C747" s="9" t="s">
        <v>667</v>
      </c>
      <c r="D747" s="12">
        <v>-6.3299999999999995E-2</v>
      </c>
      <c r="E747" s="12">
        <v>0.23269999999999999</v>
      </c>
      <c r="F747" s="12">
        <v>-0.1852</v>
      </c>
      <c r="G747" s="12">
        <v>8.4699999999999998E-2</v>
      </c>
      <c r="H747" s="12">
        <v>-5.3E-3</v>
      </c>
      <c r="I747" s="12">
        <v>0.16039999999999999</v>
      </c>
      <c r="J747" s="9" t="s">
        <v>412</v>
      </c>
      <c r="K747" s="9" t="s">
        <v>604</v>
      </c>
    </row>
    <row r="748" spans="1:11" ht="28.8">
      <c r="A748" s="9" t="s">
        <v>603</v>
      </c>
      <c r="B748" s="9" t="s">
        <v>685</v>
      </c>
      <c r="C748" s="9" t="s">
        <v>664</v>
      </c>
      <c r="D748" s="12">
        <v>0.4093</v>
      </c>
      <c r="E748" s="12">
        <v>1.0699999999999999E-2</v>
      </c>
      <c r="F748" s="12">
        <v>6.0699999999999997E-2</v>
      </c>
      <c r="G748" s="12">
        <v>0.21</v>
      </c>
      <c r="H748" s="12">
        <v>0.16020000000000001</v>
      </c>
      <c r="I748" s="12">
        <v>0.16020000000000001</v>
      </c>
      <c r="J748" s="9" t="s">
        <v>412</v>
      </c>
      <c r="K748" s="9" t="s">
        <v>654</v>
      </c>
    </row>
    <row r="749" spans="1:11" ht="28.8">
      <c r="A749" s="9" t="s">
        <v>671</v>
      </c>
      <c r="B749" s="9" t="s">
        <v>668</v>
      </c>
      <c r="C749" s="9" t="s">
        <v>601</v>
      </c>
      <c r="D749" s="12">
        <v>-0.10879999999999999</v>
      </c>
      <c r="E749" s="12">
        <v>-3.2099999999999997E-2</v>
      </c>
      <c r="F749" s="12">
        <v>0.33939999999999998</v>
      </c>
      <c r="G749" s="12">
        <v>-7.0449999999999999E-2</v>
      </c>
      <c r="H749" s="12">
        <v>6.6199999999999995E-2</v>
      </c>
      <c r="I749" s="12">
        <v>0.16009999999999999</v>
      </c>
      <c r="J749" s="9" t="s">
        <v>412</v>
      </c>
      <c r="K749" s="9" t="s">
        <v>604</v>
      </c>
    </row>
    <row r="750" spans="1:11" ht="28.8">
      <c r="A750" s="9" t="s">
        <v>671</v>
      </c>
      <c r="B750" s="9" t="s">
        <v>602</v>
      </c>
      <c r="C750" s="9" t="s">
        <v>667</v>
      </c>
      <c r="D750" s="12">
        <v>0.14219999999999999</v>
      </c>
      <c r="E750" s="12">
        <v>-8.6199999999999999E-2</v>
      </c>
      <c r="F750" s="12">
        <v>0.25119999999999998</v>
      </c>
      <c r="G750" s="12">
        <v>2.7999999999999997E-2</v>
      </c>
      <c r="H750" s="12">
        <v>0.1024</v>
      </c>
      <c r="I750" s="12">
        <v>0.15989999999999999</v>
      </c>
      <c r="J750" s="9" t="s">
        <v>412</v>
      </c>
      <c r="K750" s="9" t="s">
        <v>604</v>
      </c>
    </row>
    <row r="751" spans="1:11" ht="28.8">
      <c r="A751" s="9" t="s">
        <v>610</v>
      </c>
      <c r="B751" s="9" t="s">
        <v>658</v>
      </c>
      <c r="C751" s="9" t="s">
        <v>666</v>
      </c>
      <c r="D751" s="12">
        <v>9.5000000000000001E-2</v>
      </c>
      <c r="E751" s="12">
        <v>-0.1421</v>
      </c>
      <c r="F751" s="12">
        <v>0.24249999999999999</v>
      </c>
      <c r="G751" s="12">
        <v>-2.3550000000000001E-2</v>
      </c>
      <c r="H751" s="12">
        <v>6.5100000000000005E-2</v>
      </c>
      <c r="I751" s="12">
        <v>0.1598</v>
      </c>
      <c r="J751" s="9" t="s">
        <v>412</v>
      </c>
      <c r="K751" s="9" t="s">
        <v>604</v>
      </c>
    </row>
    <row r="752" spans="1:11" ht="28.8">
      <c r="A752" s="9" t="s">
        <v>610</v>
      </c>
      <c r="B752" s="9" t="s">
        <v>691</v>
      </c>
      <c r="C752" s="9" t="s">
        <v>677</v>
      </c>
      <c r="D752" s="12">
        <v>0.10100000000000001</v>
      </c>
      <c r="E752" s="12">
        <v>0.29249999999999998</v>
      </c>
      <c r="F752" s="12">
        <v>8.5900000000000004E-2</v>
      </c>
      <c r="G752" s="12">
        <v>0.19674999999999998</v>
      </c>
      <c r="H752" s="12">
        <v>0.1598</v>
      </c>
      <c r="I752" s="12">
        <v>0.1598</v>
      </c>
      <c r="J752" s="9" t="s">
        <v>412</v>
      </c>
      <c r="K752" s="9" t="s">
        <v>654</v>
      </c>
    </row>
    <row r="753" spans="1:11" ht="28.8">
      <c r="A753" s="9" t="s">
        <v>679</v>
      </c>
      <c r="B753" s="9" t="s">
        <v>657</v>
      </c>
      <c r="C753" s="9" t="s">
        <v>659</v>
      </c>
      <c r="D753" s="12">
        <v>-6.4799999999999996E-2</v>
      </c>
      <c r="E753" s="12">
        <v>0.14180000000000001</v>
      </c>
      <c r="F753" s="12">
        <v>-0.27239999999999998</v>
      </c>
      <c r="G753" s="12">
        <v>3.8500000000000006E-2</v>
      </c>
      <c r="H753" s="12">
        <v>-6.5100000000000005E-2</v>
      </c>
      <c r="I753" s="12">
        <v>0.15970000000000001</v>
      </c>
      <c r="J753" s="9" t="s">
        <v>412</v>
      </c>
      <c r="K753" s="9" t="s">
        <v>604</v>
      </c>
    </row>
    <row r="754" spans="1:11" ht="28.8">
      <c r="A754" s="9" t="s">
        <v>679</v>
      </c>
      <c r="B754" s="9" t="s">
        <v>668</v>
      </c>
      <c r="C754" s="9" t="s">
        <v>656</v>
      </c>
      <c r="D754" s="12">
        <v>-2.2700000000000001E-2</v>
      </c>
      <c r="E754" s="12">
        <v>-3.3300000000000003E-2</v>
      </c>
      <c r="F754" s="12">
        <v>-0.42299999999999999</v>
      </c>
      <c r="G754" s="12">
        <v>-2.8000000000000004E-2</v>
      </c>
      <c r="H754" s="12">
        <v>-0.15970000000000001</v>
      </c>
      <c r="I754" s="12">
        <v>0.15970000000000001</v>
      </c>
      <c r="J754" s="9" t="s">
        <v>412</v>
      </c>
      <c r="K754" s="9" t="s">
        <v>604</v>
      </c>
    </row>
    <row r="755" spans="1:11" ht="28.8">
      <c r="A755" s="9" t="s">
        <v>603</v>
      </c>
      <c r="B755" s="9" t="s">
        <v>686</v>
      </c>
      <c r="C755" s="9" t="s">
        <v>663</v>
      </c>
      <c r="D755" s="12">
        <v>-0.2828</v>
      </c>
      <c r="E755" s="12">
        <v>-0.11899999999999999</v>
      </c>
      <c r="F755" s="12">
        <v>7.7299999999999994E-2</v>
      </c>
      <c r="G755" s="12">
        <v>-0.2009</v>
      </c>
      <c r="H755" s="12">
        <v>-0.1082</v>
      </c>
      <c r="I755" s="12">
        <v>0.15970000000000001</v>
      </c>
      <c r="J755" s="9" t="s">
        <v>412</v>
      </c>
      <c r="K755" s="9" t="s">
        <v>604</v>
      </c>
    </row>
    <row r="756" spans="1:11" ht="28.8">
      <c r="A756" s="9" t="s">
        <v>609</v>
      </c>
      <c r="B756" s="9" t="s">
        <v>678</v>
      </c>
      <c r="C756" s="9" t="s">
        <v>601</v>
      </c>
      <c r="D756" s="12">
        <v>-0.1671</v>
      </c>
      <c r="E756" s="12">
        <v>-0.10390000000000001</v>
      </c>
      <c r="F756" s="12">
        <v>0.2079</v>
      </c>
      <c r="G756" s="12">
        <v>-0.13550000000000001</v>
      </c>
      <c r="H756" s="12">
        <v>-2.1000000000000001E-2</v>
      </c>
      <c r="I756" s="12">
        <v>0.15959999999999999</v>
      </c>
      <c r="J756" s="9" t="s">
        <v>412</v>
      </c>
      <c r="K756" s="9" t="s">
        <v>604</v>
      </c>
    </row>
    <row r="757" spans="1:11" ht="28.8">
      <c r="A757" s="9" t="s">
        <v>603</v>
      </c>
      <c r="B757" s="9" t="s">
        <v>691</v>
      </c>
      <c r="C757" s="9" t="s">
        <v>656</v>
      </c>
      <c r="D757" s="12">
        <v>-0.41320000000000001</v>
      </c>
      <c r="E757" s="12">
        <v>3.3000000000000002E-2</v>
      </c>
      <c r="F757" s="12">
        <v>-3.2500000000000001E-2</v>
      </c>
      <c r="G757" s="12">
        <v>-0.19009999999999999</v>
      </c>
      <c r="H757" s="12">
        <v>-0.1376</v>
      </c>
      <c r="I757" s="12">
        <v>0.15959999999999999</v>
      </c>
      <c r="J757" s="9" t="s">
        <v>412</v>
      </c>
      <c r="K757" s="9" t="s">
        <v>604</v>
      </c>
    </row>
    <row r="758" spans="1:11" ht="28.8">
      <c r="A758" s="9" t="s">
        <v>603</v>
      </c>
      <c r="B758" s="9" t="s">
        <v>613</v>
      </c>
      <c r="C758" s="9" t="s">
        <v>690</v>
      </c>
      <c r="D758" s="12">
        <v>4.1099999999999998E-2</v>
      </c>
      <c r="E758" s="12">
        <v>-0.35630000000000001</v>
      </c>
      <c r="F758" s="12">
        <v>-8.0600000000000005E-2</v>
      </c>
      <c r="G758" s="12">
        <v>-0.15760000000000002</v>
      </c>
      <c r="H758" s="12">
        <v>-0.13189999999999999</v>
      </c>
      <c r="I758" s="12">
        <v>0.15939999999999999</v>
      </c>
      <c r="J758" s="9" t="s">
        <v>412</v>
      </c>
      <c r="K758" s="9" t="s">
        <v>604</v>
      </c>
    </row>
    <row r="759" spans="1:11" ht="28.8">
      <c r="A759" s="9" t="s">
        <v>662</v>
      </c>
      <c r="B759" s="9" t="s">
        <v>676</v>
      </c>
      <c r="C759" s="9" t="s">
        <v>601</v>
      </c>
      <c r="D759" s="12">
        <v>-0.1173</v>
      </c>
      <c r="E759" s="12">
        <v>0.17610000000000001</v>
      </c>
      <c r="F759" s="12">
        <v>-0.18490000000000001</v>
      </c>
      <c r="G759" s="12">
        <v>2.9400000000000003E-2</v>
      </c>
      <c r="H759" s="12">
        <v>-4.2000000000000003E-2</v>
      </c>
      <c r="I759" s="12">
        <v>0.15939999999999999</v>
      </c>
      <c r="J759" s="9" t="s">
        <v>412</v>
      </c>
      <c r="K759" s="9" t="s">
        <v>604</v>
      </c>
    </row>
    <row r="760" spans="1:11" ht="28.8">
      <c r="A760" s="9" t="s">
        <v>671</v>
      </c>
      <c r="B760" s="9" t="s">
        <v>657</v>
      </c>
      <c r="C760" s="9" t="s">
        <v>664</v>
      </c>
      <c r="D760" s="12">
        <v>-9.0800000000000006E-2</v>
      </c>
      <c r="E760" s="12">
        <v>-0.1326</v>
      </c>
      <c r="F760" s="12">
        <v>0.25440000000000002</v>
      </c>
      <c r="G760" s="12">
        <v>-0.11169999999999999</v>
      </c>
      <c r="H760" s="12">
        <v>1.03E-2</v>
      </c>
      <c r="I760" s="12">
        <v>0.1593</v>
      </c>
      <c r="J760" s="9" t="s">
        <v>412</v>
      </c>
      <c r="K760" s="9" t="s">
        <v>604</v>
      </c>
    </row>
    <row r="761" spans="1:11">
      <c r="A761" s="9" t="s">
        <v>610</v>
      </c>
      <c r="B761" s="9" t="s">
        <v>688</v>
      </c>
      <c r="C761" s="9" t="s">
        <v>663</v>
      </c>
      <c r="D761" s="12">
        <v>-0.2303</v>
      </c>
      <c r="E761" s="12">
        <v>8.5699999999999998E-2</v>
      </c>
      <c r="F761" s="12">
        <v>0.16059999999999999</v>
      </c>
      <c r="G761" s="12">
        <v>-7.2300000000000003E-2</v>
      </c>
      <c r="H761" s="12">
        <v>5.3E-3</v>
      </c>
      <c r="I761" s="12">
        <v>0.1588</v>
      </c>
      <c r="J761" s="9" t="s">
        <v>412</v>
      </c>
      <c r="K761" s="9" t="s">
        <v>604</v>
      </c>
    </row>
    <row r="762" spans="1:11" ht="28.8">
      <c r="A762" s="9" t="s">
        <v>661</v>
      </c>
      <c r="B762" s="9" t="s">
        <v>688</v>
      </c>
      <c r="C762" s="9" t="s">
        <v>670</v>
      </c>
      <c r="D762" s="12">
        <v>-0.29680000000000001</v>
      </c>
      <c r="E762" s="12">
        <v>6.8500000000000005E-2</v>
      </c>
      <c r="F762" s="12">
        <v>-0.1111</v>
      </c>
      <c r="G762" s="12">
        <v>-0.11415</v>
      </c>
      <c r="H762" s="12">
        <v>-0.11310000000000001</v>
      </c>
      <c r="I762" s="12">
        <v>0.1588</v>
      </c>
      <c r="J762" s="9" t="s">
        <v>412</v>
      </c>
      <c r="K762" s="9" t="s">
        <v>604</v>
      </c>
    </row>
    <row r="763" spans="1:11" ht="28.8">
      <c r="A763" s="9" t="s">
        <v>662</v>
      </c>
      <c r="B763" s="9" t="s">
        <v>657</v>
      </c>
      <c r="C763" s="9" t="s">
        <v>666</v>
      </c>
      <c r="D763" s="12">
        <v>-0.1094</v>
      </c>
      <c r="E763" s="12">
        <v>4.3299999999999998E-2</v>
      </c>
      <c r="F763" s="12">
        <v>-0.32350000000000001</v>
      </c>
      <c r="G763" s="12">
        <v>-3.3049999999999996E-2</v>
      </c>
      <c r="H763" s="12">
        <v>-0.1298</v>
      </c>
      <c r="I763" s="12">
        <v>0.15870000000000001</v>
      </c>
      <c r="J763" s="9" t="s">
        <v>412</v>
      </c>
      <c r="K763" s="9" t="s">
        <v>604</v>
      </c>
    </row>
    <row r="764" spans="1:11">
      <c r="A764" s="9" t="s">
        <v>662</v>
      </c>
      <c r="B764" s="9" t="s">
        <v>689</v>
      </c>
      <c r="C764" s="9" t="s">
        <v>670</v>
      </c>
      <c r="D764" s="12">
        <v>-0.18790000000000001</v>
      </c>
      <c r="E764" s="12">
        <v>-8.6699999999999999E-2</v>
      </c>
      <c r="F764" s="12">
        <v>0.20100000000000001</v>
      </c>
      <c r="G764" s="12">
        <v>-0.13730000000000001</v>
      </c>
      <c r="H764" s="12">
        <v>-2.4500000000000001E-2</v>
      </c>
      <c r="I764" s="12">
        <v>0.15859999999999999</v>
      </c>
      <c r="J764" s="9" t="s">
        <v>412</v>
      </c>
      <c r="K764" s="9" t="s">
        <v>604</v>
      </c>
    </row>
    <row r="765" spans="1:11" ht="28.8">
      <c r="A765" s="9" t="s">
        <v>609</v>
      </c>
      <c r="B765" s="9" t="s">
        <v>602</v>
      </c>
      <c r="C765" s="9" t="s">
        <v>674</v>
      </c>
      <c r="D765" s="12">
        <v>-8.6999999999999994E-3</v>
      </c>
      <c r="E765" s="12">
        <v>-0.2089</v>
      </c>
      <c r="F765" s="12">
        <v>0.2581</v>
      </c>
      <c r="G765" s="12">
        <v>-0.10880000000000001</v>
      </c>
      <c r="H765" s="12">
        <v>1.35E-2</v>
      </c>
      <c r="I765" s="12">
        <v>0.15859999999999999</v>
      </c>
      <c r="J765" s="9" t="s">
        <v>412</v>
      </c>
      <c r="K765" s="9" t="s">
        <v>604</v>
      </c>
    </row>
    <row r="766" spans="1:11" ht="28.8">
      <c r="A766" s="9" t="s">
        <v>671</v>
      </c>
      <c r="B766" s="9" t="s">
        <v>653</v>
      </c>
      <c r="C766" s="9" t="s">
        <v>659</v>
      </c>
      <c r="D766" s="12">
        <v>0.13159999999999999</v>
      </c>
      <c r="E766" s="12">
        <v>-0.09</v>
      </c>
      <c r="F766" s="12">
        <v>-0.2535</v>
      </c>
      <c r="G766" s="12">
        <v>2.0799999999999999E-2</v>
      </c>
      <c r="H766" s="12">
        <v>-7.0599999999999996E-2</v>
      </c>
      <c r="I766" s="12">
        <v>0.15840000000000001</v>
      </c>
      <c r="J766" s="9" t="s">
        <v>412</v>
      </c>
      <c r="K766" s="9" t="s">
        <v>604</v>
      </c>
    </row>
    <row r="767" spans="1:11">
      <c r="A767" s="9" t="s">
        <v>662</v>
      </c>
      <c r="B767" s="9" t="s">
        <v>681</v>
      </c>
      <c r="C767" s="9" t="s">
        <v>670</v>
      </c>
      <c r="D767" s="12">
        <v>-0.18790000000000001</v>
      </c>
      <c r="E767" s="12">
        <v>0.1535</v>
      </c>
      <c r="F767" s="12">
        <v>-0.1333</v>
      </c>
      <c r="G767" s="12">
        <v>-1.7200000000000007E-2</v>
      </c>
      <c r="H767" s="12">
        <v>-5.5899999999999998E-2</v>
      </c>
      <c r="I767" s="12">
        <v>0.15820000000000001</v>
      </c>
      <c r="J767" s="9" t="s">
        <v>412</v>
      </c>
      <c r="K767" s="9" t="s">
        <v>604</v>
      </c>
    </row>
    <row r="768" spans="1:11">
      <c r="A768" s="9" t="s">
        <v>610</v>
      </c>
      <c r="B768" s="9" t="s">
        <v>658</v>
      </c>
      <c r="C768" s="9" t="s">
        <v>656</v>
      </c>
      <c r="D768" s="12">
        <v>6.5699999999999995E-2</v>
      </c>
      <c r="E768" s="12">
        <v>-0.1421</v>
      </c>
      <c r="F768" s="12">
        <v>0.2661</v>
      </c>
      <c r="G768" s="12">
        <v>-3.8200000000000005E-2</v>
      </c>
      <c r="H768" s="12">
        <v>6.3200000000000006E-2</v>
      </c>
      <c r="I768" s="12">
        <v>0.158</v>
      </c>
      <c r="J768" s="9" t="s">
        <v>412</v>
      </c>
      <c r="K768" s="9" t="s">
        <v>604</v>
      </c>
    </row>
    <row r="769" spans="1:11" ht="28.8">
      <c r="A769" s="9" t="s">
        <v>671</v>
      </c>
      <c r="B769" s="9" t="s">
        <v>676</v>
      </c>
      <c r="C769" s="9" t="s">
        <v>667</v>
      </c>
      <c r="D769" s="12">
        <v>0.14219999999999999</v>
      </c>
      <c r="E769" s="12">
        <v>0.2205</v>
      </c>
      <c r="F769" s="12">
        <v>0.1105</v>
      </c>
      <c r="G769" s="12">
        <v>0.18135000000000001</v>
      </c>
      <c r="H769" s="12">
        <v>0.15770000000000001</v>
      </c>
      <c r="I769" s="12">
        <v>0.15770000000000001</v>
      </c>
      <c r="J769" s="9" t="s">
        <v>412</v>
      </c>
      <c r="K769" s="9" t="s">
        <v>654</v>
      </c>
    </row>
    <row r="770" spans="1:11">
      <c r="A770" s="9" t="s">
        <v>682</v>
      </c>
      <c r="B770" s="9" t="s">
        <v>602</v>
      </c>
      <c r="C770" s="9" t="s">
        <v>656</v>
      </c>
      <c r="D770" s="12">
        <v>-1.9900000000000001E-2</v>
      </c>
      <c r="E770" s="12">
        <v>9.5699999999999993E-2</v>
      </c>
      <c r="F770" s="12">
        <v>0.35680000000000001</v>
      </c>
      <c r="G770" s="12">
        <v>3.7899999999999996E-2</v>
      </c>
      <c r="H770" s="12">
        <v>0.14419999999999999</v>
      </c>
      <c r="I770" s="12">
        <v>0.1575</v>
      </c>
      <c r="J770" s="9" t="s">
        <v>412</v>
      </c>
      <c r="K770" s="9" t="s">
        <v>604</v>
      </c>
    </row>
    <row r="771" spans="1:11" ht="28.8">
      <c r="A771" s="9" t="s">
        <v>679</v>
      </c>
      <c r="B771" s="9" t="s">
        <v>676</v>
      </c>
      <c r="C771" s="9" t="s">
        <v>675</v>
      </c>
      <c r="D771" s="12">
        <v>4.0599999999999997E-2</v>
      </c>
      <c r="E771" s="12">
        <v>0.26829999999999998</v>
      </c>
      <c r="F771" s="12">
        <v>0.16320000000000001</v>
      </c>
      <c r="G771" s="12">
        <v>0.15444999999999998</v>
      </c>
      <c r="H771" s="12">
        <v>0.15740000000000001</v>
      </c>
      <c r="I771" s="12">
        <v>0.15740000000000001</v>
      </c>
      <c r="J771" s="9" t="s">
        <v>412</v>
      </c>
      <c r="K771" s="9" t="s">
        <v>654</v>
      </c>
    </row>
    <row r="772" spans="1:11" ht="28.8">
      <c r="A772" s="9" t="s">
        <v>661</v>
      </c>
      <c r="B772" s="9" t="s">
        <v>691</v>
      </c>
      <c r="C772" s="9" t="s">
        <v>670</v>
      </c>
      <c r="D772" s="12">
        <v>-0.29680000000000001</v>
      </c>
      <c r="E772" s="12">
        <v>4.9000000000000002E-2</v>
      </c>
      <c r="F772" s="12">
        <v>0.1258</v>
      </c>
      <c r="G772" s="12">
        <v>-0.12390000000000001</v>
      </c>
      <c r="H772" s="12">
        <v>-4.07E-2</v>
      </c>
      <c r="I772" s="12">
        <v>0.15720000000000001</v>
      </c>
      <c r="J772" s="9" t="s">
        <v>412</v>
      </c>
      <c r="K772" s="9" t="s">
        <v>604</v>
      </c>
    </row>
    <row r="773" spans="1:11">
      <c r="A773" s="9" t="s">
        <v>682</v>
      </c>
      <c r="B773" s="9" t="s">
        <v>660</v>
      </c>
      <c r="C773" s="9" t="s">
        <v>656</v>
      </c>
      <c r="D773" s="12">
        <v>-1.9900000000000001E-2</v>
      </c>
      <c r="E773" s="12">
        <v>-9.1399999999999995E-2</v>
      </c>
      <c r="F773" s="12">
        <v>-0.35949999999999999</v>
      </c>
      <c r="G773" s="12">
        <v>-5.5649999999999998E-2</v>
      </c>
      <c r="H773" s="12">
        <v>-0.15690000000000001</v>
      </c>
      <c r="I773" s="12">
        <v>0.15690000000000001</v>
      </c>
      <c r="J773" s="9" t="s">
        <v>412</v>
      </c>
      <c r="K773" s="9" t="s">
        <v>604</v>
      </c>
    </row>
    <row r="774" spans="1:11" ht="28.8">
      <c r="A774" s="9" t="s">
        <v>679</v>
      </c>
      <c r="B774" s="9" t="s">
        <v>672</v>
      </c>
      <c r="C774" s="9" t="s">
        <v>670</v>
      </c>
      <c r="D774" s="12">
        <v>-9.5200000000000007E-2</v>
      </c>
      <c r="E774" s="12">
        <v>0.13270000000000001</v>
      </c>
      <c r="F774" s="12">
        <v>-0.24260000000000001</v>
      </c>
      <c r="G774" s="12">
        <v>1.8750000000000003E-2</v>
      </c>
      <c r="H774" s="12">
        <v>-6.83E-2</v>
      </c>
      <c r="I774" s="12">
        <v>0.15679999999999999</v>
      </c>
      <c r="J774" s="9" t="s">
        <v>412</v>
      </c>
      <c r="K774" s="9" t="s">
        <v>604</v>
      </c>
    </row>
    <row r="775" spans="1:11">
      <c r="A775" s="9" t="s">
        <v>662</v>
      </c>
      <c r="B775" s="9" t="s">
        <v>602</v>
      </c>
      <c r="C775" s="9" t="s">
        <v>667</v>
      </c>
      <c r="D775" s="12">
        <v>0.12540000000000001</v>
      </c>
      <c r="E775" s="12">
        <v>9.3799999999999994E-2</v>
      </c>
      <c r="F775" s="12">
        <v>0.25119999999999998</v>
      </c>
      <c r="G775" s="12">
        <v>0.1096</v>
      </c>
      <c r="H775" s="12">
        <v>0.15679999999999999</v>
      </c>
      <c r="I775" s="12">
        <v>0.15679999999999999</v>
      </c>
      <c r="J775" s="9" t="s">
        <v>412</v>
      </c>
      <c r="K775" s="9" t="s">
        <v>654</v>
      </c>
    </row>
    <row r="776" spans="1:11" ht="28.8">
      <c r="A776" s="9" t="s">
        <v>609</v>
      </c>
      <c r="B776" s="9" t="s">
        <v>653</v>
      </c>
      <c r="C776" s="9" t="s">
        <v>683</v>
      </c>
      <c r="D776" s="12">
        <v>-0.105</v>
      </c>
      <c r="E776" s="12">
        <v>-0.2389</v>
      </c>
      <c r="F776" s="12">
        <v>0.12620000000000001</v>
      </c>
      <c r="G776" s="12">
        <v>-0.17194999999999999</v>
      </c>
      <c r="H776" s="12">
        <v>-7.2499999999999995E-2</v>
      </c>
      <c r="I776" s="12">
        <v>0.15670000000000001</v>
      </c>
      <c r="J776" s="9" t="s">
        <v>412</v>
      </c>
      <c r="K776" s="9" t="s">
        <v>604</v>
      </c>
    </row>
    <row r="777" spans="1:11">
      <c r="A777" s="9" t="s">
        <v>609</v>
      </c>
      <c r="B777" s="9" t="s">
        <v>672</v>
      </c>
      <c r="C777" s="9" t="s">
        <v>663</v>
      </c>
      <c r="D777" s="12">
        <v>-0.12770000000000001</v>
      </c>
      <c r="E777" s="12">
        <v>-0.1148</v>
      </c>
      <c r="F777" s="12">
        <v>0.22750000000000001</v>
      </c>
      <c r="G777" s="12">
        <v>-0.12125</v>
      </c>
      <c r="H777" s="12">
        <v>-5.0000000000000001E-3</v>
      </c>
      <c r="I777" s="12">
        <v>0.15670000000000001</v>
      </c>
      <c r="J777" s="9" t="s">
        <v>412</v>
      </c>
      <c r="K777" s="9" t="s">
        <v>604</v>
      </c>
    </row>
    <row r="778" spans="1:11" ht="28.8">
      <c r="A778" s="9" t="s">
        <v>610</v>
      </c>
      <c r="B778" s="9" t="s">
        <v>689</v>
      </c>
      <c r="C778" s="9" t="s">
        <v>690</v>
      </c>
      <c r="D778" s="12">
        <v>-5.8599999999999999E-2</v>
      </c>
      <c r="E778" s="12">
        <v>-1.21E-2</v>
      </c>
      <c r="F778" s="12">
        <v>0.39879999999999999</v>
      </c>
      <c r="G778" s="12">
        <v>-3.5349999999999999E-2</v>
      </c>
      <c r="H778" s="12">
        <v>0.1094</v>
      </c>
      <c r="I778" s="12">
        <v>0.1565</v>
      </c>
      <c r="J778" s="9" t="s">
        <v>412</v>
      </c>
      <c r="K778" s="9" t="s">
        <v>604</v>
      </c>
    </row>
    <row r="779" spans="1:11" ht="28.8">
      <c r="A779" s="9" t="s">
        <v>671</v>
      </c>
      <c r="B779" s="9" t="s">
        <v>657</v>
      </c>
      <c r="C779" s="9" t="s">
        <v>666</v>
      </c>
      <c r="D779" s="12">
        <v>1.34E-2</v>
      </c>
      <c r="E779" s="12">
        <v>-0.1326</v>
      </c>
      <c r="F779" s="12">
        <v>-0.32350000000000001</v>
      </c>
      <c r="G779" s="12">
        <v>-5.96E-2</v>
      </c>
      <c r="H779" s="12">
        <v>-0.14760000000000001</v>
      </c>
      <c r="I779" s="12">
        <v>0.1565</v>
      </c>
      <c r="J779" s="9" t="s">
        <v>412</v>
      </c>
      <c r="K779" s="9" t="s">
        <v>604</v>
      </c>
    </row>
    <row r="780" spans="1:11" ht="28.8">
      <c r="A780" s="9" t="s">
        <v>671</v>
      </c>
      <c r="B780" s="9" t="s">
        <v>673</v>
      </c>
      <c r="C780" s="9" t="s">
        <v>655</v>
      </c>
      <c r="D780" s="12">
        <v>0.1215</v>
      </c>
      <c r="E780" s="12">
        <v>-0.12470000000000001</v>
      </c>
      <c r="F780" s="12">
        <v>-0.22339999999999999</v>
      </c>
      <c r="G780" s="12">
        <v>-1.6000000000000042E-3</v>
      </c>
      <c r="H780" s="12">
        <v>-7.5499999999999998E-2</v>
      </c>
      <c r="I780" s="12">
        <v>0.1565</v>
      </c>
      <c r="J780" s="9" t="s">
        <v>412</v>
      </c>
      <c r="K780" s="9" t="s">
        <v>604</v>
      </c>
    </row>
    <row r="781" spans="1:11">
      <c r="A781" s="9" t="s">
        <v>609</v>
      </c>
      <c r="B781" s="9" t="s">
        <v>672</v>
      </c>
      <c r="C781" s="9" t="s">
        <v>655</v>
      </c>
      <c r="D781" s="12">
        <v>0.16819999999999999</v>
      </c>
      <c r="E781" s="12">
        <v>-0.1148</v>
      </c>
      <c r="F781" s="12">
        <v>0.1862</v>
      </c>
      <c r="G781" s="12">
        <v>2.6699999999999995E-2</v>
      </c>
      <c r="H781" s="12">
        <v>7.9899999999999999E-2</v>
      </c>
      <c r="I781" s="12">
        <v>0.15640000000000001</v>
      </c>
      <c r="J781" s="9" t="s">
        <v>412</v>
      </c>
      <c r="K781" s="9" t="s">
        <v>604</v>
      </c>
    </row>
    <row r="782" spans="1:11" ht="28.8">
      <c r="A782" s="9" t="s">
        <v>609</v>
      </c>
      <c r="B782" s="9" t="s">
        <v>672</v>
      </c>
      <c r="C782" s="9" t="s">
        <v>601</v>
      </c>
      <c r="D782" s="12">
        <v>-0.1671</v>
      </c>
      <c r="E782" s="12">
        <v>-0.1148</v>
      </c>
      <c r="F782" s="12">
        <v>-0.187</v>
      </c>
      <c r="G782" s="12">
        <v>-0.14094999999999999</v>
      </c>
      <c r="H782" s="12">
        <v>-0.15629999999999999</v>
      </c>
      <c r="I782" s="12">
        <v>0.15629999999999999</v>
      </c>
      <c r="J782" s="9" t="s">
        <v>412</v>
      </c>
      <c r="K782" s="9" t="s">
        <v>604</v>
      </c>
    </row>
    <row r="783" spans="1:11" ht="28.8">
      <c r="A783" s="9" t="s">
        <v>679</v>
      </c>
      <c r="B783" s="9" t="s">
        <v>685</v>
      </c>
      <c r="C783" s="9" t="s">
        <v>601</v>
      </c>
      <c r="D783" s="12">
        <v>-8.3900000000000002E-2</v>
      </c>
      <c r="E783" s="12">
        <v>0.22770000000000001</v>
      </c>
      <c r="F783" s="12">
        <v>-0.157</v>
      </c>
      <c r="G783" s="12">
        <v>7.1900000000000006E-2</v>
      </c>
      <c r="H783" s="12">
        <v>-4.4000000000000003E-3</v>
      </c>
      <c r="I783" s="12">
        <v>0.15620000000000001</v>
      </c>
      <c r="J783" s="9" t="s">
        <v>412</v>
      </c>
      <c r="K783" s="9" t="s">
        <v>604</v>
      </c>
    </row>
    <row r="784" spans="1:11" ht="28.8">
      <c r="A784" s="9" t="s">
        <v>671</v>
      </c>
      <c r="B784" s="9" t="s">
        <v>665</v>
      </c>
      <c r="C784" s="9" t="s">
        <v>666</v>
      </c>
      <c r="D784" s="12">
        <v>1.34E-2</v>
      </c>
      <c r="E784" s="12">
        <v>0.1009</v>
      </c>
      <c r="F784" s="12">
        <v>0.3533</v>
      </c>
      <c r="G784" s="12">
        <v>5.7149999999999999E-2</v>
      </c>
      <c r="H784" s="12">
        <v>0.15579999999999999</v>
      </c>
      <c r="I784" s="12">
        <v>0.15579999999999999</v>
      </c>
      <c r="J784" s="9" t="s">
        <v>412</v>
      </c>
      <c r="K784" s="9" t="s">
        <v>654</v>
      </c>
    </row>
    <row r="785" spans="1:11">
      <c r="A785" s="9" t="s">
        <v>682</v>
      </c>
      <c r="B785" s="9" t="s">
        <v>653</v>
      </c>
      <c r="C785" s="9" t="s">
        <v>663</v>
      </c>
      <c r="D785" s="12">
        <v>-6.7400000000000002E-2</v>
      </c>
      <c r="E785" s="12">
        <v>-4.8099999999999997E-2</v>
      </c>
      <c r="F785" s="12">
        <v>-0.35160000000000002</v>
      </c>
      <c r="G785" s="12">
        <v>-5.7749999999999996E-2</v>
      </c>
      <c r="H785" s="12">
        <v>-0.15570000000000001</v>
      </c>
      <c r="I785" s="12">
        <v>0.15570000000000001</v>
      </c>
      <c r="J785" s="9" t="s">
        <v>412</v>
      </c>
      <c r="K785" s="9" t="s">
        <v>604</v>
      </c>
    </row>
    <row r="786" spans="1:11" ht="28.8">
      <c r="A786" s="9" t="s">
        <v>679</v>
      </c>
      <c r="B786" s="9" t="s">
        <v>672</v>
      </c>
      <c r="C786" s="9" t="s">
        <v>683</v>
      </c>
      <c r="D786" s="12">
        <v>0.16389999999999999</v>
      </c>
      <c r="E786" s="12">
        <v>0.13270000000000001</v>
      </c>
      <c r="F786" s="12">
        <v>0.17019999999999999</v>
      </c>
      <c r="G786" s="12">
        <v>0.14829999999999999</v>
      </c>
      <c r="H786" s="12">
        <v>0.15559999999999999</v>
      </c>
      <c r="I786" s="12">
        <v>0.15559999999999999</v>
      </c>
      <c r="J786" s="9" t="s">
        <v>412</v>
      </c>
      <c r="K786" s="9" t="s">
        <v>654</v>
      </c>
    </row>
    <row r="787" spans="1:11">
      <c r="A787" s="9" t="s">
        <v>609</v>
      </c>
      <c r="B787" s="9" t="s">
        <v>680</v>
      </c>
      <c r="C787" s="9" t="s">
        <v>656</v>
      </c>
      <c r="D787" s="12">
        <v>0.22770000000000001</v>
      </c>
      <c r="E787" s="12">
        <v>-0.1628</v>
      </c>
      <c r="F787" s="12">
        <v>7.6399999999999996E-2</v>
      </c>
      <c r="G787" s="12">
        <v>3.2450000000000007E-2</v>
      </c>
      <c r="H787" s="12">
        <v>4.7100000000000003E-2</v>
      </c>
      <c r="I787" s="12">
        <v>0.15559999999999999</v>
      </c>
      <c r="J787" s="9" t="s">
        <v>412</v>
      </c>
      <c r="K787" s="9" t="s">
        <v>604</v>
      </c>
    </row>
    <row r="788" spans="1:11" ht="28.8">
      <c r="A788" s="9" t="s">
        <v>661</v>
      </c>
      <c r="B788" s="9" t="s">
        <v>669</v>
      </c>
      <c r="C788" s="9" t="s">
        <v>674</v>
      </c>
      <c r="D788" s="12">
        <v>6.8199999999999997E-2</v>
      </c>
      <c r="E788" s="12">
        <v>9.1800000000000007E-2</v>
      </c>
      <c r="F788" s="12">
        <v>0.30640000000000001</v>
      </c>
      <c r="G788" s="12">
        <v>0.08</v>
      </c>
      <c r="H788" s="12">
        <v>0.1555</v>
      </c>
      <c r="I788" s="12">
        <v>0.1555</v>
      </c>
      <c r="J788" s="9" t="s">
        <v>412</v>
      </c>
      <c r="K788" s="9" t="s">
        <v>654</v>
      </c>
    </row>
    <row r="789" spans="1:11" ht="28.8">
      <c r="A789" s="9" t="s">
        <v>661</v>
      </c>
      <c r="B789" s="9" t="s">
        <v>688</v>
      </c>
      <c r="C789" s="9" t="s">
        <v>656</v>
      </c>
      <c r="D789" s="12">
        <v>0.32640000000000002</v>
      </c>
      <c r="E789" s="12">
        <v>6.8500000000000005E-2</v>
      </c>
      <c r="F789" s="12">
        <v>7.1499999999999994E-2</v>
      </c>
      <c r="G789" s="12">
        <v>0.19745000000000001</v>
      </c>
      <c r="H789" s="12">
        <v>0.1555</v>
      </c>
      <c r="I789" s="12">
        <v>0.1555</v>
      </c>
      <c r="J789" s="9" t="s">
        <v>412</v>
      </c>
      <c r="K789" s="9" t="s">
        <v>654</v>
      </c>
    </row>
    <row r="790" spans="1:11" ht="28.8">
      <c r="A790" s="9" t="s">
        <v>610</v>
      </c>
      <c r="B790" s="9" t="s">
        <v>660</v>
      </c>
      <c r="C790" s="9" t="s">
        <v>674</v>
      </c>
      <c r="D790" s="12">
        <v>-0.1986</v>
      </c>
      <c r="E790" s="12">
        <v>-3.2599999999999997E-2</v>
      </c>
      <c r="F790" s="12">
        <v>-0.2349</v>
      </c>
      <c r="G790" s="12">
        <v>-0.11559999999999999</v>
      </c>
      <c r="H790" s="12">
        <v>-0.15529999999999999</v>
      </c>
      <c r="I790" s="12">
        <v>0.15529999999999999</v>
      </c>
      <c r="J790" s="9" t="s">
        <v>412</v>
      </c>
      <c r="K790" s="9" t="s">
        <v>604</v>
      </c>
    </row>
    <row r="791" spans="1:11">
      <c r="A791" s="9" t="s">
        <v>682</v>
      </c>
      <c r="B791" s="9" t="s">
        <v>657</v>
      </c>
      <c r="C791" s="9" t="s">
        <v>667</v>
      </c>
      <c r="D791" s="12">
        <v>-0.02</v>
      </c>
      <c r="E791" s="12">
        <v>-0.1056</v>
      </c>
      <c r="F791" s="12">
        <v>-0.3402</v>
      </c>
      <c r="G791" s="12">
        <v>-6.2799999999999995E-2</v>
      </c>
      <c r="H791" s="12">
        <v>-0.1552</v>
      </c>
      <c r="I791" s="12">
        <v>0.1552</v>
      </c>
      <c r="J791" s="9" t="s">
        <v>412</v>
      </c>
      <c r="K791" s="9" t="s">
        <v>604</v>
      </c>
    </row>
    <row r="792" spans="1:11" ht="28.8">
      <c r="A792" s="9" t="s">
        <v>603</v>
      </c>
      <c r="B792" s="9" t="s">
        <v>688</v>
      </c>
      <c r="C792" s="9" t="s">
        <v>663</v>
      </c>
      <c r="D792" s="12">
        <v>-0.2828</v>
      </c>
      <c r="E792" s="12">
        <v>-2.2200000000000001E-2</v>
      </c>
      <c r="F792" s="12">
        <v>0.16059999999999999</v>
      </c>
      <c r="G792" s="12">
        <v>-0.1525</v>
      </c>
      <c r="H792" s="12">
        <v>-4.82E-2</v>
      </c>
      <c r="I792" s="12">
        <v>0.1552</v>
      </c>
      <c r="J792" s="9" t="s">
        <v>412</v>
      </c>
      <c r="K792" s="9" t="s">
        <v>604</v>
      </c>
    </row>
    <row r="793" spans="1:11">
      <c r="A793" s="9" t="s">
        <v>610</v>
      </c>
      <c r="B793" s="9" t="s">
        <v>678</v>
      </c>
      <c r="C793" s="9" t="s">
        <v>670</v>
      </c>
      <c r="D793" s="12">
        <v>-0.1699</v>
      </c>
      <c r="E793" s="12">
        <v>3.4000000000000002E-2</v>
      </c>
      <c r="F793" s="12">
        <v>0.26069999999999999</v>
      </c>
      <c r="G793" s="12">
        <v>-6.7949999999999997E-2</v>
      </c>
      <c r="H793" s="12">
        <v>4.1599999999999998E-2</v>
      </c>
      <c r="I793" s="12">
        <v>0.15490000000000001</v>
      </c>
      <c r="J793" s="9" t="s">
        <v>412</v>
      </c>
      <c r="K793" s="9" t="s">
        <v>604</v>
      </c>
    </row>
    <row r="794" spans="1:11">
      <c r="A794" s="9" t="s">
        <v>682</v>
      </c>
      <c r="B794" s="9" t="s">
        <v>672</v>
      </c>
      <c r="C794" s="9" t="s">
        <v>670</v>
      </c>
      <c r="D794" s="12">
        <v>-0.19359999999999999</v>
      </c>
      <c r="E794" s="12">
        <v>-2.86E-2</v>
      </c>
      <c r="F794" s="12">
        <v>-0.24260000000000001</v>
      </c>
      <c r="G794" s="12">
        <v>-0.1111</v>
      </c>
      <c r="H794" s="12">
        <v>-0.15490000000000001</v>
      </c>
      <c r="I794" s="12">
        <v>0.15490000000000001</v>
      </c>
      <c r="J794" s="9" t="s">
        <v>412</v>
      </c>
      <c r="K794" s="9" t="s">
        <v>604</v>
      </c>
    </row>
    <row r="795" spans="1:11" ht="28.8">
      <c r="A795" s="9" t="s">
        <v>662</v>
      </c>
      <c r="B795" s="9" t="s">
        <v>676</v>
      </c>
      <c r="C795" s="9" t="s">
        <v>666</v>
      </c>
      <c r="D795" s="12">
        <v>-0.1094</v>
      </c>
      <c r="E795" s="12">
        <v>0.17610000000000001</v>
      </c>
      <c r="F795" s="12">
        <v>0.17879999999999999</v>
      </c>
      <c r="G795" s="12">
        <v>3.3350000000000005E-2</v>
      </c>
      <c r="H795" s="12">
        <v>8.1799999999999998E-2</v>
      </c>
      <c r="I795" s="12">
        <v>0.1547</v>
      </c>
      <c r="J795" s="9" t="s">
        <v>412</v>
      </c>
      <c r="K795" s="9" t="s">
        <v>604</v>
      </c>
    </row>
    <row r="796" spans="1:11" ht="28.8">
      <c r="A796" s="9" t="s">
        <v>661</v>
      </c>
      <c r="B796" s="9" t="s">
        <v>657</v>
      </c>
      <c r="C796" s="9" t="s">
        <v>663</v>
      </c>
      <c r="D796" s="12">
        <v>8.8300000000000003E-2</v>
      </c>
      <c r="E796" s="12">
        <v>-0.2077</v>
      </c>
      <c r="F796" s="12">
        <v>-0.16819999999999999</v>
      </c>
      <c r="G796" s="12">
        <v>-5.9699999999999996E-2</v>
      </c>
      <c r="H796" s="12">
        <v>-9.5899999999999999E-2</v>
      </c>
      <c r="I796" s="12">
        <v>0.1547</v>
      </c>
      <c r="J796" s="9" t="s">
        <v>412</v>
      </c>
      <c r="K796" s="9" t="s">
        <v>604</v>
      </c>
    </row>
    <row r="797" spans="1:11">
      <c r="A797" s="9" t="s">
        <v>609</v>
      </c>
      <c r="B797" s="9" t="s">
        <v>669</v>
      </c>
      <c r="C797" s="9" t="s">
        <v>656</v>
      </c>
      <c r="D797" s="12">
        <v>0.22770000000000001</v>
      </c>
      <c r="E797" s="12">
        <v>4.6199999999999998E-2</v>
      </c>
      <c r="F797" s="12">
        <v>0.1903</v>
      </c>
      <c r="G797" s="12">
        <v>0.13695000000000002</v>
      </c>
      <c r="H797" s="12">
        <v>0.1547</v>
      </c>
      <c r="I797" s="12">
        <v>0.1547</v>
      </c>
      <c r="J797" s="9" t="s">
        <v>412</v>
      </c>
      <c r="K797" s="9" t="s">
        <v>654</v>
      </c>
    </row>
    <row r="798" spans="1:11">
      <c r="A798" s="9" t="s">
        <v>609</v>
      </c>
      <c r="B798" s="9" t="s">
        <v>686</v>
      </c>
      <c r="C798" s="9" t="s">
        <v>670</v>
      </c>
      <c r="D798" s="12">
        <v>-0.32040000000000002</v>
      </c>
      <c r="E798" s="12">
        <v>-8.5000000000000006E-3</v>
      </c>
      <c r="F798" s="12">
        <v>-0.13539999999999999</v>
      </c>
      <c r="G798" s="12">
        <v>-0.16445000000000001</v>
      </c>
      <c r="H798" s="12">
        <v>-0.1547</v>
      </c>
      <c r="I798" s="12">
        <v>0.1547</v>
      </c>
      <c r="J798" s="9" t="s">
        <v>412</v>
      </c>
      <c r="K798" s="9" t="s">
        <v>604</v>
      </c>
    </row>
    <row r="799" spans="1:11" ht="28.8">
      <c r="A799" s="9" t="s">
        <v>662</v>
      </c>
      <c r="B799" s="9" t="s">
        <v>684</v>
      </c>
      <c r="C799" s="9" t="s">
        <v>675</v>
      </c>
      <c r="D799" s="12">
        <v>0.14630000000000001</v>
      </c>
      <c r="E799" s="12">
        <v>-0.2475</v>
      </c>
      <c r="F799" s="12">
        <v>-7.0099999999999996E-2</v>
      </c>
      <c r="G799" s="12">
        <v>-5.0599999999999992E-2</v>
      </c>
      <c r="H799" s="12">
        <v>-5.7099999999999998E-2</v>
      </c>
      <c r="I799" s="12">
        <v>0.15459999999999999</v>
      </c>
      <c r="J799" s="9" t="s">
        <v>412</v>
      </c>
      <c r="K799" s="9" t="s">
        <v>604</v>
      </c>
    </row>
    <row r="800" spans="1:11" ht="28.8">
      <c r="A800" s="9" t="s">
        <v>679</v>
      </c>
      <c r="B800" s="9" t="s">
        <v>688</v>
      </c>
      <c r="C800" s="9" t="s">
        <v>667</v>
      </c>
      <c r="D800" s="12">
        <v>-0.12280000000000001</v>
      </c>
      <c r="E800" s="12">
        <v>0.14299999999999999</v>
      </c>
      <c r="F800" s="12">
        <v>0.19789999999999999</v>
      </c>
      <c r="G800" s="12">
        <v>1.0099999999999991E-2</v>
      </c>
      <c r="H800" s="12">
        <v>7.2700000000000001E-2</v>
      </c>
      <c r="I800" s="12">
        <v>0.15459999999999999</v>
      </c>
      <c r="J800" s="9" t="s">
        <v>412</v>
      </c>
      <c r="K800" s="9" t="s">
        <v>604</v>
      </c>
    </row>
    <row r="801" spans="1:11" ht="28.8">
      <c r="A801" s="9" t="s">
        <v>679</v>
      </c>
      <c r="B801" s="9" t="s">
        <v>665</v>
      </c>
      <c r="C801" s="9" t="s">
        <v>601</v>
      </c>
      <c r="D801" s="12">
        <v>-8.3900000000000002E-2</v>
      </c>
      <c r="E801" s="12">
        <v>7.6399999999999996E-2</v>
      </c>
      <c r="F801" s="12">
        <v>-0.30330000000000001</v>
      </c>
      <c r="G801" s="12">
        <v>-3.7500000000000033E-3</v>
      </c>
      <c r="H801" s="12">
        <v>-0.1036</v>
      </c>
      <c r="I801" s="12">
        <v>0.1545</v>
      </c>
      <c r="J801" s="9" t="s">
        <v>412</v>
      </c>
      <c r="K801" s="9" t="s">
        <v>604</v>
      </c>
    </row>
    <row r="802" spans="1:11" ht="28.8">
      <c r="A802" s="9" t="s">
        <v>682</v>
      </c>
      <c r="B802" s="9" t="s">
        <v>688</v>
      </c>
      <c r="C802" s="9" t="s">
        <v>683</v>
      </c>
      <c r="D802" s="12">
        <v>-8.5099999999999995E-2</v>
      </c>
      <c r="E802" s="12">
        <v>5.6800000000000003E-2</v>
      </c>
      <c r="F802" s="12">
        <v>0.3216</v>
      </c>
      <c r="G802" s="12">
        <v>-1.4149999999999996E-2</v>
      </c>
      <c r="H802" s="12">
        <v>9.7799999999999998E-2</v>
      </c>
      <c r="I802" s="12">
        <v>0.1545</v>
      </c>
      <c r="J802" s="9" t="s">
        <v>412</v>
      </c>
      <c r="K802" s="9" t="s">
        <v>604</v>
      </c>
    </row>
    <row r="803" spans="1:11">
      <c r="A803" s="9" t="s">
        <v>662</v>
      </c>
      <c r="B803" s="9" t="s">
        <v>688</v>
      </c>
      <c r="C803" s="9" t="s">
        <v>656</v>
      </c>
      <c r="D803" s="12">
        <v>0.26229999999999998</v>
      </c>
      <c r="E803" s="12">
        <v>0.1293</v>
      </c>
      <c r="F803" s="12">
        <v>7.1499999999999994E-2</v>
      </c>
      <c r="G803" s="12">
        <v>0.19579999999999997</v>
      </c>
      <c r="H803" s="12">
        <v>0.15440000000000001</v>
      </c>
      <c r="I803" s="12">
        <v>0.15440000000000001</v>
      </c>
      <c r="J803" s="9" t="s">
        <v>412</v>
      </c>
      <c r="K803" s="9" t="s">
        <v>654</v>
      </c>
    </row>
    <row r="804" spans="1:11" ht="28.8">
      <c r="A804" s="9" t="s">
        <v>610</v>
      </c>
      <c r="B804" s="9" t="s">
        <v>665</v>
      </c>
      <c r="C804" s="9" t="s">
        <v>601</v>
      </c>
      <c r="D804" s="12">
        <v>8.48E-2</v>
      </c>
      <c r="E804" s="12">
        <v>7.4899999999999994E-2</v>
      </c>
      <c r="F804" s="12">
        <v>-0.30330000000000001</v>
      </c>
      <c r="G804" s="12">
        <v>7.9850000000000004E-2</v>
      </c>
      <c r="H804" s="12">
        <v>-4.7899999999999998E-2</v>
      </c>
      <c r="I804" s="12">
        <v>0.15440000000000001</v>
      </c>
      <c r="J804" s="9" t="s">
        <v>412</v>
      </c>
      <c r="K804" s="9" t="s">
        <v>604</v>
      </c>
    </row>
    <row r="805" spans="1:11">
      <c r="A805" s="9" t="s">
        <v>610</v>
      </c>
      <c r="B805" s="9" t="s">
        <v>665</v>
      </c>
      <c r="C805" s="9" t="s">
        <v>663</v>
      </c>
      <c r="D805" s="12">
        <v>-0.2303</v>
      </c>
      <c r="E805" s="12">
        <v>7.4899999999999994E-2</v>
      </c>
      <c r="F805" s="12">
        <v>0.158</v>
      </c>
      <c r="G805" s="12">
        <v>-7.7700000000000005E-2</v>
      </c>
      <c r="H805" s="12">
        <v>8.9999999999999998E-4</v>
      </c>
      <c r="I805" s="12">
        <v>0.15440000000000001</v>
      </c>
      <c r="J805" s="9" t="s">
        <v>412</v>
      </c>
      <c r="K805" s="9" t="s">
        <v>604</v>
      </c>
    </row>
    <row r="806" spans="1:11" ht="28.8">
      <c r="A806" s="9" t="s">
        <v>679</v>
      </c>
      <c r="B806" s="9" t="s">
        <v>681</v>
      </c>
      <c r="C806" s="9" t="s">
        <v>601</v>
      </c>
      <c r="D806" s="12">
        <v>-8.3900000000000002E-2</v>
      </c>
      <c r="E806" s="12">
        <v>0.1958</v>
      </c>
      <c r="F806" s="12">
        <v>-0.18310000000000001</v>
      </c>
      <c r="G806" s="12">
        <v>5.595E-2</v>
      </c>
      <c r="H806" s="12">
        <v>-2.3699999999999999E-2</v>
      </c>
      <c r="I806" s="12">
        <v>0.15429999999999999</v>
      </c>
      <c r="J806" s="9" t="s">
        <v>412</v>
      </c>
      <c r="K806" s="9" t="s">
        <v>604</v>
      </c>
    </row>
    <row r="807" spans="1:11">
      <c r="A807" s="9" t="s">
        <v>682</v>
      </c>
      <c r="B807" s="9" t="s">
        <v>678</v>
      </c>
      <c r="C807" s="9" t="s">
        <v>659</v>
      </c>
      <c r="D807" s="12">
        <v>0.1188</v>
      </c>
      <c r="E807" s="12">
        <v>-0.16669999999999999</v>
      </c>
      <c r="F807" s="12">
        <v>-0.1774</v>
      </c>
      <c r="G807" s="12">
        <v>-2.3949999999999992E-2</v>
      </c>
      <c r="H807" s="12">
        <v>-7.51E-2</v>
      </c>
      <c r="I807" s="12">
        <v>0.15429999999999999</v>
      </c>
      <c r="J807" s="9" t="s">
        <v>412</v>
      </c>
      <c r="K807" s="9" t="s">
        <v>604</v>
      </c>
    </row>
    <row r="808" spans="1:11" ht="28.8">
      <c r="A808" s="9" t="s">
        <v>662</v>
      </c>
      <c r="B808" s="9" t="s">
        <v>658</v>
      </c>
      <c r="C808" s="9" t="s">
        <v>666</v>
      </c>
      <c r="D808" s="12">
        <v>-0.1094</v>
      </c>
      <c r="E808" s="12">
        <v>0.11119999999999999</v>
      </c>
      <c r="F808" s="12">
        <v>0.24249999999999999</v>
      </c>
      <c r="G808" s="12">
        <v>8.9999999999999802E-4</v>
      </c>
      <c r="H808" s="12">
        <v>8.14E-2</v>
      </c>
      <c r="I808" s="12">
        <v>0.15429999999999999</v>
      </c>
      <c r="J808" s="9" t="s">
        <v>412</v>
      </c>
      <c r="K808" s="9" t="s">
        <v>604</v>
      </c>
    </row>
    <row r="809" spans="1:11">
      <c r="A809" s="9" t="s">
        <v>609</v>
      </c>
      <c r="B809" s="9" t="s">
        <v>673</v>
      </c>
      <c r="C809" s="9" t="s">
        <v>655</v>
      </c>
      <c r="D809" s="12">
        <v>0.16819999999999999</v>
      </c>
      <c r="E809" s="12">
        <v>-7.1300000000000002E-2</v>
      </c>
      <c r="F809" s="12">
        <v>-0.22339999999999999</v>
      </c>
      <c r="G809" s="12">
        <v>4.8449999999999993E-2</v>
      </c>
      <c r="H809" s="12">
        <v>-4.2200000000000001E-2</v>
      </c>
      <c r="I809" s="12">
        <v>0.15429999999999999</v>
      </c>
      <c r="J809" s="9" t="s">
        <v>412</v>
      </c>
      <c r="K809" s="9" t="s">
        <v>604</v>
      </c>
    </row>
    <row r="810" spans="1:11" ht="28.8">
      <c r="A810" s="9" t="s">
        <v>610</v>
      </c>
      <c r="B810" s="9" t="s">
        <v>657</v>
      </c>
      <c r="C810" s="9" t="s">
        <v>664</v>
      </c>
      <c r="D810" s="12">
        <v>-9.1300000000000006E-2</v>
      </c>
      <c r="E810" s="12">
        <v>-0.1171</v>
      </c>
      <c r="F810" s="12">
        <v>0.25440000000000002</v>
      </c>
      <c r="G810" s="12">
        <v>-0.1042</v>
      </c>
      <c r="H810" s="12">
        <v>1.5299999999999999E-2</v>
      </c>
      <c r="I810" s="12">
        <v>0.15429999999999999</v>
      </c>
      <c r="J810" s="9" t="s">
        <v>412</v>
      </c>
      <c r="K810" s="9" t="s">
        <v>604</v>
      </c>
    </row>
    <row r="811" spans="1:11" ht="28.8">
      <c r="A811" s="9" t="s">
        <v>603</v>
      </c>
      <c r="B811" s="9" t="s">
        <v>689</v>
      </c>
      <c r="C811" s="9" t="s">
        <v>664</v>
      </c>
      <c r="D811" s="12">
        <v>0.4093</v>
      </c>
      <c r="E811" s="12">
        <v>2.1399999999999999E-2</v>
      </c>
      <c r="F811" s="12">
        <v>3.1800000000000002E-2</v>
      </c>
      <c r="G811" s="12">
        <v>0.21534999999999999</v>
      </c>
      <c r="H811" s="12">
        <v>0.1542</v>
      </c>
      <c r="I811" s="12">
        <v>0.1542</v>
      </c>
      <c r="J811" s="9" t="s">
        <v>412</v>
      </c>
      <c r="K811" s="9" t="s">
        <v>654</v>
      </c>
    </row>
    <row r="812" spans="1:11" ht="28.8">
      <c r="A812" s="9" t="s">
        <v>679</v>
      </c>
      <c r="B812" s="9" t="s">
        <v>660</v>
      </c>
      <c r="C812" s="9" t="s">
        <v>666</v>
      </c>
      <c r="D812" s="12">
        <v>-0.113</v>
      </c>
      <c r="E812" s="12">
        <v>-2.46E-2</v>
      </c>
      <c r="F812" s="12">
        <v>-0.32500000000000001</v>
      </c>
      <c r="G812" s="12">
        <v>-6.88E-2</v>
      </c>
      <c r="H812" s="12">
        <v>-0.1542</v>
      </c>
      <c r="I812" s="12">
        <v>0.1542</v>
      </c>
      <c r="J812" s="9" t="s">
        <v>412</v>
      </c>
      <c r="K812" s="9" t="s">
        <v>604</v>
      </c>
    </row>
    <row r="813" spans="1:11">
      <c r="A813" s="9" t="s">
        <v>609</v>
      </c>
      <c r="B813" s="9" t="s">
        <v>689</v>
      </c>
      <c r="C813" s="9" t="s">
        <v>656</v>
      </c>
      <c r="D813" s="12">
        <v>0.22770000000000001</v>
      </c>
      <c r="E813" s="12">
        <v>-4.6100000000000002E-2</v>
      </c>
      <c r="F813" s="12">
        <v>-0.1888</v>
      </c>
      <c r="G813" s="12">
        <v>9.0800000000000006E-2</v>
      </c>
      <c r="H813" s="12">
        <v>-2.3999999999999998E-3</v>
      </c>
      <c r="I813" s="12">
        <v>0.1542</v>
      </c>
      <c r="J813" s="9" t="s">
        <v>412</v>
      </c>
      <c r="K813" s="9" t="s">
        <v>604</v>
      </c>
    </row>
    <row r="814" spans="1:11" ht="28.8">
      <c r="A814" s="9" t="s">
        <v>671</v>
      </c>
      <c r="B814" s="9" t="s">
        <v>669</v>
      </c>
      <c r="C814" s="9" t="s">
        <v>656</v>
      </c>
      <c r="D814" s="12">
        <v>6.54E-2</v>
      </c>
      <c r="E814" s="12">
        <v>0.20669999999999999</v>
      </c>
      <c r="F814" s="12">
        <v>0.1903</v>
      </c>
      <c r="G814" s="12">
        <v>0.13605</v>
      </c>
      <c r="H814" s="12">
        <v>0.15409999999999999</v>
      </c>
      <c r="I814" s="12">
        <v>0.15409999999999999</v>
      </c>
      <c r="J814" s="9" t="s">
        <v>412</v>
      </c>
      <c r="K814" s="9" t="s">
        <v>654</v>
      </c>
    </row>
    <row r="815" spans="1:11" ht="28.8">
      <c r="A815" s="9" t="s">
        <v>603</v>
      </c>
      <c r="B815" s="9" t="s">
        <v>673</v>
      </c>
      <c r="C815" s="9" t="s">
        <v>690</v>
      </c>
      <c r="D815" s="12">
        <v>4.1099999999999998E-2</v>
      </c>
      <c r="E815" s="12">
        <v>0.2681</v>
      </c>
      <c r="F815" s="12">
        <v>-0.15279999999999999</v>
      </c>
      <c r="G815" s="12">
        <v>0.15460000000000002</v>
      </c>
      <c r="H815" s="12">
        <v>5.21E-2</v>
      </c>
      <c r="I815" s="12">
        <v>0.154</v>
      </c>
      <c r="J815" s="9" t="s">
        <v>412</v>
      </c>
      <c r="K815" s="9" t="s">
        <v>604</v>
      </c>
    </row>
    <row r="816" spans="1:11" ht="28.8">
      <c r="A816" s="9" t="s">
        <v>603</v>
      </c>
      <c r="B816" s="9" t="s">
        <v>689</v>
      </c>
      <c r="C816" s="9" t="s">
        <v>690</v>
      </c>
      <c r="D816" s="12">
        <v>4.1099999999999998E-2</v>
      </c>
      <c r="E816" s="12">
        <v>2.1399999999999999E-2</v>
      </c>
      <c r="F816" s="12">
        <v>0.39879999999999999</v>
      </c>
      <c r="G816" s="12">
        <v>3.125E-2</v>
      </c>
      <c r="H816" s="12">
        <v>0.15379999999999999</v>
      </c>
      <c r="I816" s="12">
        <v>0.15379999999999999</v>
      </c>
      <c r="J816" s="9" t="s">
        <v>412</v>
      </c>
      <c r="K816" s="9" t="s">
        <v>654</v>
      </c>
    </row>
    <row r="817" spans="1:11" ht="28.8">
      <c r="A817" s="9" t="s">
        <v>609</v>
      </c>
      <c r="B817" s="9" t="s">
        <v>669</v>
      </c>
      <c r="C817" s="9" t="s">
        <v>675</v>
      </c>
      <c r="D817" s="12">
        <v>9.6600000000000005E-2</v>
      </c>
      <c r="E817" s="12">
        <v>4.6199999999999998E-2</v>
      </c>
      <c r="F817" s="12">
        <v>0.31819999999999998</v>
      </c>
      <c r="G817" s="12">
        <v>7.1400000000000005E-2</v>
      </c>
      <c r="H817" s="12">
        <v>0.1537</v>
      </c>
      <c r="I817" s="12">
        <v>0.1537</v>
      </c>
      <c r="J817" s="9" t="s">
        <v>412</v>
      </c>
      <c r="K817" s="9" t="s">
        <v>654</v>
      </c>
    </row>
    <row r="818" spans="1:11" ht="28.8">
      <c r="A818" s="9" t="s">
        <v>603</v>
      </c>
      <c r="B818" s="9" t="s">
        <v>673</v>
      </c>
      <c r="C818" s="9" t="s">
        <v>667</v>
      </c>
      <c r="D818" s="12">
        <v>-6.3299999999999995E-2</v>
      </c>
      <c r="E818" s="12">
        <v>0.2681</v>
      </c>
      <c r="F818" s="12">
        <v>-0.1298</v>
      </c>
      <c r="G818" s="12">
        <v>0.1024</v>
      </c>
      <c r="H818" s="12">
        <v>2.5000000000000001E-2</v>
      </c>
      <c r="I818" s="12">
        <v>0.1537</v>
      </c>
      <c r="J818" s="9" t="s">
        <v>412</v>
      </c>
      <c r="K818" s="9" t="s">
        <v>604</v>
      </c>
    </row>
    <row r="819" spans="1:11">
      <c r="A819" s="9" t="s">
        <v>662</v>
      </c>
      <c r="B819" s="9" t="s">
        <v>669</v>
      </c>
      <c r="C819" s="9" t="s">
        <v>670</v>
      </c>
      <c r="D819" s="12">
        <v>-0.18790000000000001</v>
      </c>
      <c r="E819" s="12">
        <v>0.1298</v>
      </c>
      <c r="F819" s="12">
        <v>-0.14330000000000001</v>
      </c>
      <c r="G819" s="12">
        <v>-2.9050000000000006E-2</v>
      </c>
      <c r="H819" s="12">
        <v>-6.7100000000000007E-2</v>
      </c>
      <c r="I819" s="12">
        <v>0.1537</v>
      </c>
      <c r="J819" s="9" t="s">
        <v>412</v>
      </c>
      <c r="K819" s="9" t="s">
        <v>604</v>
      </c>
    </row>
    <row r="820" spans="1:11" ht="28.8">
      <c r="A820" s="9" t="s">
        <v>661</v>
      </c>
      <c r="B820" s="9" t="s">
        <v>680</v>
      </c>
      <c r="C820" s="9" t="s">
        <v>655</v>
      </c>
      <c r="D820" s="12">
        <v>0.17599999999999999</v>
      </c>
      <c r="E820" s="12">
        <v>5.1799999999999999E-2</v>
      </c>
      <c r="F820" s="12">
        <v>0.2334</v>
      </c>
      <c r="G820" s="12">
        <v>0.1139</v>
      </c>
      <c r="H820" s="12">
        <v>0.1537</v>
      </c>
      <c r="I820" s="12">
        <v>0.1537</v>
      </c>
      <c r="J820" s="9" t="s">
        <v>412</v>
      </c>
      <c r="K820" s="9" t="s">
        <v>654</v>
      </c>
    </row>
    <row r="821" spans="1:11">
      <c r="A821" s="9" t="s">
        <v>662</v>
      </c>
      <c r="B821" s="9" t="s">
        <v>684</v>
      </c>
      <c r="C821" s="9" t="s">
        <v>663</v>
      </c>
      <c r="D821" s="12">
        <v>7.4700000000000003E-2</v>
      </c>
      <c r="E821" s="12">
        <v>-0.2475</v>
      </c>
      <c r="F821" s="12">
        <v>0.13800000000000001</v>
      </c>
      <c r="G821" s="12">
        <v>-8.6400000000000005E-2</v>
      </c>
      <c r="H821" s="12">
        <v>-1.1599999999999999E-2</v>
      </c>
      <c r="I821" s="12">
        <v>0.15340000000000001</v>
      </c>
      <c r="J821" s="9" t="s">
        <v>412</v>
      </c>
      <c r="K821" s="9" t="s">
        <v>604</v>
      </c>
    </row>
    <row r="822" spans="1:11" ht="28.8">
      <c r="A822" s="9" t="s">
        <v>671</v>
      </c>
      <c r="B822" s="9" t="s">
        <v>678</v>
      </c>
      <c r="C822" s="9" t="s">
        <v>601</v>
      </c>
      <c r="D822" s="12">
        <v>-0.10879999999999999</v>
      </c>
      <c r="E822" s="12">
        <v>-0.14360000000000001</v>
      </c>
      <c r="F822" s="12">
        <v>0.2079</v>
      </c>
      <c r="G822" s="12">
        <v>-0.12620000000000001</v>
      </c>
      <c r="H822" s="12">
        <v>-1.4800000000000001E-2</v>
      </c>
      <c r="I822" s="12">
        <v>0.15340000000000001</v>
      </c>
      <c r="J822" s="9" t="s">
        <v>412</v>
      </c>
      <c r="K822" s="9" t="s">
        <v>604</v>
      </c>
    </row>
    <row r="823" spans="1:11" ht="28.8">
      <c r="A823" s="9" t="s">
        <v>671</v>
      </c>
      <c r="B823" s="9" t="s">
        <v>685</v>
      </c>
      <c r="C823" s="9" t="s">
        <v>601</v>
      </c>
      <c r="D823" s="12">
        <v>-0.10879999999999999</v>
      </c>
      <c r="E823" s="12">
        <v>0.19439999999999999</v>
      </c>
      <c r="F823" s="12">
        <v>-0.157</v>
      </c>
      <c r="G823" s="12">
        <v>4.2799999999999998E-2</v>
      </c>
      <c r="H823" s="12">
        <v>-2.3800000000000002E-2</v>
      </c>
      <c r="I823" s="12">
        <v>0.15340000000000001</v>
      </c>
      <c r="J823" s="9" t="s">
        <v>412</v>
      </c>
      <c r="K823" s="9" t="s">
        <v>604</v>
      </c>
    </row>
    <row r="824" spans="1:11" ht="28.8">
      <c r="A824" s="9" t="s">
        <v>679</v>
      </c>
      <c r="B824" s="9" t="s">
        <v>685</v>
      </c>
      <c r="C824" s="9" t="s">
        <v>674</v>
      </c>
      <c r="D824" s="12">
        <v>0.11849999999999999</v>
      </c>
      <c r="E824" s="12">
        <v>0.22770000000000001</v>
      </c>
      <c r="F824" s="12">
        <v>0.1139</v>
      </c>
      <c r="G824" s="12">
        <v>0.1731</v>
      </c>
      <c r="H824" s="12">
        <v>0.15340000000000001</v>
      </c>
      <c r="I824" s="12">
        <v>0.15340000000000001</v>
      </c>
      <c r="J824" s="9" t="s">
        <v>412</v>
      </c>
      <c r="K824" s="9" t="s">
        <v>654</v>
      </c>
    </row>
    <row r="825" spans="1:11" ht="28.8">
      <c r="A825" s="9" t="s">
        <v>682</v>
      </c>
      <c r="B825" s="9" t="s">
        <v>672</v>
      </c>
      <c r="C825" s="9" t="s">
        <v>666</v>
      </c>
      <c r="D825" s="12">
        <v>0.22600000000000001</v>
      </c>
      <c r="E825" s="12">
        <v>-2.86E-2</v>
      </c>
      <c r="F825" s="12">
        <v>0.2054</v>
      </c>
      <c r="G825" s="12">
        <v>9.870000000000001E-2</v>
      </c>
      <c r="H825" s="12">
        <v>0.1343</v>
      </c>
      <c r="I825" s="12">
        <v>0.15329999999999999</v>
      </c>
      <c r="J825" s="9" t="s">
        <v>412</v>
      </c>
      <c r="K825" s="9" t="s">
        <v>604</v>
      </c>
    </row>
    <row r="826" spans="1:11" ht="28.8">
      <c r="A826" s="9" t="s">
        <v>661</v>
      </c>
      <c r="B826" s="9" t="s">
        <v>672</v>
      </c>
      <c r="C826" s="9" t="s">
        <v>659</v>
      </c>
      <c r="D826" s="12">
        <v>4.3499999999999997E-2</v>
      </c>
      <c r="E826" s="12">
        <v>0.30880000000000002</v>
      </c>
      <c r="F826" s="12">
        <v>-0.10730000000000001</v>
      </c>
      <c r="G826" s="12">
        <v>0.17615</v>
      </c>
      <c r="H826" s="12">
        <v>8.1699999999999995E-2</v>
      </c>
      <c r="I826" s="12">
        <v>0.1532</v>
      </c>
      <c r="J826" s="9" t="s">
        <v>412</v>
      </c>
      <c r="K826" s="9" t="s">
        <v>604</v>
      </c>
    </row>
    <row r="827" spans="1:11" ht="28.8">
      <c r="A827" s="9" t="s">
        <v>671</v>
      </c>
      <c r="B827" s="9" t="s">
        <v>676</v>
      </c>
      <c r="C827" s="9" t="s">
        <v>659</v>
      </c>
      <c r="D827" s="12">
        <v>0.13159999999999999</v>
      </c>
      <c r="E827" s="12">
        <v>0.2205</v>
      </c>
      <c r="F827" s="12">
        <v>0.1076</v>
      </c>
      <c r="G827" s="12">
        <v>0.17604999999999998</v>
      </c>
      <c r="H827" s="12">
        <v>0.1532</v>
      </c>
      <c r="I827" s="12">
        <v>0.1532</v>
      </c>
      <c r="J827" s="9" t="s">
        <v>412</v>
      </c>
      <c r="K827" s="9" t="s">
        <v>654</v>
      </c>
    </row>
    <row r="828" spans="1:11">
      <c r="A828" s="9" t="s">
        <v>609</v>
      </c>
      <c r="B828" s="9" t="s">
        <v>684</v>
      </c>
      <c r="C828" s="9" t="s">
        <v>663</v>
      </c>
      <c r="D828" s="12">
        <v>-0.12770000000000001</v>
      </c>
      <c r="E828" s="12">
        <v>-0.19400000000000001</v>
      </c>
      <c r="F828" s="12">
        <v>0.13800000000000001</v>
      </c>
      <c r="G828" s="12">
        <v>-0.16084999999999999</v>
      </c>
      <c r="H828" s="12">
        <v>-6.1199999999999997E-2</v>
      </c>
      <c r="I828" s="12">
        <v>0.1532</v>
      </c>
      <c r="J828" s="9" t="s">
        <v>412</v>
      </c>
      <c r="K828" s="9" t="s">
        <v>604</v>
      </c>
    </row>
    <row r="829" spans="1:11" ht="28.8">
      <c r="A829" s="9" t="s">
        <v>682</v>
      </c>
      <c r="B829" s="9" t="s">
        <v>691</v>
      </c>
      <c r="C829" s="9" t="s">
        <v>666</v>
      </c>
      <c r="D829" s="12">
        <v>0.22600000000000001</v>
      </c>
      <c r="E829" s="12">
        <v>-0.1062</v>
      </c>
      <c r="F829" s="12">
        <v>0.12740000000000001</v>
      </c>
      <c r="G829" s="12">
        <v>5.9900000000000002E-2</v>
      </c>
      <c r="H829" s="12">
        <v>8.2400000000000001E-2</v>
      </c>
      <c r="I829" s="12">
        <v>0.1532</v>
      </c>
      <c r="J829" s="9" t="s">
        <v>412</v>
      </c>
      <c r="K829" s="9" t="s">
        <v>604</v>
      </c>
    </row>
    <row r="830" spans="1:11" ht="28.8">
      <c r="A830" s="9" t="s">
        <v>671</v>
      </c>
      <c r="B830" s="9" t="s">
        <v>602</v>
      </c>
      <c r="C830" s="9" t="s">
        <v>670</v>
      </c>
      <c r="D830" s="12">
        <v>-0.32890000000000003</v>
      </c>
      <c r="E830" s="12">
        <v>-8.6199999999999999E-2</v>
      </c>
      <c r="F830" s="12">
        <v>-4.3400000000000001E-2</v>
      </c>
      <c r="G830" s="12">
        <v>-0.20755000000000001</v>
      </c>
      <c r="H830" s="12">
        <v>-0.15279999999999999</v>
      </c>
      <c r="I830" s="12">
        <v>0.15279999999999999</v>
      </c>
      <c r="J830" s="9" t="s">
        <v>412</v>
      </c>
      <c r="K830" s="9" t="s">
        <v>604</v>
      </c>
    </row>
    <row r="831" spans="1:11" ht="28.8">
      <c r="A831" s="9" t="s">
        <v>661</v>
      </c>
      <c r="B831" s="9" t="s">
        <v>657</v>
      </c>
      <c r="C831" s="9" t="s">
        <v>677</v>
      </c>
      <c r="D831" s="12">
        <v>2.5700000000000001E-2</v>
      </c>
      <c r="E831" s="12">
        <v>-0.2077</v>
      </c>
      <c r="F831" s="12">
        <v>0.2248</v>
      </c>
      <c r="G831" s="12">
        <v>-9.0999999999999998E-2</v>
      </c>
      <c r="H831" s="12">
        <v>1.43E-2</v>
      </c>
      <c r="I831" s="12">
        <v>0.1527</v>
      </c>
      <c r="J831" s="9" t="s">
        <v>412</v>
      </c>
      <c r="K831" s="9" t="s">
        <v>604</v>
      </c>
    </row>
    <row r="832" spans="1:11">
      <c r="A832" s="9" t="s">
        <v>610</v>
      </c>
      <c r="B832" s="9" t="s">
        <v>660</v>
      </c>
      <c r="C832" s="9" t="s">
        <v>656</v>
      </c>
      <c r="D832" s="12">
        <v>6.5699999999999995E-2</v>
      </c>
      <c r="E832" s="12">
        <v>-3.2599999999999997E-2</v>
      </c>
      <c r="F832" s="12">
        <v>-0.35949999999999999</v>
      </c>
      <c r="G832" s="12">
        <v>1.6549999999999999E-2</v>
      </c>
      <c r="H832" s="12">
        <v>-0.10879999999999999</v>
      </c>
      <c r="I832" s="12">
        <v>0.15260000000000001</v>
      </c>
      <c r="J832" s="9" t="s">
        <v>412</v>
      </c>
      <c r="K832" s="9" t="s">
        <v>604</v>
      </c>
    </row>
    <row r="833" spans="1:11">
      <c r="A833" s="9" t="s">
        <v>609</v>
      </c>
      <c r="B833" s="9" t="s">
        <v>678</v>
      </c>
      <c r="C833" s="9" t="s">
        <v>667</v>
      </c>
      <c r="D833" s="12">
        <v>0.33360000000000001</v>
      </c>
      <c r="E833" s="12">
        <v>-0.10390000000000001</v>
      </c>
      <c r="F833" s="12">
        <v>-2.01E-2</v>
      </c>
      <c r="G833" s="12">
        <v>0.11485000000000001</v>
      </c>
      <c r="H833" s="12">
        <v>6.9900000000000004E-2</v>
      </c>
      <c r="I833" s="12">
        <v>0.1525</v>
      </c>
      <c r="J833" s="9" t="s">
        <v>412</v>
      </c>
      <c r="K833" s="9" t="s">
        <v>604</v>
      </c>
    </row>
    <row r="834" spans="1:11" ht="28.8">
      <c r="A834" s="9" t="s">
        <v>679</v>
      </c>
      <c r="B834" s="9" t="s">
        <v>668</v>
      </c>
      <c r="C834" s="9" t="s">
        <v>601</v>
      </c>
      <c r="D834" s="12">
        <v>-8.3900000000000002E-2</v>
      </c>
      <c r="E834" s="12">
        <v>-3.3300000000000003E-2</v>
      </c>
      <c r="F834" s="12">
        <v>0.33939999999999998</v>
      </c>
      <c r="G834" s="12">
        <v>-5.8599999999999999E-2</v>
      </c>
      <c r="H834" s="12">
        <v>7.4099999999999999E-2</v>
      </c>
      <c r="I834" s="12">
        <v>0.1522</v>
      </c>
      <c r="J834" s="9" t="s">
        <v>412</v>
      </c>
      <c r="K834" s="9" t="s">
        <v>604</v>
      </c>
    </row>
    <row r="835" spans="1:11" ht="28.8">
      <c r="A835" s="9" t="s">
        <v>661</v>
      </c>
      <c r="B835" s="9" t="s">
        <v>660</v>
      </c>
      <c r="C835" s="9" t="s">
        <v>677</v>
      </c>
      <c r="D835" s="12">
        <v>2.5700000000000001E-2</v>
      </c>
      <c r="E835" s="12">
        <v>-0.21290000000000001</v>
      </c>
      <c r="F835" s="12">
        <v>0.21759999999999999</v>
      </c>
      <c r="G835" s="12">
        <v>-9.3600000000000003E-2</v>
      </c>
      <c r="H835" s="12">
        <v>1.01E-2</v>
      </c>
      <c r="I835" s="12">
        <v>0.15210000000000001</v>
      </c>
      <c r="J835" s="9" t="s">
        <v>412</v>
      </c>
      <c r="K835" s="9" t="s">
        <v>604</v>
      </c>
    </row>
    <row r="836" spans="1:11" ht="28.8">
      <c r="A836" s="9" t="s">
        <v>661</v>
      </c>
      <c r="B836" s="9" t="s">
        <v>613</v>
      </c>
      <c r="C836" s="9" t="s">
        <v>659</v>
      </c>
      <c r="D836" s="12">
        <v>4.3499999999999997E-2</v>
      </c>
      <c r="E836" s="12">
        <v>3.3000000000000002E-2</v>
      </c>
      <c r="F836" s="12">
        <v>0.37969999999999998</v>
      </c>
      <c r="G836" s="12">
        <v>3.8249999999999999E-2</v>
      </c>
      <c r="H836" s="12">
        <v>0.15210000000000001</v>
      </c>
      <c r="I836" s="12">
        <v>0.15210000000000001</v>
      </c>
      <c r="J836" s="9" t="s">
        <v>412</v>
      </c>
      <c r="K836" s="9" t="s">
        <v>654</v>
      </c>
    </row>
    <row r="837" spans="1:11" ht="28.8">
      <c r="A837" s="9" t="s">
        <v>603</v>
      </c>
      <c r="B837" s="9" t="s">
        <v>665</v>
      </c>
      <c r="C837" s="9" t="s">
        <v>690</v>
      </c>
      <c r="D837" s="12">
        <v>4.1099999999999998E-2</v>
      </c>
      <c r="E837" s="12">
        <v>-0.32069999999999999</v>
      </c>
      <c r="F837" s="12">
        <v>-9.3799999999999994E-2</v>
      </c>
      <c r="G837" s="12">
        <v>-0.13979999999999998</v>
      </c>
      <c r="H837" s="12">
        <v>-0.1245</v>
      </c>
      <c r="I837" s="12">
        <v>0.15190000000000001</v>
      </c>
      <c r="J837" s="9" t="s">
        <v>412</v>
      </c>
      <c r="K837" s="9" t="s">
        <v>604</v>
      </c>
    </row>
    <row r="838" spans="1:11" ht="28.8">
      <c r="A838" s="9" t="s">
        <v>661</v>
      </c>
      <c r="B838" s="9" t="s">
        <v>684</v>
      </c>
      <c r="C838" s="9" t="s">
        <v>655</v>
      </c>
      <c r="D838" s="12">
        <v>0.17599999999999999</v>
      </c>
      <c r="E838" s="12">
        <v>0.1986</v>
      </c>
      <c r="F838" s="12">
        <v>8.1100000000000005E-2</v>
      </c>
      <c r="G838" s="12">
        <v>0.18729999999999999</v>
      </c>
      <c r="H838" s="12">
        <v>0.15190000000000001</v>
      </c>
      <c r="I838" s="12">
        <v>0.15190000000000001</v>
      </c>
      <c r="J838" s="9" t="s">
        <v>412</v>
      </c>
      <c r="K838" s="9" t="s">
        <v>654</v>
      </c>
    </row>
    <row r="839" spans="1:11">
      <c r="A839" s="9" t="s">
        <v>610</v>
      </c>
      <c r="B839" s="9" t="s">
        <v>680</v>
      </c>
      <c r="C839" s="9" t="s">
        <v>670</v>
      </c>
      <c r="D839" s="12">
        <v>-0.1699</v>
      </c>
      <c r="E839" s="12">
        <v>-0.1973</v>
      </c>
      <c r="F839" s="12">
        <v>8.8499999999999995E-2</v>
      </c>
      <c r="G839" s="12">
        <v>-0.18359999999999999</v>
      </c>
      <c r="H839" s="12">
        <v>-9.2899999999999996E-2</v>
      </c>
      <c r="I839" s="12">
        <v>0.15190000000000001</v>
      </c>
      <c r="J839" s="9" t="s">
        <v>412</v>
      </c>
      <c r="K839" s="9" t="s">
        <v>604</v>
      </c>
    </row>
    <row r="840" spans="1:11">
      <c r="A840" s="9" t="s">
        <v>609</v>
      </c>
      <c r="B840" s="9" t="s">
        <v>681</v>
      </c>
      <c r="C840" s="9" t="s">
        <v>670</v>
      </c>
      <c r="D840" s="12">
        <v>-0.32040000000000002</v>
      </c>
      <c r="E840" s="12">
        <v>-2E-3</v>
      </c>
      <c r="F840" s="12">
        <v>-0.1333</v>
      </c>
      <c r="G840" s="12">
        <v>-0.16120000000000001</v>
      </c>
      <c r="H840" s="12">
        <v>-0.15190000000000001</v>
      </c>
      <c r="I840" s="12">
        <v>0.15190000000000001</v>
      </c>
      <c r="J840" s="9" t="s">
        <v>412</v>
      </c>
      <c r="K840" s="9" t="s">
        <v>604</v>
      </c>
    </row>
    <row r="841" spans="1:11" ht="28.8">
      <c r="A841" s="9" t="s">
        <v>671</v>
      </c>
      <c r="B841" s="9" t="s">
        <v>668</v>
      </c>
      <c r="C841" s="9" t="s">
        <v>655</v>
      </c>
      <c r="D841" s="12">
        <v>0.1215</v>
      </c>
      <c r="E841" s="12">
        <v>-3.2099999999999997E-2</v>
      </c>
      <c r="F841" s="12">
        <v>-0.3019</v>
      </c>
      <c r="G841" s="12">
        <v>4.4700000000000004E-2</v>
      </c>
      <c r="H841" s="12">
        <v>-7.0900000000000005E-2</v>
      </c>
      <c r="I841" s="12">
        <v>0.15179999999999999</v>
      </c>
      <c r="J841" s="9" t="s">
        <v>412</v>
      </c>
      <c r="K841" s="9" t="s">
        <v>604</v>
      </c>
    </row>
    <row r="842" spans="1:11" ht="28.8">
      <c r="A842" s="9" t="s">
        <v>679</v>
      </c>
      <c r="B842" s="9" t="s">
        <v>658</v>
      </c>
      <c r="C842" s="9" t="s">
        <v>664</v>
      </c>
      <c r="D842" s="12">
        <v>0.1353</v>
      </c>
      <c r="E842" s="12">
        <v>3.4000000000000002E-2</v>
      </c>
      <c r="F842" s="12">
        <v>-0.28549999999999998</v>
      </c>
      <c r="G842" s="12">
        <v>8.4650000000000003E-2</v>
      </c>
      <c r="H842" s="12">
        <v>-3.8800000000000001E-2</v>
      </c>
      <c r="I842" s="12">
        <v>0.15160000000000001</v>
      </c>
      <c r="J842" s="9" t="s">
        <v>412</v>
      </c>
      <c r="K842" s="9" t="s">
        <v>604</v>
      </c>
    </row>
    <row r="843" spans="1:11" ht="28.8">
      <c r="A843" s="9" t="s">
        <v>661</v>
      </c>
      <c r="B843" s="9" t="s">
        <v>680</v>
      </c>
      <c r="C843" s="9" t="s">
        <v>656</v>
      </c>
      <c r="D843" s="12">
        <v>0.32640000000000002</v>
      </c>
      <c r="E843" s="12">
        <v>5.1799999999999999E-2</v>
      </c>
      <c r="F843" s="12">
        <v>7.6399999999999996E-2</v>
      </c>
      <c r="G843" s="12">
        <v>0.18910000000000002</v>
      </c>
      <c r="H843" s="12">
        <v>0.1515</v>
      </c>
      <c r="I843" s="12">
        <v>0.1515</v>
      </c>
      <c r="J843" s="9" t="s">
        <v>412</v>
      </c>
      <c r="K843" s="9" t="s">
        <v>654</v>
      </c>
    </row>
    <row r="844" spans="1:11" ht="28.8">
      <c r="A844" s="9" t="s">
        <v>679</v>
      </c>
      <c r="B844" s="9" t="s">
        <v>686</v>
      </c>
      <c r="C844" s="9" t="s">
        <v>677</v>
      </c>
      <c r="D844" s="12">
        <v>0.13189999999999999</v>
      </c>
      <c r="E844" s="12">
        <v>0.2019</v>
      </c>
      <c r="F844" s="12">
        <v>0.1203</v>
      </c>
      <c r="G844" s="12">
        <v>0.16689999999999999</v>
      </c>
      <c r="H844" s="12">
        <v>0.15140000000000001</v>
      </c>
      <c r="I844" s="12">
        <v>0.15140000000000001</v>
      </c>
      <c r="J844" s="9" t="s">
        <v>412</v>
      </c>
      <c r="K844" s="9" t="s">
        <v>654</v>
      </c>
    </row>
    <row r="845" spans="1:11" ht="28.8">
      <c r="A845" s="9" t="s">
        <v>661</v>
      </c>
      <c r="B845" s="9" t="s">
        <v>681</v>
      </c>
      <c r="C845" s="9" t="s">
        <v>670</v>
      </c>
      <c r="D845" s="12">
        <v>-0.29680000000000001</v>
      </c>
      <c r="E845" s="12">
        <v>2.3900000000000001E-2</v>
      </c>
      <c r="F845" s="12">
        <v>-0.1333</v>
      </c>
      <c r="G845" s="12">
        <v>-0.13645000000000002</v>
      </c>
      <c r="H845" s="12">
        <v>-0.13539999999999999</v>
      </c>
      <c r="I845" s="12">
        <v>0.15129999999999999</v>
      </c>
      <c r="J845" s="9" t="s">
        <v>412</v>
      </c>
      <c r="K845" s="9" t="s">
        <v>604</v>
      </c>
    </row>
    <row r="846" spans="1:11" ht="28.8">
      <c r="A846" s="9" t="s">
        <v>662</v>
      </c>
      <c r="B846" s="9" t="s">
        <v>681</v>
      </c>
      <c r="C846" s="9" t="s">
        <v>601</v>
      </c>
      <c r="D846" s="12">
        <v>-0.1173</v>
      </c>
      <c r="E846" s="12">
        <v>0.1535</v>
      </c>
      <c r="F846" s="12">
        <v>-0.18310000000000001</v>
      </c>
      <c r="G846" s="12">
        <v>1.8099999999999998E-2</v>
      </c>
      <c r="H846" s="12">
        <v>-4.9000000000000002E-2</v>
      </c>
      <c r="I846" s="12">
        <v>0.15129999999999999</v>
      </c>
      <c r="J846" s="9" t="s">
        <v>412</v>
      </c>
      <c r="K846" s="9" t="s">
        <v>604</v>
      </c>
    </row>
    <row r="847" spans="1:11">
      <c r="A847" s="9" t="s">
        <v>609</v>
      </c>
      <c r="B847" s="9" t="s">
        <v>687</v>
      </c>
      <c r="C847" s="9" t="s">
        <v>667</v>
      </c>
      <c r="D847" s="12">
        <v>0.33360000000000001</v>
      </c>
      <c r="E847" s="12">
        <v>-4.5400000000000003E-2</v>
      </c>
      <c r="F847" s="12">
        <v>-7.4800000000000005E-2</v>
      </c>
      <c r="G847" s="12">
        <v>0.14410000000000001</v>
      </c>
      <c r="H847" s="12">
        <v>7.1099999999999997E-2</v>
      </c>
      <c r="I847" s="12">
        <v>0.15129999999999999</v>
      </c>
      <c r="J847" s="9" t="s">
        <v>412</v>
      </c>
      <c r="K847" s="9" t="s">
        <v>604</v>
      </c>
    </row>
    <row r="848" spans="1:11" ht="28.8">
      <c r="A848" s="9" t="s">
        <v>610</v>
      </c>
      <c r="B848" s="9" t="s">
        <v>669</v>
      </c>
      <c r="C848" s="9" t="s">
        <v>677</v>
      </c>
      <c r="D848" s="12">
        <v>0.10100000000000001</v>
      </c>
      <c r="E848" s="12">
        <v>-0.2331</v>
      </c>
      <c r="F848" s="12">
        <v>-0.1188</v>
      </c>
      <c r="G848" s="12">
        <v>-6.6049999999999998E-2</v>
      </c>
      <c r="H848" s="12">
        <v>-8.3599999999999994E-2</v>
      </c>
      <c r="I848" s="12">
        <v>0.151</v>
      </c>
      <c r="J848" s="9" t="s">
        <v>412</v>
      </c>
      <c r="K848" s="9" t="s">
        <v>604</v>
      </c>
    </row>
    <row r="849" spans="1:11" ht="28.8">
      <c r="A849" s="9" t="s">
        <v>682</v>
      </c>
      <c r="B849" s="9" t="s">
        <v>673</v>
      </c>
      <c r="C849" s="9" t="s">
        <v>666</v>
      </c>
      <c r="D849" s="12">
        <v>0.22600000000000001</v>
      </c>
      <c r="E849" s="12">
        <v>-1.3899999999999999E-2</v>
      </c>
      <c r="F849" s="12">
        <v>-0.2127</v>
      </c>
      <c r="G849" s="12">
        <v>0.10605000000000001</v>
      </c>
      <c r="H849" s="12">
        <v>-2.0000000000000001E-4</v>
      </c>
      <c r="I849" s="12">
        <v>0.15090000000000001</v>
      </c>
      <c r="J849" s="9" t="s">
        <v>412</v>
      </c>
      <c r="K849" s="9" t="s">
        <v>604</v>
      </c>
    </row>
    <row r="850" spans="1:11" ht="28.8">
      <c r="A850" s="9" t="s">
        <v>610</v>
      </c>
      <c r="B850" s="9" t="s">
        <v>660</v>
      </c>
      <c r="C850" s="9" t="s">
        <v>666</v>
      </c>
      <c r="D850" s="12">
        <v>9.5000000000000001E-2</v>
      </c>
      <c r="E850" s="12">
        <v>-3.2599999999999997E-2</v>
      </c>
      <c r="F850" s="12">
        <v>-0.32500000000000001</v>
      </c>
      <c r="G850" s="12">
        <v>3.1200000000000002E-2</v>
      </c>
      <c r="H850" s="12">
        <v>-8.7499999999999994E-2</v>
      </c>
      <c r="I850" s="12">
        <v>0.15090000000000001</v>
      </c>
      <c r="J850" s="9" t="s">
        <v>412</v>
      </c>
      <c r="K850" s="9" t="s">
        <v>604</v>
      </c>
    </row>
    <row r="851" spans="1:11" ht="28.8">
      <c r="A851" s="9" t="s">
        <v>679</v>
      </c>
      <c r="B851" s="9" t="s">
        <v>660</v>
      </c>
      <c r="C851" s="9" t="s">
        <v>663</v>
      </c>
      <c r="D851" s="12">
        <v>0.13450000000000001</v>
      </c>
      <c r="E851" s="12">
        <v>-2.46E-2</v>
      </c>
      <c r="F851" s="12">
        <v>-0.29349999999999998</v>
      </c>
      <c r="G851" s="12">
        <v>5.4950000000000006E-2</v>
      </c>
      <c r="H851" s="12">
        <v>-6.1199999999999997E-2</v>
      </c>
      <c r="I851" s="12">
        <v>0.15090000000000001</v>
      </c>
      <c r="J851" s="9" t="s">
        <v>412</v>
      </c>
      <c r="K851" s="9" t="s">
        <v>604</v>
      </c>
    </row>
    <row r="852" spans="1:11" ht="28.8">
      <c r="A852" s="9" t="s">
        <v>671</v>
      </c>
      <c r="B852" s="9" t="s">
        <v>678</v>
      </c>
      <c r="C852" s="9" t="s">
        <v>659</v>
      </c>
      <c r="D852" s="12">
        <v>0.13159999999999999</v>
      </c>
      <c r="E852" s="12">
        <v>-0.14360000000000001</v>
      </c>
      <c r="F852" s="12">
        <v>-0.1774</v>
      </c>
      <c r="G852" s="12">
        <v>-6.0000000000000053E-3</v>
      </c>
      <c r="H852" s="12">
        <v>-6.3100000000000003E-2</v>
      </c>
      <c r="I852" s="12">
        <v>0.15090000000000001</v>
      </c>
      <c r="J852" s="9" t="s">
        <v>412</v>
      </c>
      <c r="K852" s="9" t="s">
        <v>604</v>
      </c>
    </row>
    <row r="853" spans="1:11">
      <c r="A853" s="9" t="s">
        <v>662</v>
      </c>
      <c r="B853" s="9" t="s">
        <v>688</v>
      </c>
      <c r="C853" s="9" t="s">
        <v>667</v>
      </c>
      <c r="D853" s="12">
        <v>0.12540000000000001</v>
      </c>
      <c r="E853" s="12">
        <v>0.1293</v>
      </c>
      <c r="F853" s="12">
        <v>0.19789999999999999</v>
      </c>
      <c r="G853" s="12">
        <v>0.12735000000000002</v>
      </c>
      <c r="H853" s="12">
        <v>0.15090000000000001</v>
      </c>
      <c r="I853" s="12">
        <v>0.15090000000000001</v>
      </c>
      <c r="J853" s="9" t="s">
        <v>412</v>
      </c>
      <c r="K853" s="9" t="s">
        <v>654</v>
      </c>
    </row>
    <row r="854" spans="1:11">
      <c r="A854" s="9" t="s">
        <v>682</v>
      </c>
      <c r="B854" s="9" t="s">
        <v>660</v>
      </c>
      <c r="C854" s="9" t="s">
        <v>663</v>
      </c>
      <c r="D854" s="12">
        <v>-6.7400000000000002E-2</v>
      </c>
      <c r="E854" s="12">
        <v>-9.1399999999999995E-2</v>
      </c>
      <c r="F854" s="12">
        <v>-0.29349999999999998</v>
      </c>
      <c r="G854" s="12">
        <v>-7.9399999999999998E-2</v>
      </c>
      <c r="H854" s="12">
        <v>-0.15079999999999999</v>
      </c>
      <c r="I854" s="12">
        <v>0.15079999999999999</v>
      </c>
      <c r="J854" s="9" t="s">
        <v>412</v>
      </c>
      <c r="K854" s="9" t="s">
        <v>604</v>
      </c>
    </row>
    <row r="855" spans="1:11" ht="28.8">
      <c r="A855" s="9" t="s">
        <v>603</v>
      </c>
      <c r="B855" s="9" t="s">
        <v>687</v>
      </c>
      <c r="C855" s="9" t="s">
        <v>670</v>
      </c>
      <c r="D855" s="12">
        <v>0.28070000000000001</v>
      </c>
      <c r="E855" s="12">
        <v>-0.1457</v>
      </c>
      <c r="F855" s="12">
        <v>2.5499999999999998E-2</v>
      </c>
      <c r="G855" s="12">
        <v>6.7500000000000004E-2</v>
      </c>
      <c r="H855" s="12">
        <v>5.3499999999999999E-2</v>
      </c>
      <c r="I855" s="12">
        <v>0.15060000000000001</v>
      </c>
      <c r="J855" s="9" t="s">
        <v>412</v>
      </c>
      <c r="K855" s="9" t="s">
        <v>604</v>
      </c>
    </row>
    <row r="856" spans="1:11" ht="28.8">
      <c r="A856" s="9" t="s">
        <v>603</v>
      </c>
      <c r="B856" s="9" t="s">
        <v>669</v>
      </c>
      <c r="C856" s="9" t="s">
        <v>659</v>
      </c>
      <c r="D856" s="12">
        <v>-0.17230000000000001</v>
      </c>
      <c r="E856" s="12">
        <v>-0.2472</v>
      </c>
      <c r="F856" s="12">
        <v>3.1899999999999998E-2</v>
      </c>
      <c r="G856" s="12">
        <v>-0.20974999999999999</v>
      </c>
      <c r="H856" s="12">
        <v>-0.12920000000000001</v>
      </c>
      <c r="I856" s="12">
        <v>0.15049999999999999</v>
      </c>
      <c r="J856" s="9" t="s">
        <v>412</v>
      </c>
      <c r="K856" s="9" t="s">
        <v>604</v>
      </c>
    </row>
    <row r="857" spans="1:11" ht="28.8">
      <c r="A857" s="9" t="s">
        <v>679</v>
      </c>
      <c r="B857" s="9" t="s">
        <v>672</v>
      </c>
      <c r="C857" s="9" t="s">
        <v>666</v>
      </c>
      <c r="D857" s="12">
        <v>-0.113</v>
      </c>
      <c r="E857" s="12">
        <v>0.13270000000000001</v>
      </c>
      <c r="F857" s="12">
        <v>0.2054</v>
      </c>
      <c r="G857" s="12">
        <v>9.8500000000000046E-3</v>
      </c>
      <c r="H857" s="12">
        <v>7.4999999999999997E-2</v>
      </c>
      <c r="I857" s="12">
        <v>0.15040000000000001</v>
      </c>
      <c r="J857" s="9" t="s">
        <v>412</v>
      </c>
      <c r="K857" s="9" t="s">
        <v>604</v>
      </c>
    </row>
    <row r="858" spans="1:11" ht="28.8">
      <c r="A858" s="9" t="s">
        <v>671</v>
      </c>
      <c r="B858" s="9" t="s">
        <v>613</v>
      </c>
      <c r="C858" s="9" t="s">
        <v>601</v>
      </c>
      <c r="D858" s="12">
        <v>-0.10879999999999999</v>
      </c>
      <c r="E858" s="12">
        <v>3.5900000000000001E-2</v>
      </c>
      <c r="F858" s="12">
        <v>-0.30580000000000002</v>
      </c>
      <c r="G858" s="12">
        <v>-3.6449999999999996E-2</v>
      </c>
      <c r="H858" s="12">
        <v>-0.12620000000000001</v>
      </c>
      <c r="I858" s="12">
        <v>0.1502</v>
      </c>
      <c r="J858" s="9" t="s">
        <v>412</v>
      </c>
      <c r="K858" s="9" t="s">
        <v>604</v>
      </c>
    </row>
    <row r="859" spans="1:11">
      <c r="A859" s="9" t="s">
        <v>682</v>
      </c>
      <c r="B859" s="9" t="s">
        <v>668</v>
      </c>
      <c r="C859" s="9" t="s">
        <v>656</v>
      </c>
      <c r="D859" s="12">
        <v>-1.9900000000000001E-2</v>
      </c>
      <c r="E859" s="12">
        <v>7.3000000000000001E-3</v>
      </c>
      <c r="F859" s="12">
        <v>-0.42299999999999999</v>
      </c>
      <c r="G859" s="12">
        <v>-6.3E-3</v>
      </c>
      <c r="H859" s="12">
        <v>-0.1452</v>
      </c>
      <c r="I859" s="12">
        <v>0.15010000000000001</v>
      </c>
      <c r="J859" s="9" t="s">
        <v>412</v>
      </c>
      <c r="K859" s="9" t="s">
        <v>604</v>
      </c>
    </row>
    <row r="860" spans="1:11">
      <c r="A860" s="9" t="s">
        <v>662</v>
      </c>
      <c r="B860" s="9" t="s">
        <v>684</v>
      </c>
      <c r="C860" s="9" t="s">
        <v>670</v>
      </c>
      <c r="D860" s="12">
        <v>-0.18790000000000001</v>
      </c>
      <c r="E860" s="12">
        <v>-0.2475</v>
      </c>
      <c r="F860" s="12">
        <v>-1.49E-2</v>
      </c>
      <c r="G860" s="12">
        <v>-0.2177</v>
      </c>
      <c r="H860" s="12">
        <v>-0.15010000000000001</v>
      </c>
      <c r="I860" s="12">
        <v>0.15010000000000001</v>
      </c>
      <c r="J860" s="9" t="s">
        <v>412</v>
      </c>
      <c r="K860" s="9" t="s">
        <v>604</v>
      </c>
    </row>
    <row r="861" spans="1:11">
      <c r="A861" s="9" t="s">
        <v>610</v>
      </c>
      <c r="B861" s="9" t="s">
        <v>653</v>
      </c>
      <c r="C861" s="9" t="s">
        <v>667</v>
      </c>
      <c r="D861" s="12">
        <v>6.1800000000000001E-2</v>
      </c>
      <c r="E861" s="12">
        <v>-1.9800000000000002E-2</v>
      </c>
      <c r="F861" s="12">
        <v>-0.36870000000000003</v>
      </c>
      <c r="G861" s="12">
        <v>2.0999999999999998E-2</v>
      </c>
      <c r="H861" s="12">
        <v>-0.1089</v>
      </c>
      <c r="I861" s="12">
        <v>0.15010000000000001</v>
      </c>
      <c r="J861" s="9" t="s">
        <v>412</v>
      </c>
      <c r="K861" s="9" t="s">
        <v>604</v>
      </c>
    </row>
    <row r="862" spans="1:11" ht="28.8">
      <c r="A862" s="9" t="s">
        <v>662</v>
      </c>
      <c r="B862" s="9" t="s">
        <v>658</v>
      </c>
      <c r="C862" s="9" t="s">
        <v>674</v>
      </c>
      <c r="D862" s="12">
        <v>0.17680000000000001</v>
      </c>
      <c r="E862" s="12">
        <v>0.11119999999999999</v>
      </c>
      <c r="F862" s="12">
        <v>0.16159999999999999</v>
      </c>
      <c r="G862" s="12">
        <v>0.14400000000000002</v>
      </c>
      <c r="H862" s="12">
        <v>0.14979999999999999</v>
      </c>
      <c r="I862" s="12">
        <v>0.14979999999999999</v>
      </c>
      <c r="J862" s="9" t="s">
        <v>412</v>
      </c>
      <c r="K862" s="9" t="s">
        <v>654</v>
      </c>
    </row>
    <row r="863" spans="1:11" ht="28.8">
      <c r="A863" s="9" t="s">
        <v>610</v>
      </c>
      <c r="B863" s="9" t="s">
        <v>653</v>
      </c>
      <c r="C863" s="9" t="s">
        <v>677</v>
      </c>
      <c r="D863" s="12">
        <v>0.10100000000000001</v>
      </c>
      <c r="E863" s="12">
        <v>-1.9800000000000002E-2</v>
      </c>
      <c r="F863" s="12">
        <v>0.32829999999999998</v>
      </c>
      <c r="G863" s="12">
        <v>4.0600000000000004E-2</v>
      </c>
      <c r="H863" s="12">
        <v>0.13650000000000001</v>
      </c>
      <c r="I863" s="12">
        <v>0.1497</v>
      </c>
      <c r="J863" s="9" t="s">
        <v>412</v>
      </c>
      <c r="K863" s="9" t="s">
        <v>604</v>
      </c>
    </row>
    <row r="864" spans="1:11">
      <c r="A864" s="9" t="s">
        <v>662</v>
      </c>
      <c r="B864" s="9" t="s">
        <v>687</v>
      </c>
      <c r="C864" s="9" t="s">
        <v>656</v>
      </c>
      <c r="D864" s="12">
        <v>0.26229999999999998</v>
      </c>
      <c r="E864" s="12">
        <v>-5.4199999999999998E-2</v>
      </c>
      <c r="F864" s="12">
        <v>-0.13239999999999999</v>
      </c>
      <c r="G864" s="12">
        <v>0.10404999999999999</v>
      </c>
      <c r="H864" s="12">
        <v>2.52E-2</v>
      </c>
      <c r="I864" s="12">
        <v>0.14960000000000001</v>
      </c>
      <c r="J864" s="9" t="s">
        <v>412</v>
      </c>
      <c r="K864" s="9" t="s">
        <v>604</v>
      </c>
    </row>
    <row r="865" spans="1:11" ht="28.8">
      <c r="A865" s="9" t="s">
        <v>610</v>
      </c>
      <c r="B865" s="9" t="s">
        <v>657</v>
      </c>
      <c r="C865" s="9" t="s">
        <v>674</v>
      </c>
      <c r="D865" s="12">
        <v>-0.1986</v>
      </c>
      <c r="E865" s="12">
        <v>-0.1171</v>
      </c>
      <c r="F865" s="12">
        <v>-0.1331</v>
      </c>
      <c r="G865" s="12">
        <v>-0.15784999999999999</v>
      </c>
      <c r="H865" s="12">
        <v>-0.14960000000000001</v>
      </c>
      <c r="I865" s="12">
        <v>0.14960000000000001</v>
      </c>
      <c r="J865" s="9" t="s">
        <v>412</v>
      </c>
      <c r="K865" s="9" t="s">
        <v>604</v>
      </c>
    </row>
    <row r="866" spans="1:11" ht="28.8">
      <c r="A866" s="9" t="s">
        <v>603</v>
      </c>
      <c r="B866" s="9" t="s">
        <v>676</v>
      </c>
      <c r="C866" s="9" t="s">
        <v>677</v>
      </c>
      <c r="D866" s="12">
        <v>0.14069999999999999</v>
      </c>
      <c r="E866" s="12">
        <v>-0.1002</v>
      </c>
      <c r="F866" s="12">
        <v>0.2077</v>
      </c>
      <c r="G866" s="12">
        <v>2.0249999999999997E-2</v>
      </c>
      <c r="H866" s="12">
        <v>8.2699999999999996E-2</v>
      </c>
      <c r="I866" s="12">
        <v>0.14949999999999999</v>
      </c>
      <c r="J866" s="9" t="s">
        <v>412</v>
      </c>
      <c r="K866" s="9" t="s">
        <v>604</v>
      </c>
    </row>
    <row r="867" spans="1:11" ht="28.8">
      <c r="A867" s="9" t="s">
        <v>679</v>
      </c>
      <c r="B867" s="9" t="s">
        <v>678</v>
      </c>
      <c r="C867" s="9" t="s">
        <v>670</v>
      </c>
      <c r="D867" s="12">
        <v>-9.5200000000000007E-2</v>
      </c>
      <c r="E867" s="12">
        <v>-9.2299999999999993E-2</v>
      </c>
      <c r="F867" s="12">
        <v>0.26069999999999999</v>
      </c>
      <c r="G867" s="12">
        <v>-9.375E-2</v>
      </c>
      <c r="H867" s="12">
        <v>2.4400000000000002E-2</v>
      </c>
      <c r="I867" s="12">
        <v>0.14940000000000001</v>
      </c>
      <c r="J867" s="9" t="s">
        <v>412</v>
      </c>
      <c r="K867" s="9" t="s">
        <v>604</v>
      </c>
    </row>
    <row r="868" spans="1:11" ht="28.8">
      <c r="A868" s="9" t="s">
        <v>671</v>
      </c>
      <c r="B868" s="9" t="s">
        <v>687</v>
      </c>
      <c r="C868" s="9" t="s">
        <v>675</v>
      </c>
      <c r="D868" s="12">
        <v>0.10780000000000001</v>
      </c>
      <c r="E868" s="12">
        <v>0.13850000000000001</v>
      </c>
      <c r="F868" s="12">
        <v>0.20180000000000001</v>
      </c>
      <c r="G868" s="12">
        <v>0.12315000000000001</v>
      </c>
      <c r="H868" s="12">
        <v>0.14940000000000001</v>
      </c>
      <c r="I868" s="12">
        <v>0.14940000000000001</v>
      </c>
      <c r="J868" s="9" t="s">
        <v>412</v>
      </c>
      <c r="K868" s="9" t="s">
        <v>654</v>
      </c>
    </row>
    <row r="869" spans="1:11" ht="28.8">
      <c r="A869" s="9" t="s">
        <v>609</v>
      </c>
      <c r="B869" s="9" t="s">
        <v>653</v>
      </c>
      <c r="C869" s="9" t="s">
        <v>664</v>
      </c>
      <c r="D869" s="12">
        <v>-6.5699999999999995E-2</v>
      </c>
      <c r="E869" s="12">
        <v>-0.2389</v>
      </c>
      <c r="F869" s="12">
        <v>0.14360000000000001</v>
      </c>
      <c r="G869" s="12">
        <v>-0.15229999999999999</v>
      </c>
      <c r="H869" s="12">
        <v>-5.3600000000000002E-2</v>
      </c>
      <c r="I869" s="12">
        <v>0.14940000000000001</v>
      </c>
      <c r="J869" s="9" t="s">
        <v>412</v>
      </c>
      <c r="K869" s="9" t="s">
        <v>604</v>
      </c>
    </row>
    <row r="870" spans="1:11">
      <c r="A870" s="9" t="s">
        <v>609</v>
      </c>
      <c r="B870" s="9" t="s">
        <v>684</v>
      </c>
      <c r="C870" s="9" t="s">
        <v>656</v>
      </c>
      <c r="D870" s="12">
        <v>0.22770000000000001</v>
      </c>
      <c r="E870" s="12">
        <v>-0.19400000000000001</v>
      </c>
      <c r="F870" s="12">
        <v>2.6499999999999999E-2</v>
      </c>
      <c r="G870" s="12">
        <v>1.6850000000000004E-2</v>
      </c>
      <c r="H870" s="12">
        <v>2.01E-2</v>
      </c>
      <c r="I870" s="12">
        <v>0.14940000000000001</v>
      </c>
      <c r="J870" s="9" t="s">
        <v>412</v>
      </c>
      <c r="K870" s="9" t="s">
        <v>604</v>
      </c>
    </row>
    <row r="871" spans="1:11" ht="28.8">
      <c r="A871" s="9" t="s">
        <v>603</v>
      </c>
      <c r="B871" s="9" t="s">
        <v>678</v>
      </c>
      <c r="C871" s="9" t="s">
        <v>683</v>
      </c>
      <c r="D871" s="12">
        <v>0.17660000000000001</v>
      </c>
      <c r="E871" s="12">
        <v>0.17549999999999999</v>
      </c>
      <c r="F871" s="12">
        <v>-9.6299999999999997E-2</v>
      </c>
      <c r="G871" s="12">
        <v>0.17604999999999998</v>
      </c>
      <c r="H871" s="12">
        <v>8.5300000000000001E-2</v>
      </c>
      <c r="I871" s="12">
        <v>0.14940000000000001</v>
      </c>
      <c r="J871" s="9" t="s">
        <v>412</v>
      </c>
      <c r="K871" s="9" t="s">
        <v>604</v>
      </c>
    </row>
    <row r="872" spans="1:11" ht="28.8">
      <c r="A872" s="9" t="s">
        <v>679</v>
      </c>
      <c r="B872" s="9" t="s">
        <v>680</v>
      </c>
      <c r="C872" s="9" t="s">
        <v>664</v>
      </c>
      <c r="D872" s="12">
        <v>0.1353</v>
      </c>
      <c r="E872" s="12">
        <v>0.1643</v>
      </c>
      <c r="F872" s="12">
        <v>0.14829999999999999</v>
      </c>
      <c r="G872" s="12">
        <v>0.14979999999999999</v>
      </c>
      <c r="H872" s="12">
        <v>0.14929999999999999</v>
      </c>
      <c r="I872" s="12">
        <v>0.14929999999999999</v>
      </c>
      <c r="J872" s="9" t="s">
        <v>412</v>
      </c>
      <c r="K872" s="9" t="s">
        <v>654</v>
      </c>
    </row>
    <row r="873" spans="1:11" ht="28.8">
      <c r="A873" s="9" t="s">
        <v>671</v>
      </c>
      <c r="B873" s="9" t="s">
        <v>680</v>
      </c>
      <c r="C873" s="9" t="s">
        <v>674</v>
      </c>
      <c r="D873" s="12">
        <v>-6.2799999999999995E-2</v>
      </c>
      <c r="E873" s="12">
        <v>-1.24E-2</v>
      </c>
      <c r="F873" s="12">
        <v>0.37230000000000002</v>
      </c>
      <c r="G873" s="12">
        <v>-3.7599999999999995E-2</v>
      </c>
      <c r="H873" s="12">
        <v>9.9000000000000005E-2</v>
      </c>
      <c r="I873" s="12">
        <v>0.1492</v>
      </c>
      <c r="J873" s="9" t="s">
        <v>412</v>
      </c>
      <c r="K873" s="9" t="s">
        <v>604</v>
      </c>
    </row>
    <row r="874" spans="1:11" ht="28.8">
      <c r="A874" s="9" t="s">
        <v>682</v>
      </c>
      <c r="B874" s="9" t="s">
        <v>681</v>
      </c>
      <c r="C874" s="9" t="s">
        <v>666</v>
      </c>
      <c r="D874" s="12">
        <v>0.22600000000000001</v>
      </c>
      <c r="E874" s="12">
        <v>0.15890000000000001</v>
      </c>
      <c r="F874" s="12">
        <v>6.2399999999999997E-2</v>
      </c>
      <c r="G874" s="12">
        <v>0.19245000000000001</v>
      </c>
      <c r="H874" s="12">
        <v>0.14910000000000001</v>
      </c>
      <c r="I874" s="12">
        <v>0.14910000000000001</v>
      </c>
      <c r="J874" s="9" t="s">
        <v>412</v>
      </c>
      <c r="K874" s="9" t="s">
        <v>654</v>
      </c>
    </row>
    <row r="875" spans="1:11">
      <c r="A875" s="9" t="s">
        <v>609</v>
      </c>
      <c r="B875" s="9" t="s">
        <v>660</v>
      </c>
      <c r="C875" s="9" t="s">
        <v>663</v>
      </c>
      <c r="D875" s="12">
        <v>-0.12770000000000001</v>
      </c>
      <c r="E875" s="12">
        <v>2.5700000000000001E-2</v>
      </c>
      <c r="F875" s="12">
        <v>-0.29349999999999998</v>
      </c>
      <c r="G875" s="12">
        <v>-5.1000000000000004E-2</v>
      </c>
      <c r="H875" s="12">
        <v>-0.1318</v>
      </c>
      <c r="I875" s="12">
        <v>0.14899999999999999</v>
      </c>
      <c r="J875" s="9" t="s">
        <v>412</v>
      </c>
      <c r="K875" s="9" t="s">
        <v>604</v>
      </c>
    </row>
    <row r="876" spans="1:11" ht="28.8">
      <c r="A876" s="9" t="s">
        <v>603</v>
      </c>
      <c r="B876" s="9" t="s">
        <v>676</v>
      </c>
      <c r="C876" s="9" t="s">
        <v>675</v>
      </c>
      <c r="D876" s="12">
        <v>-0.18360000000000001</v>
      </c>
      <c r="E876" s="12">
        <v>-0.1002</v>
      </c>
      <c r="F876" s="12">
        <v>0.16320000000000001</v>
      </c>
      <c r="G876" s="12">
        <v>-0.1419</v>
      </c>
      <c r="H876" s="12">
        <v>-4.02E-2</v>
      </c>
      <c r="I876" s="12">
        <v>0.14899999999999999</v>
      </c>
      <c r="J876" s="9" t="s">
        <v>412</v>
      </c>
      <c r="K876" s="9" t="s">
        <v>604</v>
      </c>
    </row>
    <row r="877" spans="1:11" ht="28.8">
      <c r="A877" s="9" t="s">
        <v>671</v>
      </c>
      <c r="B877" s="9" t="s">
        <v>688</v>
      </c>
      <c r="C877" s="9" t="s">
        <v>670</v>
      </c>
      <c r="D877" s="12">
        <v>-0.32890000000000003</v>
      </c>
      <c r="E877" s="12">
        <v>6.3E-3</v>
      </c>
      <c r="F877" s="12">
        <v>-0.1111</v>
      </c>
      <c r="G877" s="12">
        <v>-0.1613</v>
      </c>
      <c r="H877" s="12">
        <v>-0.14460000000000001</v>
      </c>
      <c r="I877" s="12">
        <v>0.14879999999999999</v>
      </c>
      <c r="J877" s="9" t="s">
        <v>412</v>
      </c>
      <c r="K877" s="9" t="s">
        <v>604</v>
      </c>
    </row>
    <row r="878" spans="1:11" ht="28.8">
      <c r="A878" s="9" t="s">
        <v>603</v>
      </c>
      <c r="B878" s="9" t="s">
        <v>668</v>
      </c>
      <c r="C878" s="9" t="s">
        <v>683</v>
      </c>
      <c r="D878" s="12">
        <v>0.17660000000000001</v>
      </c>
      <c r="E878" s="12">
        <v>0.23269999999999999</v>
      </c>
      <c r="F878" s="12">
        <v>3.6700000000000003E-2</v>
      </c>
      <c r="G878" s="12">
        <v>0.20465</v>
      </c>
      <c r="H878" s="12">
        <v>0.14860000000000001</v>
      </c>
      <c r="I878" s="12">
        <v>0.14860000000000001</v>
      </c>
      <c r="J878" s="9" t="s">
        <v>412</v>
      </c>
      <c r="K878" s="9" t="s">
        <v>654</v>
      </c>
    </row>
    <row r="879" spans="1:11" ht="28.8">
      <c r="A879" s="9" t="s">
        <v>610</v>
      </c>
      <c r="B879" s="9" t="s">
        <v>691</v>
      </c>
      <c r="C879" s="9" t="s">
        <v>683</v>
      </c>
      <c r="D879" s="12">
        <v>-8.1500000000000003E-2</v>
      </c>
      <c r="E879" s="12">
        <v>0.29249999999999998</v>
      </c>
      <c r="F879" s="12">
        <v>7.1400000000000005E-2</v>
      </c>
      <c r="G879" s="12">
        <v>0.10549999999999998</v>
      </c>
      <c r="H879" s="12">
        <v>9.4200000000000006E-2</v>
      </c>
      <c r="I879" s="12">
        <v>0.14849999999999999</v>
      </c>
      <c r="J879" s="9" t="s">
        <v>412</v>
      </c>
      <c r="K879" s="9" t="s">
        <v>604</v>
      </c>
    </row>
    <row r="880" spans="1:11" ht="28.8">
      <c r="A880" s="9" t="s">
        <v>603</v>
      </c>
      <c r="B880" s="9" t="s">
        <v>672</v>
      </c>
      <c r="C880" s="9" t="s">
        <v>677</v>
      </c>
      <c r="D880" s="12">
        <v>0.14069999999999999</v>
      </c>
      <c r="E880" s="12">
        <v>-0.21229999999999999</v>
      </c>
      <c r="F880" s="12">
        <v>9.2299999999999993E-2</v>
      </c>
      <c r="G880" s="12">
        <v>-3.5799999999999998E-2</v>
      </c>
      <c r="H880" s="12">
        <v>6.8999999999999999E-3</v>
      </c>
      <c r="I880" s="12">
        <v>0.14849999999999999</v>
      </c>
      <c r="J880" s="9" t="s">
        <v>412</v>
      </c>
      <c r="K880" s="9" t="s">
        <v>604</v>
      </c>
    </row>
    <row r="881" spans="1:11" ht="28.8">
      <c r="A881" s="9" t="s">
        <v>682</v>
      </c>
      <c r="B881" s="9" t="s">
        <v>653</v>
      </c>
      <c r="C881" s="9" t="s">
        <v>674</v>
      </c>
      <c r="D881" s="12">
        <v>4.1999999999999997E-3</v>
      </c>
      <c r="E881" s="12">
        <v>-4.8099999999999997E-2</v>
      </c>
      <c r="F881" s="12">
        <v>-0.39329999999999998</v>
      </c>
      <c r="G881" s="12">
        <v>-2.1949999999999997E-2</v>
      </c>
      <c r="H881" s="12">
        <v>-0.14580000000000001</v>
      </c>
      <c r="I881" s="12">
        <v>0.14849999999999999</v>
      </c>
      <c r="J881" s="9" t="s">
        <v>412</v>
      </c>
      <c r="K881" s="9" t="s">
        <v>604</v>
      </c>
    </row>
    <row r="882" spans="1:11" ht="28.8">
      <c r="A882" s="9" t="s">
        <v>682</v>
      </c>
      <c r="B882" s="9" t="s">
        <v>602</v>
      </c>
      <c r="C882" s="9" t="s">
        <v>666</v>
      </c>
      <c r="D882" s="12">
        <v>0.22600000000000001</v>
      </c>
      <c r="E882" s="12">
        <v>9.5699999999999993E-2</v>
      </c>
      <c r="F882" s="12">
        <v>0.12330000000000001</v>
      </c>
      <c r="G882" s="12">
        <v>0.16084999999999999</v>
      </c>
      <c r="H882" s="12">
        <v>0.1484</v>
      </c>
      <c r="I882" s="12">
        <v>0.1484</v>
      </c>
      <c r="J882" s="9" t="s">
        <v>412</v>
      </c>
      <c r="K882" s="9" t="s">
        <v>654</v>
      </c>
    </row>
    <row r="883" spans="1:11" ht="28.8">
      <c r="A883" s="9" t="s">
        <v>679</v>
      </c>
      <c r="B883" s="9" t="s">
        <v>657</v>
      </c>
      <c r="C883" s="9" t="s">
        <v>663</v>
      </c>
      <c r="D883" s="12">
        <v>0.13450000000000001</v>
      </c>
      <c r="E883" s="12">
        <v>0.14180000000000001</v>
      </c>
      <c r="F883" s="12">
        <v>-0.16819999999999999</v>
      </c>
      <c r="G883" s="12">
        <v>0.13815</v>
      </c>
      <c r="H883" s="12">
        <v>3.61E-2</v>
      </c>
      <c r="I883" s="12">
        <v>0.1482</v>
      </c>
      <c r="J883" s="9" t="s">
        <v>412</v>
      </c>
      <c r="K883" s="9" t="s">
        <v>604</v>
      </c>
    </row>
    <row r="884" spans="1:11" ht="28.8">
      <c r="A884" s="9" t="s">
        <v>661</v>
      </c>
      <c r="B884" s="9" t="s">
        <v>676</v>
      </c>
      <c r="C884" s="9" t="s">
        <v>690</v>
      </c>
      <c r="D884" s="12">
        <v>3.3700000000000001E-2</v>
      </c>
      <c r="E884" s="12">
        <v>0.33629999999999999</v>
      </c>
      <c r="F884" s="12">
        <v>-7.4399999999999994E-2</v>
      </c>
      <c r="G884" s="12">
        <v>0.185</v>
      </c>
      <c r="H884" s="12">
        <v>9.8500000000000004E-2</v>
      </c>
      <c r="I884" s="12">
        <v>0.1482</v>
      </c>
      <c r="J884" s="9" t="s">
        <v>412</v>
      </c>
      <c r="K884" s="9" t="s">
        <v>604</v>
      </c>
    </row>
    <row r="885" spans="1:11">
      <c r="A885" s="9" t="s">
        <v>662</v>
      </c>
      <c r="B885" s="9" t="s">
        <v>613</v>
      </c>
      <c r="C885" s="9" t="s">
        <v>667</v>
      </c>
      <c r="D885" s="12">
        <v>0.12540000000000001</v>
      </c>
      <c r="E885" s="12">
        <v>6.2399999999999997E-2</v>
      </c>
      <c r="F885" s="12">
        <v>0.25679999999999997</v>
      </c>
      <c r="G885" s="12">
        <v>9.3900000000000011E-2</v>
      </c>
      <c r="H885" s="12">
        <v>0.1482</v>
      </c>
      <c r="I885" s="12">
        <v>0.1482</v>
      </c>
      <c r="J885" s="9" t="s">
        <v>412</v>
      </c>
      <c r="K885" s="9" t="s">
        <v>654</v>
      </c>
    </row>
    <row r="886" spans="1:11" ht="28.8">
      <c r="A886" s="9" t="s">
        <v>661</v>
      </c>
      <c r="B886" s="9" t="s">
        <v>685</v>
      </c>
      <c r="C886" s="9" t="s">
        <v>675</v>
      </c>
      <c r="D886" s="12">
        <v>0.14380000000000001</v>
      </c>
      <c r="E886" s="12">
        <v>0.18970000000000001</v>
      </c>
      <c r="F886" s="12">
        <v>0.11119999999999999</v>
      </c>
      <c r="G886" s="12">
        <v>0.16675000000000001</v>
      </c>
      <c r="H886" s="12">
        <v>0.1482</v>
      </c>
      <c r="I886" s="12">
        <v>0.1482</v>
      </c>
      <c r="J886" s="9" t="s">
        <v>412</v>
      </c>
      <c r="K886" s="9" t="s">
        <v>654</v>
      </c>
    </row>
    <row r="887" spans="1:11">
      <c r="A887" s="9" t="s">
        <v>609</v>
      </c>
      <c r="B887" s="9" t="s">
        <v>669</v>
      </c>
      <c r="C887" s="9" t="s">
        <v>667</v>
      </c>
      <c r="D887" s="12">
        <v>0.33360000000000001</v>
      </c>
      <c r="E887" s="12">
        <v>4.6199999999999998E-2</v>
      </c>
      <c r="F887" s="12">
        <v>6.4399999999999999E-2</v>
      </c>
      <c r="G887" s="12">
        <v>0.18990000000000001</v>
      </c>
      <c r="H887" s="12">
        <v>0.14810000000000001</v>
      </c>
      <c r="I887" s="12">
        <v>0.14810000000000001</v>
      </c>
      <c r="J887" s="9" t="s">
        <v>412</v>
      </c>
      <c r="K887" s="9" t="s">
        <v>654</v>
      </c>
    </row>
    <row r="888" spans="1:11" ht="28.8">
      <c r="A888" s="9" t="s">
        <v>661</v>
      </c>
      <c r="B888" s="9" t="s">
        <v>688</v>
      </c>
      <c r="C888" s="9" t="s">
        <v>683</v>
      </c>
      <c r="D888" s="12">
        <v>-5.3400000000000003E-2</v>
      </c>
      <c r="E888" s="12">
        <v>6.8500000000000005E-2</v>
      </c>
      <c r="F888" s="12">
        <v>0.3216</v>
      </c>
      <c r="G888" s="12">
        <v>7.5500000000000012E-3</v>
      </c>
      <c r="H888" s="12">
        <v>0.11219999999999999</v>
      </c>
      <c r="I888" s="12">
        <v>0.1479</v>
      </c>
      <c r="J888" s="9" t="s">
        <v>412</v>
      </c>
      <c r="K888" s="9" t="s">
        <v>604</v>
      </c>
    </row>
    <row r="889" spans="1:11" ht="28.8">
      <c r="A889" s="9" t="s">
        <v>682</v>
      </c>
      <c r="B889" s="9" t="s">
        <v>680</v>
      </c>
      <c r="C889" s="9" t="s">
        <v>674</v>
      </c>
      <c r="D889" s="12">
        <v>4.1999999999999997E-3</v>
      </c>
      <c r="E889" s="12">
        <v>6.7000000000000004E-2</v>
      </c>
      <c r="F889" s="12">
        <v>0.37230000000000002</v>
      </c>
      <c r="G889" s="12">
        <v>3.56E-2</v>
      </c>
      <c r="H889" s="12">
        <v>0.14779999999999999</v>
      </c>
      <c r="I889" s="12">
        <v>0.14779999999999999</v>
      </c>
      <c r="J889" s="9" t="s">
        <v>412</v>
      </c>
      <c r="K889" s="9" t="s">
        <v>654</v>
      </c>
    </row>
    <row r="890" spans="1:11">
      <c r="A890" s="9" t="s">
        <v>609</v>
      </c>
      <c r="B890" s="9" t="s">
        <v>684</v>
      </c>
      <c r="C890" s="9" t="s">
        <v>655</v>
      </c>
      <c r="D890" s="12">
        <v>0.16819999999999999</v>
      </c>
      <c r="E890" s="12">
        <v>-0.19400000000000001</v>
      </c>
      <c r="F890" s="12">
        <v>8.1100000000000005E-2</v>
      </c>
      <c r="G890" s="12">
        <v>-1.2900000000000009E-2</v>
      </c>
      <c r="H890" s="12">
        <v>1.84E-2</v>
      </c>
      <c r="I890" s="12">
        <v>0.1477</v>
      </c>
      <c r="J890" s="9" t="s">
        <v>412</v>
      </c>
      <c r="K890" s="9" t="s">
        <v>604</v>
      </c>
    </row>
    <row r="891" spans="1:11" ht="28.8">
      <c r="A891" s="9" t="s">
        <v>661</v>
      </c>
      <c r="B891" s="9" t="s">
        <v>688</v>
      </c>
      <c r="C891" s="9" t="s">
        <v>601</v>
      </c>
      <c r="D891" s="12">
        <v>-0.2266</v>
      </c>
      <c r="E891" s="12">
        <v>6.8500000000000005E-2</v>
      </c>
      <c r="F891" s="12">
        <v>-0.1477</v>
      </c>
      <c r="G891" s="12">
        <v>-7.9049999999999995E-2</v>
      </c>
      <c r="H891" s="12">
        <v>-0.1019</v>
      </c>
      <c r="I891" s="12">
        <v>0.14760000000000001</v>
      </c>
      <c r="J891" s="9" t="s">
        <v>412</v>
      </c>
      <c r="K891" s="9" t="s">
        <v>604</v>
      </c>
    </row>
    <row r="892" spans="1:11" ht="28.8">
      <c r="A892" s="9" t="s">
        <v>610</v>
      </c>
      <c r="B892" s="9" t="s">
        <v>657</v>
      </c>
      <c r="C892" s="9" t="s">
        <v>677</v>
      </c>
      <c r="D892" s="12">
        <v>0.10100000000000001</v>
      </c>
      <c r="E892" s="12">
        <v>-0.1171</v>
      </c>
      <c r="F892" s="12">
        <v>0.2248</v>
      </c>
      <c r="G892" s="12">
        <v>-8.0499999999999947E-3</v>
      </c>
      <c r="H892" s="12">
        <v>6.9599999999999995E-2</v>
      </c>
      <c r="I892" s="12">
        <v>0.14760000000000001</v>
      </c>
      <c r="J892" s="9" t="s">
        <v>412</v>
      </c>
      <c r="K892" s="9" t="s">
        <v>604</v>
      </c>
    </row>
    <row r="893" spans="1:11" ht="28.8">
      <c r="A893" s="9" t="s">
        <v>679</v>
      </c>
      <c r="B893" s="9" t="s">
        <v>669</v>
      </c>
      <c r="C893" s="9" t="s">
        <v>675</v>
      </c>
      <c r="D893" s="12">
        <v>4.0599999999999997E-2</v>
      </c>
      <c r="E893" s="12">
        <v>8.3900000000000002E-2</v>
      </c>
      <c r="F893" s="12">
        <v>0.31819999999999998</v>
      </c>
      <c r="G893" s="12">
        <v>6.225E-2</v>
      </c>
      <c r="H893" s="12">
        <v>0.14760000000000001</v>
      </c>
      <c r="I893" s="12">
        <v>0.14760000000000001</v>
      </c>
      <c r="J893" s="9" t="s">
        <v>412</v>
      </c>
      <c r="K893" s="9" t="s">
        <v>654</v>
      </c>
    </row>
    <row r="894" spans="1:11" ht="28.8">
      <c r="A894" s="9" t="s">
        <v>662</v>
      </c>
      <c r="B894" s="9" t="s">
        <v>684</v>
      </c>
      <c r="C894" s="9" t="s">
        <v>601</v>
      </c>
      <c r="D894" s="12">
        <v>-0.1173</v>
      </c>
      <c r="E894" s="12">
        <v>-0.2475</v>
      </c>
      <c r="F894" s="12">
        <v>-7.7700000000000005E-2</v>
      </c>
      <c r="G894" s="12">
        <v>-0.18240000000000001</v>
      </c>
      <c r="H894" s="12">
        <v>-0.14749999999999999</v>
      </c>
      <c r="I894" s="12">
        <v>0.14749999999999999</v>
      </c>
      <c r="J894" s="9" t="s">
        <v>412</v>
      </c>
      <c r="K894" s="9" t="s">
        <v>604</v>
      </c>
    </row>
    <row r="895" spans="1:11" ht="28.8">
      <c r="A895" s="9" t="s">
        <v>671</v>
      </c>
      <c r="B895" s="9" t="s">
        <v>613</v>
      </c>
      <c r="C895" s="9" t="s">
        <v>655</v>
      </c>
      <c r="D895" s="12">
        <v>0.1215</v>
      </c>
      <c r="E895" s="12">
        <v>3.5900000000000001E-2</v>
      </c>
      <c r="F895" s="12">
        <v>0.28510000000000002</v>
      </c>
      <c r="G895" s="12">
        <v>7.8699999999999992E-2</v>
      </c>
      <c r="H895" s="12">
        <v>0.14749999999999999</v>
      </c>
      <c r="I895" s="12">
        <v>0.14749999999999999</v>
      </c>
      <c r="J895" s="9" t="s">
        <v>412</v>
      </c>
      <c r="K895" s="9" t="s">
        <v>654</v>
      </c>
    </row>
    <row r="896" spans="1:11" ht="28.8">
      <c r="A896" s="9" t="s">
        <v>671</v>
      </c>
      <c r="B896" s="9" t="s">
        <v>660</v>
      </c>
      <c r="C896" s="9" t="s">
        <v>666</v>
      </c>
      <c r="D896" s="12">
        <v>1.34E-2</v>
      </c>
      <c r="E896" s="12">
        <v>-0.1037</v>
      </c>
      <c r="F896" s="12">
        <v>-0.32500000000000001</v>
      </c>
      <c r="G896" s="12">
        <v>-4.5150000000000003E-2</v>
      </c>
      <c r="H896" s="12">
        <v>-0.13850000000000001</v>
      </c>
      <c r="I896" s="12">
        <v>0.1474</v>
      </c>
      <c r="J896" s="9" t="s">
        <v>412</v>
      </c>
      <c r="K896" s="9" t="s">
        <v>604</v>
      </c>
    </row>
    <row r="897" spans="1:11" ht="28.8">
      <c r="A897" s="9" t="s">
        <v>682</v>
      </c>
      <c r="B897" s="9" t="s">
        <v>688</v>
      </c>
      <c r="C897" s="9" t="s">
        <v>675</v>
      </c>
      <c r="D897" s="12">
        <v>0.06</v>
      </c>
      <c r="E897" s="12">
        <v>5.6800000000000003E-2</v>
      </c>
      <c r="F897" s="12">
        <v>0.3251</v>
      </c>
      <c r="G897" s="12">
        <v>5.8400000000000001E-2</v>
      </c>
      <c r="H897" s="12">
        <v>0.14729999999999999</v>
      </c>
      <c r="I897" s="12">
        <v>0.14729999999999999</v>
      </c>
      <c r="J897" s="9" t="s">
        <v>412</v>
      </c>
      <c r="K897" s="9" t="s">
        <v>654</v>
      </c>
    </row>
    <row r="898" spans="1:11" ht="28.8">
      <c r="A898" s="9" t="s">
        <v>671</v>
      </c>
      <c r="B898" s="9" t="s">
        <v>658</v>
      </c>
      <c r="C898" s="9" t="s">
        <v>666</v>
      </c>
      <c r="D898" s="12">
        <v>1.34E-2</v>
      </c>
      <c r="E898" s="12">
        <v>0.18609999999999999</v>
      </c>
      <c r="F898" s="12">
        <v>0.24249999999999999</v>
      </c>
      <c r="G898" s="12">
        <v>9.9749999999999991E-2</v>
      </c>
      <c r="H898" s="12">
        <v>0.14729999999999999</v>
      </c>
      <c r="I898" s="12">
        <v>0.14729999999999999</v>
      </c>
      <c r="J898" s="9" t="s">
        <v>412</v>
      </c>
      <c r="K898" s="9" t="s">
        <v>654</v>
      </c>
    </row>
    <row r="899" spans="1:11">
      <c r="A899" s="9" t="s">
        <v>662</v>
      </c>
      <c r="B899" s="9" t="s">
        <v>672</v>
      </c>
      <c r="C899" s="9" t="s">
        <v>670</v>
      </c>
      <c r="D899" s="12">
        <v>-0.18790000000000001</v>
      </c>
      <c r="E899" s="12">
        <v>1.0999999999999999E-2</v>
      </c>
      <c r="F899" s="12">
        <v>-0.24260000000000001</v>
      </c>
      <c r="G899" s="12">
        <v>-8.8450000000000001E-2</v>
      </c>
      <c r="H899" s="12">
        <v>-0.13980000000000001</v>
      </c>
      <c r="I899" s="12">
        <v>0.1472</v>
      </c>
      <c r="J899" s="9" t="s">
        <v>412</v>
      </c>
      <c r="K899" s="9" t="s">
        <v>604</v>
      </c>
    </row>
    <row r="900" spans="1:11">
      <c r="A900" s="9" t="s">
        <v>610</v>
      </c>
      <c r="B900" s="9" t="s">
        <v>685</v>
      </c>
      <c r="C900" s="9" t="s">
        <v>667</v>
      </c>
      <c r="D900" s="12">
        <v>6.1800000000000001E-2</v>
      </c>
      <c r="E900" s="12">
        <v>4.0500000000000001E-2</v>
      </c>
      <c r="F900" s="12">
        <v>0.33929999999999999</v>
      </c>
      <c r="G900" s="12">
        <v>5.1150000000000001E-2</v>
      </c>
      <c r="H900" s="12">
        <v>0.1472</v>
      </c>
      <c r="I900" s="12">
        <v>0.1472</v>
      </c>
      <c r="J900" s="9" t="s">
        <v>412</v>
      </c>
      <c r="K900" s="9" t="s">
        <v>654</v>
      </c>
    </row>
    <row r="901" spans="1:11" ht="28.8">
      <c r="A901" s="9" t="s">
        <v>662</v>
      </c>
      <c r="B901" s="9" t="s">
        <v>688</v>
      </c>
      <c r="C901" s="9" t="s">
        <v>674</v>
      </c>
      <c r="D901" s="12">
        <v>0.17680000000000001</v>
      </c>
      <c r="E901" s="12">
        <v>0.1293</v>
      </c>
      <c r="F901" s="12">
        <v>0.13539999999999999</v>
      </c>
      <c r="G901" s="12">
        <v>0.15305000000000002</v>
      </c>
      <c r="H901" s="12">
        <v>0.14710000000000001</v>
      </c>
      <c r="I901" s="12">
        <v>0.14710000000000001</v>
      </c>
      <c r="J901" s="9" t="s">
        <v>412</v>
      </c>
      <c r="K901" s="9" t="s">
        <v>654</v>
      </c>
    </row>
    <row r="902" spans="1:11" ht="28.8">
      <c r="A902" s="9" t="s">
        <v>679</v>
      </c>
      <c r="B902" s="9" t="s">
        <v>691</v>
      </c>
      <c r="C902" s="9" t="s">
        <v>664</v>
      </c>
      <c r="D902" s="12">
        <v>0.1353</v>
      </c>
      <c r="E902" s="12">
        <v>-0.1757</v>
      </c>
      <c r="F902" s="12">
        <v>0.13</v>
      </c>
      <c r="G902" s="12">
        <v>-2.0199999999999996E-2</v>
      </c>
      <c r="H902" s="12">
        <v>2.9899999999999999E-2</v>
      </c>
      <c r="I902" s="12">
        <v>0.14699999999999999</v>
      </c>
      <c r="J902" s="9" t="s">
        <v>412</v>
      </c>
      <c r="K902" s="9" t="s">
        <v>604</v>
      </c>
    </row>
    <row r="903" spans="1:11" ht="28.8">
      <c r="A903" s="9" t="s">
        <v>679</v>
      </c>
      <c r="B903" s="9" t="s">
        <v>676</v>
      </c>
      <c r="C903" s="9" t="s">
        <v>659</v>
      </c>
      <c r="D903" s="12">
        <v>-6.4799999999999996E-2</v>
      </c>
      <c r="E903" s="12">
        <v>0.26829999999999998</v>
      </c>
      <c r="F903" s="12">
        <v>0.1076</v>
      </c>
      <c r="G903" s="12">
        <v>0.10174999999999999</v>
      </c>
      <c r="H903" s="12">
        <v>0.1037</v>
      </c>
      <c r="I903" s="12">
        <v>0.1469</v>
      </c>
      <c r="J903" s="9" t="s">
        <v>412</v>
      </c>
      <c r="K903" s="9" t="s">
        <v>604</v>
      </c>
    </row>
    <row r="904" spans="1:11">
      <c r="A904" s="9" t="s">
        <v>682</v>
      </c>
      <c r="B904" s="9" t="s">
        <v>653</v>
      </c>
      <c r="C904" s="9" t="s">
        <v>670</v>
      </c>
      <c r="D904" s="12">
        <v>-0.19359999999999999</v>
      </c>
      <c r="E904" s="12">
        <v>-4.8099999999999997E-2</v>
      </c>
      <c r="F904" s="12">
        <v>0.19900000000000001</v>
      </c>
      <c r="G904" s="12">
        <v>-0.12085</v>
      </c>
      <c r="H904" s="12">
        <v>-1.4200000000000001E-2</v>
      </c>
      <c r="I904" s="12">
        <v>0.1469</v>
      </c>
      <c r="J904" s="9" t="s">
        <v>412</v>
      </c>
      <c r="K904" s="9" t="s">
        <v>604</v>
      </c>
    </row>
    <row r="905" spans="1:11" ht="28.8">
      <c r="A905" s="9" t="s">
        <v>661</v>
      </c>
      <c r="B905" s="9" t="s">
        <v>687</v>
      </c>
      <c r="C905" s="9" t="s">
        <v>666</v>
      </c>
      <c r="D905" s="12">
        <v>0.2175</v>
      </c>
      <c r="E905" s="12">
        <v>-8.9700000000000002E-2</v>
      </c>
      <c r="F905" s="12">
        <v>0.1331</v>
      </c>
      <c r="G905" s="12">
        <v>6.3899999999999998E-2</v>
      </c>
      <c r="H905" s="12">
        <v>8.6999999999999994E-2</v>
      </c>
      <c r="I905" s="12">
        <v>0.14680000000000001</v>
      </c>
      <c r="J905" s="9" t="s">
        <v>412</v>
      </c>
      <c r="K905" s="9" t="s">
        <v>604</v>
      </c>
    </row>
    <row r="906" spans="1:11" ht="28.8">
      <c r="A906" s="9" t="s">
        <v>679</v>
      </c>
      <c r="B906" s="9" t="s">
        <v>684</v>
      </c>
      <c r="C906" s="9" t="s">
        <v>667</v>
      </c>
      <c r="D906" s="12">
        <v>-0.12280000000000001</v>
      </c>
      <c r="E906" s="12">
        <v>-7.2800000000000004E-2</v>
      </c>
      <c r="F906" s="12">
        <v>-0.24479999999999999</v>
      </c>
      <c r="G906" s="12">
        <v>-9.7799999999999998E-2</v>
      </c>
      <c r="H906" s="12">
        <v>-0.14680000000000001</v>
      </c>
      <c r="I906" s="12">
        <v>0.14680000000000001</v>
      </c>
      <c r="J906" s="9" t="s">
        <v>412</v>
      </c>
      <c r="K906" s="9" t="s">
        <v>604</v>
      </c>
    </row>
    <row r="907" spans="1:11" ht="28.8">
      <c r="A907" s="9" t="s">
        <v>682</v>
      </c>
      <c r="B907" s="9" t="s">
        <v>657</v>
      </c>
      <c r="C907" s="9" t="s">
        <v>664</v>
      </c>
      <c r="D907" s="12">
        <v>-0.08</v>
      </c>
      <c r="E907" s="12">
        <v>-0.1056</v>
      </c>
      <c r="F907" s="12">
        <v>0.25440000000000002</v>
      </c>
      <c r="G907" s="12">
        <v>-9.2799999999999994E-2</v>
      </c>
      <c r="H907" s="12">
        <v>2.29E-2</v>
      </c>
      <c r="I907" s="12">
        <v>0.1467</v>
      </c>
      <c r="J907" s="9" t="s">
        <v>412</v>
      </c>
      <c r="K907" s="9" t="s">
        <v>604</v>
      </c>
    </row>
    <row r="908" spans="1:11">
      <c r="A908" s="9" t="s">
        <v>610</v>
      </c>
      <c r="B908" s="9" t="s">
        <v>665</v>
      </c>
      <c r="C908" s="9" t="s">
        <v>670</v>
      </c>
      <c r="D908" s="12">
        <v>-0.1699</v>
      </c>
      <c r="E908" s="12">
        <v>7.4899999999999994E-2</v>
      </c>
      <c r="F908" s="12">
        <v>-0.1948</v>
      </c>
      <c r="G908" s="12">
        <v>-4.7500000000000001E-2</v>
      </c>
      <c r="H908" s="12">
        <v>-9.6600000000000005E-2</v>
      </c>
      <c r="I908" s="12">
        <v>0.14660000000000001</v>
      </c>
      <c r="J908" s="9" t="s">
        <v>412</v>
      </c>
      <c r="K908" s="9" t="s">
        <v>604</v>
      </c>
    </row>
    <row r="909" spans="1:11" ht="28.8">
      <c r="A909" s="9" t="s">
        <v>679</v>
      </c>
      <c r="B909" s="9" t="s">
        <v>676</v>
      </c>
      <c r="C909" s="9" t="s">
        <v>683</v>
      </c>
      <c r="D909" s="12">
        <v>0.16389999999999999</v>
      </c>
      <c r="E909" s="12">
        <v>0.26829999999999998</v>
      </c>
      <c r="F909" s="12">
        <v>-7.4999999999999997E-3</v>
      </c>
      <c r="G909" s="12">
        <v>0.21609999999999999</v>
      </c>
      <c r="H909" s="12">
        <v>0.1416</v>
      </c>
      <c r="I909" s="12">
        <v>0.14660000000000001</v>
      </c>
      <c r="J909" s="9" t="s">
        <v>412</v>
      </c>
      <c r="K909" s="9" t="s">
        <v>604</v>
      </c>
    </row>
    <row r="910" spans="1:11" ht="28.8">
      <c r="A910" s="9" t="s">
        <v>662</v>
      </c>
      <c r="B910" s="9" t="s">
        <v>673</v>
      </c>
      <c r="C910" s="9" t="s">
        <v>675</v>
      </c>
      <c r="D910" s="12">
        <v>0.14630000000000001</v>
      </c>
      <c r="E910" s="12">
        <v>4.2999999999999997E-2</v>
      </c>
      <c r="F910" s="12">
        <v>-0.25030000000000002</v>
      </c>
      <c r="G910" s="12">
        <v>9.4650000000000012E-2</v>
      </c>
      <c r="H910" s="12">
        <v>-2.0299999999999999E-2</v>
      </c>
      <c r="I910" s="12">
        <v>0.14649999999999999</v>
      </c>
      <c r="J910" s="9" t="s">
        <v>412</v>
      </c>
      <c r="K910" s="9" t="s">
        <v>604</v>
      </c>
    </row>
    <row r="911" spans="1:11" ht="28.8">
      <c r="A911" s="9" t="s">
        <v>603</v>
      </c>
      <c r="B911" s="9" t="s">
        <v>691</v>
      </c>
      <c r="C911" s="9" t="s">
        <v>670</v>
      </c>
      <c r="D911" s="12">
        <v>0.28070000000000001</v>
      </c>
      <c r="E911" s="12">
        <v>3.3000000000000002E-2</v>
      </c>
      <c r="F911" s="12">
        <v>0.1258</v>
      </c>
      <c r="G911" s="12">
        <v>0.15684999999999999</v>
      </c>
      <c r="H911" s="12">
        <v>0.14649999999999999</v>
      </c>
      <c r="I911" s="12">
        <v>0.14649999999999999</v>
      </c>
      <c r="J911" s="9" t="s">
        <v>412</v>
      </c>
      <c r="K911" s="9" t="s">
        <v>654</v>
      </c>
    </row>
    <row r="912" spans="1:11" ht="28.8">
      <c r="A912" s="9" t="s">
        <v>671</v>
      </c>
      <c r="B912" s="9" t="s">
        <v>688</v>
      </c>
      <c r="C912" s="9" t="s">
        <v>675</v>
      </c>
      <c r="D912" s="12">
        <v>0.10780000000000001</v>
      </c>
      <c r="E912" s="12">
        <v>6.3E-3</v>
      </c>
      <c r="F912" s="12">
        <v>0.3251</v>
      </c>
      <c r="G912" s="12">
        <v>5.7050000000000003E-2</v>
      </c>
      <c r="H912" s="12">
        <v>0.1464</v>
      </c>
      <c r="I912" s="12">
        <v>0.1464</v>
      </c>
      <c r="J912" s="9" t="s">
        <v>412</v>
      </c>
      <c r="K912" s="9" t="s">
        <v>654</v>
      </c>
    </row>
    <row r="913" spans="1:11" ht="28.8">
      <c r="A913" s="9" t="s">
        <v>609</v>
      </c>
      <c r="B913" s="9" t="s">
        <v>684</v>
      </c>
      <c r="C913" s="9" t="s">
        <v>601</v>
      </c>
      <c r="D913" s="12">
        <v>-0.1671</v>
      </c>
      <c r="E913" s="12">
        <v>-0.19400000000000001</v>
      </c>
      <c r="F913" s="12">
        <v>-7.7700000000000005E-2</v>
      </c>
      <c r="G913" s="12">
        <v>-0.18054999999999999</v>
      </c>
      <c r="H913" s="12">
        <v>-0.14630000000000001</v>
      </c>
      <c r="I913" s="12">
        <v>0.14630000000000001</v>
      </c>
      <c r="J913" s="9" t="s">
        <v>412</v>
      </c>
      <c r="K913" s="9" t="s">
        <v>604</v>
      </c>
    </row>
    <row r="914" spans="1:11" ht="28.8">
      <c r="A914" s="9" t="s">
        <v>610</v>
      </c>
      <c r="B914" s="9" t="s">
        <v>669</v>
      </c>
      <c r="C914" s="9" t="s">
        <v>664</v>
      </c>
      <c r="D914" s="12">
        <v>-9.1300000000000006E-2</v>
      </c>
      <c r="E914" s="12">
        <v>-0.2331</v>
      </c>
      <c r="F914" s="12">
        <v>-0.1138</v>
      </c>
      <c r="G914" s="12">
        <v>-0.16220000000000001</v>
      </c>
      <c r="H914" s="12">
        <v>-0.14610000000000001</v>
      </c>
      <c r="I914" s="12">
        <v>0.14610000000000001</v>
      </c>
      <c r="J914" s="9" t="s">
        <v>412</v>
      </c>
      <c r="K914" s="9" t="s">
        <v>604</v>
      </c>
    </row>
    <row r="915" spans="1:11" ht="28.8">
      <c r="A915" s="9" t="s">
        <v>679</v>
      </c>
      <c r="B915" s="9" t="s">
        <v>688</v>
      </c>
      <c r="C915" s="9" t="s">
        <v>663</v>
      </c>
      <c r="D915" s="12">
        <v>0.13450000000000001</v>
      </c>
      <c r="E915" s="12">
        <v>0.14299999999999999</v>
      </c>
      <c r="F915" s="12">
        <v>0.16059999999999999</v>
      </c>
      <c r="G915" s="12">
        <v>0.13874999999999998</v>
      </c>
      <c r="H915" s="12">
        <v>0.14599999999999999</v>
      </c>
      <c r="I915" s="12">
        <v>0.14599999999999999</v>
      </c>
      <c r="J915" s="9" t="s">
        <v>412</v>
      </c>
      <c r="K915" s="9" t="s">
        <v>654</v>
      </c>
    </row>
    <row r="916" spans="1:11" ht="28.8">
      <c r="A916" s="9" t="s">
        <v>603</v>
      </c>
      <c r="B916" s="9" t="s">
        <v>689</v>
      </c>
      <c r="C916" s="9" t="s">
        <v>663</v>
      </c>
      <c r="D916" s="12">
        <v>-0.2828</v>
      </c>
      <c r="E916" s="12">
        <v>2.1399999999999999E-2</v>
      </c>
      <c r="F916" s="12">
        <v>0.13370000000000001</v>
      </c>
      <c r="G916" s="12">
        <v>-0.13070000000000001</v>
      </c>
      <c r="H916" s="12">
        <v>-4.2500000000000003E-2</v>
      </c>
      <c r="I916" s="12">
        <v>0.14599999999999999</v>
      </c>
      <c r="J916" s="9" t="s">
        <v>412</v>
      </c>
      <c r="K916" s="9" t="s">
        <v>604</v>
      </c>
    </row>
    <row r="917" spans="1:11">
      <c r="A917" s="9" t="s">
        <v>609</v>
      </c>
      <c r="B917" s="9" t="s">
        <v>688</v>
      </c>
      <c r="C917" s="9" t="s">
        <v>670</v>
      </c>
      <c r="D917" s="12">
        <v>-0.32040000000000002</v>
      </c>
      <c r="E917" s="12">
        <v>6.3E-3</v>
      </c>
      <c r="F917" s="12">
        <v>-0.1111</v>
      </c>
      <c r="G917" s="12">
        <v>-0.15705000000000002</v>
      </c>
      <c r="H917" s="12">
        <v>-0.14169999999999999</v>
      </c>
      <c r="I917" s="12">
        <v>0.1459</v>
      </c>
      <c r="J917" s="9" t="s">
        <v>412</v>
      </c>
      <c r="K917" s="9" t="s">
        <v>604</v>
      </c>
    </row>
    <row r="918" spans="1:11" ht="28.8">
      <c r="A918" s="9" t="s">
        <v>671</v>
      </c>
      <c r="B918" s="9" t="s">
        <v>676</v>
      </c>
      <c r="C918" s="9" t="s">
        <v>663</v>
      </c>
      <c r="D918" s="12">
        <v>9.4399999999999998E-2</v>
      </c>
      <c r="E918" s="12">
        <v>0.2205</v>
      </c>
      <c r="F918" s="12">
        <v>0.1225</v>
      </c>
      <c r="G918" s="12">
        <v>0.15745000000000001</v>
      </c>
      <c r="H918" s="12">
        <v>0.14580000000000001</v>
      </c>
      <c r="I918" s="12">
        <v>0.14580000000000001</v>
      </c>
      <c r="J918" s="9" t="s">
        <v>412</v>
      </c>
      <c r="K918" s="9" t="s">
        <v>654</v>
      </c>
    </row>
    <row r="919" spans="1:11" ht="28.8">
      <c r="A919" s="9" t="s">
        <v>671</v>
      </c>
      <c r="B919" s="9" t="s">
        <v>660</v>
      </c>
      <c r="C919" s="9" t="s">
        <v>675</v>
      </c>
      <c r="D919" s="12">
        <v>0.10780000000000001</v>
      </c>
      <c r="E919" s="12">
        <v>-0.1037</v>
      </c>
      <c r="F919" s="12">
        <v>-0.22600000000000001</v>
      </c>
      <c r="G919" s="12">
        <v>2.0500000000000032E-3</v>
      </c>
      <c r="H919" s="12">
        <v>-7.3899999999999993E-2</v>
      </c>
      <c r="I919" s="12">
        <v>0.14580000000000001</v>
      </c>
      <c r="J919" s="9" t="s">
        <v>412</v>
      </c>
      <c r="K919" s="9" t="s">
        <v>604</v>
      </c>
    </row>
    <row r="920" spans="1:11" ht="28.8">
      <c r="A920" s="9" t="s">
        <v>679</v>
      </c>
      <c r="B920" s="9" t="s">
        <v>613</v>
      </c>
      <c r="C920" s="9" t="s">
        <v>664</v>
      </c>
      <c r="D920" s="12">
        <v>0.1353</v>
      </c>
      <c r="E920" s="12">
        <v>-0.1157</v>
      </c>
      <c r="F920" s="12">
        <v>-0.18640000000000001</v>
      </c>
      <c r="G920" s="12">
        <v>9.8000000000000032E-3</v>
      </c>
      <c r="H920" s="12">
        <v>-5.5599999999999997E-2</v>
      </c>
      <c r="I920" s="12">
        <v>0.14580000000000001</v>
      </c>
      <c r="J920" s="9" t="s">
        <v>412</v>
      </c>
      <c r="K920" s="9" t="s">
        <v>604</v>
      </c>
    </row>
    <row r="921" spans="1:11" ht="28.8">
      <c r="A921" s="9" t="s">
        <v>679</v>
      </c>
      <c r="B921" s="9" t="s">
        <v>684</v>
      </c>
      <c r="C921" s="9" t="s">
        <v>666</v>
      </c>
      <c r="D921" s="12">
        <v>-0.113</v>
      </c>
      <c r="E921" s="12">
        <v>-7.2800000000000004E-2</v>
      </c>
      <c r="F921" s="12">
        <v>0.25140000000000001</v>
      </c>
      <c r="G921" s="12">
        <v>-9.290000000000001E-2</v>
      </c>
      <c r="H921" s="12">
        <v>2.1899999999999999E-2</v>
      </c>
      <c r="I921" s="12">
        <v>0.1457</v>
      </c>
      <c r="J921" s="9" t="s">
        <v>412</v>
      </c>
      <c r="K921" s="9" t="s">
        <v>604</v>
      </c>
    </row>
    <row r="922" spans="1:11" ht="28.8">
      <c r="A922" s="9" t="s">
        <v>661</v>
      </c>
      <c r="B922" s="9" t="s">
        <v>680</v>
      </c>
      <c r="C922" s="9" t="s">
        <v>670</v>
      </c>
      <c r="D922" s="12">
        <v>-0.29680000000000001</v>
      </c>
      <c r="E922" s="12">
        <v>5.1799999999999999E-2</v>
      </c>
      <c r="F922" s="12">
        <v>8.8499999999999995E-2</v>
      </c>
      <c r="G922" s="12">
        <v>-0.1225</v>
      </c>
      <c r="H922" s="12">
        <v>-5.2200000000000003E-2</v>
      </c>
      <c r="I922" s="12">
        <v>0.1457</v>
      </c>
      <c r="J922" s="9" t="s">
        <v>412</v>
      </c>
      <c r="K922" s="9" t="s">
        <v>604</v>
      </c>
    </row>
    <row r="923" spans="1:11" ht="28.8">
      <c r="A923" s="9" t="s">
        <v>610</v>
      </c>
      <c r="B923" s="9" t="s">
        <v>680</v>
      </c>
      <c r="C923" s="9" t="s">
        <v>664</v>
      </c>
      <c r="D923" s="12">
        <v>-9.1300000000000006E-2</v>
      </c>
      <c r="E923" s="12">
        <v>-0.1973</v>
      </c>
      <c r="F923" s="12">
        <v>0.14829999999999999</v>
      </c>
      <c r="G923" s="12">
        <v>-0.14430000000000001</v>
      </c>
      <c r="H923" s="12">
        <v>-4.6800000000000001E-2</v>
      </c>
      <c r="I923" s="12">
        <v>0.14560000000000001</v>
      </c>
      <c r="J923" s="9" t="s">
        <v>412</v>
      </c>
      <c r="K923" s="9" t="s">
        <v>604</v>
      </c>
    </row>
    <row r="924" spans="1:11">
      <c r="A924" s="9" t="s">
        <v>682</v>
      </c>
      <c r="B924" s="9" t="s">
        <v>653</v>
      </c>
      <c r="C924" s="9" t="s">
        <v>667</v>
      </c>
      <c r="D924" s="12">
        <v>-0.02</v>
      </c>
      <c r="E924" s="12">
        <v>-4.8099999999999997E-2</v>
      </c>
      <c r="F924" s="12">
        <v>-0.36870000000000003</v>
      </c>
      <c r="G924" s="12">
        <v>-3.4049999999999997E-2</v>
      </c>
      <c r="H924" s="12">
        <v>-0.14560000000000001</v>
      </c>
      <c r="I924" s="12">
        <v>0.14560000000000001</v>
      </c>
      <c r="J924" s="9" t="s">
        <v>412</v>
      </c>
      <c r="K924" s="9" t="s">
        <v>604</v>
      </c>
    </row>
    <row r="925" spans="1:11" ht="28.8">
      <c r="A925" s="9" t="s">
        <v>610</v>
      </c>
      <c r="B925" s="9" t="s">
        <v>673</v>
      </c>
      <c r="C925" s="9" t="s">
        <v>601</v>
      </c>
      <c r="D925" s="12">
        <v>8.48E-2</v>
      </c>
      <c r="E925" s="12">
        <v>-8.14E-2</v>
      </c>
      <c r="F925" s="12">
        <v>0.27029999999999998</v>
      </c>
      <c r="G925" s="12">
        <v>1.7000000000000001E-3</v>
      </c>
      <c r="H925" s="12">
        <v>9.1200000000000003E-2</v>
      </c>
      <c r="I925" s="12">
        <v>0.14549999999999999</v>
      </c>
      <c r="J925" s="9" t="s">
        <v>412</v>
      </c>
      <c r="K925" s="9" t="s">
        <v>604</v>
      </c>
    </row>
    <row r="926" spans="1:11">
      <c r="A926" s="9" t="s">
        <v>682</v>
      </c>
      <c r="B926" s="9" t="s">
        <v>681</v>
      </c>
      <c r="C926" s="9" t="s">
        <v>655</v>
      </c>
      <c r="D926" s="12">
        <v>7.3099999999999998E-2</v>
      </c>
      <c r="E926" s="12">
        <v>0.15890000000000001</v>
      </c>
      <c r="F926" s="12">
        <v>0.20449999999999999</v>
      </c>
      <c r="G926" s="12">
        <v>0.11600000000000001</v>
      </c>
      <c r="H926" s="12">
        <v>0.14549999999999999</v>
      </c>
      <c r="I926" s="12">
        <v>0.14549999999999999</v>
      </c>
      <c r="J926" s="9" t="s">
        <v>412</v>
      </c>
      <c r="K926" s="9" t="s">
        <v>654</v>
      </c>
    </row>
    <row r="927" spans="1:11" ht="28.8">
      <c r="A927" s="9" t="s">
        <v>679</v>
      </c>
      <c r="B927" s="9" t="s">
        <v>676</v>
      </c>
      <c r="C927" s="9" t="s">
        <v>656</v>
      </c>
      <c r="D927" s="12">
        <v>-2.2700000000000001E-2</v>
      </c>
      <c r="E927" s="12">
        <v>0.26829999999999998</v>
      </c>
      <c r="F927" s="12">
        <v>0.14560000000000001</v>
      </c>
      <c r="G927" s="12">
        <v>0.12279999999999999</v>
      </c>
      <c r="H927" s="12">
        <v>0.13039999999999999</v>
      </c>
      <c r="I927" s="12">
        <v>0.14549999999999999</v>
      </c>
      <c r="J927" s="9" t="s">
        <v>412</v>
      </c>
      <c r="K927" s="9" t="s">
        <v>604</v>
      </c>
    </row>
    <row r="928" spans="1:11">
      <c r="A928" s="9" t="s">
        <v>662</v>
      </c>
      <c r="B928" s="9" t="s">
        <v>685</v>
      </c>
      <c r="C928" s="9" t="s">
        <v>656</v>
      </c>
      <c r="D928" s="12">
        <v>0.26229999999999998</v>
      </c>
      <c r="E928" s="12">
        <v>0.1087</v>
      </c>
      <c r="F928" s="12">
        <v>6.5100000000000005E-2</v>
      </c>
      <c r="G928" s="12">
        <v>0.1855</v>
      </c>
      <c r="H928" s="12">
        <v>0.1454</v>
      </c>
      <c r="I928" s="12">
        <v>0.1454</v>
      </c>
      <c r="J928" s="9" t="s">
        <v>412</v>
      </c>
      <c r="K928" s="9" t="s">
        <v>654</v>
      </c>
    </row>
    <row r="929" spans="1:11" ht="28.8">
      <c r="A929" s="9" t="s">
        <v>603</v>
      </c>
      <c r="B929" s="9" t="s">
        <v>687</v>
      </c>
      <c r="C929" s="9" t="s">
        <v>674</v>
      </c>
      <c r="D929" s="12">
        <v>-0.1212</v>
      </c>
      <c r="E929" s="12">
        <v>-0.1457</v>
      </c>
      <c r="F929" s="12">
        <v>0.16930000000000001</v>
      </c>
      <c r="G929" s="12">
        <v>-0.13345000000000001</v>
      </c>
      <c r="H929" s="12">
        <v>-3.2500000000000001E-2</v>
      </c>
      <c r="I929" s="12">
        <v>0.1454</v>
      </c>
      <c r="J929" s="9" t="s">
        <v>412</v>
      </c>
      <c r="K929" s="9" t="s">
        <v>604</v>
      </c>
    </row>
    <row r="930" spans="1:11">
      <c r="A930" s="9" t="s">
        <v>610</v>
      </c>
      <c r="B930" s="9" t="s">
        <v>676</v>
      </c>
      <c r="C930" s="9" t="s">
        <v>663</v>
      </c>
      <c r="D930" s="12">
        <v>-0.2303</v>
      </c>
      <c r="E930" s="12">
        <v>8.2799999999999999E-2</v>
      </c>
      <c r="F930" s="12">
        <v>0.1225</v>
      </c>
      <c r="G930" s="12">
        <v>-7.375000000000001E-2</v>
      </c>
      <c r="H930" s="12">
        <v>-8.3000000000000001E-3</v>
      </c>
      <c r="I930" s="12">
        <v>0.1452</v>
      </c>
      <c r="J930" s="9" t="s">
        <v>412</v>
      </c>
      <c r="K930" s="9" t="s">
        <v>604</v>
      </c>
    </row>
    <row r="931" spans="1:11" ht="28.8">
      <c r="A931" s="9" t="s">
        <v>661</v>
      </c>
      <c r="B931" s="9" t="s">
        <v>687</v>
      </c>
      <c r="C931" s="9" t="s">
        <v>675</v>
      </c>
      <c r="D931" s="12">
        <v>0.14380000000000001</v>
      </c>
      <c r="E931" s="12">
        <v>-8.9700000000000002E-2</v>
      </c>
      <c r="F931" s="12">
        <v>0.20180000000000001</v>
      </c>
      <c r="G931" s="12">
        <v>2.7050000000000005E-2</v>
      </c>
      <c r="H931" s="12">
        <v>8.5300000000000001E-2</v>
      </c>
      <c r="I931" s="12">
        <v>0.14510000000000001</v>
      </c>
      <c r="J931" s="9" t="s">
        <v>412</v>
      </c>
      <c r="K931" s="9" t="s">
        <v>604</v>
      </c>
    </row>
    <row r="932" spans="1:11">
      <c r="A932" s="9" t="s">
        <v>609</v>
      </c>
      <c r="B932" s="9" t="s">
        <v>602</v>
      </c>
      <c r="C932" s="9" t="s">
        <v>663</v>
      </c>
      <c r="D932" s="12">
        <v>-0.12770000000000001</v>
      </c>
      <c r="E932" s="12">
        <v>-0.2089</v>
      </c>
      <c r="F932" s="12">
        <v>9.8400000000000001E-2</v>
      </c>
      <c r="G932" s="12">
        <v>-0.16830000000000001</v>
      </c>
      <c r="H932" s="12">
        <v>-7.9399999999999998E-2</v>
      </c>
      <c r="I932" s="12">
        <v>0.14499999999999999</v>
      </c>
      <c r="J932" s="9" t="s">
        <v>412</v>
      </c>
      <c r="K932" s="9" t="s">
        <v>604</v>
      </c>
    </row>
    <row r="933" spans="1:11" ht="28.8">
      <c r="A933" s="9" t="s">
        <v>671</v>
      </c>
      <c r="B933" s="9" t="s">
        <v>613</v>
      </c>
      <c r="C933" s="9" t="s">
        <v>667</v>
      </c>
      <c r="D933" s="12">
        <v>0.14219999999999999</v>
      </c>
      <c r="E933" s="12">
        <v>3.5900000000000001E-2</v>
      </c>
      <c r="F933" s="12">
        <v>0.25679999999999997</v>
      </c>
      <c r="G933" s="12">
        <v>8.904999999999999E-2</v>
      </c>
      <c r="H933" s="12">
        <v>0.14499999999999999</v>
      </c>
      <c r="I933" s="12">
        <v>0.14499999999999999</v>
      </c>
      <c r="J933" s="9" t="s">
        <v>412</v>
      </c>
      <c r="K933" s="9" t="s">
        <v>654</v>
      </c>
    </row>
    <row r="934" spans="1:11">
      <c r="A934" s="9" t="s">
        <v>610</v>
      </c>
      <c r="B934" s="9" t="s">
        <v>681</v>
      </c>
      <c r="C934" s="9" t="s">
        <v>670</v>
      </c>
      <c r="D934" s="12">
        <v>-0.1699</v>
      </c>
      <c r="E934" s="12">
        <v>0.13150000000000001</v>
      </c>
      <c r="F934" s="12">
        <v>-0.1333</v>
      </c>
      <c r="G934" s="12">
        <v>-1.9199999999999995E-2</v>
      </c>
      <c r="H934" s="12">
        <v>-5.7200000000000001E-2</v>
      </c>
      <c r="I934" s="12">
        <v>0.1449</v>
      </c>
      <c r="J934" s="9" t="s">
        <v>412</v>
      </c>
      <c r="K934" s="9" t="s">
        <v>604</v>
      </c>
    </row>
    <row r="935" spans="1:11" ht="28.8">
      <c r="A935" s="9" t="s">
        <v>671</v>
      </c>
      <c r="B935" s="9" t="s">
        <v>688</v>
      </c>
      <c r="C935" s="9" t="s">
        <v>683</v>
      </c>
      <c r="D935" s="12">
        <v>0.1066</v>
      </c>
      <c r="E935" s="12">
        <v>6.3E-3</v>
      </c>
      <c r="F935" s="12">
        <v>0.3216</v>
      </c>
      <c r="G935" s="12">
        <v>5.645E-2</v>
      </c>
      <c r="H935" s="12">
        <v>0.14480000000000001</v>
      </c>
      <c r="I935" s="12">
        <v>0.14480000000000001</v>
      </c>
      <c r="J935" s="9" t="s">
        <v>412</v>
      </c>
      <c r="K935" s="9" t="s">
        <v>654</v>
      </c>
    </row>
    <row r="936" spans="1:11" ht="28.8">
      <c r="A936" s="9" t="s">
        <v>603</v>
      </c>
      <c r="B936" s="9" t="s">
        <v>665</v>
      </c>
      <c r="C936" s="9" t="s">
        <v>667</v>
      </c>
      <c r="D936" s="12">
        <v>-6.3299999999999995E-2</v>
      </c>
      <c r="E936" s="12">
        <v>-0.32069999999999999</v>
      </c>
      <c r="F936" s="12">
        <v>-4.9799999999999997E-2</v>
      </c>
      <c r="G936" s="12">
        <v>-0.192</v>
      </c>
      <c r="H936" s="12">
        <v>-0.14460000000000001</v>
      </c>
      <c r="I936" s="12">
        <v>0.14460000000000001</v>
      </c>
      <c r="J936" s="9" t="s">
        <v>412</v>
      </c>
      <c r="K936" s="9" t="s">
        <v>604</v>
      </c>
    </row>
    <row r="937" spans="1:11" ht="28.8">
      <c r="A937" s="9" t="s">
        <v>661</v>
      </c>
      <c r="B937" s="9" t="s">
        <v>681</v>
      </c>
      <c r="C937" s="9" t="s">
        <v>601</v>
      </c>
      <c r="D937" s="12">
        <v>-0.2266</v>
      </c>
      <c r="E937" s="12">
        <v>2.3900000000000001E-2</v>
      </c>
      <c r="F937" s="12">
        <v>-0.18310000000000001</v>
      </c>
      <c r="G937" s="12">
        <v>-0.10135</v>
      </c>
      <c r="H937" s="12">
        <v>-0.12859999999999999</v>
      </c>
      <c r="I937" s="12">
        <v>0.14449999999999999</v>
      </c>
      <c r="J937" s="9" t="s">
        <v>412</v>
      </c>
      <c r="K937" s="9" t="s">
        <v>604</v>
      </c>
    </row>
    <row r="938" spans="1:11">
      <c r="A938" s="9" t="s">
        <v>610</v>
      </c>
      <c r="B938" s="9" t="s">
        <v>685</v>
      </c>
      <c r="C938" s="9" t="s">
        <v>670</v>
      </c>
      <c r="D938" s="12">
        <v>-0.1699</v>
      </c>
      <c r="E938" s="12">
        <v>4.0500000000000001E-2</v>
      </c>
      <c r="F938" s="12">
        <v>-0.22320000000000001</v>
      </c>
      <c r="G938" s="12">
        <v>-6.4699999999999994E-2</v>
      </c>
      <c r="H938" s="12">
        <v>-0.11749999999999999</v>
      </c>
      <c r="I938" s="12">
        <v>0.14449999999999999</v>
      </c>
      <c r="J938" s="9" t="s">
        <v>412</v>
      </c>
      <c r="K938" s="9" t="s">
        <v>604</v>
      </c>
    </row>
    <row r="939" spans="1:11" ht="28.8">
      <c r="A939" s="9" t="s">
        <v>661</v>
      </c>
      <c r="B939" s="9" t="s">
        <v>668</v>
      </c>
      <c r="C939" s="9" t="s">
        <v>675</v>
      </c>
      <c r="D939" s="12">
        <v>0.14380000000000001</v>
      </c>
      <c r="E939" s="12">
        <v>-0.13339999999999999</v>
      </c>
      <c r="F939" s="12">
        <v>-0.15609999999999999</v>
      </c>
      <c r="G939" s="12">
        <v>5.2000000000000102E-3</v>
      </c>
      <c r="H939" s="12">
        <v>-4.8599999999999997E-2</v>
      </c>
      <c r="I939" s="12">
        <v>0.1444</v>
      </c>
      <c r="J939" s="9" t="s">
        <v>412</v>
      </c>
      <c r="K939" s="9" t="s">
        <v>604</v>
      </c>
    </row>
    <row r="940" spans="1:11">
      <c r="A940" s="9" t="s">
        <v>662</v>
      </c>
      <c r="B940" s="9" t="s">
        <v>613</v>
      </c>
      <c r="C940" s="9" t="s">
        <v>670</v>
      </c>
      <c r="D940" s="12">
        <v>-0.18790000000000001</v>
      </c>
      <c r="E940" s="12">
        <v>6.2399999999999997E-2</v>
      </c>
      <c r="F940" s="12">
        <v>-0.1827</v>
      </c>
      <c r="G940" s="12">
        <v>-6.275E-2</v>
      </c>
      <c r="H940" s="12">
        <v>-0.1027</v>
      </c>
      <c r="I940" s="12">
        <v>0.1444</v>
      </c>
      <c r="J940" s="9" t="s">
        <v>412</v>
      </c>
      <c r="K940" s="9" t="s">
        <v>604</v>
      </c>
    </row>
    <row r="941" spans="1:11" ht="28.8">
      <c r="A941" s="9" t="s">
        <v>609</v>
      </c>
      <c r="B941" s="9" t="s">
        <v>688</v>
      </c>
      <c r="C941" s="9" t="s">
        <v>683</v>
      </c>
      <c r="D941" s="12">
        <v>-0.105</v>
      </c>
      <c r="E941" s="12">
        <v>6.3E-3</v>
      </c>
      <c r="F941" s="12">
        <v>0.3216</v>
      </c>
      <c r="G941" s="12">
        <v>-4.9349999999999998E-2</v>
      </c>
      <c r="H941" s="12">
        <v>7.4300000000000005E-2</v>
      </c>
      <c r="I941" s="12">
        <v>0.14430000000000001</v>
      </c>
      <c r="J941" s="9" t="s">
        <v>412</v>
      </c>
      <c r="K941" s="9" t="s">
        <v>604</v>
      </c>
    </row>
    <row r="942" spans="1:11" ht="28.8">
      <c r="A942" s="9" t="s">
        <v>661</v>
      </c>
      <c r="B942" s="9" t="s">
        <v>686</v>
      </c>
      <c r="C942" s="9" t="s">
        <v>601</v>
      </c>
      <c r="D942" s="12">
        <v>-0.2266</v>
      </c>
      <c r="E942" s="12">
        <v>0.111</v>
      </c>
      <c r="F942" s="12">
        <v>-9.5100000000000004E-2</v>
      </c>
      <c r="G942" s="12">
        <v>-5.7799999999999997E-2</v>
      </c>
      <c r="H942" s="12">
        <v>-7.0199999999999999E-2</v>
      </c>
      <c r="I942" s="12">
        <v>0.14419999999999999</v>
      </c>
      <c r="J942" s="9" t="s">
        <v>412</v>
      </c>
      <c r="K942" s="9" t="s">
        <v>604</v>
      </c>
    </row>
    <row r="943" spans="1:11" ht="28.8">
      <c r="A943" s="9" t="s">
        <v>679</v>
      </c>
      <c r="B943" s="9" t="s">
        <v>686</v>
      </c>
      <c r="C943" s="9" t="s">
        <v>670</v>
      </c>
      <c r="D943" s="12">
        <v>-9.5200000000000007E-2</v>
      </c>
      <c r="E943" s="12">
        <v>0.2019</v>
      </c>
      <c r="F943" s="12">
        <v>-0.13539999999999999</v>
      </c>
      <c r="G943" s="12">
        <v>5.3349999999999995E-2</v>
      </c>
      <c r="H943" s="12">
        <v>-9.4999999999999998E-3</v>
      </c>
      <c r="I943" s="12">
        <v>0.14419999999999999</v>
      </c>
      <c r="J943" s="9" t="s">
        <v>412</v>
      </c>
      <c r="K943" s="9" t="s">
        <v>604</v>
      </c>
    </row>
    <row r="944" spans="1:11" ht="28.8">
      <c r="A944" s="9" t="s">
        <v>610</v>
      </c>
      <c r="B944" s="9" t="s">
        <v>688</v>
      </c>
      <c r="C944" s="9" t="s">
        <v>675</v>
      </c>
      <c r="D944" s="12">
        <v>-2.1399999999999999E-2</v>
      </c>
      <c r="E944" s="12">
        <v>8.5699999999999998E-2</v>
      </c>
      <c r="F944" s="12">
        <v>0.3251</v>
      </c>
      <c r="G944" s="12">
        <v>3.2149999999999998E-2</v>
      </c>
      <c r="H944" s="12">
        <v>0.1298</v>
      </c>
      <c r="I944" s="12">
        <v>0.14410000000000001</v>
      </c>
      <c r="J944" s="9" t="s">
        <v>412</v>
      </c>
      <c r="K944" s="9" t="s">
        <v>604</v>
      </c>
    </row>
    <row r="945" spans="1:11">
      <c r="A945" s="9" t="s">
        <v>610</v>
      </c>
      <c r="B945" s="9" t="s">
        <v>691</v>
      </c>
      <c r="C945" s="9" t="s">
        <v>655</v>
      </c>
      <c r="D945" s="12">
        <v>-9.4E-2</v>
      </c>
      <c r="E945" s="12">
        <v>0.29249999999999998</v>
      </c>
      <c r="F945" s="12">
        <v>-4.5699999999999998E-2</v>
      </c>
      <c r="G945" s="12">
        <v>9.9249999999999991E-2</v>
      </c>
      <c r="H945" s="12">
        <v>5.0999999999999997E-2</v>
      </c>
      <c r="I945" s="12">
        <v>0.14410000000000001</v>
      </c>
      <c r="J945" s="9" t="s">
        <v>412</v>
      </c>
      <c r="K945" s="9" t="s">
        <v>604</v>
      </c>
    </row>
    <row r="946" spans="1:11" ht="28.8">
      <c r="A946" s="9" t="s">
        <v>671</v>
      </c>
      <c r="B946" s="9" t="s">
        <v>676</v>
      </c>
      <c r="C946" s="9" t="s">
        <v>656</v>
      </c>
      <c r="D946" s="12">
        <v>6.54E-2</v>
      </c>
      <c r="E946" s="12">
        <v>0.2205</v>
      </c>
      <c r="F946" s="12">
        <v>0.14560000000000001</v>
      </c>
      <c r="G946" s="12">
        <v>0.14294999999999999</v>
      </c>
      <c r="H946" s="12">
        <v>0.14380000000000001</v>
      </c>
      <c r="I946" s="12">
        <v>0.14380000000000001</v>
      </c>
      <c r="J946" s="9" t="s">
        <v>412</v>
      </c>
      <c r="K946" s="9" t="s">
        <v>654</v>
      </c>
    </row>
    <row r="947" spans="1:11" ht="28.8">
      <c r="A947" s="9" t="s">
        <v>662</v>
      </c>
      <c r="B947" s="9" t="s">
        <v>678</v>
      </c>
      <c r="C947" s="9" t="s">
        <v>674</v>
      </c>
      <c r="D947" s="12">
        <v>0.17680000000000001</v>
      </c>
      <c r="E947" s="12">
        <v>-6.4199999999999993E-2</v>
      </c>
      <c r="F947" s="12">
        <v>-0.18970000000000001</v>
      </c>
      <c r="G947" s="12">
        <v>5.630000000000001E-2</v>
      </c>
      <c r="H947" s="12">
        <v>-2.5700000000000001E-2</v>
      </c>
      <c r="I947" s="12">
        <v>0.14349999999999999</v>
      </c>
      <c r="J947" s="9" t="s">
        <v>412</v>
      </c>
      <c r="K947" s="9" t="s">
        <v>604</v>
      </c>
    </row>
    <row r="948" spans="1:11" ht="28.8">
      <c r="A948" s="9" t="s">
        <v>662</v>
      </c>
      <c r="B948" s="9" t="s">
        <v>673</v>
      </c>
      <c r="C948" s="9" t="s">
        <v>601</v>
      </c>
      <c r="D948" s="12">
        <v>-0.1173</v>
      </c>
      <c r="E948" s="12">
        <v>4.2999999999999997E-2</v>
      </c>
      <c r="F948" s="12">
        <v>0.27029999999999998</v>
      </c>
      <c r="G948" s="12">
        <v>-3.7150000000000002E-2</v>
      </c>
      <c r="H948" s="12">
        <v>6.5299999999999997E-2</v>
      </c>
      <c r="I948" s="12">
        <v>0.14349999999999999</v>
      </c>
      <c r="J948" s="9" t="s">
        <v>412</v>
      </c>
      <c r="K948" s="9" t="s">
        <v>604</v>
      </c>
    </row>
    <row r="949" spans="1:11" ht="28.8">
      <c r="A949" s="9" t="s">
        <v>609</v>
      </c>
      <c r="B949" s="9" t="s">
        <v>657</v>
      </c>
      <c r="C949" s="9" t="s">
        <v>674</v>
      </c>
      <c r="D949" s="12">
        <v>-8.6999999999999994E-3</v>
      </c>
      <c r="E949" s="12">
        <v>-0.28839999999999999</v>
      </c>
      <c r="F949" s="12">
        <v>-0.1331</v>
      </c>
      <c r="G949" s="12">
        <v>-0.14854999999999999</v>
      </c>
      <c r="H949" s="12">
        <v>-0.1434</v>
      </c>
      <c r="I949" s="12">
        <v>0.1434</v>
      </c>
      <c r="J949" s="9" t="s">
        <v>412</v>
      </c>
      <c r="K949" s="9" t="s">
        <v>604</v>
      </c>
    </row>
    <row r="950" spans="1:11" ht="28.8">
      <c r="A950" s="9" t="s">
        <v>679</v>
      </c>
      <c r="B950" s="9" t="s">
        <v>678</v>
      </c>
      <c r="C950" s="9" t="s">
        <v>655</v>
      </c>
      <c r="D950" s="12">
        <v>9.4500000000000001E-2</v>
      </c>
      <c r="E950" s="12">
        <v>-9.2299999999999993E-2</v>
      </c>
      <c r="F950" s="12">
        <v>-0.2429</v>
      </c>
      <c r="G950" s="12">
        <v>1.1000000000000038E-3</v>
      </c>
      <c r="H950" s="12">
        <v>-8.0199999999999994E-2</v>
      </c>
      <c r="I950" s="12">
        <v>0.14330000000000001</v>
      </c>
      <c r="J950" s="9" t="s">
        <v>412</v>
      </c>
      <c r="K950" s="9" t="s">
        <v>604</v>
      </c>
    </row>
    <row r="951" spans="1:11">
      <c r="A951" s="9" t="s">
        <v>610</v>
      </c>
      <c r="B951" s="9" t="s">
        <v>681</v>
      </c>
      <c r="C951" s="9" t="s">
        <v>655</v>
      </c>
      <c r="D951" s="12">
        <v>-9.4E-2</v>
      </c>
      <c r="E951" s="12">
        <v>0.13150000000000001</v>
      </c>
      <c r="F951" s="12">
        <v>0.20449999999999999</v>
      </c>
      <c r="G951" s="12">
        <v>1.8750000000000003E-2</v>
      </c>
      <c r="H951" s="12">
        <v>8.0699999999999994E-2</v>
      </c>
      <c r="I951" s="12">
        <v>0.14330000000000001</v>
      </c>
      <c r="J951" s="9" t="s">
        <v>412</v>
      </c>
      <c r="K951" s="9" t="s">
        <v>604</v>
      </c>
    </row>
    <row r="952" spans="1:11" ht="28.8">
      <c r="A952" s="9" t="s">
        <v>671</v>
      </c>
      <c r="B952" s="9" t="s">
        <v>680</v>
      </c>
      <c r="C952" s="9" t="s">
        <v>670</v>
      </c>
      <c r="D952" s="12">
        <v>-0.32890000000000003</v>
      </c>
      <c r="E952" s="12">
        <v>-1.24E-2</v>
      </c>
      <c r="F952" s="12">
        <v>8.8499999999999995E-2</v>
      </c>
      <c r="G952" s="12">
        <v>-0.17065000000000002</v>
      </c>
      <c r="H952" s="12">
        <v>-8.43E-2</v>
      </c>
      <c r="I952" s="12">
        <v>0.14330000000000001</v>
      </c>
      <c r="J952" s="9" t="s">
        <v>412</v>
      </c>
      <c r="K952" s="9" t="s">
        <v>604</v>
      </c>
    </row>
    <row r="953" spans="1:11" ht="28.8">
      <c r="A953" s="9" t="s">
        <v>679</v>
      </c>
      <c r="B953" s="9" t="s">
        <v>668</v>
      </c>
      <c r="C953" s="9" t="s">
        <v>655</v>
      </c>
      <c r="D953" s="12">
        <v>9.4500000000000001E-2</v>
      </c>
      <c r="E953" s="12">
        <v>-3.3300000000000003E-2</v>
      </c>
      <c r="F953" s="12">
        <v>-0.3019</v>
      </c>
      <c r="G953" s="12">
        <v>3.0599999999999999E-2</v>
      </c>
      <c r="H953" s="12">
        <v>-8.0199999999999994E-2</v>
      </c>
      <c r="I953" s="12">
        <v>0.14330000000000001</v>
      </c>
      <c r="J953" s="9" t="s">
        <v>412</v>
      </c>
      <c r="K953" s="9" t="s">
        <v>604</v>
      </c>
    </row>
    <row r="954" spans="1:11" ht="28.8">
      <c r="A954" s="9" t="s">
        <v>661</v>
      </c>
      <c r="B954" s="9" t="s">
        <v>672</v>
      </c>
      <c r="C954" s="9" t="s">
        <v>674</v>
      </c>
      <c r="D954" s="12">
        <v>6.8199999999999997E-2</v>
      </c>
      <c r="E954" s="12">
        <v>0.30880000000000002</v>
      </c>
      <c r="F954" s="12">
        <v>5.2299999999999999E-2</v>
      </c>
      <c r="G954" s="12">
        <v>0.1885</v>
      </c>
      <c r="H954" s="12">
        <v>0.1431</v>
      </c>
      <c r="I954" s="12">
        <v>0.1431</v>
      </c>
      <c r="J954" s="9" t="s">
        <v>412</v>
      </c>
      <c r="K954" s="9" t="s">
        <v>654</v>
      </c>
    </row>
    <row r="955" spans="1:11" ht="28.8">
      <c r="A955" s="9" t="s">
        <v>679</v>
      </c>
      <c r="B955" s="9" t="s">
        <v>673</v>
      </c>
      <c r="C955" s="9" t="s">
        <v>601</v>
      </c>
      <c r="D955" s="12">
        <v>-8.3900000000000002E-2</v>
      </c>
      <c r="E955" s="12">
        <v>-7.4499999999999997E-2</v>
      </c>
      <c r="F955" s="12">
        <v>0.27029999999999998</v>
      </c>
      <c r="G955" s="12">
        <v>-7.9199999999999993E-2</v>
      </c>
      <c r="H955" s="12">
        <v>3.73E-2</v>
      </c>
      <c r="I955" s="12">
        <v>0.1429</v>
      </c>
      <c r="J955" s="9" t="s">
        <v>412</v>
      </c>
      <c r="K955" s="9" t="s">
        <v>604</v>
      </c>
    </row>
    <row r="956" spans="1:11" ht="28.8">
      <c r="A956" s="9" t="s">
        <v>609</v>
      </c>
      <c r="B956" s="9" t="s">
        <v>660</v>
      </c>
      <c r="C956" s="9" t="s">
        <v>666</v>
      </c>
      <c r="D956" s="12">
        <v>-7.7700000000000005E-2</v>
      </c>
      <c r="E956" s="12">
        <v>2.5700000000000001E-2</v>
      </c>
      <c r="F956" s="12">
        <v>-0.32500000000000001</v>
      </c>
      <c r="G956" s="12">
        <v>-2.6000000000000002E-2</v>
      </c>
      <c r="H956" s="12">
        <v>-0.12570000000000001</v>
      </c>
      <c r="I956" s="12">
        <v>0.14280000000000001</v>
      </c>
      <c r="J956" s="9" t="s">
        <v>412</v>
      </c>
      <c r="K956" s="9" t="s">
        <v>604</v>
      </c>
    </row>
    <row r="957" spans="1:11" ht="28.8">
      <c r="A957" s="9" t="s">
        <v>610</v>
      </c>
      <c r="B957" s="9" t="s">
        <v>688</v>
      </c>
      <c r="C957" s="9" t="s">
        <v>664</v>
      </c>
      <c r="D957" s="12">
        <v>-9.1300000000000006E-2</v>
      </c>
      <c r="E957" s="12">
        <v>8.5699999999999998E-2</v>
      </c>
      <c r="F957" s="12">
        <v>0.251</v>
      </c>
      <c r="G957" s="12">
        <v>-2.8000000000000039E-3</v>
      </c>
      <c r="H957" s="12">
        <v>8.1799999999999998E-2</v>
      </c>
      <c r="I957" s="12">
        <v>0.14269999999999999</v>
      </c>
      <c r="J957" s="9" t="s">
        <v>412</v>
      </c>
      <c r="K957" s="9" t="s">
        <v>604</v>
      </c>
    </row>
    <row r="958" spans="1:11" ht="28.8">
      <c r="A958" s="9" t="s">
        <v>609</v>
      </c>
      <c r="B958" s="9" t="s">
        <v>688</v>
      </c>
      <c r="C958" s="9" t="s">
        <v>675</v>
      </c>
      <c r="D958" s="12">
        <v>9.6600000000000005E-2</v>
      </c>
      <c r="E958" s="12">
        <v>6.3E-3</v>
      </c>
      <c r="F958" s="12">
        <v>0.3251</v>
      </c>
      <c r="G958" s="12">
        <v>5.1450000000000003E-2</v>
      </c>
      <c r="H958" s="12">
        <v>0.14269999999999999</v>
      </c>
      <c r="I958" s="12">
        <v>0.14269999999999999</v>
      </c>
      <c r="J958" s="9" t="s">
        <v>412</v>
      </c>
      <c r="K958" s="9" t="s">
        <v>654</v>
      </c>
    </row>
    <row r="959" spans="1:11" ht="28.8">
      <c r="A959" s="9" t="s">
        <v>671</v>
      </c>
      <c r="B959" s="9" t="s">
        <v>673</v>
      </c>
      <c r="C959" s="9" t="s">
        <v>663</v>
      </c>
      <c r="D959" s="12">
        <v>9.4399999999999998E-2</v>
      </c>
      <c r="E959" s="12">
        <v>-0.12470000000000001</v>
      </c>
      <c r="F959" s="12">
        <v>-0.20910000000000001</v>
      </c>
      <c r="G959" s="12">
        <v>-1.5150000000000004E-2</v>
      </c>
      <c r="H959" s="12">
        <v>-7.9799999999999996E-2</v>
      </c>
      <c r="I959" s="12">
        <v>0.14269999999999999</v>
      </c>
      <c r="J959" s="9" t="s">
        <v>412</v>
      </c>
      <c r="K959" s="9" t="s">
        <v>604</v>
      </c>
    </row>
    <row r="960" spans="1:11">
      <c r="A960" s="9" t="s">
        <v>609</v>
      </c>
      <c r="B960" s="9" t="s">
        <v>658</v>
      </c>
      <c r="C960" s="9" t="s">
        <v>667</v>
      </c>
      <c r="D960" s="12">
        <v>0.33360000000000001</v>
      </c>
      <c r="E960" s="12">
        <v>1.5599999999999999E-2</v>
      </c>
      <c r="F960" s="12">
        <v>7.9000000000000001E-2</v>
      </c>
      <c r="G960" s="12">
        <v>0.17460000000000001</v>
      </c>
      <c r="H960" s="12">
        <v>0.14269999999999999</v>
      </c>
      <c r="I960" s="12">
        <v>0.14269999999999999</v>
      </c>
      <c r="J960" s="9" t="s">
        <v>412</v>
      </c>
      <c r="K960" s="9" t="s">
        <v>654</v>
      </c>
    </row>
    <row r="961" spans="1:11">
      <c r="A961" s="9" t="s">
        <v>662</v>
      </c>
      <c r="B961" s="9" t="s">
        <v>688</v>
      </c>
      <c r="C961" s="9" t="s">
        <v>670</v>
      </c>
      <c r="D961" s="12">
        <v>-0.18790000000000001</v>
      </c>
      <c r="E961" s="12">
        <v>0.1293</v>
      </c>
      <c r="F961" s="12">
        <v>-0.1111</v>
      </c>
      <c r="G961" s="12">
        <v>-2.9300000000000007E-2</v>
      </c>
      <c r="H961" s="12">
        <v>-5.6599999999999998E-2</v>
      </c>
      <c r="I961" s="12">
        <v>0.14269999999999999</v>
      </c>
      <c r="J961" s="9" t="s">
        <v>412</v>
      </c>
      <c r="K961" s="9" t="s">
        <v>604</v>
      </c>
    </row>
    <row r="962" spans="1:11">
      <c r="A962" s="9" t="s">
        <v>610</v>
      </c>
      <c r="B962" s="9" t="s">
        <v>668</v>
      </c>
      <c r="C962" s="9" t="s">
        <v>670</v>
      </c>
      <c r="D962" s="12">
        <v>-0.1699</v>
      </c>
      <c r="E962" s="12">
        <v>-9.64E-2</v>
      </c>
      <c r="F962" s="12">
        <v>0.16139999999999999</v>
      </c>
      <c r="G962" s="12">
        <v>-0.13314999999999999</v>
      </c>
      <c r="H962" s="12">
        <v>-3.5000000000000003E-2</v>
      </c>
      <c r="I962" s="12">
        <v>0.1426</v>
      </c>
      <c r="J962" s="9" t="s">
        <v>412</v>
      </c>
      <c r="K962" s="9" t="s">
        <v>604</v>
      </c>
    </row>
    <row r="963" spans="1:11" ht="28.8">
      <c r="A963" s="9" t="s">
        <v>661</v>
      </c>
      <c r="B963" s="9" t="s">
        <v>672</v>
      </c>
      <c r="C963" s="9" t="s">
        <v>677</v>
      </c>
      <c r="D963" s="12">
        <v>2.5700000000000001E-2</v>
      </c>
      <c r="E963" s="12">
        <v>0.30880000000000002</v>
      </c>
      <c r="F963" s="12">
        <v>9.2299999999999993E-2</v>
      </c>
      <c r="G963" s="12">
        <v>0.16725000000000001</v>
      </c>
      <c r="H963" s="12">
        <v>0.14230000000000001</v>
      </c>
      <c r="I963" s="12">
        <v>0.14230000000000001</v>
      </c>
      <c r="J963" s="9" t="s">
        <v>412</v>
      </c>
      <c r="K963" s="9" t="s">
        <v>654</v>
      </c>
    </row>
    <row r="964" spans="1:11" ht="28.8">
      <c r="A964" s="9" t="s">
        <v>671</v>
      </c>
      <c r="B964" s="9" t="s">
        <v>673</v>
      </c>
      <c r="C964" s="9" t="s">
        <v>659</v>
      </c>
      <c r="D964" s="12">
        <v>0.13159999999999999</v>
      </c>
      <c r="E964" s="12">
        <v>-0.12470000000000001</v>
      </c>
      <c r="F964" s="12">
        <v>-0.17030000000000001</v>
      </c>
      <c r="G964" s="12">
        <v>3.4499999999999947E-3</v>
      </c>
      <c r="H964" s="12">
        <v>-5.45E-2</v>
      </c>
      <c r="I964" s="12">
        <v>0.14219999999999999</v>
      </c>
      <c r="J964" s="9" t="s">
        <v>412</v>
      </c>
      <c r="K964" s="9" t="s">
        <v>604</v>
      </c>
    </row>
    <row r="965" spans="1:11" ht="28.8">
      <c r="A965" s="9" t="s">
        <v>671</v>
      </c>
      <c r="B965" s="9" t="s">
        <v>657</v>
      </c>
      <c r="C965" s="9" t="s">
        <v>677</v>
      </c>
      <c r="D965" s="12">
        <v>6.8900000000000003E-2</v>
      </c>
      <c r="E965" s="12">
        <v>-0.1326</v>
      </c>
      <c r="F965" s="12">
        <v>0.2248</v>
      </c>
      <c r="G965" s="12">
        <v>-3.1849999999999996E-2</v>
      </c>
      <c r="H965" s="12">
        <v>5.3699999999999998E-2</v>
      </c>
      <c r="I965" s="12">
        <v>0.1421</v>
      </c>
      <c r="J965" s="9" t="s">
        <v>412</v>
      </c>
      <c r="K965" s="9" t="s">
        <v>604</v>
      </c>
    </row>
    <row r="966" spans="1:11" ht="28.8">
      <c r="A966" s="9" t="s">
        <v>603</v>
      </c>
      <c r="B966" s="9" t="s">
        <v>681</v>
      </c>
      <c r="C966" s="9" t="s">
        <v>677</v>
      </c>
      <c r="D966" s="12">
        <v>0.14069999999999999</v>
      </c>
      <c r="E966" s="12">
        <v>-0.19009999999999999</v>
      </c>
      <c r="F966" s="12">
        <v>-9.5399999999999999E-2</v>
      </c>
      <c r="G966" s="12">
        <v>-2.47E-2</v>
      </c>
      <c r="H966" s="12">
        <v>-4.8300000000000003E-2</v>
      </c>
      <c r="I966" s="12">
        <v>0.1421</v>
      </c>
      <c r="J966" s="9" t="s">
        <v>412</v>
      </c>
      <c r="K966" s="9" t="s">
        <v>604</v>
      </c>
    </row>
    <row r="967" spans="1:11">
      <c r="A967" s="9" t="s">
        <v>609</v>
      </c>
      <c r="B967" s="9" t="s">
        <v>686</v>
      </c>
      <c r="C967" s="9" t="s">
        <v>667</v>
      </c>
      <c r="D967" s="12">
        <v>0.33360000000000001</v>
      </c>
      <c r="E967" s="12">
        <v>-8.5000000000000006E-3</v>
      </c>
      <c r="F967" s="12">
        <v>8.4000000000000005E-2</v>
      </c>
      <c r="G967" s="12">
        <v>0.16255</v>
      </c>
      <c r="H967" s="12">
        <v>0.13639999999999999</v>
      </c>
      <c r="I967" s="12">
        <v>0.14199999999999999</v>
      </c>
      <c r="J967" s="9" t="s">
        <v>412</v>
      </c>
      <c r="K967" s="9" t="s">
        <v>604</v>
      </c>
    </row>
    <row r="968" spans="1:11" ht="28.8">
      <c r="A968" s="9" t="s">
        <v>661</v>
      </c>
      <c r="B968" s="9" t="s">
        <v>672</v>
      </c>
      <c r="C968" s="9" t="s">
        <v>664</v>
      </c>
      <c r="D968" s="12">
        <v>-2.4199999999999999E-2</v>
      </c>
      <c r="E968" s="12">
        <v>0.30880000000000002</v>
      </c>
      <c r="F968" s="12">
        <v>-9.2899999999999996E-2</v>
      </c>
      <c r="G968" s="12">
        <v>0.14230000000000001</v>
      </c>
      <c r="H968" s="12">
        <v>6.3899999999999998E-2</v>
      </c>
      <c r="I968" s="12">
        <v>0.14199999999999999</v>
      </c>
      <c r="J968" s="9" t="s">
        <v>412</v>
      </c>
      <c r="K968" s="9" t="s">
        <v>604</v>
      </c>
    </row>
    <row r="969" spans="1:11" ht="28.8">
      <c r="A969" s="9" t="s">
        <v>679</v>
      </c>
      <c r="B969" s="9" t="s">
        <v>681</v>
      </c>
      <c r="C969" s="9" t="s">
        <v>675</v>
      </c>
      <c r="D969" s="12">
        <v>4.0599999999999997E-2</v>
      </c>
      <c r="E969" s="12">
        <v>0.1958</v>
      </c>
      <c r="F969" s="12">
        <v>0.1895</v>
      </c>
      <c r="G969" s="12">
        <v>0.1182</v>
      </c>
      <c r="H969" s="12">
        <v>0.14199999999999999</v>
      </c>
      <c r="I969" s="12">
        <v>0.14199999999999999</v>
      </c>
      <c r="J969" s="9" t="s">
        <v>412</v>
      </c>
      <c r="K969" s="9" t="s">
        <v>654</v>
      </c>
    </row>
    <row r="970" spans="1:11" ht="28.8">
      <c r="A970" s="9" t="s">
        <v>671</v>
      </c>
      <c r="B970" s="9" t="s">
        <v>676</v>
      </c>
      <c r="C970" s="9" t="s">
        <v>674</v>
      </c>
      <c r="D970" s="12">
        <v>-6.2799999999999995E-2</v>
      </c>
      <c r="E970" s="12">
        <v>0.2205</v>
      </c>
      <c r="F970" s="12">
        <v>0.14230000000000001</v>
      </c>
      <c r="G970" s="12">
        <v>7.8850000000000003E-2</v>
      </c>
      <c r="H970" s="12">
        <v>0.1</v>
      </c>
      <c r="I970" s="12">
        <v>0.1419</v>
      </c>
      <c r="J970" s="9" t="s">
        <v>412</v>
      </c>
      <c r="K970" s="9" t="s">
        <v>604</v>
      </c>
    </row>
    <row r="971" spans="1:11" ht="28.8">
      <c r="A971" s="9" t="s">
        <v>603</v>
      </c>
      <c r="B971" s="9" t="s">
        <v>673</v>
      </c>
      <c r="C971" s="9" t="s">
        <v>677</v>
      </c>
      <c r="D971" s="12">
        <v>0.14069999999999999</v>
      </c>
      <c r="E971" s="12">
        <v>0.2681</v>
      </c>
      <c r="F971" s="12">
        <v>-1.6899999999999998E-2</v>
      </c>
      <c r="G971" s="12">
        <v>0.2044</v>
      </c>
      <c r="H971" s="12">
        <v>0.13070000000000001</v>
      </c>
      <c r="I971" s="12">
        <v>0.1419</v>
      </c>
      <c r="J971" s="9" t="s">
        <v>412</v>
      </c>
      <c r="K971" s="9" t="s">
        <v>604</v>
      </c>
    </row>
    <row r="972" spans="1:11" ht="28.8">
      <c r="A972" s="9" t="s">
        <v>662</v>
      </c>
      <c r="B972" s="9" t="s">
        <v>658</v>
      </c>
      <c r="C972" s="9" t="s">
        <v>664</v>
      </c>
      <c r="D972" s="12">
        <v>-2.87E-2</v>
      </c>
      <c r="E972" s="12">
        <v>0.11119999999999999</v>
      </c>
      <c r="F972" s="12">
        <v>-0.28549999999999998</v>
      </c>
      <c r="G972" s="12">
        <v>4.1249999999999995E-2</v>
      </c>
      <c r="H972" s="12">
        <v>-6.7699999999999996E-2</v>
      </c>
      <c r="I972" s="12">
        <v>0.14180000000000001</v>
      </c>
      <c r="J972" s="9" t="s">
        <v>412</v>
      </c>
      <c r="K972" s="9" t="s">
        <v>604</v>
      </c>
    </row>
    <row r="973" spans="1:11">
      <c r="A973" s="9" t="s">
        <v>682</v>
      </c>
      <c r="B973" s="9" t="s">
        <v>691</v>
      </c>
      <c r="C973" s="9" t="s">
        <v>670</v>
      </c>
      <c r="D973" s="12">
        <v>-0.19359999999999999</v>
      </c>
      <c r="E973" s="12">
        <v>-0.1062</v>
      </c>
      <c r="F973" s="12">
        <v>0.1258</v>
      </c>
      <c r="G973" s="12">
        <v>-0.14990000000000001</v>
      </c>
      <c r="H973" s="12">
        <v>-5.8000000000000003E-2</v>
      </c>
      <c r="I973" s="12">
        <v>0.14180000000000001</v>
      </c>
      <c r="J973" s="9" t="s">
        <v>412</v>
      </c>
      <c r="K973" s="9" t="s">
        <v>604</v>
      </c>
    </row>
    <row r="974" spans="1:11" ht="28.8">
      <c r="A974" s="9" t="s">
        <v>661</v>
      </c>
      <c r="B974" s="9" t="s">
        <v>684</v>
      </c>
      <c r="C974" s="9" t="s">
        <v>663</v>
      </c>
      <c r="D974" s="12">
        <v>8.8300000000000003E-2</v>
      </c>
      <c r="E974" s="12">
        <v>0.1986</v>
      </c>
      <c r="F974" s="12">
        <v>0.13800000000000001</v>
      </c>
      <c r="G974" s="12">
        <v>0.14344999999999999</v>
      </c>
      <c r="H974" s="12">
        <v>0.1416</v>
      </c>
      <c r="I974" s="12">
        <v>0.1416</v>
      </c>
      <c r="J974" s="9" t="s">
        <v>412</v>
      </c>
      <c r="K974" s="9" t="s">
        <v>654</v>
      </c>
    </row>
    <row r="975" spans="1:11" ht="28.8">
      <c r="A975" s="9" t="s">
        <v>679</v>
      </c>
      <c r="B975" s="9" t="s">
        <v>681</v>
      </c>
      <c r="C975" s="9" t="s">
        <v>670</v>
      </c>
      <c r="D975" s="12">
        <v>-9.5200000000000007E-2</v>
      </c>
      <c r="E975" s="12">
        <v>0.1958</v>
      </c>
      <c r="F975" s="12">
        <v>-0.1333</v>
      </c>
      <c r="G975" s="12">
        <v>5.0299999999999997E-2</v>
      </c>
      <c r="H975" s="12">
        <v>-1.09E-2</v>
      </c>
      <c r="I975" s="12">
        <v>0.1414</v>
      </c>
      <c r="J975" s="9" t="s">
        <v>412</v>
      </c>
      <c r="K975" s="9" t="s">
        <v>604</v>
      </c>
    </row>
    <row r="976" spans="1:11" ht="28.8">
      <c r="A976" s="9" t="s">
        <v>661</v>
      </c>
      <c r="B976" s="9" t="s">
        <v>673</v>
      </c>
      <c r="C976" s="9" t="s">
        <v>663</v>
      </c>
      <c r="D976" s="12">
        <v>8.8300000000000003E-2</v>
      </c>
      <c r="E976" s="12">
        <v>-0.12659999999999999</v>
      </c>
      <c r="F976" s="12">
        <v>-0.20910000000000001</v>
      </c>
      <c r="G976" s="12">
        <v>-1.9149999999999993E-2</v>
      </c>
      <c r="H976" s="12">
        <v>-8.2500000000000004E-2</v>
      </c>
      <c r="I976" s="12">
        <v>0.14130000000000001</v>
      </c>
      <c r="J976" s="9" t="s">
        <v>412</v>
      </c>
      <c r="K976" s="9" t="s">
        <v>604</v>
      </c>
    </row>
    <row r="977" spans="1:11" ht="28.8">
      <c r="A977" s="9" t="s">
        <v>679</v>
      </c>
      <c r="B977" s="9" t="s">
        <v>685</v>
      </c>
      <c r="C977" s="9" t="s">
        <v>664</v>
      </c>
      <c r="D977" s="12">
        <v>0.1353</v>
      </c>
      <c r="E977" s="12">
        <v>0.22770000000000001</v>
      </c>
      <c r="F977" s="12">
        <v>6.0699999999999997E-2</v>
      </c>
      <c r="G977" s="12">
        <v>0.18149999999999999</v>
      </c>
      <c r="H977" s="12">
        <v>0.14119999999999999</v>
      </c>
      <c r="I977" s="12">
        <v>0.14119999999999999</v>
      </c>
      <c r="J977" s="9" t="s">
        <v>412</v>
      </c>
      <c r="K977" s="9" t="s">
        <v>654</v>
      </c>
    </row>
    <row r="978" spans="1:11" ht="28.8">
      <c r="A978" s="9" t="s">
        <v>610</v>
      </c>
      <c r="B978" s="9" t="s">
        <v>676</v>
      </c>
      <c r="C978" s="9" t="s">
        <v>674</v>
      </c>
      <c r="D978" s="12">
        <v>-0.1986</v>
      </c>
      <c r="E978" s="12">
        <v>8.2799999999999999E-2</v>
      </c>
      <c r="F978" s="12">
        <v>0.14230000000000001</v>
      </c>
      <c r="G978" s="12">
        <v>-5.79E-2</v>
      </c>
      <c r="H978" s="12">
        <v>8.8000000000000005E-3</v>
      </c>
      <c r="I978" s="12">
        <v>0.14119999999999999</v>
      </c>
      <c r="J978" s="9" t="s">
        <v>412</v>
      </c>
      <c r="K978" s="9" t="s">
        <v>604</v>
      </c>
    </row>
    <row r="979" spans="1:11" ht="28.8">
      <c r="A979" s="9" t="s">
        <v>671</v>
      </c>
      <c r="B979" s="9" t="s">
        <v>689</v>
      </c>
      <c r="C979" s="9" t="s">
        <v>667</v>
      </c>
      <c r="D979" s="12">
        <v>0.14219999999999999</v>
      </c>
      <c r="E979" s="12">
        <v>-0.12859999999999999</v>
      </c>
      <c r="F979" s="12">
        <v>-0.15240000000000001</v>
      </c>
      <c r="G979" s="12">
        <v>6.8000000000000005E-3</v>
      </c>
      <c r="H979" s="12">
        <v>-4.6300000000000001E-2</v>
      </c>
      <c r="I979" s="12">
        <v>0.1411</v>
      </c>
      <c r="J979" s="9" t="s">
        <v>412</v>
      </c>
      <c r="K979" s="9" t="s">
        <v>604</v>
      </c>
    </row>
    <row r="980" spans="1:11" ht="28.8">
      <c r="A980" s="9" t="s">
        <v>679</v>
      </c>
      <c r="B980" s="9" t="s">
        <v>681</v>
      </c>
      <c r="C980" s="9" t="s">
        <v>677</v>
      </c>
      <c r="D980" s="12">
        <v>0.13189999999999999</v>
      </c>
      <c r="E980" s="12">
        <v>0.1958</v>
      </c>
      <c r="F980" s="12">
        <v>-9.5399999999999999E-2</v>
      </c>
      <c r="G980" s="12">
        <v>0.16385</v>
      </c>
      <c r="H980" s="12">
        <v>7.7399999999999997E-2</v>
      </c>
      <c r="I980" s="12">
        <v>0.14099999999999999</v>
      </c>
      <c r="J980" s="9" t="s">
        <v>412</v>
      </c>
      <c r="K980" s="9" t="s">
        <v>604</v>
      </c>
    </row>
    <row r="981" spans="1:11" ht="28.8">
      <c r="A981" s="9" t="s">
        <v>679</v>
      </c>
      <c r="B981" s="9" t="s">
        <v>686</v>
      </c>
      <c r="C981" s="9" t="s">
        <v>683</v>
      </c>
      <c r="D981" s="12">
        <v>0.16389999999999999</v>
      </c>
      <c r="E981" s="12">
        <v>0.2019</v>
      </c>
      <c r="F981" s="12">
        <v>-5.6800000000000003E-2</v>
      </c>
      <c r="G981" s="12">
        <v>0.18290000000000001</v>
      </c>
      <c r="H981" s="12">
        <v>0.10299999999999999</v>
      </c>
      <c r="I981" s="12">
        <v>0.1409</v>
      </c>
      <c r="J981" s="9" t="s">
        <v>412</v>
      </c>
      <c r="K981" s="9" t="s">
        <v>604</v>
      </c>
    </row>
    <row r="982" spans="1:11" ht="28.8">
      <c r="A982" s="9" t="s">
        <v>682</v>
      </c>
      <c r="B982" s="9" t="s">
        <v>653</v>
      </c>
      <c r="C982" s="9" t="s">
        <v>675</v>
      </c>
      <c r="D982" s="12">
        <v>0.06</v>
      </c>
      <c r="E982" s="12">
        <v>-4.8099999999999997E-2</v>
      </c>
      <c r="F982" s="12">
        <v>-0.31430000000000002</v>
      </c>
      <c r="G982" s="12">
        <v>5.9500000000000004E-3</v>
      </c>
      <c r="H982" s="12">
        <v>-0.1008</v>
      </c>
      <c r="I982" s="12">
        <v>0.14080000000000001</v>
      </c>
      <c r="J982" s="9" t="s">
        <v>412</v>
      </c>
      <c r="K982" s="9" t="s">
        <v>604</v>
      </c>
    </row>
    <row r="983" spans="1:11" ht="28.8">
      <c r="A983" s="9" t="s">
        <v>610</v>
      </c>
      <c r="B983" s="9" t="s">
        <v>678</v>
      </c>
      <c r="C983" s="9" t="s">
        <v>674</v>
      </c>
      <c r="D983" s="12">
        <v>-0.1986</v>
      </c>
      <c r="E983" s="12">
        <v>3.4000000000000002E-2</v>
      </c>
      <c r="F983" s="12">
        <v>-0.18970000000000001</v>
      </c>
      <c r="G983" s="12">
        <v>-8.2299999999999998E-2</v>
      </c>
      <c r="H983" s="12">
        <v>-0.1181</v>
      </c>
      <c r="I983" s="12">
        <v>0.14080000000000001</v>
      </c>
      <c r="J983" s="9" t="s">
        <v>412</v>
      </c>
      <c r="K983" s="9" t="s">
        <v>604</v>
      </c>
    </row>
    <row r="984" spans="1:11" ht="28.8">
      <c r="A984" s="9" t="s">
        <v>603</v>
      </c>
      <c r="B984" s="9" t="s">
        <v>672</v>
      </c>
      <c r="C984" s="9" t="s">
        <v>667</v>
      </c>
      <c r="D984" s="12">
        <v>-6.3299999999999995E-2</v>
      </c>
      <c r="E984" s="12">
        <v>-0.21229999999999999</v>
      </c>
      <c r="F984" s="12">
        <v>0.1469</v>
      </c>
      <c r="G984" s="12">
        <v>-0.13779999999999998</v>
      </c>
      <c r="H984" s="12">
        <v>-4.2900000000000001E-2</v>
      </c>
      <c r="I984" s="12">
        <v>0.14080000000000001</v>
      </c>
      <c r="J984" s="9" t="s">
        <v>412</v>
      </c>
      <c r="K984" s="9" t="s">
        <v>604</v>
      </c>
    </row>
    <row r="985" spans="1:11">
      <c r="A985" s="9" t="s">
        <v>610</v>
      </c>
      <c r="B985" s="9" t="s">
        <v>680</v>
      </c>
      <c r="C985" s="9" t="s">
        <v>659</v>
      </c>
      <c r="D985" s="12">
        <v>0.1174</v>
      </c>
      <c r="E985" s="12">
        <v>-0.1973</v>
      </c>
      <c r="F985" s="12">
        <v>-0.1074</v>
      </c>
      <c r="G985" s="12">
        <v>-3.9949999999999999E-2</v>
      </c>
      <c r="H985" s="12">
        <v>-6.2399999999999997E-2</v>
      </c>
      <c r="I985" s="12">
        <v>0.14069999999999999</v>
      </c>
      <c r="J985" s="9" t="s">
        <v>412</v>
      </c>
      <c r="K985" s="9" t="s">
        <v>604</v>
      </c>
    </row>
    <row r="986" spans="1:11">
      <c r="A986" s="9" t="s">
        <v>609</v>
      </c>
      <c r="B986" s="9" t="s">
        <v>691</v>
      </c>
      <c r="C986" s="9" t="s">
        <v>667</v>
      </c>
      <c r="D986" s="12">
        <v>0.33360000000000001</v>
      </c>
      <c r="E986" s="12">
        <v>4.9399999999999999E-2</v>
      </c>
      <c r="F986" s="12">
        <v>-3.8699999999999998E-2</v>
      </c>
      <c r="G986" s="12">
        <v>0.1915</v>
      </c>
      <c r="H986" s="12">
        <v>0.1148</v>
      </c>
      <c r="I986" s="12">
        <v>0.1406</v>
      </c>
      <c r="J986" s="9" t="s">
        <v>412</v>
      </c>
      <c r="K986" s="9" t="s">
        <v>604</v>
      </c>
    </row>
    <row r="987" spans="1:11" ht="28.8">
      <c r="A987" s="9" t="s">
        <v>682</v>
      </c>
      <c r="B987" s="9" t="s">
        <v>658</v>
      </c>
      <c r="C987" s="9" t="s">
        <v>664</v>
      </c>
      <c r="D987" s="12">
        <v>-0.08</v>
      </c>
      <c r="E987" s="12">
        <v>-5.5500000000000001E-2</v>
      </c>
      <c r="F987" s="12">
        <v>-0.28549999999999998</v>
      </c>
      <c r="G987" s="12">
        <v>-6.7750000000000005E-2</v>
      </c>
      <c r="H987" s="12">
        <v>-0.1404</v>
      </c>
      <c r="I987" s="12">
        <v>0.1404</v>
      </c>
      <c r="J987" s="9" t="s">
        <v>412</v>
      </c>
      <c r="K987" s="9" t="s">
        <v>604</v>
      </c>
    </row>
    <row r="988" spans="1:11" ht="28.8">
      <c r="A988" s="9" t="s">
        <v>609</v>
      </c>
      <c r="B988" s="9" t="s">
        <v>602</v>
      </c>
      <c r="C988" s="9" t="s">
        <v>683</v>
      </c>
      <c r="D988" s="12">
        <v>-0.105</v>
      </c>
      <c r="E988" s="12">
        <v>-0.2089</v>
      </c>
      <c r="F988" s="12">
        <v>0.107</v>
      </c>
      <c r="G988" s="12">
        <v>-0.15695000000000001</v>
      </c>
      <c r="H988" s="12">
        <v>-6.9000000000000006E-2</v>
      </c>
      <c r="I988" s="12">
        <v>0.14030000000000001</v>
      </c>
      <c r="J988" s="9" t="s">
        <v>412</v>
      </c>
      <c r="K988" s="9" t="s">
        <v>604</v>
      </c>
    </row>
    <row r="989" spans="1:11" ht="28.8">
      <c r="A989" s="9" t="s">
        <v>661</v>
      </c>
      <c r="B989" s="9" t="s">
        <v>688</v>
      </c>
      <c r="C989" s="9" t="s">
        <v>666</v>
      </c>
      <c r="D989" s="12">
        <v>0.2175</v>
      </c>
      <c r="E989" s="12">
        <v>6.8500000000000005E-2</v>
      </c>
      <c r="F989" s="12">
        <v>-0.13469999999999999</v>
      </c>
      <c r="G989" s="12">
        <v>0.14300000000000002</v>
      </c>
      <c r="H989" s="12">
        <v>5.04E-2</v>
      </c>
      <c r="I989" s="12">
        <v>0.14019999999999999</v>
      </c>
      <c r="J989" s="9" t="s">
        <v>412</v>
      </c>
      <c r="K989" s="9" t="s">
        <v>604</v>
      </c>
    </row>
    <row r="990" spans="1:11" ht="28.8">
      <c r="A990" s="9" t="s">
        <v>603</v>
      </c>
      <c r="B990" s="9" t="s">
        <v>691</v>
      </c>
      <c r="C990" s="9" t="s">
        <v>666</v>
      </c>
      <c r="D990" s="12">
        <v>-0.26</v>
      </c>
      <c r="E990" s="12">
        <v>3.3000000000000002E-2</v>
      </c>
      <c r="F990" s="12">
        <v>0.12740000000000001</v>
      </c>
      <c r="G990" s="12">
        <v>-0.1135</v>
      </c>
      <c r="H990" s="12">
        <v>-3.32E-2</v>
      </c>
      <c r="I990" s="12">
        <v>0.14019999999999999</v>
      </c>
      <c r="J990" s="9" t="s">
        <v>412</v>
      </c>
      <c r="K990" s="9" t="s">
        <v>604</v>
      </c>
    </row>
    <row r="991" spans="1:11" ht="28.8">
      <c r="A991" s="9" t="s">
        <v>671</v>
      </c>
      <c r="B991" s="9" t="s">
        <v>684</v>
      </c>
      <c r="C991" s="9" t="s">
        <v>667</v>
      </c>
      <c r="D991" s="12">
        <v>0.14219999999999999</v>
      </c>
      <c r="E991" s="12">
        <v>-3.3399999999999999E-2</v>
      </c>
      <c r="F991" s="12">
        <v>-0.24479999999999999</v>
      </c>
      <c r="G991" s="12">
        <v>5.4399999999999997E-2</v>
      </c>
      <c r="H991" s="12">
        <v>-4.53E-2</v>
      </c>
      <c r="I991" s="12">
        <v>0.1401</v>
      </c>
      <c r="J991" s="9" t="s">
        <v>412</v>
      </c>
      <c r="K991" s="9" t="s">
        <v>604</v>
      </c>
    </row>
    <row r="992" spans="1:11">
      <c r="A992" s="9" t="s">
        <v>682</v>
      </c>
      <c r="B992" s="9" t="s">
        <v>653</v>
      </c>
      <c r="C992" s="9" t="s">
        <v>659</v>
      </c>
      <c r="D992" s="12">
        <v>0.1188</v>
      </c>
      <c r="E992" s="12">
        <v>-4.8099999999999997E-2</v>
      </c>
      <c r="F992" s="12">
        <v>-0.2535</v>
      </c>
      <c r="G992" s="12">
        <v>3.5350000000000006E-2</v>
      </c>
      <c r="H992" s="12">
        <v>-6.0900000000000003E-2</v>
      </c>
      <c r="I992" s="12">
        <v>0.1401</v>
      </c>
      <c r="J992" s="9" t="s">
        <v>412</v>
      </c>
      <c r="K992" s="9" t="s">
        <v>604</v>
      </c>
    </row>
    <row r="993" spans="1:11">
      <c r="A993" s="9" t="s">
        <v>682</v>
      </c>
      <c r="B993" s="9" t="s">
        <v>669</v>
      </c>
      <c r="C993" s="9" t="s">
        <v>655</v>
      </c>
      <c r="D993" s="12">
        <v>7.3099999999999998E-2</v>
      </c>
      <c r="E993" s="12">
        <v>-1.46E-2</v>
      </c>
      <c r="F993" s="12">
        <v>0.33250000000000002</v>
      </c>
      <c r="G993" s="12">
        <v>2.9249999999999998E-2</v>
      </c>
      <c r="H993" s="12">
        <v>0.1303</v>
      </c>
      <c r="I993" s="12">
        <v>0.14000000000000001</v>
      </c>
      <c r="J993" s="9" t="s">
        <v>412</v>
      </c>
      <c r="K993" s="9" t="s">
        <v>604</v>
      </c>
    </row>
    <row r="994" spans="1:11" ht="28.8">
      <c r="A994" s="9" t="s">
        <v>679</v>
      </c>
      <c r="B994" s="9" t="s">
        <v>613</v>
      </c>
      <c r="C994" s="9" t="s">
        <v>677</v>
      </c>
      <c r="D994" s="12">
        <v>0.13189999999999999</v>
      </c>
      <c r="E994" s="12">
        <v>-0.1157</v>
      </c>
      <c r="F994" s="12">
        <v>-0.1721</v>
      </c>
      <c r="G994" s="12">
        <v>8.0999999999999961E-3</v>
      </c>
      <c r="H994" s="12">
        <v>-5.1999999999999998E-2</v>
      </c>
      <c r="I994" s="12">
        <v>0.1399</v>
      </c>
      <c r="J994" s="9" t="s">
        <v>412</v>
      </c>
      <c r="K994" s="9" t="s">
        <v>604</v>
      </c>
    </row>
    <row r="995" spans="1:11" ht="28.8">
      <c r="A995" s="9" t="s">
        <v>610</v>
      </c>
      <c r="B995" s="9" t="s">
        <v>688</v>
      </c>
      <c r="C995" s="9" t="s">
        <v>674</v>
      </c>
      <c r="D995" s="12">
        <v>-0.1986</v>
      </c>
      <c r="E995" s="12">
        <v>8.5699999999999998E-2</v>
      </c>
      <c r="F995" s="12">
        <v>0.13539999999999999</v>
      </c>
      <c r="G995" s="12">
        <v>-5.645E-2</v>
      </c>
      <c r="H995" s="12">
        <v>7.4999999999999997E-3</v>
      </c>
      <c r="I995" s="12">
        <v>0.1399</v>
      </c>
      <c r="J995" s="9" t="s">
        <v>412</v>
      </c>
      <c r="K995" s="9" t="s">
        <v>604</v>
      </c>
    </row>
    <row r="996" spans="1:11" ht="28.8">
      <c r="A996" s="9" t="s">
        <v>661</v>
      </c>
      <c r="B996" s="9" t="s">
        <v>665</v>
      </c>
      <c r="C996" s="9" t="s">
        <v>663</v>
      </c>
      <c r="D996" s="12">
        <v>8.8300000000000003E-2</v>
      </c>
      <c r="E996" s="12">
        <v>0.1731</v>
      </c>
      <c r="F996" s="12">
        <v>0.158</v>
      </c>
      <c r="G996" s="12">
        <v>0.13070000000000001</v>
      </c>
      <c r="H996" s="12">
        <v>0.13980000000000001</v>
      </c>
      <c r="I996" s="12">
        <v>0.13980000000000001</v>
      </c>
      <c r="J996" s="9" t="s">
        <v>412</v>
      </c>
      <c r="K996" s="9" t="s">
        <v>654</v>
      </c>
    </row>
    <row r="997" spans="1:11" ht="28.8">
      <c r="A997" s="9" t="s">
        <v>662</v>
      </c>
      <c r="B997" s="9" t="s">
        <v>665</v>
      </c>
      <c r="C997" s="9" t="s">
        <v>674</v>
      </c>
      <c r="D997" s="12">
        <v>0.17680000000000001</v>
      </c>
      <c r="E997" s="12">
        <v>-0.1681</v>
      </c>
      <c r="F997" s="12">
        <v>7.4200000000000002E-2</v>
      </c>
      <c r="G997" s="12">
        <v>4.3500000000000066E-3</v>
      </c>
      <c r="H997" s="12">
        <v>2.76E-2</v>
      </c>
      <c r="I997" s="12">
        <v>0.13969999999999999</v>
      </c>
      <c r="J997" s="9" t="s">
        <v>412</v>
      </c>
      <c r="K997" s="9" t="s">
        <v>604</v>
      </c>
    </row>
    <row r="998" spans="1:11" ht="28.8">
      <c r="A998" s="9" t="s">
        <v>661</v>
      </c>
      <c r="B998" s="9" t="s">
        <v>685</v>
      </c>
      <c r="C998" s="9" t="s">
        <v>666</v>
      </c>
      <c r="D998" s="12">
        <v>0.2175</v>
      </c>
      <c r="E998" s="12">
        <v>0.18970000000000001</v>
      </c>
      <c r="F998" s="12">
        <v>-1.17E-2</v>
      </c>
      <c r="G998" s="12">
        <v>0.2036</v>
      </c>
      <c r="H998" s="12">
        <v>0.1318</v>
      </c>
      <c r="I998" s="12">
        <v>0.1396</v>
      </c>
      <c r="J998" s="9" t="s">
        <v>412</v>
      </c>
      <c r="K998" s="9" t="s">
        <v>604</v>
      </c>
    </row>
    <row r="999" spans="1:11" ht="28.8">
      <c r="A999" s="9" t="s">
        <v>603</v>
      </c>
      <c r="B999" s="9" t="s">
        <v>602</v>
      </c>
      <c r="C999" s="9" t="s">
        <v>666</v>
      </c>
      <c r="D999" s="12">
        <v>-0.26</v>
      </c>
      <c r="E999" s="12">
        <v>3.5099999999999999E-2</v>
      </c>
      <c r="F999" s="12">
        <v>0.12330000000000001</v>
      </c>
      <c r="G999" s="12">
        <v>-0.11245000000000001</v>
      </c>
      <c r="H999" s="12">
        <v>-3.39E-2</v>
      </c>
      <c r="I999" s="12">
        <v>0.13950000000000001</v>
      </c>
      <c r="J999" s="9" t="s">
        <v>412</v>
      </c>
      <c r="K999" s="9" t="s">
        <v>604</v>
      </c>
    </row>
    <row r="1000" spans="1:11" ht="28.8">
      <c r="A1000" s="9" t="s">
        <v>609</v>
      </c>
      <c r="B1000" s="9" t="s">
        <v>673</v>
      </c>
      <c r="C1000" s="9" t="s">
        <v>675</v>
      </c>
      <c r="D1000" s="12">
        <v>9.6600000000000005E-2</v>
      </c>
      <c r="E1000" s="12">
        <v>-7.1300000000000002E-2</v>
      </c>
      <c r="F1000" s="12">
        <v>-0.25030000000000002</v>
      </c>
      <c r="G1000" s="12">
        <v>1.2650000000000002E-2</v>
      </c>
      <c r="H1000" s="12">
        <v>-7.4999999999999997E-2</v>
      </c>
      <c r="I1000" s="12">
        <v>0.1394</v>
      </c>
      <c r="J1000" s="9" t="s">
        <v>412</v>
      </c>
      <c r="K1000" s="9" t="s">
        <v>604</v>
      </c>
    </row>
    <row r="1001" spans="1:11" ht="28.8">
      <c r="A1001" s="9" t="s">
        <v>679</v>
      </c>
      <c r="B1001" s="9" t="s">
        <v>673</v>
      </c>
      <c r="C1001" s="9" t="s">
        <v>663</v>
      </c>
      <c r="D1001" s="12">
        <v>0.13450000000000001</v>
      </c>
      <c r="E1001" s="12">
        <v>-7.4499999999999997E-2</v>
      </c>
      <c r="F1001" s="12">
        <v>-0.20910000000000001</v>
      </c>
      <c r="G1001" s="12">
        <v>3.0000000000000006E-2</v>
      </c>
      <c r="H1001" s="12">
        <v>-4.9700000000000001E-2</v>
      </c>
      <c r="I1001" s="12">
        <v>0.13930000000000001</v>
      </c>
      <c r="J1001" s="9" t="s">
        <v>412</v>
      </c>
      <c r="K1001" s="9" t="s">
        <v>604</v>
      </c>
    </row>
    <row r="1002" spans="1:11">
      <c r="A1002" s="9" t="s">
        <v>610</v>
      </c>
      <c r="B1002" s="9" t="s">
        <v>684</v>
      </c>
      <c r="C1002" s="9" t="s">
        <v>670</v>
      </c>
      <c r="D1002" s="12">
        <v>-0.1699</v>
      </c>
      <c r="E1002" s="12">
        <v>0.2329</v>
      </c>
      <c r="F1002" s="12">
        <v>-1.49E-2</v>
      </c>
      <c r="G1002" s="12">
        <v>3.15E-2</v>
      </c>
      <c r="H1002" s="12">
        <v>1.6E-2</v>
      </c>
      <c r="I1002" s="12">
        <v>0.13930000000000001</v>
      </c>
      <c r="J1002" s="9" t="s">
        <v>412</v>
      </c>
      <c r="K1002" s="9" t="s">
        <v>604</v>
      </c>
    </row>
    <row r="1003" spans="1:11" ht="28.8">
      <c r="A1003" s="9" t="s">
        <v>679</v>
      </c>
      <c r="B1003" s="9" t="s">
        <v>653</v>
      </c>
      <c r="C1003" s="9" t="s">
        <v>675</v>
      </c>
      <c r="D1003" s="12">
        <v>4.0599999999999997E-2</v>
      </c>
      <c r="E1003" s="12">
        <v>6.2700000000000006E-2</v>
      </c>
      <c r="F1003" s="12">
        <v>-0.31430000000000002</v>
      </c>
      <c r="G1003" s="12">
        <v>5.1650000000000001E-2</v>
      </c>
      <c r="H1003" s="12">
        <v>-7.0300000000000001E-2</v>
      </c>
      <c r="I1003" s="12">
        <v>0.13919999999999999</v>
      </c>
      <c r="J1003" s="9" t="s">
        <v>412</v>
      </c>
      <c r="K1003" s="9" t="s">
        <v>604</v>
      </c>
    </row>
    <row r="1004" spans="1:11" ht="28.8">
      <c r="A1004" s="9" t="s">
        <v>682</v>
      </c>
      <c r="B1004" s="9" t="s">
        <v>688</v>
      </c>
      <c r="C1004" s="9" t="s">
        <v>666</v>
      </c>
      <c r="D1004" s="12">
        <v>0.22600000000000001</v>
      </c>
      <c r="E1004" s="12">
        <v>5.6800000000000003E-2</v>
      </c>
      <c r="F1004" s="12">
        <v>-0.13469999999999999</v>
      </c>
      <c r="G1004" s="12">
        <v>0.1414</v>
      </c>
      <c r="H1004" s="12">
        <v>4.9399999999999999E-2</v>
      </c>
      <c r="I1004" s="12">
        <v>0.13919999999999999</v>
      </c>
      <c r="J1004" s="9" t="s">
        <v>412</v>
      </c>
      <c r="K1004" s="9" t="s">
        <v>604</v>
      </c>
    </row>
    <row r="1005" spans="1:11" ht="28.8">
      <c r="A1005" s="9" t="s">
        <v>610</v>
      </c>
      <c r="B1005" s="9" t="s">
        <v>684</v>
      </c>
      <c r="C1005" s="9" t="s">
        <v>664</v>
      </c>
      <c r="D1005" s="12">
        <v>-9.1300000000000006E-2</v>
      </c>
      <c r="E1005" s="12">
        <v>0.2329</v>
      </c>
      <c r="F1005" s="12">
        <v>-9.2899999999999996E-2</v>
      </c>
      <c r="G1005" s="12">
        <v>7.0800000000000002E-2</v>
      </c>
      <c r="H1005" s="12">
        <v>1.6199999999999999E-2</v>
      </c>
      <c r="I1005" s="12">
        <v>0.13900000000000001</v>
      </c>
      <c r="J1005" s="9" t="s">
        <v>412</v>
      </c>
      <c r="K1005" s="9" t="s">
        <v>604</v>
      </c>
    </row>
    <row r="1006" spans="1:11" ht="28.8">
      <c r="A1006" s="9" t="s">
        <v>603</v>
      </c>
      <c r="B1006" s="9" t="s">
        <v>688</v>
      </c>
      <c r="C1006" s="9" t="s">
        <v>666</v>
      </c>
      <c r="D1006" s="12">
        <v>-0.26</v>
      </c>
      <c r="E1006" s="12">
        <v>-2.2200000000000001E-2</v>
      </c>
      <c r="F1006" s="12">
        <v>-0.13469999999999999</v>
      </c>
      <c r="G1006" s="12">
        <v>-0.1411</v>
      </c>
      <c r="H1006" s="12">
        <v>-0.13900000000000001</v>
      </c>
      <c r="I1006" s="12">
        <v>0.13900000000000001</v>
      </c>
      <c r="J1006" s="9" t="s">
        <v>412</v>
      </c>
      <c r="K1006" s="9" t="s">
        <v>604</v>
      </c>
    </row>
    <row r="1007" spans="1:11" ht="28.8">
      <c r="A1007" s="9" t="s">
        <v>610</v>
      </c>
      <c r="B1007" s="9" t="s">
        <v>658</v>
      </c>
      <c r="C1007" s="9" t="s">
        <v>675</v>
      </c>
      <c r="D1007" s="12">
        <v>-2.1399999999999999E-2</v>
      </c>
      <c r="E1007" s="12">
        <v>-0.1421</v>
      </c>
      <c r="F1007" s="12">
        <v>0.25319999999999998</v>
      </c>
      <c r="G1007" s="12">
        <v>-8.1750000000000003E-2</v>
      </c>
      <c r="H1007" s="12">
        <v>2.9899999999999999E-2</v>
      </c>
      <c r="I1007" s="12">
        <v>0.1389</v>
      </c>
      <c r="J1007" s="9" t="s">
        <v>412</v>
      </c>
      <c r="K1007" s="9" t="s">
        <v>604</v>
      </c>
    </row>
    <row r="1008" spans="1:11" ht="28.8">
      <c r="A1008" s="9" t="s">
        <v>603</v>
      </c>
      <c r="B1008" s="9" t="s">
        <v>602</v>
      </c>
      <c r="C1008" s="9" t="s">
        <v>663</v>
      </c>
      <c r="D1008" s="12">
        <v>-0.2828</v>
      </c>
      <c r="E1008" s="12">
        <v>3.5099999999999999E-2</v>
      </c>
      <c r="F1008" s="12">
        <v>9.8400000000000001E-2</v>
      </c>
      <c r="G1008" s="12">
        <v>-0.12385</v>
      </c>
      <c r="H1008" s="12">
        <v>-4.9799999999999997E-2</v>
      </c>
      <c r="I1008" s="12">
        <v>0.13880000000000001</v>
      </c>
      <c r="J1008" s="9" t="s">
        <v>412</v>
      </c>
      <c r="K1008" s="9" t="s">
        <v>604</v>
      </c>
    </row>
    <row r="1009" spans="1:11" ht="28.8">
      <c r="A1009" s="9" t="s">
        <v>603</v>
      </c>
      <c r="B1009" s="9" t="s">
        <v>684</v>
      </c>
      <c r="C1009" s="9" t="s">
        <v>667</v>
      </c>
      <c r="D1009" s="12">
        <v>-6.3299999999999995E-2</v>
      </c>
      <c r="E1009" s="12">
        <v>-0.10829999999999999</v>
      </c>
      <c r="F1009" s="12">
        <v>-0.24479999999999999</v>
      </c>
      <c r="G1009" s="12">
        <v>-8.5799999999999987E-2</v>
      </c>
      <c r="H1009" s="12">
        <v>-0.13880000000000001</v>
      </c>
      <c r="I1009" s="12">
        <v>0.13880000000000001</v>
      </c>
      <c r="J1009" s="9" t="s">
        <v>412</v>
      </c>
      <c r="K1009" s="9" t="s">
        <v>604</v>
      </c>
    </row>
    <row r="1010" spans="1:11" ht="28.8">
      <c r="A1010" s="9" t="s">
        <v>679</v>
      </c>
      <c r="B1010" s="9" t="s">
        <v>691</v>
      </c>
      <c r="C1010" s="9" t="s">
        <v>666</v>
      </c>
      <c r="D1010" s="12">
        <v>-0.113</v>
      </c>
      <c r="E1010" s="12">
        <v>-0.1757</v>
      </c>
      <c r="F1010" s="12">
        <v>0.12740000000000001</v>
      </c>
      <c r="G1010" s="12">
        <v>-0.14435000000000001</v>
      </c>
      <c r="H1010" s="12">
        <v>-5.3800000000000001E-2</v>
      </c>
      <c r="I1010" s="12">
        <v>0.13869999999999999</v>
      </c>
      <c r="J1010" s="9" t="s">
        <v>412</v>
      </c>
      <c r="K1010" s="9" t="s">
        <v>604</v>
      </c>
    </row>
    <row r="1011" spans="1:11" ht="28.8">
      <c r="A1011" s="9" t="s">
        <v>661</v>
      </c>
      <c r="B1011" s="9" t="s">
        <v>660</v>
      </c>
      <c r="C1011" s="9" t="s">
        <v>667</v>
      </c>
      <c r="D1011" s="12">
        <v>5.3600000000000002E-2</v>
      </c>
      <c r="E1011" s="12">
        <v>-0.21290000000000001</v>
      </c>
      <c r="F1011" s="12">
        <v>-0.14899999999999999</v>
      </c>
      <c r="G1011" s="12">
        <v>-7.9649999999999999E-2</v>
      </c>
      <c r="H1011" s="12">
        <v>-0.1028</v>
      </c>
      <c r="I1011" s="12">
        <v>0.13850000000000001</v>
      </c>
      <c r="J1011" s="9" t="s">
        <v>412</v>
      </c>
      <c r="K1011" s="9" t="s">
        <v>604</v>
      </c>
    </row>
    <row r="1012" spans="1:11" ht="28.8">
      <c r="A1012" s="9" t="s">
        <v>661</v>
      </c>
      <c r="B1012" s="9" t="s">
        <v>668</v>
      </c>
      <c r="C1012" s="9" t="s">
        <v>666</v>
      </c>
      <c r="D1012" s="12">
        <v>0.2175</v>
      </c>
      <c r="E1012" s="12">
        <v>-0.13339999999999999</v>
      </c>
      <c r="F1012" s="12">
        <v>-6.4299999999999996E-2</v>
      </c>
      <c r="G1012" s="12">
        <v>4.2050000000000004E-2</v>
      </c>
      <c r="H1012" s="12">
        <v>6.6E-3</v>
      </c>
      <c r="I1012" s="12">
        <v>0.1384</v>
      </c>
      <c r="J1012" s="9" t="s">
        <v>412</v>
      </c>
      <c r="K1012" s="9" t="s">
        <v>604</v>
      </c>
    </row>
    <row r="1013" spans="1:11" ht="28.8">
      <c r="A1013" s="9" t="s">
        <v>609</v>
      </c>
      <c r="B1013" s="9" t="s">
        <v>669</v>
      </c>
      <c r="C1013" s="9" t="s">
        <v>666</v>
      </c>
      <c r="D1013" s="12">
        <v>-7.7700000000000005E-2</v>
      </c>
      <c r="E1013" s="12">
        <v>4.6199999999999998E-2</v>
      </c>
      <c r="F1013" s="12">
        <v>0.2913</v>
      </c>
      <c r="G1013" s="12">
        <v>-1.5750000000000004E-2</v>
      </c>
      <c r="H1013" s="12">
        <v>8.6599999999999996E-2</v>
      </c>
      <c r="I1013" s="12">
        <v>0.1384</v>
      </c>
      <c r="J1013" s="9" t="s">
        <v>412</v>
      </c>
      <c r="K1013" s="9" t="s">
        <v>604</v>
      </c>
    </row>
    <row r="1014" spans="1:11">
      <c r="A1014" s="9" t="s">
        <v>682</v>
      </c>
      <c r="B1014" s="9" t="s">
        <v>665</v>
      </c>
      <c r="C1014" s="9" t="s">
        <v>655</v>
      </c>
      <c r="D1014" s="12">
        <v>7.3099999999999998E-2</v>
      </c>
      <c r="E1014" s="12">
        <v>1.1000000000000001E-3</v>
      </c>
      <c r="F1014" s="12">
        <v>0.34079999999999999</v>
      </c>
      <c r="G1014" s="12">
        <v>3.7100000000000001E-2</v>
      </c>
      <c r="H1014" s="12">
        <v>0.13830000000000001</v>
      </c>
      <c r="I1014" s="12">
        <v>0.13830000000000001</v>
      </c>
      <c r="J1014" s="9" t="s">
        <v>412</v>
      </c>
      <c r="K1014" s="9" t="s">
        <v>654</v>
      </c>
    </row>
    <row r="1015" spans="1:11">
      <c r="A1015" s="9" t="s">
        <v>662</v>
      </c>
      <c r="B1015" s="9" t="s">
        <v>681</v>
      </c>
      <c r="C1015" s="9" t="s">
        <v>655</v>
      </c>
      <c r="D1015" s="12">
        <v>5.6899999999999999E-2</v>
      </c>
      <c r="E1015" s="12">
        <v>0.1535</v>
      </c>
      <c r="F1015" s="12">
        <v>0.20449999999999999</v>
      </c>
      <c r="G1015" s="12">
        <v>0.1052</v>
      </c>
      <c r="H1015" s="12">
        <v>0.13830000000000001</v>
      </c>
      <c r="I1015" s="12">
        <v>0.13830000000000001</v>
      </c>
      <c r="J1015" s="9" t="s">
        <v>412</v>
      </c>
      <c r="K1015" s="9" t="s">
        <v>654</v>
      </c>
    </row>
    <row r="1016" spans="1:11">
      <c r="A1016" s="9" t="s">
        <v>662</v>
      </c>
      <c r="B1016" s="9" t="s">
        <v>668</v>
      </c>
      <c r="C1016" s="9" t="s">
        <v>655</v>
      </c>
      <c r="D1016" s="12">
        <v>5.6899999999999999E-2</v>
      </c>
      <c r="E1016" s="12">
        <v>5.5599999999999997E-2</v>
      </c>
      <c r="F1016" s="12">
        <v>-0.3019</v>
      </c>
      <c r="G1016" s="12">
        <v>5.6249999999999994E-2</v>
      </c>
      <c r="H1016" s="12">
        <v>-6.3100000000000003E-2</v>
      </c>
      <c r="I1016" s="12">
        <v>0.1381</v>
      </c>
      <c r="J1016" s="9" t="s">
        <v>412</v>
      </c>
      <c r="K1016" s="9" t="s">
        <v>604</v>
      </c>
    </row>
    <row r="1017" spans="1:11" ht="28.8">
      <c r="A1017" s="9" t="s">
        <v>603</v>
      </c>
      <c r="B1017" s="9" t="s">
        <v>602</v>
      </c>
      <c r="C1017" s="9" t="s">
        <v>674</v>
      </c>
      <c r="D1017" s="12">
        <v>-0.1212</v>
      </c>
      <c r="E1017" s="12">
        <v>3.5099999999999999E-2</v>
      </c>
      <c r="F1017" s="12">
        <v>0.2581</v>
      </c>
      <c r="G1017" s="12">
        <v>-4.3050000000000005E-2</v>
      </c>
      <c r="H1017" s="12">
        <v>5.7299999999999997E-2</v>
      </c>
      <c r="I1017" s="12">
        <v>0.1381</v>
      </c>
      <c r="J1017" s="9" t="s">
        <v>412</v>
      </c>
      <c r="K1017" s="9" t="s">
        <v>604</v>
      </c>
    </row>
    <row r="1018" spans="1:11" ht="28.8">
      <c r="A1018" s="9" t="s">
        <v>603</v>
      </c>
      <c r="B1018" s="9" t="s">
        <v>688</v>
      </c>
      <c r="C1018" s="9" t="s">
        <v>670</v>
      </c>
      <c r="D1018" s="12">
        <v>0.28070000000000001</v>
      </c>
      <c r="E1018" s="12">
        <v>-2.2200000000000001E-2</v>
      </c>
      <c r="F1018" s="12">
        <v>-0.1111</v>
      </c>
      <c r="G1018" s="12">
        <v>0.12925</v>
      </c>
      <c r="H1018" s="12">
        <v>4.9099999999999998E-2</v>
      </c>
      <c r="I1018" s="12">
        <v>0.13800000000000001</v>
      </c>
      <c r="J1018" s="9" t="s">
        <v>412</v>
      </c>
      <c r="K1018" s="9" t="s">
        <v>604</v>
      </c>
    </row>
    <row r="1019" spans="1:11" ht="28.8">
      <c r="A1019" s="9" t="s">
        <v>679</v>
      </c>
      <c r="B1019" s="9" t="s">
        <v>686</v>
      </c>
      <c r="C1019" s="9" t="s">
        <v>663</v>
      </c>
      <c r="D1019" s="12">
        <v>0.13450000000000001</v>
      </c>
      <c r="E1019" s="12">
        <v>0.2019</v>
      </c>
      <c r="F1019" s="12">
        <v>7.7299999999999994E-2</v>
      </c>
      <c r="G1019" s="12">
        <v>0.16820000000000002</v>
      </c>
      <c r="H1019" s="12">
        <v>0.13789999999999999</v>
      </c>
      <c r="I1019" s="12">
        <v>0.13789999999999999</v>
      </c>
      <c r="J1019" s="9" t="s">
        <v>412</v>
      </c>
      <c r="K1019" s="9" t="s">
        <v>654</v>
      </c>
    </row>
    <row r="1020" spans="1:11" ht="28.8">
      <c r="A1020" s="9" t="s">
        <v>671</v>
      </c>
      <c r="B1020" s="9" t="s">
        <v>669</v>
      </c>
      <c r="C1020" s="9" t="s">
        <v>667</v>
      </c>
      <c r="D1020" s="12">
        <v>0.14219999999999999</v>
      </c>
      <c r="E1020" s="12">
        <v>0.20669999999999999</v>
      </c>
      <c r="F1020" s="12">
        <v>6.4399999999999999E-2</v>
      </c>
      <c r="G1020" s="12">
        <v>0.17444999999999999</v>
      </c>
      <c r="H1020" s="12">
        <v>0.13780000000000001</v>
      </c>
      <c r="I1020" s="12">
        <v>0.13780000000000001</v>
      </c>
      <c r="J1020" s="9" t="s">
        <v>412</v>
      </c>
      <c r="K1020" s="9" t="s">
        <v>654</v>
      </c>
    </row>
    <row r="1021" spans="1:11" ht="28.8">
      <c r="A1021" s="9" t="s">
        <v>679</v>
      </c>
      <c r="B1021" s="9" t="s">
        <v>672</v>
      </c>
      <c r="C1021" s="9" t="s">
        <v>655</v>
      </c>
      <c r="D1021" s="12">
        <v>9.4500000000000001E-2</v>
      </c>
      <c r="E1021" s="12">
        <v>0.13270000000000001</v>
      </c>
      <c r="F1021" s="12">
        <v>0.1862</v>
      </c>
      <c r="G1021" s="12">
        <v>0.11360000000000001</v>
      </c>
      <c r="H1021" s="12">
        <v>0.13780000000000001</v>
      </c>
      <c r="I1021" s="12">
        <v>0.13780000000000001</v>
      </c>
      <c r="J1021" s="9" t="s">
        <v>412</v>
      </c>
      <c r="K1021" s="9" t="s">
        <v>654</v>
      </c>
    </row>
    <row r="1022" spans="1:11" ht="28.8">
      <c r="A1022" s="9" t="s">
        <v>671</v>
      </c>
      <c r="B1022" s="9" t="s">
        <v>685</v>
      </c>
      <c r="C1022" s="9" t="s">
        <v>675</v>
      </c>
      <c r="D1022" s="12">
        <v>0.10780000000000001</v>
      </c>
      <c r="E1022" s="12">
        <v>0.19439999999999999</v>
      </c>
      <c r="F1022" s="12">
        <v>0.11119999999999999</v>
      </c>
      <c r="G1022" s="12">
        <v>0.15110000000000001</v>
      </c>
      <c r="H1022" s="12">
        <v>0.13780000000000001</v>
      </c>
      <c r="I1022" s="12">
        <v>0.13780000000000001</v>
      </c>
      <c r="J1022" s="9" t="s">
        <v>412</v>
      </c>
      <c r="K1022" s="9" t="s">
        <v>654</v>
      </c>
    </row>
    <row r="1023" spans="1:11" ht="28.8">
      <c r="A1023" s="9" t="s">
        <v>603</v>
      </c>
      <c r="B1023" s="9" t="s">
        <v>685</v>
      </c>
      <c r="C1023" s="9" t="s">
        <v>663</v>
      </c>
      <c r="D1023" s="12">
        <v>-0.2828</v>
      </c>
      <c r="E1023" s="12">
        <v>1.0699999999999999E-2</v>
      </c>
      <c r="F1023" s="12">
        <v>0.1195</v>
      </c>
      <c r="G1023" s="12">
        <v>-0.13605</v>
      </c>
      <c r="H1023" s="12">
        <v>-5.0900000000000001E-2</v>
      </c>
      <c r="I1023" s="12">
        <v>0.13769999999999999</v>
      </c>
      <c r="J1023" s="9" t="s">
        <v>412</v>
      </c>
      <c r="K1023" s="9" t="s">
        <v>604</v>
      </c>
    </row>
    <row r="1024" spans="1:11" ht="28.8">
      <c r="A1024" s="9" t="s">
        <v>603</v>
      </c>
      <c r="B1024" s="9" t="s">
        <v>685</v>
      </c>
      <c r="C1024" s="9" t="s">
        <v>667</v>
      </c>
      <c r="D1024" s="12">
        <v>-6.3299999999999995E-2</v>
      </c>
      <c r="E1024" s="12">
        <v>1.0699999999999999E-2</v>
      </c>
      <c r="F1024" s="12">
        <v>0.33929999999999999</v>
      </c>
      <c r="G1024" s="12">
        <v>-2.6299999999999997E-2</v>
      </c>
      <c r="H1024" s="12">
        <v>9.5600000000000004E-2</v>
      </c>
      <c r="I1024" s="12">
        <v>0.13769999999999999</v>
      </c>
      <c r="J1024" s="9" t="s">
        <v>412</v>
      </c>
      <c r="K1024" s="9" t="s">
        <v>604</v>
      </c>
    </row>
    <row r="1025" spans="1:11">
      <c r="A1025" s="9" t="s">
        <v>610</v>
      </c>
      <c r="B1025" s="9" t="s">
        <v>660</v>
      </c>
      <c r="C1025" s="9" t="s">
        <v>670</v>
      </c>
      <c r="D1025" s="12">
        <v>-0.1699</v>
      </c>
      <c r="E1025" s="12">
        <v>-3.2599999999999997E-2</v>
      </c>
      <c r="F1025" s="12">
        <v>0.2104</v>
      </c>
      <c r="G1025" s="12">
        <v>-0.10124999999999999</v>
      </c>
      <c r="H1025" s="12">
        <v>2.5999999999999999E-3</v>
      </c>
      <c r="I1025" s="12">
        <v>0.1376</v>
      </c>
      <c r="J1025" s="9" t="s">
        <v>412</v>
      </c>
      <c r="K1025" s="9" t="s">
        <v>604</v>
      </c>
    </row>
    <row r="1026" spans="1:11" ht="28.8">
      <c r="A1026" s="9" t="s">
        <v>671</v>
      </c>
      <c r="B1026" s="9" t="s">
        <v>676</v>
      </c>
      <c r="C1026" s="9" t="s">
        <v>666</v>
      </c>
      <c r="D1026" s="12">
        <v>1.34E-2</v>
      </c>
      <c r="E1026" s="12">
        <v>0.2205</v>
      </c>
      <c r="F1026" s="12">
        <v>0.17879999999999999</v>
      </c>
      <c r="G1026" s="12">
        <v>0.11695</v>
      </c>
      <c r="H1026" s="12">
        <v>0.1376</v>
      </c>
      <c r="I1026" s="12">
        <v>0.1376</v>
      </c>
      <c r="J1026" s="9" t="s">
        <v>412</v>
      </c>
      <c r="K1026" s="9" t="s">
        <v>654</v>
      </c>
    </row>
    <row r="1027" spans="1:11" ht="28.8">
      <c r="A1027" s="9" t="s">
        <v>610</v>
      </c>
      <c r="B1027" s="9" t="s">
        <v>684</v>
      </c>
      <c r="C1027" s="9" t="s">
        <v>690</v>
      </c>
      <c r="D1027" s="12">
        <v>-5.8599999999999999E-2</v>
      </c>
      <c r="E1027" s="12">
        <v>0.2329</v>
      </c>
      <c r="F1027" s="12">
        <v>0.12130000000000001</v>
      </c>
      <c r="G1027" s="12">
        <v>8.7150000000000005E-2</v>
      </c>
      <c r="H1027" s="12">
        <v>9.8500000000000004E-2</v>
      </c>
      <c r="I1027" s="12">
        <v>0.1376</v>
      </c>
      <c r="J1027" s="9" t="s">
        <v>412</v>
      </c>
      <c r="K1027" s="9" t="s">
        <v>604</v>
      </c>
    </row>
    <row r="1028" spans="1:11" ht="28.8">
      <c r="A1028" s="9" t="s">
        <v>661</v>
      </c>
      <c r="B1028" s="9" t="s">
        <v>684</v>
      </c>
      <c r="C1028" s="9" t="s">
        <v>675</v>
      </c>
      <c r="D1028" s="12">
        <v>0.14380000000000001</v>
      </c>
      <c r="E1028" s="12">
        <v>0.1986</v>
      </c>
      <c r="F1028" s="12">
        <v>-7.0099999999999996E-2</v>
      </c>
      <c r="G1028" s="12">
        <v>0.17120000000000002</v>
      </c>
      <c r="H1028" s="12">
        <v>9.0800000000000006E-2</v>
      </c>
      <c r="I1028" s="12">
        <v>0.13750000000000001</v>
      </c>
      <c r="J1028" s="9" t="s">
        <v>412</v>
      </c>
      <c r="K1028" s="9" t="s">
        <v>604</v>
      </c>
    </row>
    <row r="1029" spans="1:11" ht="28.8">
      <c r="A1029" s="9" t="s">
        <v>679</v>
      </c>
      <c r="B1029" s="9" t="s">
        <v>681</v>
      </c>
      <c r="C1029" s="9" t="s">
        <v>664</v>
      </c>
      <c r="D1029" s="12">
        <v>0.1353</v>
      </c>
      <c r="E1029" s="12">
        <v>0.1958</v>
      </c>
      <c r="F1029" s="12">
        <v>-8.14E-2</v>
      </c>
      <c r="G1029" s="12">
        <v>0.16555</v>
      </c>
      <c r="H1029" s="12">
        <v>8.3199999999999996E-2</v>
      </c>
      <c r="I1029" s="12">
        <v>0.13750000000000001</v>
      </c>
      <c r="J1029" s="9" t="s">
        <v>412</v>
      </c>
      <c r="K1029" s="9" t="s">
        <v>604</v>
      </c>
    </row>
    <row r="1030" spans="1:11" ht="28.8">
      <c r="A1030" s="9" t="s">
        <v>603</v>
      </c>
      <c r="B1030" s="9" t="s">
        <v>686</v>
      </c>
      <c r="C1030" s="9" t="s">
        <v>666</v>
      </c>
      <c r="D1030" s="12">
        <v>-0.26</v>
      </c>
      <c r="E1030" s="12">
        <v>-0.11899999999999999</v>
      </c>
      <c r="F1030" s="12">
        <v>3.3500000000000002E-2</v>
      </c>
      <c r="G1030" s="12">
        <v>-0.1895</v>
      </c>
      <c r="H1030" s="12">
        <v>-0.1152</v>
      </c>
      <c r="I1030" s="12">
        <v>0.13750000000000001</v>
      </c>
      <c r="J1030" s="9" t="s">
        <v>412</v>
      </c>
      <c r="K1030" s="9" t="s">
        <v>604</v>
      </c>
    </row>
    <row r="1031" spans="1:11" ht="28.8">
      <c r="A1031" s="9" t="s">
        <v>610</v>
      </c>
      <c r="B1031" s="9" t="s">
        <v>602</v>
      </c>
      <c r="C1031" s="9" t="s">
        <v>666</v>
      </c>
      <c r="D1031" s="12">
        <v>9.5000000000000001E-2</v>
      </c>
      <c r="E1031" s="12">
        <v>-0.19400000000000001</v>
      </c>
      <c r="F1031" s="12">
        <v>0.12330000000000001</v>
      </c>
      <c r="G1031" s="12">
        <v>-4.9500000000000002E-2</v>
      </c>
      <c r="H1031" s="12">
        <v>8.0999999999999996E-3</v>
      </c>
      <c r="I1031" s="12">
        <v>0.13739999999999999</v>
      </c>
      <c r="J1031" s="9" t="s">
        <v>412</v>
      </c>
      <c r="K1031" s="9" t="s">
        <v>604</v>
      </c>
    </row>
    <row r="1032" spans="1:11">
      <c r="A1032" s="9" t="s">
        <v>609</v>
      </c>
      <c r="B1032" s="9" t="s">
        <v>676</v>
      </c>
      <c r="C1032" s="9" t="s">
        <v>656</v>
      </c>
      <c r="D1032" s="12">
        <v>0.22770000000000001</v>
      </c>
      <c r="E1032" s="12">
        <v>-3.9E-2</v>
      </c>
      <c r="F1032" s="12">
        <v>0.14560000000000001</v>
      </c>
      <c r="G1032" s="12">
        <v>9.4350000000000003E-2</v>
      </c>
      <c r="H1032" s="12">
        <v>0.1114</v>
      </c>
      <c r="I1032" s="12">
        <v>0.13739999999999999</v>
      </c>
      <c r="J1032" s="9" t="s">
        <v>412</v>
      </c>
      <c r="K1032" s="9" t="s">
        <v>604</v>
      </c>
    </row>
    <row r="1033" spans="1:11">
      <c r="A1033" s="9" t="s">
        <v>662</v>
      </c>
      <c r="B1033" s="9" t="s">
        <v>676</v>
      </c>
      <c r="C1033" s="9" t="s">
        <v>667</v>
      </c>
      <c r="D1033" s="12">
        <v>0.12540000000000001</v>
      </c>
      <c r="E1033" s="12">
        <v>0.17610000000000001</v>
      </c>
      <c r="F1033" s="12">
        <v>0.1105</v>
      </c>
      <c r="G1033" s="12">
        <v>0.15075</v>
      </c>
      <c r="H1033" s="12">
        <v>0.13730000000000001</v>
      </c>
      <c r="I1033" s="12">
        <v>0.13730000000000001</v>
      </c>
      <c r="J1033" s="9" t="s">
        <v>412</v>
      </c>
      <c r="K1033" s="9" t="s">
        <v>654</v>
      </c>
    </row>
    <row r="1034" spans="1:11" ht="28.8">
      <c r="A1034" s="9" t="s">
        <v>661</v>
      </c>
      <c r="B1034" s="9" t="s">
        <v>687</v>
      </c>
      <c r="C1034" s="9" t="s">
        <v>670</v>
      </c>
      <c r="D1034" s="12">
        <v>-0.29680000000000001</v>
      </c>
      <c r="E1034" s="12">
        <v>-8.9700000000000002E-2</v>
      </c>
      <c r="F1034" s="12">
        <v>2.5499999999999998E-2</v>
      </c>
      <c r="G1034" s="12">
        <v>-0.19325000000000001</v>
      </c>
      <c r="H1034" s="12">
        <v>-0.1203</v>
      </c>
      <c r="I1034" s="12">
        <v>0.13730000000000001</v>
      </c>
      <c r="J1034" s="9" t="s">
        <v>412</v>
      </c>
      <c r="K1034" s="9" t="s">
        <v>604</v>
      </c>
    </row>
    <row r="1035" spans="1:11" ht="28.8">
      <c r="A1035" s="9" t="s">
        <v>661</v>
      </c>
      <c r="B1035" s="9" t="s">
        <v>678</v>
      </c>
      <c r="C1035" s="9" t="s">
        <v>674</v>
      </c>
      <c r="D1035" s="12">
        <v>6.8199999999999997E-2</v>
      </c>
      <c r="E1035" s="12">
        <v>-0.15379999999999999</v>
      </c>
      <c r="F1035" s="12">
        <v>-0.18970000000000001</v>
      </c>
      <c r="G1035" s="12">
        <v>-4.2799999999999998E-2</v>
      </c>
      <c r="H1035" s="12">
        <v>-9.1800000000000007E-2</v>
      </c>
      <c r="I1035" s="12">
        <v>0.13730000000000001</v>
      </c>
      <c r="J1035" s="9" t="s">
        <v>412</v>
      </c>
      <c r="K1035" s="9" t="s">
        <v>604</v>
      </c>
    </row>
    <row r="1036" spans="1:11" ht="28.8">
      <c r="A1036" s="9" t="s">
        <v>671</v>
      </c>
      <c r="B1036" s="9" t="s">
        <v>669</v>
      </c>
      <c r="C1036" s="9" t="s">
        <v>664</v>
      </c>
      <c r="D1036" s="12">
        <v>-9.0800000000000006E-2</v>
      </c>
      <c r="E1036" s="12">
        <v>0.20669999999999999</v>
      </c>
      <c r="F1036" s="12">
        <v>-0.1138</v>
      </c>
      <c r="G1036" s="12">
        <v>5.7949999999999995E-2</v>
      </c>
      <c r="H1036" s="12">
        <v>6.9999999999999999E-4</v>
      </c>
      <c r="I1036" s="12">
        <v>0.1371</v>
      </c>
      <c r="J1036" s="9" t="s">
        <v>412</v>
      </c>
      <c r="K1036" s="9" t="s">
        <v>604</v>
      </c>
    </row>
    <row r="1037" spans="1:11" ht="28.8">
      <c r="A1037" s="9" t="s">
        <v>603</v>
      </c>
      <c r="B1037" s="9" t="s">
        <v>680</v>
      </c>
      <c r="C1037" s="9" t="s">
        <v>670</v>
      </c>
      <c r="D1037" s="12">
        <v>0.28070000000000001</v>
      </c>
      <c r="E1037" s="12">
        <v>-4.2000000000000003E-2</v>
      </c>
      <c r="F1037" s="12">
        <v>8.8499999999999995E-2</v>
      </c>
      <c r="G1037" s="12">
        <v>0.11935</v>
      </c>
      <c r="H1037" s="12">
        <v>0.1091</v>
      </c>
      <c r="I1037" s="12">
        <v>0.13700000000000001</v>
      </c>
      <c r="J1037" s="9" t="s">
        <v>412</v>
      </c>
      <c r="K1037" s="9" t="s">
        <v>604</v>
      </c>
    </row>
    <row r="1038" spans="1:11" ht="28.8">
      <c r="A1038" s="9" t="s">
        <v>679</v>
      </c>
      <c r="B1038" s="9" t="s">
        <v>691</v>
      </c>
      <c r="C1038" s="9" t="s">
        <v>683</v>
      </c>
      <c r="D1038" s="12">
        <v>0.16389999999999999</v>
      </c>
      <c r="E1038" s="12">
        <v>-0.1757</v>
      </c>
      <c r="F1038" s="12">
        <v>7.1400000000000005E-2</v>
      </c>
      <c r="G1038" s="12">
        <v>-5.9000000000000025E-3</v>
      </c>
      <c r="H1038" s="12">
        <v>1.9900000000000001E-2</v>
      </c>
      <c r="I1038" s="12">
        <v>0.13700000000000001</v>
      </c>
      <c r="J1038" s="9" t="s">
        <v>412</v>
      </c>
      <c r="K1038" s="9" t="s">
        <v>604</v>
      </c>
    </row>
    <row r="1039" spans="1:11" ht="28.8">
      <c r="A1039" s="9" t="s">
        <v>671</v>
      </c>
      <c r="B1039" s="9" t="s">
        <v>658</v>
      </c>
      <c r="C1039" s="9" t="s">
        <v>674</v>
      </c>
      <c r="D1039" s="12">
        <v>-6.2799999999999995E-2</v>
      </c>
      <c r="E1039" s="12">
        <v>0.18609999999999999</v>
      </c>
      <c r="F1039" s="12">
        <v>0.16159999999999999</v>
      </c>
      <c r="G1039" s="12">
        <v>6.1649999999999996E-2</v>
      </c>
      <c r="H1039" s="12">
        <v>9.5000000000000001E-2</v>
      </c>
      <c r="I1039" s="12">
        <v>0.1368</v>
      </c>
      <c r="J1039" s="9" t="s">
        <v>412</v>
      </c>
      <c r="K1039" s="9" t="s">
        <v>604</v>
      </c>
    </row>
    <row r="1040" spans="1:11" ht="28.8">
      <c r="A1040" s="9" t="s">
        <v>609</v>
      </c>
      <c r="B1040" s="9" t="s">
        <v>602</v>
      </c>
      <c r="C1040" s="9" t="s">
        <v>666</v>
      </c>
      <c r="D1040" s="12">
        <v>-7.7700000000000005E-2</v>
      </c>
      <c r="E1040" s="12">
        <v>-0.2089</v>
      </c>
      <c r="F1040" s="12">
        <v>0.12330000000000001</v>
      </c>
      <c r="G1040" s="12">
        <v>-0.14330000000000001</v>
      </c>
      <c r="H1040" s="12">
        <v>-5.4399999999999997E-2</v>
      </c>
      <c r="I1040" s="12">
        <v>0.13669999999999999</v>
      </c>
      <c r="J1040" s="9" t="s">
        <v>412</v>
      </c>
      <c r="K1040" s="9" t="s">
        <v>604</v>
      </c>
    </row>
    <row r="1041" spans="1:11" ht="28.8">
      <c r="A1041" s="9" t="s">
        <v>679</v>
      </c>
      <c r="B1041" s="9" t="s">
        <v>676</v>
      </c>
      <c r="C1041" s="9" t="s">
        <v>690</v>
      </c>
      <c r="D1041" s="12">
        <v>-6.6900000000000001E-2</v>
      </c>
      <c r="E1041" s="12">
        <v>0.26829999999999998</v>
      </c>
      <c r="F1041" s="12">
        <v>-7.4399999999999994E-2</v>
      </c>
      <c r="G1041" s="12">
        <v>0.10069999999999998</v>
      </c>
      <c r="H1041" s="12">
        <v>4.2299999999999997E-2</v>
      </c>
      <c r="I1041" s="12">
        <v>0.1366</v>
      </c>
      <c r="J1041" s="9" t="s">
        <v>412</v>
      </c>
      <c r="K1041" s="9" t="s">
        <v>604</v>
      </c>
    </row>
    <row r="1042" spans="1:11">
      <c r="A1042" s="9" t="s">
        <v>610</v>
      </c>
      <c r="B1042" s="9" t="s">
        <v>684</v>
      </c>
      <c r="C1042" s="9" t="s">
        <v>659</v>
      </c>
      <c r="D1042" s="12">
        <v>0.1174</v>
      </c>
      <c r="E1042" s="12">
        <v>0.2329</v>
      </c>
      <c r="F1042" s="12">
        <v>-5.9499999999999997E-2</v>
      </c>
      <c r="G1042" s="12">
        <v>0.17515</v>
      </c>
      <c r="H1042" s="12">
        <v>9.7000000000000003E-2</v>
      </c>
      <c r="I1042" s="12">
        <v>0.1366</v>
      </c>
      <c r="J1042" s="9" t="s">
        <v>412</v>
      </c>
      <c r="K1042" s="9" t="s">
        <v>604</v>
      </c>
    </row>
    <row r="1043" spans="1:11" ht="28.8">
      <c r="A1043" s="9" t="s">
        <v>603</v>
      </c>
      <c r="B1043" s="9" t="s">
        <v>678</v>
      </c>
      <c r="C1043" s="9" t="s">
        <v>675</v>
      </c>
      <c r="D1043" s="12">
        <v>-0.18360000000000001</v>
      </c>
      <c r="E1043" s="12">
        <v>0.17549999999999999</v>
      </c>
      <c r="F1043" s="12">
        <v>-5.0299999999999997E-2</v>
      </c>
      <c r="G1043" s="12">
        <v>-4.0500000000000119E-3</v>
      </c>
      <c r="H1043" s="12">
        <v>-1.95E-2</v>
      </c>
      <c r="I1043" s="12">
        <v>0.13650000000000001</v>
      </c>
      <c r="J1043" s="9" t="s">
        <v>412</v>
      </c>
      <c r="K1043" s="9" t="s">
        <v>604</v>
      </c>
    </row>
    <row r="1044" spans="1:11" ht="28.8">
      <c r="A1044" s="9" t="s">
        <v>671</v>
      </c>
      <c r="B1044" s="9" t="s">
        <v>685</v>
      </c>
      <c r="C1044" s="9" t="s">
        <v>683</v>
      </c>
      <c r="D1044" s="12">
        <v>0.1066</v>
      </c>
      <c r="E1044" s="12">
        <v>0.19439999999999999</v>
      </c>
      <c r="F1044" s="12">
        <v>0.108</v>
      </c>
      <c r="G1044" s="12">
        <v>0.15049999999999999</v>
      </c>
      <c r="H1044" s="12">
        <v>0.1363</v>
      </c>
      <c r="I1044" s="12">
        <v>0.1363</v>
      </c>
      <c r="J1044" s="9" t="s">
        <v>412</v>
      </c>
      <c r="K1044" s="9" t="s">
        <v>654</v>
      </c>
    </row>
    <row r="1045" spans="1:11" ht="28.8">
      <c r="A1045" s="9" t="s">
        <v>661</v>
      </c>
      <c r="B1045" s="9" t="s">
        <v>657</v>
      </c>
      <c r="C1045" s="9" t="s">
        <v>674</v>
      </c>
      <c r="D1045" s="12">
        <v>6.8199999999999997E-2</v>
      </c>
      <c r="E1045" s="12">
        <v>-0.2077</v>
      </c>
      <c r="F1045" s="12">
        <v>-0.1331</v>
      </c>
      <c r="G1045" s="12">
        <v>-6.9750000000000006E-2</v>
      </c>
      <c r="H1045" s="12">
        <v>-9.0899999999999995E-2</v>
      </c>
      <c r="I1045" s="12">
        <v>0.1363</v>
      </c>
      <c r="J1045" s="9" t="s">
        <v>412</v>
      </c>
      <c r="K1045" s="9" t="s">
        <v>604</v>
      </c>
    </row>
    <row r="1046" spans="1:11" ht="28.8">
      <c r="A1046" s="9" t="s">
        <v>662</v>
      </c>
      <c r="B1046" s="9" t="s">
        <v>688</v>
      </c>
      <c r="C1046" s="9" t="s">
        <v>664</v>
      </c>
      <c r="D1046" s="12">
        <v>-2.87E-2</v>
      </c>
      <c r="E1046" s="12">
        <v>0.1293</v>
      </c>
      <c r="F1046" s="12">
        <v>0.251</v>
      </c>
      <c r="G1046" s="12">
        <v>5.0299999999999997E-2</v>
      </c>
      <c r="H1046" s="12">
        <v>0.1172</v>
      </c>
      <c r="I1046" s="12">
        <v>0.1363</v>
      </c>
      <c r="J1046" s="9" t="s">
        <v>412</v>
      </c>
      <c r="K1046" s="9" t="s">
        <v>604</v>
      </c>
    </row>
    <row r="1047" spans="1:11" ht="28.8">
      <c r="A1047" s="9" t="s">
        <v>679</v>
      </c>
      <c r="B1047" s="9" t="s">
        <v>686</v>
      </c>
      <c r="C1047" s="9" t="s">
        <v>667</v>
      </c>
      <c r="D1047" s="12">
        <v>-0.12280000000000001</v>
      </c>
      <c r="E1047" s="12">
        <v>0.2019</v>
      </c>
      <c r="F1047" s="12">
        <v>8.4000000000000005E-2</v>
      </c>
      <c r="G1047" s="12">
        <v>3.9549999999999995E-2</v>
      </c>
      <c r="H1047" s="12">
        <v>5.4399999999999997E-2</v>
      </c>
      <c r="I1047" s="12">
        <v>0.1363</v>
      </c>
      <c r="J1047" s="9" t="s">
        <v>412</v>
      </c>
      <c r="K1047" s="9" t="s">
        <v>604</v>
      </c>
    </row>
    <row r="1048" spans="1:11">
      <c r="A1048" s="9" t="s">
        <v>662</v>
      </c>
      <c r="B1048" s="9" t="s">
        <v>676</v>
      </c>
      <c r="C1048" s="9" t="s">
        <v>655</v>
      </c>
      <c r="D1048" s="12">
        <v>5.6899999999999999E-2</v>
      </c>
      <c r="E1048" s="12">
        <v>0.17610000000000001</v>
      </c>
      <c r="F1048" s="12">
        <v>0.17549999999999999</v>
      </c>
      <c r="G1048" s="12">
        <v>0.11650000000000001</v>
      </c>
      <c r="H1048" s="12">
        <v>0.13619999999999999</v>
      </c>
      <c r="I1048" s="12">
        <v>0.13619999999999999</v>
      </c>
      <c r="J1048" s="9" t="s">
        <v>412</v>
      </c>
      <c r="K1048" s="9" t="s">
        <v>654</v>
      </c>
    </row>
    <row r="1049" spans="1:11" ht="28.8">
      <c r="A1049" s="9" t="s">
        <v>609</v>
      </c>
      <c r="B1049" s="9" t="s">
        <v>602</v>
      </c>
      <c r="C1049" s="9" t="s">
        <v>675</v>
      </c>
      <c r="D1049" s="12">
        <v>9.6600000000000005E-2</v>
      </c>
      <c r="E1049" s="12">
        <v>-0.2089</v>
      </c>
      <c r="F1049" s="12">
        <v>0.1032</v>
      </c>
      <c r="G1049" s="12">
        <v>-5.6149999999999999E-2</v>
      </c>
      <c r="H1049" s="12">
        <v>-3.0000000000000001E-3</v>
      </c>
      <c r="I1049" s="12">
        <v>0.13619999999999999</v>
      </c>
      <c r="J1049" s="9" t="s">
        <v>412</v>
      </c>
      <c r="K1049" s="9" t="s">
        <v>604</v>
      </c>
    </row>
    <row r="1050" spans="1:11" ht="28.8">
      <c r="A1050" s="9" t="s">
        <v>682</v>
      </c>
      <c r="B1050" s="9" t="s">
        <v>681</v>
      </c>
      <c r="C1050" s="9" t="s">
        <v>675</v>
      </c>
      <c r="D1050" s="12">
        <v>0.06</v>
      </c>
      <c r="E1050" s="12">
        <v>0.15890000000000001</v>
      </c>
      <c r="F1050" s="12">
        <v>0.1895</v>
      </c>
      <c r="G1050" s="12">
        <v>0.10945000000000001</v>
      </c>
      <c r="H1050" s="12">
        <v>0.1361</v>
      </c>
      <c r="I1050" s="12">
        <v>0.1361</v>
      </c>
      <c r="J1050" s="9" t="s">
        <v>412</v>
      </c>
      <c r="K1050" s="9" t="s">
        <v>654</v>
      </c>
    </row>
    <row r="1051" spans="1:11" ht="28.8">
      <c r="A1051" s="9" t="s">
        <v>671</v>
      </c>
      <c r="B1051" s="9" t="s">
        <v>685</v>
      </c>
      <c r="C1051" s="9" t="s">
        <v>663</v>
      </c>
      <c r="D1051" s="12">
        <v>9.4399999999999998E-2</v>
      </c>
      <c r="E1051" s="12">
        <v>0.19439999999999999</v>
      </c>
      <c r="F1051" s="12">
        <v>0.1195</v>
      </c>
      <c r="G1051" s="12">
        <v>0.1444</v>
      </c>
      <c r="H1051" s="12">
        <v>0.1361</v>
      </c>
      <c r="I1051" s="12">
        <v>0.1361</v>
      </c>
      <c r="J1051" s="9" t="s">
        <v>412</v>
      </c>
      <c r="K1051" s="9" t="s">
        <v>654</v>
      </c>
    </row>
    <row r="1052" spans="1:11" ht="28.8">
      <c r="A1052" s="9" t="s">
        <v>661</v>
      </c>
      <c r="B1052" s="9" t="s">
        <v>691</v>
      </c>
      <c r="C1052" s="9" t="s">
        <v>656</v>
      </c>
      <c r="D1052" s="12">
        <v>0.32640000000000002</v>
      </c>
      <c r="E1052" s="12">
        <v>4.9000000000000002E-2</v>
      </c>
      <c r="F1052" s="12">
        <v>-3.2500000000000001E-2</v>
      </c>
      <c r="G1052" s="12">
        <v>0.18770000000000001</v>
      </c>
      <c r="H1052" s="12">
        <v>0.1143</v>
      </c>
      <c r="I1052" s="12">
        <v>0.13600000000000001</v>
      </c>
      <c r="J1052" s="9" t="s">
        <v>412</v>
      </c>
      <c r="K1052" s="9" t="s">
        <v>604</v>
      </c>
    </row>
    <row r="1053" spans="1:11">
      <c r="A1053" s="9" t="s">
        <v>609</v>
      </c>
      <c r="B1053" s="9" t="s">
        <v>673</v>
      </c>
      <c r="C1053" s="9" t="s">
        <v>663</v>
      </c>
      <c r="D1053" s="12">
        <v>-0.12770000000000001</v>
      </c>
      <c r="E1053" s="12">
        <v>-7.1300000000000002E-2</v>
      </c>
      <c r="F1053" s="12">
        <v>-0.20910000000000001</v>
      </c>
      <c r="G1053" s="12">
        <v>-9.9500000000000005E-2</v>
      </c>
      <c r="H1053" s="12">
        <v>-0.13600000000000001</v>
      </c>
      <c r="I1053" s="12">
        <v>0.13600000000000001</v>
      </c>
      <c r="J1053" s="9" t="s">
        <v>412</v>
      </c>
      <c r="K1053" s="9" t="s">
        <v>604</v>
      </c>
    </row>
    <row r="1054" spans="1:11">
      <c r="A1054" s="9" t="s">
        <v>610</v>
      </c>
      <c r="B1054" s="9" t="s">
        <v>684</v>
      </c>
      <c r="C1054" s="9" t="s">
        <v>655</v>
      </c>
      <c r="D1054" s="12">
        <v>-9.4E-2</v>
      </c>
      <c r="E1054" s="12">
        <v>0.2329</v>
      </c>
      <c r="F1054" s="12">
        <v>8.1100000000000005E-2</v>
      </c>
      <c r="G1054" s="12">
        <v>6.9449999999999998E-2</v>
      </c>
      <c r="H1054" s="12">
        <v>7.3300000000000004E-2</v>
      </c>
      <c r="I1054" s="12">
        <v>0.13600000000000001</v>
      </c>
      <c r="J1054" s="9" t="s">
        <v>412</v>
      </c>
      <c r="K1054" s="9" t="s">
        <v>604</v>
      </c>
    </row>
    <row r="1055" spans="1:11" ht="28.8">
      <c r="A1055" s="9" t="s">
        <v>671</v>
      </c>
      <c r="B1055" s="9" t="s">
        <v>658</v>
      </c>
      <c r="C1055" s="9" t="s">
        <v>667</v>
      </c>
      <c r="D1055" s="12">
        <v>0.14219999999999999</v>
      </c>
      <c r="E1055" s="12">
        <v>0.18609999999999999</v>
      </c>
      <c r="F1055" s="12">
        <v>7.9000000000000001E-2</v>
      </c>
      <c r="G1055" s="12">
        <v>0.16414999999999999</v>
      </c>
      <c r="H1055" s="12">
        <v>0.1358</v>
      </c>
      <c r="I1055" s="12">
        <v>0.1358</v>
      </c>
      <c r="J1055" s="9" t="s">
        <v>412</v>
      </c>
      <c r="K1055" s="9" t="s">
        <v>654</v>
      </c>
    </row>
    <row r="1056" spans="1:11">
      <c r="A1056" s="9" t="s">
        <v>610</v>
      </c>
      <c r="B1056" s="9" t="s">
        <v>602</v>
      </c>
      <c r="C1056" s="9" t="s">
        <v>670</v>
      </c>
      <c r="D1056" s="12">
        <v>-0.1699</v>
      </c>
      <c r="E1056" s="12">
        <v>-0.19400000000000001</v>
      </c>
      <c r="F1056" s="12">
        <v>-4.3400000000000001E-2</v>
      </c>
      <c r="G1056" s="12">
        <v>-0.18195</v>
      </c>
      <c r="H1056" s="12">
        <v>-0.1358</v>
      </c>
      <c r="I1056" s="12">
        <v>0.1358</v>
      </c>
      <c r="J1056" s="9" t="s">
        <v>412</v>
      </c>
      <c r="K1056" s="9" t="s">
        <v>604</v>
      </c>
    </row>
    <row r="1057" spans="1:11" ht="28.8">
      <c r="A1057" s="9" t="s">
        <v>671</v>
      </c>
      <c r="B1057" s="9" t="s">
        <v>602</v>
      </c>
      <c r="C1057" s="9" t="s">
        <v>674</v>
      </c>
      <c r="D1057" s="12">
        <v>-6.2799999999999995E-2</v>
      </c>
      <c r="E1057" s="12">
        <v>-8.6199999999999999E-2</v>
      </c>
      <c r="F1057" s="12">
        <v>0.2581</v>
      </c>
      <c r="G1057" s="12">
        <v>-7.4499999999999997E-2</v>
      </c>
      <c r="H1057" s="12">
        <v>3.6400000000000002E-2</v>
      </c>
      <c r="I1057" s="12">
        <v>0.13569999999999999</v>
      </c>
      <c r="J1057" s="9" t="s">
        <v>412</v>
      </c>
      <c r="K1057" s="9" t="s">
        <v>604</v>
      </c>
    </row>
    <row r="1058" spans="1:11" ht="28.8">
      <c r="A1058" s="9" t="s">
        <v>682</v>
      </c>
      <c r="B1058" s="9" t="s">
        <v>678</v>
      </c>
      <c r="C1058" s="9" t="s">
        <v>601</v>
      </c>
      <c r="D1058" s="12">
        <v>-3.2099999999999997E-2</v>
      </c>
      <c r="E1058" s="12">
        <v>-0.16669999999999999</v>
      </c>
      <c r="F1058" s="12">
        <v>0.2079</v>
      </c>
      <c r="G1058" s="12">
        <v>-9.9399999999999988E-2</v>
      </c>
      <c r="H1058" s="12">
        <v>3.0000000000000001E-3</v>
      </c>
      <c r="I1058" s="12">
        <v>0.1356</v>
      </c>
      <c r="J1058" s="9" t="s">
        <v>412</v>
      </c>
      <c r="K1058" s="9" t="s">
        <v>604</v>
      </c>
    </row>
    <row r="1059" spans="1:11" ht="28.8">
      <c r="A1059" s="9" t="s">
        <v>679</v>
      </c>
      <c r="B1059" s="9" t="s">
        <v>660</v>
      </c>
      <c r="C1059" s="9" t="s">
        <v>656</v>
      </c>
      <c r="D1059" s="12">
        <v>-2.2700000000000001E-2</v>
      </c>
      <c r="E1059" s="12">
        <v>-2.46E-2</v>
      </c>
      <c r="F1059" s="12">
        <v>-0.35949999999999999</v>
      </c>
      <c r="G1059" s="12">
        <v>-2.3650000000000001E-2</v>
      </c>
      <c r="H1059" s="12">
        <v>-0.1356</v>
      </c>
      <c r="I1059" s="12">
        <v>0.1356</v>
      </c>
      <c r="J1059" s="9" t="s">
        <v>412</v>
      </c>
      <c r="K1059" s="9" t="s">
        <v>604</v>
      </c>
    </row>
    <row r="1060" spans="1:11" ht="28.8">
      <c r="A1060" s="9" t="s">
        <v>609</v>
      </c>
      <c r="B1060" s="9" t="s">
        <v>680</v>
      </c>
      <c r="C1060" s="9" t="s">
        <v>675</v>
      </c>
      <c r="D1060" s="12">
        <v>9.6600000000000005E-2</v>
      </c>
      <c r="E1060" s="12">
        <v>-0.1628</v>
      </c>
      <c r="F1060" s="12">
        <v>0.14710000000000001</v>
      </c>
      <c r="G1060" s="12">
        <v>-3.3099999999999997E-2</v>
      </c>
      <c r="H1060" s="12">
        <v>2.7E-2</v>
      </c>
      <c r="I1060" s="12">
        <v>0.13550000000000001</v>
      </c>
      <c r="J1060" s="9" t="s">
        <v>412</v>
      </c>
      <c r="K1060" s="9" t="s">
        <v>604</v>
      </c>
    </row>
    <row r="1061" spans="1:11">
      <c r="A1061" s="9" t="s">
        <v>609</v>
      </c>
      <c r="B1061" s="9" t="s">
        <v>687</v>
      </c>
      <c r="C1061" s="9" t="s">
        <v>656</v>
      </c>
      <c r="D1061" s="12">
        <v>0.22770000000000001</v>
      </c>
      <c r="E1061" s="12">
        <v>-4.5400000000000003E-2</v>
      </c>
      <c r="F1061" s="12">
        <v>-0.13239999999999999</v>
      </c>
      <c r="G1061" s="12">
        <v>9.1150000000000009E-2</v>
      </c>
      <c r="H1061" s="12">
        <v>1.66E-2</v>
      </c>
      <c r="I1061" s="12">
        <v>0.13519999999999999</v>
      </c>
      <c r="J1061" s="9" t="s">
        <v>412</v>
      </c>
      <c r="K1061" s="9" t="s">
        <v>604</v>
      </c>
    </row>
    <row r="1062" spans="1:11" ht="28.8">
      <c r="A1062" s="9" t="s">
        <v>661</v>
      </c>
      <c r="B1062" s="9" t="s">
        <v>658</v>
      </c>
      <c r="C1062" s="9" t="s">
        <v>664</v>
      </c>
      <c r="D1062" s="12">
        <v>-2.4199999999999999E-2</v>
      </c>
      <c r="E1062" s="12">
        <v>9.5200000000000007E-2</v>
      </c>
      <c r="F1062" s="12">
        <v>-0.28549999999999998</v>
      </c>
      <c r="G1062" s="12">
        <v>3.5500000000000004E-2</v>
      </c>
      <c r="H1062" s="12">
        <v>-7.1499999999999994E-2</v>
      </c>
      <c r="I1062" s="12">
        <v>0.13500000000000001</v>
      </c>
      <c r="J1062" s="9" t="s">
        <v>412</v>
      </c>
      <c r="K1062" s="9" t="s">
        <v>604</v>
      </c>
    </row>
    <row r="1063" spans="1:11">
      <c r="A1063" s="9" t="s">
        <v>662</v>
      </c>
      <c r="B1063" s="9" t="s">
        <v>668</v>
      </c>
      <c r="C1063" s="9" t="s">
        <v>670</v>
      </c>
      <c r="D1063" s="12">
        <v>-0.18790000000000001</v>
      </c>
      <c r="E1063" s="12">
        <v>5.5599999999999997E-2</v>
      </c>
      <c r="F1063" s="12">
        <v>0.16139999999999999</v>
      </c>
      <c r="G1063" s="12">
        <v>-6.6150000000000014E-2</v>
      </c>
      <c r="H1063" s="12">
        <v>9.7000000000000003E-3</v>
      </c>
      <c r="I1063" s="12">
        <v>0.13500000000000001</v>
      </c>
      <c r="J1063" s="9" t="s">
        <v>412</v>
      </c>
      <c r="K1063" s="9" t="s">
        <v>604</v>
      </c>
    </row>
    <row r="1064" spans="1:11" ht="28.8">
      <c r="A1064" s="9" t="s">
        <v>679</v>
      </c>
      <c r="B1064" s="9" t="s">
        <v>686</v>
      </c>
      <c r="C1064" s="9" t="s">
        <v>655</v>
      </c>
      <c r="D1064" s="12">
        <v>9.4500000000000001E-2</v>
      </c>
      <c r="E1064" s="12">
        <v>0.2019</v>
      </c>
      <c r="F1064" s="12">
        <v>0.1085</v>
      </c>
      <c r="G1064" s="12">
        <v>0.1482</v>
      </c>
      <c r="H1064" s="12">
        <v>0.13500000000000001</v>
      </c>
      <c r="I1064" s="12">
        <v>0.13500000000000001</v>
      </c>
      <c r="J1064" s="9" t="s">
        <v>412</v>
      </c>
      <c r="K1064" s="9" t="s">
        <v>654</v>
      </c>
    </row>
    <row r="1065" spans="1:11" ht="28.8">
      <c r="A1065" s="9" t="s">
        <v>661</v>
      </c>
      <c r="B1065" s="9" t="s">
        <v>681</v>
      </c>
      <c r="C1065" s="9" t="s">
        <v>655</v>
      </c>
      <c r="D1065" s="12">
        <v>0.17599999999999999</v>
      </c>
      <c r="E1065" s="12">
        <v>2.3900000000000001E-2</v>
      </c>
      <c r="F1065" s="12">
        <v>0.20449999999999999</v>
      </c>
      <c r="G1065" s="12">
        <v>9.9949999999999997E-2</v>
      </c>
      <c r="H1065" s="12">
        <v>0.1348</v>
      </c>
      <c r="I1065" s="12">
        <v>0.1348</v>
      </c>
      <c r="J1065" s="9" t="s">
        <v>412</v>
      </c>
      <c r="K1065" s="9" t="s">
        <v>654</v>
      </c>
    </row>
    <row r="1066" spans="1:11">
      <c r="A1066" s="9" t="s">
        <v>662</v>
      </c>
      <c r="B1066" s="9" t="s">
        <v>613</v>
      </c>
      <c r="C1066" s="9" t="s">
        <v>655</v>
      </c>
      <c r="D1066" s="12">
        <v>5.6899999999999999E-2</v>
      </c>
      <c r="E1066" s="12">
        <v>6.2399999999999997E-2</v>
      </c>
      <c r="F1066" s="12">
        <v>0.28510000000000002</v>
      </c>
      <c r="G1066" s="12">
        <v>5.9649999999999995E-2</v>
      </c>
      <c r="H1066" s="12">
        <v>0.1348</v>
      </c>
      <c r="I1066" s="12">
        <v>0.1348</v>
      </c>
      <c r="J1066" s="9" t="s">
        <v>412</v>
      </c>
      <c r="K1066" s="9" t="s">
        <v>654</v>
      </c>
    </row>
    <row r="1067" spans="1:11" ht="28.8">
      <c r="A1067" s="9" t="s">
        <v>679</v>
      </c>
      <c r="B1067" s="9" t="s">
        <v>688</v>
      </c>
      <c r="C1067" s="9" t="s">
        <v>677</v>
      </c>
      <c r="D1067" s="12">
        <v>0.13189999999999999</v>
      </c>
      <c r="E1067" s="12">
        <v>0.14299999999999999</v>
      </c>
      <c r="F1067" s="12">
        <v>0.1288</v>
      </c>
      <c r="G1067" s="12">
        <v>0.13744999999999999</v>
      </c>
      <c r="H1067" s="12">
        <v>0.1346</v>
      </c>
      <c r="I1067" s="12">
        <v>0.1346</v>
      </c>
      <c r="J1067" s="9" t="s">
        <v>412</v>
      </c>
      <c r="K1067" s="9" t="s">
        <v>654</v>
      </c>
    </row>
    <row r="1068" spans="1:11" ht="28.8">
      <c r="A1068" s="9" t="s">
        <v>679</v>
      </c>
      <c r="B1068" s="9" t="s">
        <v>676</v>
      </c>
      <c r="C1068" s="9" t="s">
        <v>664</v>
      </c>
      <c r="D1068" s="12">
        <v>0.1353</v>
      </c>
      <c r="E1068" s="12">
        <v>0.26829999999999998</v>
      </c>
      <c r="F1068" s="12">
        <v>-2.9999999999999997E-4</v>
      </c>
      <c r="G1068" s="12">
        <v>0.20179999999999998</v>
      </c>
      <c r="H1068" s="12">
        <v>0.13450000000000001</v>
      </c>
      <c r="I1068" s="12">
        <v>0.1346</v>
      </c>
      <c r="J1068" s="9" t="s">
        <v>412</v>
      </c>
      <c r="K1068" s="9" t="s">
        <v>604</v>
      </c>
    </row>
    <row r="1069" spans="1:11" ht="28.8">
      <c r="A1069" s="9" t="s">
        <v>603</v>
      </c>
      <c r="B1069" s="9" t="s">
        <v>684</v>
      </c>
      <c r="C1069" s="9" t="s">
        <v>670</v>
      </c>
      <c r="D1069" s="12">
        <v>0.28070000000000001</v>
      </c>
      <c r="E1069" s="12">
        <v>-0.10829999999999999</v>
      </c>
      <c r="F1069" s="12">
        <v>-1.49E-2</v>
      </c>
      <c r="G1069" s="12">
        <v>8.6199999999999999E-2</v>
      </c>
      <c r="H1069" s="12">
        <v>5.2499999999999998E-2</v>
      </c>
      <c r="I1069" s="12">
        <v>0.1346</v>
      </c>
      <c r="J1069" s="9" t="s">
        <v>412</v>
      </c>
      <c r="K1069" s="9" t="s">
        <v>604</v>
      </c>
    </row>
    <row r="1070" spans="1:11" ht="28.8">
      <c r="A1070" s="9" t="s">
        <v>679</v>
      </c>
      <c r="B1070" s="9" t="s">
        <v>672</v>
      </c>
      <c r="C1070" s="9" t="s">
        <v>601</v>
      </c>
      <c r="D1070" s="12">
        <v>-8.3900000000000002E-2</v>
      </c>
      <c r="E1070" s="12">
        <v>0.13270000000000001</v>
      </c>
      <c r="F1070" s="12">
        <v>-0.187</v>
      </c>
      <c r="G1070" s="12">
        <v>2.4400000000000005E-2</v>
      </c>
      <c r="H1070" s="12">
        <v>-4.5999999999999999E-2</v>
      </c>
      <c r="I1070" s="12">
        <v>0.13450000000000001</v>
      </c>
      <c r="J1070" s="9" t="s">
        <v>412</v>
      </c>
      <c r="K1070" s="9" t="s">
        <v>604</v>
      </c>
    </row>
    <row r="1071" spans="1:11" ht="28.8">
      <c r="A1071" s="9" t="s">
        <v>610</v>
      </c>
      <c r="B1071" s="9" t="s">
        <v>669</v>
      </c>
      <c r="C1071" s="9" t="s">
        <v>690</v>
      </c>
      <c r="D1071" s="12">
        <v>-5.8599999999999999E-2</v>
      </c>
      <c r="E1071" s="12">
        <v>-0.2331</v>
      </c>
      <c r="F1071" s="12">
        <v>-0.11119999999999999</v>
      </c>
      <c r="G1071" s="12">
        <v>-0.14585000000000001</v>
      </c>
      <c r="H1071" s="12">
        <v>-0.1343</v>
      </c>
      <c r="I1071" s="12">
        <v>0.1343</v>
      </c>
      <c r="J1071" s="9" t="s">
        <v>412</v>
      </c>
      <c r="K1071" s="9" t="s">
        <v>604</v>
      </c>
    </row>
    <row r="1072" spans="1:11">
      <c r="A1072" s="9" t="s">
        <v>609</v>
      </c>
      <c r="B1072" s="9" t="s">
        <v>672</v>
      </c>
      <c r="C1072" s="9" t="s">
        <v>656</v>
      </c>
      <c r="D1072" s="12">
        <v>0.22770000000000001</v>
      </c>
      <c r="E1072" s="12">
        <v>-0.1148</v>
      </c>
      <c r="F1072" s="12">
        <v>6.0400000000000002E-2</v>
      </c>
      <c r="G1072" s="12">
        <v>5.6450000000000007E-2</v>
      </c>
      <c r="H1072" s="12">
        <v>5.7799999999999997E-2</v>
      </c>
      <c r="I1072" s="12">
        <v>0.1343</v>
      </c>
      <c r="J1072" s="9" t="s">
        <v>412</v>
      </c>
      <c r="K1072" s="9" t="s">
        <v>604</v>
      </c>
    </row>
    <row r="1073" spans="1:11" ht="28.8">
      <c r="A1073" s="9" t="s">
        <v>679</v>
      </c>
      <c r="B1073" s="9" t="s">
        <v>602</v>
      </c>
      <c r="C1073" s="9" t="s">
        <v>656</v>
      </c>
      <c r="D1073" s="12">
        <v>-2.2700000000000001E-2</v>
      </c>
      <c r="E1073" s="12">
        <v>-2.3400000000000001E-2</v>
      </c>
      <c r="F1073" s="12">
        <v>0.35680000000000001</v>
      </c>
      <c r="G1073" s="12">
        <v>-2.3050000000000001E-2</v>
      </c>
      <c r="H1073" s="12">
        <v>0.1036</v>
      </c>
      <c r="I1073" s="12">
        <v>0.1343</v>
      </c>
      <c r="J1073" s="9" t="s">
        <v>412</v>
      </c>
      <c r="K1073" s="9" t="s">
        <v>604</v>
      </c>
    </row>
    <row r="1074" spans="1:11" ht="28.8">
      <c r="A1074" s="9" t="s">
        <v>662</v>
      </c>
      <c r="B1074" s="9" t="s">
        <v>687</v>
      </c>
      <c r="C1074" s="9" t="s">
        <v>675</v>
      </c>
      <c r="D1074" s="12">
        <v>0.14630000000000001</v>
      </c>
      <c r="E1074" s="12">
        <v>-5.4199999999999998E-2</v>
      </c>
      <c r="F1074" s="12">
        <v>0.20180000000000001</v>
      </c>
      <c r="G1074" s="12">
        <v>4.6050000000000008E-2</v>
      </c>
      <c r="H1074" s="12">
        <v>9.8000000000000004E-2</v>
      </c>
      <c r="I1074" s="12">
        <v>0.1341</v>
      </c>
      <c r="J1074" s="9" t="s">
        <v>412</v>
      </c>
      <c r="K1074" s="9" t="s">
        <v>604</v>
      </c>
    </row>
    <row r="1075" spans="1:11" ht="28.8">
      <c r="A1075" s="9" t="s">
        <v>679</v>
      </c>
      <c r="B1075" s="9" t="s">
        <v>672</v>
      </c>
      <c r="C1075" s="9" t="s">
        <v>667</v>
      </c>
      <c r="D1075" s="12">
        <v>-0.12280000000000001</v>
      </c>
      <c r="E1075" s="12">
        <v>0.13270000000000001</v>
      </c>
      <c r="F1075" s="12">
        <v>0.1469</v>
      </c>
      <c r="G1075" s="12">
        <v>4.950000000000003E-3</v>
      </c>
      <c r="H1075" s="12">
        <v>5.2200000000000003E-2</v>
      </c>
      <c r="I1075" s="12">
        <v>0.1341</v>
      </c>
      <c r="J1075" s="9" t="s">
        <v>412</v>
      </c>
      <c r="K1075" s="9" t="s">
        <v>604</v>
      </c>
    </row>
    <row r="1076" spans="1:11">
      <c r="A1076" s="9" t="s">
        <v>662</v>
      </c>
      <c r="B1076" s="9" t="s">
        <v>665</v>
      </c>
      <c r="C1076" s="9" t="s">
        <v>659</v>
      </c>
      <c r="D1076" s="12">
        <v>-8.3599999999999994E-2</v>
      </c>
      <c r="E1076" s="12">
        <v>-0.1681</v>
      </c>
      <c r="F1076" s="12">
        <v>0.1502</v>
      </c>
      <c r="G1076" s="12">
        <v>-0.12584999999999999</v>
      </c>
      <c r="H1076" s="12">
        <v>-3.3799999999999997E-2</v>
      </c>
      <c r="I1076" s="12">
        <v>0.13400000000000001</v>
      </c>
      <c r="J1076" s="9" t="s">
        <v>412</v>
      </c>
      <c r="K1076" s="9" t="s">
        <v>604</v>
      </c>
    </row>
    <row r="1077" spans="1:11">
      <c r="A1077" s="9" t="s">
        <v>610</v>
      </c>
      <c r="B1077" s="9" t="s">
        <v>673</v>
      </c>
      <c r="C1077" s="9" t="s">
        <v>670</v>
      </c>
      <c r="D1077" s="12">
        <v>-0.1699</v>
      </c>
      <c r="E1077" s="12">
        <v>-8.14E-2</v>
      </c>
      <c r="F1077" s="12">
        <v>0.15040000000000001</v>
      </c>
      <c r="G1077" s="12">
        <v>-0.12564999999999998</v>
      </c>
      <c r="H1077" s="12">
        <v>-3.3599999999999998E-2</v>
      </c>
      <c r="I1077" s="12">
        <v>0.13389999999999999</v>
      </c>
      <c r="J1077" s="9" t="s">
        <v>412</v>
      </c>
      <c r="K1077" s="9" t="s">
        <v>604</v>
      </c>
    </row>
    <row r="1078" spans="1:11" ht="28.8">
      <c r="A1078" s="9" t="s">
        <v>610</v>
      </c>
      <c r="B1078" s="9" t="s">
        <v>691</v>
      </c>
      <c r="C1078" s="9" t="s">
        <v>601</v>
      </c>
      <c r="D1078" s="12">
        <v>8.48E-2</v>
      </c>
      <c r="E1078" s="12">
        <v>0.29249999999999998</v>
      </c>
      <c r="F1078" s="12">
        <v>2.4299999999999999E-2</v>
      </c>
      <c r="G1078" s="12">
        <v>0.18864999999999998</v>
      </c>
      <c r="H1078" s="12">
        <v>0.13389999999999999</v>
      </c>
      <c r="I1078" s="12">
        <v>0.13389999999999999</v>
      </c>
      <c r="J1078" s="9" t="s">
        <v>412</v>
      </c>
      <c r="K1078" s="9" t="s">
        <v>654</v>
      </c>
    </row>
    <row r="1079" spans="1:11" ht="28.8">
      <c r="A1079" s="9" t="s">
        <v>671</v>
      </c>
      <c r="B1079" s="9" t="s">
        <v>660</v>
      </c>
      <c r="C1079" s="9" t="s">
        <v>674</v>
      </c>
      <c r="D1079" s="12">
        <v>-6.2799999999999995E-2</v>
      </c>
      <c r="E1079" s="12">
        <v>-0.1037</v>
      </c>
      <c r="F1079" s="12">
        <v>-0.2349</v>
      </c>
      <c r="G1079" s="12">
        <v>-8.3249999999999991E-2</v>
      </c>
      <c r="H1079" s="12">
        <v>-0.1338</v>
      </c>
      <c r="I1079" s="12">
        <v>0.1338</v>
      </c>
      <c r="J1079" s="9" t="s">
        <v>412</v>
      </c>
      <c r="K1079" s="9" t="s">
        <v>604</v>
      </c>
    </row>
    <row r="1080" spans="1:11">
      <c r="A1080" s="9" t="s">
        <v>662</v>
      </c>
      <c r="B1080" s="9" t="s">
        <v>665</v>
      </c>
      <c r="C1080" s="9" t="s">
        <v>663</v>
      </c>
      <c r="D1080" s="12">
        <v>7.4700000000000003E-2</v>
      </c>
      <c r="E1080" s="12">
        <v>-0.1681</v>
      </c>
      <c r="F1080" s="12">
        <v>0.158</v>
      </c>
      <c r="G1080" s="12">
        <v>-4.6699999999999998E-2</v>
      </c>
      <c r="H1080" s="12">
        <v>2.1499999999999998E-2</v>
      </c>
      <c r="I1080" s="12">
        <v>0.1336</v>
      </c>
      <c r="J1080" s="9" t="s">
        <v>412</v>
      </c>
      <c r="K1080" s="9" t="s">
        <v>604</v>
      </c>
    </row>
    <row r="1081" spans="1:11" ht="28.8">
      <c r="A1081" s="9" t="s">
        <v>679</v>
      </c>
      <c r="B1081" s="9" t="s">
        <v>678</v>
      </c>
      <c r="C1081" s="9" t="s">
        <v>674</v>
      </c>
      <c r="D1081" s="12">
        <v>0.11849999999999999</v>
      </c>
      <c r="E1081" s="12">
        <v>-9.2299999999999993E-2</v>
      </c>
      <c r="F1081" s="12">
        <v>-0.18970000000000001</v>
      </c>
      <c r="G1081" s="12">
        <v>1.3100000000000001E-2</v>
      </c>
      <c r="H1081" s="12">
        <v>-5.45E-2</v>
      </c>
      <c r="I1081" s="12">
        <v>0.13350000000000001</v>
      </c>
      <c r="J1081" s="9" t="s">
        <v>412</v>
      </c>
      <c r="K1081" s="9" t="s">
        <v>604</v>
      </c>
    </row>
    <row r="1082" spans="1:11" ht="28.8">
      <c r="A1082" s="9" t="s">
        <v>662</v>
      </c>
      <c r="B1082" s="9" t="s">
        <v>684</v>
      </c>
      <c r="C1082" s="9" t="s">
        <v>690</v>
      </c>
      <c r="D1082" s="12">
        <v>-3.1300000000000001E-2</v>
      </c>
      <c r="E1082" s="12">
        <v>-0.2475</v>
      </c>
      <c r="F1082" s="12">
        <v>0.12130000000000001</v>
      </c>
      <c r="G1082" s="12">
        <v>-0.1394</v>
      </c>
      <c r="H1082" s="12">
        <v>-5.2499999999999998E-2</v>
      </c>
      <c r="I1082" s="12">
        <v>0.13339999999999999</v>
      </c>
      <c r="J1082" s="9" t="s">
        <v>412</v>
      </c>
      <c r="K1082" s="9" t="s">
        <v>604</v>
      </c>
    </row>
    <row r="1083" spans="1:11">
      <c r="A1083" s="9" t="s">
        <v>682</v>
      </c>
      <c r="B1083" s="9" t="s">
        <v>676</v>
      </c>
      <c r="C1083" s="9" t="s">
        <v>655</v>
      </c>
      <c r="D1083" s="12">
        <v>7.3099999999999998E-2</v>
      </c>
      <c r="E1083" s="12">
        <v>0.1517</v>
      </c>
      <c r="F1083" s="12">
        <v>0.17549999999999999</v>
      </c>
      <c r="G1083" s="12">
        <v>0.1124</v>
      </c>
      <c r="H1083" s="12">
        <v>0.13339999999999999</v>
      </c>
      <c r="I1083" s="12">
        <v>0.13339999999999999</v>
      </c>
      <c r="J1083" s="9" t="s">
        <v>412</v>
      </c>
      <c r="K1083" s="9" t="s">
        <v>654</v>
      </c>
    </row>
    <row r="1084" spans="1:11" ht="28.8">
      <c r="A1084" s="9" t="s">
        <v>679</v>
      </c>
      <c r="B1084" s="9" t="s">
        <v>673</v>
      </c>
      <c r="C1084" s="9" t="s">
        <v>666</v>
      </c>
      <c r="D1084" s="12">
        <v>-0.113</v>
      </c>
      <c r="E1084" s="12">
        <v>-7.4499999999999997E-2</v>
      </c>
      <c r="F1084" s="12">
        <v>-0.2127</v>
      </c>
      <c r="G1084" s="12">
        <v>-9.375E-2</v>
      </c>
      <c r="H1084" s="12">
        <v>-0.13339999999999999</v>
      </c>
      <c r="I1084" s="12">
        <v>0.13339999999999999</v>
      </c>
      <c r="J1084" s="9" t="s">
        <v>412</v>
      </c>
      <c r="K1084" s="9" t="s">
        <v>604</v>
      </c>
    </row>
    <row r="1085" spans="1:11" ht="28.8">
      <c r="A1085" s="9" t="s">
        <v>662</v>
      </c>
      <c r="B1085" s="9" t="s">
        <v>687</v>
      </c>
      <c r="C1085" s="9" t="s">
        <v>674</v>
      </c>
      <c r="D1085" s="12">
        <v>0.17680000000000001</v>
      </c>
      <c r="E1085" s="12">
        <v>-5.4199999999999998E-2</v>
      </c>
      <c r="F1085" s="12">
        <v>0.16930000000000001</v>
      </c>
      <c r="G1085" s="12">
        <v>6.1300000000000007E-2</v>
      </c>
      <c r="H1085" s="12">
        <v>9.7299999999999998E-2</v>
      </c>
      <c r="I1085" s="12">
        <v>0.13339999999999999</v>
      </c>
      <c r="J1085" s="9" t="s">
        <v>412</v>
      </c>
      <c r="K1085" s="9" t="s">
        <v>604</v>
      </c>
    </row>
    <row r="1086" spans="1:11" ht="28.8">
      <c r="A1086" s="9" t="s">
        <v>679</v>
      </c>
      <c r="B1086" s="9" t="s">
        <v>602</v>
      </c>
      <c r="C1086" s="9" t="s">
        <v>674</v>
      </c>
      <c r="D1086" s="12">
        <v>0.11849999999999999</v>
      </c>
      <c r="E1086" s="12">
        <v>-2.3400000000000001E-2</v>
      </c>
      <c r="F1086" s="12">
        <v>0.2581</v>
      </c>
      <c r="G1086" s="12">
        <v>4.7549999999999995E-2</v>
      </c>
      <c r="H1086" s="12">
        <v>0.1177</v>
      </c>
      <c r="I1086" s="12">
        <v>0.1333</v>
      </c>
      <c r="J1086" s="9" t="s">
        <v>412</v>
      </c>
      <c r="K1086" s="9" t="s">
        <v>604</v>
      </c>
    </row>
    <row r="1087" spans="1:11" ht="28.8">
      <c r="A1087" s="9" t="s">
        <v>679</v>
      </c>
      <c r="B1087" s="9" t="s">
        <v>658</v>
      </c>
      <c r="C1087" s="9" t="s">
        <v>670</v>
      </c>
      <c r="D1087" s="12">
        <v>-9.5200000000000007E-2</v>
      </c>
      <c r="E1087" s="12">
        <v>3.4000000000000002E-2</v>
      </c>
      <c r="F1087" s="12">
        <v>-0.27050000000000002</v>
      </c>
      <c r="G1087" s="12">
        <v>-3.0600000000000002E-2</v>
      </c>
      <c r="H1087" s="12">
        <v>-0.1106</v>
      </c>
      <c r="I1087" s="12">
        <v>0.13320000000000001</v>
      </c>
      <c r="J1087" s="9" t="s">
        <v>412</v>
      </c>
      <c r="K1087" s="9" t="s">
        <v>604</v>
      </c>
    </row>
    <row r="1088" spans="1:11" ht="28.8">
      <c r="A1088" s="9" t="s">
        <v>610</v>
      </c>
      <c r="B1088" s="9" t="s">
        <v>613</v>
      </c>
      <c r="C1088" s="9" t="s">
        <v>601</v>
      </c>
      <c r="D1088" s="12">
        <v>8.48E-2</v>
      </c>
      <c r="E1088" s="12">
        <v>8.9999999999999993E-3</v>
      </c>
      <c r="F1088" s="12">
        <v>-0.30580000000000002</v>
      </c>
      <c r="G1088" s="12">
        <v>4.6899999999999997E-2</v>
      </c>
      <c r="H1088" s="12">
        <v>-7.0599999999999996E-2</v>
      </c>
      <c r="I1088" s="12">
        <v>0.13320000000000001</v>
      </c>
      <c r="J1088" s="9" t="s">
        <v>412</v>
      </c>
      <c r="K1088" s="9" t="s">
        <v>604</v>
      </c>
    </row>
    <row r="1089" spans="1:11" ht="28.8">
      <c r="A1089" s="9" t="s">
        <v>603</v>
      </c>
      <c r="B1089" s="9" t="s">
        <v>669</v>
      </c>
      <c r="C1089" s="9" t="s">
        <v>690</v>
      </c>
      <c r="D1089" s="12">
        <v>4.1099999999999998E-2</v>
      </c>
      <c r="E1089" s="12">
        <v>-0.2472</v>
      </c>
      <c r="F1089" s="12">
        <v>-0.11119999999999999</v>
      </c>
      <c r="G1089" s="12">
        <v>-0.10305</v>
      </c>
      <c r="H1089" s="12">
        <v>-0.10580000000000001</v>
      </c>
      <c r="I1089" s="12">
        <v>0.13320000000000001</v>
      </c>
      <c r="J1089" s="9" t="s">
        <v>412</v>
      </c>
      <c r="K1089" s="9" t="s">
        <v>604</v>
      </c>
    </row>
    <row r="1090" spans="1:11" ht="28.8">
      <c r="A1090" s="9" t="s">
        <v>662</v>
      </c>
      <c r="B1090" s="9" t="s">
        <v>685</v>
      </c>
      <c r="C1090" s="9" t="s">
        <v>674</v>
      </c>
      <c r="D1090" s="12">
        <v>0.17680000000000001</v>
      </c>
      <c r="E1090" s="12">
        <v>0.1087</v>
      </c>
      <c r="F1090" s="12">
        <v>0.1139</v>
      </c>
      <c r="G1090" s="12">
        <v>0.14275000000000002</v>
      </c>
      <c r="H1090" s="12">
        <v>0.1331</v>
      </c>
      <c r="I1090" s="12">
        <v>0.1331</v>
      </c>
      <c r="J1090" s="9" t="s">
        <v>412</v>
      </c>
      <c r="K1090" s="9" t="s">
        <v>654</v>
      </c>
    </row>
    <row r="1091" spans="1:11">
      <c r="A1091" s="9" t="s">
        <v>662</v>
      </c>
      <c r="B1091" s="9" t="s">
        <v>657</v>
      </c>
      <c r="C1091" s="9" t="s">
        <v>659</v>
      </c>
      <c r="D1091" s="12">
        <v>-8.3599999999999994E-2</v>
      </c>
      <c r="E1091" s="12">
        <v>4.3299999999999998E-2</v>
      </c>
      <c r="F1091" s="12">
        <v>-0.27239999999999998</v>
      </c>
      <c r="G1091" s="12">
        <v>-2.0149999999999998E-2</v>
      </c>
      <c r="H1091" s="12">
        <v>-0.1042</v>
      </c>
      <c r="I1091" s="12">
        <v>0.1331</v>
      </c>
      <c r="J1091" s="9" t="s">
        <v>412</v>
      </c>
      <c r="K1091" s="9" t="s">
        <v>604</v>
      </c>
    </row>
    <row r="1092" spans="1:11" ht="28.8">
      <c r="A1092" s="9" t="s">
        <v>610</v>
      </c>
      <c r="B1092" s="9" t="s">
        <v>681</v>
      </c>
      <c r="C1092" s="9" t="s">
        <v>601</v>
      </c>
      <c r="D1092" s="12">
        <v>8.48E-2</v>
      </c>
      <c r="E1092" s="12">
        <v>0.13150000000000001</v>
      </c>
      <c r="F1092" s="12">
        <v>-0.18310000000000001</v>
      </c>
      <c r="G1092" s="12">
        <v>0.10815</v>
      </c>
      <c r="H1092" s="12">
        <v>1.11E-2</v>
      </c>
      <c r="I1092" s="12">
        <v>0.1331</v>
      </c>
      <c r="J1092" s="9" t="s">
        <v>412</v>
      </c>
      <c r="K1092" s="9" t="s">
        <v>604</v>
      </c>
    </row>
    <row r="1093" spans="1:11" ht="28.8">
      <c r="A1093" s="9" t="s">
        <v>603</v>
      </c>
      <c r="B1093" s="9" t="s">
        <v>602</v>
      </c>
      <c r="C1093" s="9" t="s">
        <v>677</v>
      </c>
      <c r="D1093" s="12">
        <v>0.14069999999999999</v>
      </c>
      <c r="E1093" s="12">
        <v>3.5099999999999999E-2</v>
      </c>
      <c r="F1093" s="12">
        <v>-0.223</v>
      </c>
      <c r="G1093" s="12">
        <v>8.7899999999999992E-2</v>
      </c>
      <c r="H1093" s="12">
        <v>-1.5699999999999999E-2</v>
      </c>
      <c r="I1093" s="12">
        <v>0.13300000000000001</v>
      </c>
      <c r="J1093" s="9" t="s">
        <v>412</v>
      </c>
      <c r="K1093" s="9" t="s">
        <v>604</v>
      </c>
    </row>
    <row r="1094" spans="1:11">
      <c r="A1094" s="9" t="s">
        <v>610</v>
      </c>
      <c r="B1094" s="9" t="s">
        <v>673</v>
      </c>
      <c r="C1094" s="9" t="s">
        <v>655</v>
      </c>
      <c r="D1094" s="12">
        <v>-9.4E-2</v>
      </c>
      <c r="E1094" s="12">
        <v>-8.14E-2</v>
      </c>
      <c r="F1094" s="12">
        <v>-0.22339999999999999</v>
      </c>
      <c r="G1094" s="12">
        <v>-8.77E-2</v>
      </c>
      <c r="H1094" s="12">
        <v>-0.13289999999999999</v>
      </c>
      <c r="I1094" s="12">
        <v>0.13289999999999999</v>
      </c>
      <c r="J1094" s="9" t="s">
        <v>412</v>
      </c>
      <c r="K1094" s="9" t="s">
        <v>604</v>
      </c>
    </row>
    <row r="1095" spans="1:11">
      <c r="A1095" s="9" t="s">
        <v>609</v>
      </c>
      <c r="B1095" s="9" t="s">
        <v>665</v>
      </c>
      <c r="C1095" s="9" t="s">
        <v>663</v>
      </c>
      <c r="D1095" s="12">
        <v>-0.12770000000000001</v>
      </c>
      <c r="E1095" s="12">
        <v>-0.11310000000000001</v>
      </c>
      <c r="F1095" s="12">
        <v>0.158</v>
      </c>
      <c r="G1095" s="12">
        <v>-0.12040000000000001</v>
      </c>
      <c r="H1095" s="12">
        <v>-2.76E-2</v>
      </c>
      <c r="I1095" s="12">
        <v>0.13289999999999999</v>
      </c>
      <c r="J1095" s="9" t="s">
        <v>412</v>
      </c>
      <c r="K1095" s="9" t="s">
        <v>604</v>
      </c>
    </row>
    <row r="1096" spans="1:11" ht="28.8">
      <c r="A1096" s="9" t="s">
        <v>679</v>
      </c>
      <c r="B1096" s="9" t="s">
        <v>681</v>
      </c>
      <c r="C1096" s="9" t="s">
        <v>690</v>
      </c>
      <c r="D1096" s="12">
        <v>-6.6900000000000001E-2</v>
      </c>
      <c r="E1096" s="12">
        <v>0.1958</v>
      </c>
      <c r="F1096" s="12">
        <v>-0.1356</v>
      </c>
      <c r="G1096" s="12">
        <v>6.4450000000000007E-2</v>
      </c>
      <c r="H1096" s="12">
        <v>-2.2000000000000001E-3</v>
      </c>
      <c r="I1096" s="12">
        <v>0.1328</v>
      </c>
      <c r="J1096" s="9" t="s">
        <v>412</v>
      </c>
      <c r="K1096" s="9" t="s">
        <v>604</v>
      </c>
    </row>
    <row r="1097" spans="1:11" ht="28.8">
      <c r="A1097" s="9" t="s">
        <v>609</v>
      </c>
      <c r="B1097" s="9" t="s">
        <v>672</v>
      </c>
      <c r="C1097" s="9" t="s">
        <v>666</v>
      </c>
      <c r="D1097" s="12">
        <v>-7.7700000000000005E-2</v>
      </c>
      <c r="E1097" s="12">
        <v>-0.1148</v>
      </c>
      <c r="F1097" s="12">
        <v>0.2054</v>
      </c>
      <c r="G1097" s="12">
        <v>-9.6250000000000002E-2</v>
      </c>
      <c r="H1097" s="12">
        <v>4.3E-3</v>
      </c>
      <c r="I1097" s="12">
        <v>0.13270000000000001</v>
      </c>
      <c r="J1097" s="9" t="s">
        <v>412</v>
      </c>
      <c r="K1097" s="9" t="s">
        <v>604</v>
      </c>
    </row>
    <row r="1098" spans="1:11" ht="28.8">
      <c r="A1098" s="9" t="s">
        <v>671</v>
      </c>
      <c r="B1098" s="9" t="s">
        <v>681</v>
      </c>
      <c r="C1098" s="9" t="s">
        <v>655</v>
      </c>
      <c r="D1098" s="12">
        <v>0.1215</v>
      </c>
      <c r="E1098" s="12">
        <v>7.1800000000000003E-2</v>
      </c>
      <c r="F1098" s="12">
        <v>0.20449999999999999</v>
      </c>
      <c r="G1098" s="12">
        <v>9.665E-2</v>
      </c>
      <c r="H1098" s="12">
        <v>0.1326</v>
      </c>
      <c r="I1098" s="12">
        <v>0.1326</v>
      </c>
      <c r="J1098" s="9" t="s">
        <v>412</v>
      </c>
      <c r="K1098" s="9" t="s">
        <v>654</v>
      </c>
    </row>
    <row r="1099" spans="1:11" ht="28.8">
      <c r="A1099" s="9" t="s">
        <v>661</v>
      </c>
      <c r="B1099" s="9" t="s">
        <v>685</v>
      </c>
      <c r="C1099" s="9" t="s">
        <v>663</v>
      </c>
      <c r="D1099" s="12">
        <v>8.8300000000000003E-2</v>
      </c>
      <c r="E1099" s="12">
        <v>0.18970000000000001</v>
      </c>
      <c r="F1099" s="12">
        <v>0.1195</v>
      </c>
      <c r="G1099" s="12">
        <v>0.13900000000000001</v>
      </c>
      <c r="H1099" s="12">
        <v>0.13250000000000001</v>
      </c>
      <c r="I1099" s="12">
        <v>0.13250000000000001</v>
      </c>
      <c r="J1099" s="9" t="s">
        <v>412</v>
      </c>
      <c r="K1099" s="9" t="s">
        <v>654</v>
      </c>
    </row>
    <row r="1100" spans="1:11" ht="28.8">
      <c r="A1100" s="9" t="s">
        <v>679</v>
      </c>
      <c r="B1100" s="9" t="s">
        <v>602</v>
      </c>
      <c r="C1100" s="9" t="s">
        <v>667</v>
      </c>
      <c r="D1100" s="12">
        <v>-0.12280000000000001</v>
      </c>
      <c r="E1100" s="12">
        <v>-2.3400000000000001E-2</v>
      </c>
      <c r="F1100" s="12">
        <v>0.25119999999999998</v>
      </c>
      <c r="G1100" s="12">
        <v>-7.3099999999999998E-2</v>
      </c>
      <c r="H1100" s="12">
        <v>3.5000000000000003E-2</v>
      </c>
      <c r="I1100" s="12">
        <v>0.13250000000000001</v>
      </c>
      <c r="J1100" s="9" t="s">
        <v>412</v>
      </c>
      <c r="K1100" s="9" t="s">
        <v>604</v>
      </c>
    </row>
    <row r="1101" spans="1:11" ht="28.8">
      <c r="A1101" s="9" t="s">
        <v>661</v>
      </c>
      <c r="B1101" s="9" t="s">
        <v>676</v>
      </c>
      <c r="C1101" s="9" t="s">
        <v>683</v>
      </c>
      <c r="D1101" s="12">
        <v>-5.3400000000000003E-2</v>
      </c>
      <c r="E1101" s="12">
        <v>0.33629999999999999</v>
      </c>
      <c r="F1101" s="12">
        <v>-7.4999999999999997E-3</v>
      </c>
      <c r="G1101" s="12">
        <v>0.14144999999999999</v>
      </c>
      <c r="H1101" s="12">
        <v>9.1800000000000007E-2</v>
      </c>
      <c r="I1101" s="12">
        <v>0.13239999999999999</v>
      </c>
      <c r="J1101" s="9" t="s">
        <v>412</v>
      </c>
      <c r="K1101" s="9" t="s">
        <v>604</v>
      </c>
    </row>
    <row r="1102" spans="1:11" ht="28.8">
      <c r="A1102" s="9" t="s">
        <v>679</v>
      </c>
      <c r="B1102" s="9" t="s">
        <v>688</v>
      </c>
      <c r="C1102" s="9" t="s">
        <v>674</v>
      </c>
      <c r="D1102" s="12">
        <v>0.11849999999999999</v>
      </c>
      <c r="E1102" s="12">
        <v>0.14299999999999999</v>
      </c>
      <c r="F1102" s="12">
        <v>0.13539999999999999</v>
      </c>
      <c r="G1102" s="12">
        <v>0.13074999999999998</v>
      </c>
      <c r="H1102" s="12">
        <v>0.1323</v>
      </c>
      <c r="I1102" s="12">
        <v>0.1323</v>
      </c>
      <c r="J1102" s="9" t="s">
        <v>412</v>
      </c>
      <c r="K1102" s="9" t="s">
        <v>654</v>
      </c>
    </row>
    <row r="1103" spans="1:11" ht="28.8">
      <c r="A1103" s="9" t="s">
        <v>610</v>
      </c>
      <c r="B1103" s="9" t="s">
        <v>673</v>
      </c>
      <c r="C1103" s="9" t="s">
        <v>674</v>
      </c>
      <c r="D1103" s="12">
        <v>-0.1986</v>
      </c>
      <c r="E1103" s="12">
        <v>-8.14E-2</v>
      </c>
      <c r="F1103" s="12">
        <v>-0.11700000000000001</v>
      </c>
      <c r="G1103" s="12">
        <v>-0.14000000000000001</v>
      </c>
      <c r="H1103" s="12">
        <v>-0.1323</v>
      </c>
      <c r="I1103" s="12">
        <v>0.1323</v>
      </c>
      <c r="J1103" s="9" t="s">
        <v>412</v>
      </c>
      <c r="K1103" s="9" t="s">
        <v>604</v>
      </c>
    </row>
    <row r="1104" spans="1:11" ht="28.8">
      <c r="A1104" s="9" t="s">
        <v>671</v>
      </c>
      <c r="B1104" s="9" t="s">
        <v>673</v>
      </c>
      <c r="C1104" s="9" t="s">
        <v>667</v>
      </c>
      <c r="D1104" s="12">
        <v>0.14219999999999999</v>
      </c>
      <c r="E1104" s="12">
        <v>-0.12470000000000001</v>
      </c>
      <c r="F1104" s="12">
        <v>-0.1298</v>
      </c>
      <c r="G1104" s="12">
        <v>8.7499999999999939E-3</v>
      </c>
      <c r="H1104" s="12">
        <v>-3.7499999999999999E-2</v>
      </c>
      <c r="I1104" s="12">
        <v>0.13220000000000001</v>
      </c>
      <c r="J1104" s="9" t="s">
        <v>412</v>
      </c>
      <c r="K1104" s="9" t="s">
        <v>604</v>
      </c>
    </row>
    <row r="1105" spans="1:11" ht="28.8">
      <c r="A1105" s="9" t="s">
        <v>609</v>
      </c>
      <c r="B1105" s="9" t="s">
        <v>672</v>
      </c>
      <c r="C1105" s="9" t="s">
        <v>675</v>
      </c>
      <c r="D1105" s="12">
        <v>9.6600000000000005E-2</v>
      </c>
      <c r="E1105" s="12">
        <v>-0.1148</v>
      </c>
      <c r="F1105" s="12">
        <v>0.185</v>
      </c>
      <c r="G1105" s="12">
        <v>-9.099999999999997E-3</v>
      </c>
      <c r="H1105" s="12">
        <v>5.5599999999999997E-2</v>
      </c>
      <c r="I1105" s="12">
        <v>0.13220000000000001</v>
      </c>
      <c r="J1105" s="9" t="s">
        <v>412</v>
      </c>
      <c r="K1105" s="9" t="s">
        <v>604</v>
      </c>
    </row>
    <row r="1106" spans="1:11" ht="28.8">
      <c r="A1106" s="9" t="s">
        <v>679</v>
      </c>
      <c r="B1106" s="9" t="s">
        <v>691</v>
      </c>
      <c r="C1106" s="9" t="s">
        <v>670</v>
      </c>
      <c r="D1106" s="12">
        <v>-9.5200000000000007E-2</v>
      </c>
      <c r="E1106" s="12">
        <v>-0.1757</v>
      </c>
      <c r="F1106" s="12">
        <v>0.1258</v>
      </c>
      <c r="G1106" s="12">
        <v>-0.13545000000000001</v>
      </c>
      <c r="H1106" s="12">
        <v>-4.8399999999999999E-2</v>
      </c>
      <c r="I1106" s="12">
        <v>0.13220000000000001</v>
      </c>
      <c r="J1106" s="9" t="s">
        <v>412</v>
      </c>
      <c r="K1106" s="9" t="s">
        <v>604</v>
      </c>
    </row>
    <row r="1107" spans="1:11" ht="28.8">
      <c r="A1107" s="9" t="s">
        <v>679</v>
      </c>
      <c r="B1107" s="9" t="s">
        <v>686</v>
      </c>
      <c r="C1107" s="9" t="s">
        <v>674</v>
      </c>
      <c r="D1107" s="12">
        <v>0.11849999999999999</v>
      </c>
      <c r="E1107" s="12">
        <v>0.2019</v>
      </c>
      <c r="F1107" s="12">
        <v>7.6300000000000007E-2</v>
      </c>
      <c r="G1107" s="12">
        <v>0.16020000000000001</v>
      </c>
      <c r="H1107" s="12">
        <v>0.13220000000000001</v>
      </c>
      <c r="I1107" s="12">
        <v>0.13220000000000001</v>
      </c>
      <c r="J1107" s="9" t="s">
        <v>412</v>
      </c>
      <c r="K1107" s="9" t="s">
        <v>654</v>
      </c>
    </row>
    <row r="1108" spans="1:11" ht="28.8">
      <c r="A1108" s="9" t="s">
        <v>682</v>
      </c>
      <c r="B1108" s="9" t="s">
        <v>687</v>
      </c>
      <c r="C1108" s="9" t="s">
        <v>675</v>
      </c>
      <c r="D1108" s="12">
        <v>0.06</v>
      </c>
      <c r="E1108" s="12">
        <v>0.13450000000000001</v>
      </c>
      <c r="F1108" s="12">
        <v>0.20180000000000001</v>
      </c>
      <c r="G1108" s="12">
        <v>9.7250000000000003E-2</v>
      </c>
      <c r="H1108" s="12">
        <v>0.1321</v>
      </c>
      <c r="I1108" s="12">
        <v>0.1321</v>
      </c>
      <c r="J1108" s="9" t="s">
        <v>412</v>
      </c>
      <c r="K1108" s="9" t="s">
        <v>654</v>
      </c>
    </row>
    <row r="1109" spans="1:11" ht="28.8">
      <c r="A1109" s="9" t="s">
        <v>662</v>
      </c>
      <c r="B1109" s="9" t="s">
        <v>676</v>
      </c>
      <c r="C1109" s="9" t="s">
        <v>677</v>
      </c>
      <c r="D1109" s="12">
        <v>1.2200000000000001E-2</v>
      </c>
      <c r="E1109" s="12">
        <v>0.17610000000000001</v>
      </c>
      <c r="F1109" s="12">
        <v>0.2077</v>
      </c>
      <c r="G1109" s="12">
        <v>9.4149999999999998E-2</v>
      </c>
      <c r="H1109" s="12">
        <v>0.13200000000000001</v>
      </c>
      <c r="I1109" s="12">
        <v>0.13200000000000001</v>
      </c>
      <c r="J1109" s="9" t="s">
        <v>412</v>
      </c>
      <c r="K1109" s="9" t="s">
        <v>654</v>
      </c>
    </row>
    <row r="1110" spans="1:11" ht="28.8">
      <c r="A1110" s="9" t="s">
        <v>671</v>
      </c>
      <c r="B1110" s="9" t="s">
        <v>678</v>
      </c>
      <c r="C1110" s="9" t="s">
        <v>674</v>
      </c>
      <c r="D1110" s="12">
        <v>-6.2799999999999995E-2</v>
      </c>
      <c r="E1110" s="12">
        <v>-0.14360000000000001</v>
      </c>
      <c r="F1110" s="12">
        <v>-0.18970000000000001</v>
      </c>
      <c r="G1110" s="12">
        <v>-0.1032</v>
      </c>
      <c r="H1110" s="12">
        <v>-0.13200000000000001</v>
      </c>
      <c r="I1110" s="12">
        <v>0.13200000000000001</v>
      </c>
      <c r="J1110" s="9" t="s">
        <v>412</v>
      </c>
      <c r="K1110" s="9" t="s">
        <v>604</v>
      </c>
    </row>
    <row r="1111" spans="1:11" ht="28.8">
      <c r="A1111" s="9" t="s">
        <v>661</v>
      </c>
      <c r="B1111" s="9" t="s">
        <v>686</v>
      </c>
      <c r="C1111" s="9" t="s">
        <v>655</v>
      </c>
      <c r="D1111" s="12">
        <v>0.17599999999999999</v>
      </c>
      <c r="E1111" s="12">
        <v>0.111</v>
      </c>
      <c r="F1111" s="12">
        <v>0.1085</v>
      </c>
      <c r="G1111" s="12">
        <v>0.14349999999999999</v>
      </c>
      <c r="H1111" s="12">
        <v>0.1318</v>
      </c>
      <c r="I1111" s="12">
        <v>0.1318</v>
      </c>
      <c r="J1111" s="9" t="s">
        <v>412</v>
      </c>
      <c r="K1111" s="9" t="s">
        <v>654</v>
      </c>
    </row>
    <row r="1112" spans="1:11" ht="28.8">
      <c r="A1112" s="9" t="s">
        <v>610</v>
      </c>
      <c r="B1112" s="9" t="s">
        <v>684</v>
      </c>
      <c r="C1112" s="9" t="s">
        <v>601</v>
      </c>
      <c r="D1112" s="12">
        <v>8.48E-2</v>
      </c>
      <c r="E1112" s="12">
        <v>0.2329</v>
      </c>
      <c r="F1112" s="12">
        <v>-7.7700000000000005E-2</v>
      </c>
      <c r="G1112" s="12">
        <v>0.15884999999999999</v>
      </c>
      <c r="H1112" s="12">
        <v>0.08</v>
      </c>
      <c r="I1112" s="12">
        <v>0.1318</v>
      </c>
      <c r="J1112" s="9" t="s">
        <v>412</v>
      </c>
      <c r="K1112" s="9" t="s">
        <v>604</v>
      </c>
    </row>
    <row r="1113" spans="1:11" ht="28.8">
      <c r="A1113" s="9" t="s">
        <v>610</v>
      </c>
      <c r="B1113" s="9" t="s">
        <v>684</v>
      </c>
      <c r="C1113" s="9" t="s">
        <v>677</v>
      </c>
      <c r="D1113" s="12">
        <v>0.10100000000000001</v>
      </c>
      <c r="E1113" s="12">
        <v>0.2329</v>
      </c>
      <c r="F1113" s="12">
        <v>-6.13E-2</v>
      </c>
      <c r="G1113" s="12">
        <v>0.16694999999999999</v>
      </c>
      <c r="H1113" s="12">
        <v>9.0899999999999995E-2</v>
      </c>
      <c r="I1113" s="12">
        <v>0.1318</v>
      </c>
      <c r="J1113" s="9" t="s">
        <v>412</v>
      </c>
      <c r="K1113" s="9" t="s">
        <v>604</v>
      </c>
    </row>
    <row r="1114" spans="1:11" ht="28.8">
      <c r="A1114" s="9" t="s">
        <v>679</v>
      </c>
      <c r="B1114" s="9" t="s">
        <v>657</v>
      </c>
      <c r="C1114" s="9" t="s">
        <v>683</v>
      </c>
      <c r="D1114" s="12">
        <v>0.16389999999999999</v>
      </c>
      <c r="E1114" s="12">
        <v>0.14180000000000001</v>
      </c>
      <c r="F1114" s="12">
        <v>8.9399999999999993E-2</v>
      </c>
      <c r="G1114" s="12">
        <v>0.15284999999999999</v>
      </c>
      <c r="H1114" s="12">
        <v>0.13170000000000001</v>
      </c>
      <c r="I1114" s="12">
        <v>0.13170000000000001</v>
      </c>
      <c r="J1114" s="9" t="s">
        <v>412</v>
      </c>
      <c r="K1114" s="9" t="s">
        <v>654</v>
      </c>
    </row>
    <row r="1115" spans="1:11" ht="28.8">
      <c r="A1115" s="9" t="s">
        <v>671</v>
      </c>
      <c r="B1115" s="9" t="s">
        <v>657</v>
      </c>
      <c r="C1115" s="9" t="s">
        <v>663</v>
      </c>
      <c r="D1115" s="12">
        <v>9.4399999999999998E-2</v>
      </c>
      <c r="E1115" s="12">
        <v>-0.1326</v>
      </c>
      <c r="F1115" s="12">
        <v>-0.16819999999999999</v>
      </c>
      <c r="G1115" s="12">
        <v>-1.9099999999999999E-2</v>
      </c>
      <c r="H1115" s="12">
        <v>-6.88E-2</v>
      </c>
      <c r="I1115" s="12">
        <v>0.13170000000000001</v>
      </c>
      <c r="J1115" s="9" t="s">
        <v>412</v>
      </c>
      <c r="K1115" s="9" t="s">
        <v>604</v>
      </c>
    </row>
    <row r="1116" spans="1:11" ht="28.8">
      <c r="A1116" s="9" t="s">
        <v>671</v>
      </c>
      <c r="B1116" s="9" t="s">
        <v>660</v>
      </c>
      <c r="C1116" s="9" t="s">
        <v>667</v>
      </c>
      <c r="D1116" s="12">
        <v>0.14219999999999999</v>
      </c>
      <c r="E1116" s="12">
        <v>-0.1037</v>
      </c>
      <c r="F1116" s="12">
        <v>-0.14899999999999999</v>
      </c>
      <c r="G1116" s="12">
        <v>1.9249999999999996E-2</v>
      </c>
      <c r="H1116" s="12">
        <v>-3.6799999999999999E-2</v>
      </c>
      <c r="I1116" s="12">
        <v>0.13159999999999999</v>
      </c>
      <c r="J1116" s="9" t="s">
        <v>412</v>
      </c>
      <c r="K1116" s="9" t="s">
        <v>604</v>
      </c>
    </row>
    <row r="1117" spans="1:11" ht="28.8">
      <c r="A1117" s="9" t="s">
        <v>671</v>
      </c>
      <c r="B1117" s="9" t="s">
        <v>669</v>
      </c>
      <c r="C1117" s="9" t="s">
        <v>677</v>
      </c>
      <c r="D1117" s="12">
        <v>6.8900000000000003E-2</v>
      </c>
      <c r="E1117" s="12">
        <v>0.20669999999999999</v>
      </c>
      <c r="F1117" s="12">
        <v>-0.1188</v>
      </c>
      <c r="G1117" s="12">
        <v>0.13780000000000001</v>
      </c>
      <c r="H1117" s="12">
        <v>5.2299999999999999E-2</v>
      </c>
      <c r="I1117" s="12">
        <v>0.13150000000000001</v>
      </c>
      <c r="J1117" s="9" t="s">
        <v>412</v>
      </c>
      <c r="K1117" s="9" t="s">
        <v>604</v>
      </c>
    </row>
    <row r="1118" spans="1:11" ht="28.8">
      <c r="A1118" s="9" t="s">
        <v>662</v>
      </c>
      <c r="B1118" s="9" t="s">
        <v>688</v>
      </c>
      <c r="C1118" s="9" t="s">
        <v>601</v>
      </c>
      <c r="D1118" s="12">
        <v>-0.1173</v>
      </c>
      <c r="E1118" s="12">
        <v>0.1293</v>
      </c>
      <c r="F1118" s="12">
        <v>-0.1477</v>
      </c>
      <c r="G1118" s="12">
        <v>5.9999999999999984E-3</v>
      </c>
      <c r="H1118" s="12">
        <v>-4.5199999999999997E-2</v>
      </c>
      <c r="I1118" s="12">
        <v>0.13139999999999999</v>
      </c>
      <c r="J1118" s="9" t="s">
        <v>412</v>
      </c>
      <c r="K1118" s="9" t="s">
        <v>604</v>
      </c>
    </row>
    <row r="1119" spans="1:11" ht="28.8">
      <c r="A1119" s="9" t="s">
        <v>661</v>
      </c>
      <c r="B1119" s="9" t="s">
        <v>691</v>
      </c>
      <c r="C1119" s="9" t="s">
        <v>666</v>
      </c>
      <c r="D1119" s="12">
        <v>0.2175</v>
      </c>
      <c r="E1119" s="12">
        <v>4.9000000000000002E-2</v>
      </c>
      <c r="F1119" s="12">
        <v>0.12740000000000001</v>
      </c>
      <c r="G1119" s="12">
        <v>0.13325000000000001</v>
      </c>
      <c r="H1119" s="12">
        <v>0.1313</v>
      </c>
      <c r="I1119" s="12">
        <v>0.1313</v>
      </c>
      <c r="J1119" s="9" t="s">
        <v>412</v>
      </c>
      <c r="K1119" s="9" t="s">
        <v>654</v>
      </c>
    </row>
    <row r="1120" spans="1:11" ht="28.8">
      <c r="A1120" s="9" t="s">
        <v>679</v>
      </c>
      <c r="B1120" s="9" t="s">
        <v>687</v>
      </c>
      <c r="C1120" s="9" t="s">
        <v>674</v>
      </c>
      <c r="D1120" s="12">
        <v>0.11849999999999999</v>
      </c>
      <c r="E1120" s="12">
        <v>0.10589999999999999</v>
      </c>
      <c r="F1120" s="12">
        <v>0.16930000000000001</v>
      </c>
      <c r="G1120" s="12">
        <v>0.11219999999999999</v>
      </c>
      <c r="H1120" s="12">
        <v>0.1313</v>
      </c>
      <c r="I1120" s="12">
        <v>0.1313</v>
      </c>
      <c r="J1120" s="9" t="s">
        <v>412</v>
      </c>
      <c r="K1120" s="9" t="s">
        <v>654</v>
      </c>
    </row>
    <row r="1121" spans="1:11" ht="28.8">
      <c r="A1121" s="9" t="s">
        <v>679</v>
      </c>
      <c r="B1121" s="9" t="s">
        <v>691</v>
      </c>
      <c r="C1121" s="9" t="s">
        <v>677</v>
      </c>
      <c r="D1121" s="12">
        <v>0.13189999999999999</v>
      </c>
      <c r="E1121" s="12">
        <v>-0.1757</v>
      </c>
      <c r="F1121" s="12">
        <v>8.5900000000000004E-2</v>
      </c>
      <c r="G1121" s="12">
        <v>-2.1900000000000003E-2</v>
      </c>
      <c r="H1121" s="12">
        <v>1.4E-2</v>
      </c>
      <c r="I1121" s="12">
        <v>0.13120000000000001</v>
      </c>
      <c r="J1121" s="9" t="s">
        <v>412</v>
      </c>
      <c r="K1121" s="9" t="s">
        <v>604</v>
      </c>
    </row>
    <row r="1122" spans="1:11" ht="28.8">
      <c r="A1122" s="9" t="s">
        <v>679</v>
      </c>
      <c r="B1122" s="9" t="s">
        <v>613</v>
      </c>
      <c r="C1122" s="9" t="s">
        <v>670</v>
      </c>
      <c r="D1122" s="12">
        <v>-9.5200000000000007E-2</v>
      </c>
      <c r="E1122" s="12">
        <v>-0.1157</v>
      </c>
      <c r="F1122" s="12">
        <v>-0.1827</v>
      </c>
      <c r="G1122" s="12">
        <v>-0.10545</v>
      </c>
      <c r="H1122" s="12">
        <v>-0.13120000000000001</v>
      </c>
      <c r="I1122" s="12">
        <v>0.13120000000000001</v>
      </c>
      <c r="J1122" s="9" t="s">
        <v>412</v>
      </c>
      <c r="K1122" s="9" t="s">
        <v>604</v>
      </c>
    </row>
    <row r="1123" spans="1:11" ht="28.8">
      <c r="A1123" s="9" t="s">
        <v>679</v>
      </c>
      <c r="B1123" s="9" t="s">
        <v>657</v>
      </c>
      <c r="C1123" s="9" t="s">
        <v>674</v>
      </c>
      <c r="D1123" s="12">
        <v>0.11849999999999999</v>
      </c>
      <c r="E1123" s="12">
        <v>0.14180000000000001</v>
      </c>
      <c r="F1123" s="12">
        <v>-0.1331</v>
      </c>
      <c r="G1123" s="12">
        <v>0.13014999999999999</v>
      </c>
      <c r="H1123" s="12">
        <v>4.24E-2</v>
      </c>
      <c r="I1123" s="12">
        <v>0.13120000000000001</v>
      </c>
      <c r="J1123" s="9" t="s">
        <v>412</v>
      </c>
      <c r="K1123" s="9" t="s">
        <v>604</v>
      </c>
    </row>
    <row r="1124" spans="1:11" ht="28.8">
      <c r="A1124" s="9" t="s">
        <v>679</v>
      </c>
      <c r="B1124" s="9" t="s">
        <v>665</v>
      </c>
      <c r="C1124" s="9" t="s">
        <v>664</v>
      </c>
      <c r="D1124" s="12">
        <v>0.1353</v>
      </c>
      <c r="E1124" s="12">
        <v>7.6399999999999996E-2</v>
      </c>
      <c r="F1124" s="12">
        <v>-0.1817</v>
      </c>
      <c r="G1124" s="12">
        <v>0.10585</v>
      </c>
      <c r="H1124" s="12">
        <v>0.01</v>
      </c>
      <c r="I1124" s="12">
        <v>0.13109999999999999</v>
      </c>
      <c r="J1124" s="9" t="s">
        <v>412</v>
      </c>
      <c r="K1124" s="9" t="s">
        <v>604</v>
      </c>
    </row>
    <row r="1125" spans="1:11">
      <c r="A1125" s="9" t="s">
        <v>610</v>
      </c>
      <c r="B1125" s="9" t="s">
        <v>691</v>
      </c>
      <c r="C1125" s="9" t="s">
        <v>667</v>
      </c>
      <c r="D1125" s="12">
        <v>6.1800000000000001E-2</v>
      </c>
      <c r="E1125" s="12">
        <v>0.29249999999999998</v>
      </c>
      <c r="F1125" s="12">
        <v>-3.8699999999999998E-2</v>
      </c>
      <c r="G1125" s="12">
        <v>0.17715</v>
      </c>
      <c r="H1125" s="12">
        <v>0.1052</v>
      </c>
      <c r="I1125" s="12">
        <v>0.13100000000000001</v>
      </c>
      <c r="J1125" s="9" t="s">
        <v>412</v>
      </c>
      <c r="K1125" s="9" t="s">
        <v>604</v>
      </c>
    </row>
    <row r="1126" spans="1:11">
      <c r="A1126" s="9" t="s">
        <v>662</v>
      </c>
      <c r="B1126" s="9" t="s">
        <v>660</v>
      </c>
      <c r="C1126" s="9" t="s">
        <v>667</v>
      </c>
      <c r="D1126" s="12">
        <v>0.12540000000000001</v>
      </c>
      <c r="E1126" s="12">
        <v>-0.1187</v>
      </c>
      <c r="F1126" s="12">
        <v>-0.14899999999999999</v>
      </c>
      <c r="G1126" s="12">
        <v>3.3500000000000058E-3</v>
      </c>
      <c r="H1126" s="12">
        <v>-4.7399999999999998E-2</v>
      </c>
      <c r="I1126" s="12">
        <v>0.13100000000000001</v>
      </c>
      <c r="J1126" s="9" t="s">
        <v>412</v>
      </c>
      <c r="K1126" s="9" t="s">
        <v>604</v>
      </c>
    </row>
    <row r="1127" spans="1:11" ht="28.8">
      <c r="A1127" s="9" t="s">
        <v>682</v>
      </c>
      <c r="B1127" s="9" t="s">
        <v>669</v>
      </c>
      <c r="C1127" s="9" t="s">
        <v>675</v>
      </c>
      <c r="D1127" s="12">
        <v>0.06</v>
      </c>
      <c r="E1127" s="12">
        <v>-1.46E-2</v>
      </c>
      <c r="F1127" s="12">
        <v>0.31819999999999998</v>
      </c>
      <c r="G1127" s="12">
        <v>2.2699999999999998E-2</v>
      </c>
      <c r="H1127" s="12">
        <v>0.1212</v>
      </c>
      <c r="I1127" s="12">
        <v>0.13089999999999999</v>
      </c>
      <c r="J1127" s="9" t="s">
        <v>412</v>
      </c>
      <c r="K1127" s="9" t="s">
        <v>604</v>
      </c>
    </row>
    <row r="1128" spans="1:11" ht="28.8">
      <c r="A1128" s="9" t="s">
        <v>679</v>
      </c>
      <c r="B1128" s="9" t="s">
        <v>673</v>
      </c>
      <c r="C1128" s="9" t="s">
        <v>655</v>
      </c>
      <c r="D1128" s="12">
        <v>9.4500000000000001E-2</v>
      </c>
      <c r="E1128" s="12">
        <v>-7.4499999999999997E-2</v>
      </c>
      <c r="F1128" s="12">
        <v>-0.22339999999999999</v>
      </c>
      <c r="G1128" s="12">
        <v>1.0000000000000002E-2</v>
      </c>
      <c r="H1128" s="12">
        <v>-6.7799999999999999E-2</v>
      </c>
      <c r="I1128" s="12">
        <v>0.1308</v>
      </c>
      <c r="J1128" s="9" t="s">
        <v>412</v>
      </c>
      <c r="K1128" s="9" t="s">
        <v>604</v>
      </c>
    </row>
    <row r="1129" spans="1:11" ht="28.8">
      <c r="A1129" s="9" t="s">
        <v>610</v>
      </c>
      <c r="B1129" s="9" t="s">
        <v>676</v>
      </c>
      <c r="C1129" s="9" t="s">
        <v>677</v>
      </c>
      <c r="D1129" s="12">
        <v>0.10100000000000001</v>
      </c>
      <c r="E1129" s="12">
        <v>8.2799999999999999E-2</v>
      </c>
      <c r="F1129" s="12">
        <v>0.2077</v>
      </c>
      <c r="G1129" s="12">
        <v>9.1900000000000009E-2</v>
      </c>
      <c r="H1129" s="12">
        <v>0.1305</v>
      </c>
      <c r="I1129" s="12">
        <v>0.1305</v>
      </c>
      <c r="J1129" s="9" t="s">
        <v>412</v>
      </c>
      <c r="K1129" s="9" t="s">
        <v>654</v>
      </c>
    </row>
    <row r="1130" spans="1:11">
      <c r="A1130" s="9" t="s">
        <v>609</v>
      </c>
      <c r="B1130" s="9" t="s">
        <v>687</v>
      </c>
      <c r="C1130" s="9" t="s">
        <v>670</v>
      </c>
      <c r="D1130" s="12">
        <v>-0.32040000000000002</v>
      </c>
      <c r="E1130" s="12">
        <v>-4.5400000000000003E-2</v>
      </c>
      <c r="F1130" s="12">
        <v>2.5499999999999998E-2</v>
      </c>
      <c r="G1130" s="12">
        <v>-0.18290000000000001</v>
      </c>
      <c r="H1130" s="12">
        <v>-0.1134</v>
      </c>
      <c r="I1130" s="12">
        <v>0.13039999999999999</v>
      </c>
      <c r="J1130" s="9" t="s">
        <v>412</v>
      </c>
      <c r="K1130" s="9" t="s">
        <v>604</v>
      </c>
    </row>
    <row r="1131" spans="1:11" ht="28.8">
      <c r="A1131" s="9" t="s">
        <v>609</v>
      </c>
      <c r="B1131" s="9" t="s">
        <v>676</v>
      </c>
      <c r="C1131" s="9" t="s">
        <v>601</v>
      </c>
      <c r="D1131" s="12">
        <v>-0.1671</v>
      </c>
      <c r="E1131" s="12">
        <v>-3.9E-2</v>
      </c>
      <c r="F1131" s="12">
        <v>-0.18490000000000001</v>
      </c>
      <c r="G1131" s="12">
        <v>-0.10305</v>
      </c>
      <c r="H1131" s="12">
        <v>-0.1303</v>
      </c>
      <c r="I1131" s="12">
        <v>0.1303</v>
      </c>
      <c r="J1131" s="9" t="s">
        <v>412</v>
      </c>
      <c r="K1131" s="9" t="s">
        <v>604</v>
      </c>
    </row>
    <row r="1132" spans="1:11">
      <c r="A1132" s="9" t="s">
        <v>610</v>
      </c>
      <c r="B1132" s="9" t="s">
        <v>691</v>
      </c>
      <c r="C1132" s="9" t="s">
        <v>656</v>
      </c>
      <c r="D1132" s="12">
        <v>6.5699999999999995E-2</v>
      </c>
      <c r="E1132" s="12">
        <v>0.29249999999999998</v>
      </c>
      <c r="F1132" s="12">
        <v>-3.2500000000000001E-2</v>
      </c>
      <c r="G1132" s="12">
        <v>0.17909999999999998</v>
      </c>
      <c r="H1132" s="12">
        <v>0.1086</v>
      </c>
      <c r="I1132" s="12">
        <v>0.1303</v>
      </c>
      <c r="J1132" s="9" t="s">
        <v>412</v>
      </c>
      <c r="K1132" s="9" t="s">
        <v>604</v>
      </c>
    </row>
    <row r="1133" spans="1:11" ht="28.8">
      <c r="A1133" s="9" t="s">
        <v>679</v>
      </c>
      <c r="B1133" s="9" t="s">
        <v>688</v>
      </c>
      <c r="C1133" s="9" t="s">
        <v>666</v>
      </c>
      <c r="D1133" s="12">
        <v>-0.113</v>
      </c>
      <c r="E1133" s="12">
        <v>0.14299999999999999</v>
      </c>
      <c r="F1133" s="12">
        <v>-0.13469999999999999</v>
      </c>
      <c r="G1133" s="12">
        <v>1.4999999999999993E-2</v>
      </c>
      <c r="H1133" s="12">
        <v>-3.49E-2</v>
      </c>
      <c r="I1133" s="12">
        <v>0.13020000000000001</v>
      </c>
      <c r="J1133" s="9" t="s">
        <v>412</v>
      </c>
      <c r="K1133" s="9" t="s">
        <v>604</v>
      </c>
    </row>
    <row r="1134" spans="1:11">
      <c r="A1134" s="9" t="s">
        <v>610</v>
      </c>
      <c r="B1134" s="9" t="s">
        <v>653</v>
      </c>
      <c r="C1134" s="9" t="s">
        <v>659</v>
      </c>
      <c r="D1134" s="12">
        <v>0.1174</v>
      </c>
      <c r="E1134" s="12">
        <v>-1.9800000000000002E-2</v>
      </c>
      <c r="F1134" s="12">
        <v>-0.2535</v>
      </c>
      <c r="G1134" s="12">
        <v>4.8800000000000003E-2</v>
      </c>
      <c r="H1134" s="12">
        <v>-5.1999999999999998E-2</v>
      </c>
      <c r="I1134" s="12">
        <v>0.13020000000000001</v>
      </c>
      <c r="J1134" s="9" t="s">
        <v>412</v>
      </c>
      <c r="K1134" s="9" t="s">
        <v>604</v>
      </c>
    </row>
    <row r="1135" spans="1:11">
      <c r="A1135" s="9" t="s">
        <v>662</v>
      </c>
      <c r="B1135" s="9" t="s">
        <v>684</v>
      </c>
      <c r="C1135" s="9" t="s">
        <v>659</v>
      </c>
      <c r="D1135" s="12">
        <v>-8.3599999999999994E-2</v>
      </c>
      <c r="E1135" s="12">
        <v>-0.2475</v>
      </c>
      <c r="F1135" s="12">
        <v>-5.9499999999999997E-2</v>
      </c>
      <c r="G1135" s="12">
        <v>-0.16555</v>
      </c>
      <c r="H1135" s="12">
        <v>-0.13020000000000001</v>
      </c>
      <c r="I1135" s="12">
        <v>0.13020000000000001</v>
      </c>
      <c r="J1135" s="9" t="s">
        <v>412</v>
      </c>
      <c r="K1135" s="9" t="s">
        <v>604</v>
      </c>
    </row>
    <row r="1136" spans="1:11">
      <c r="A1136" s="9" t="s">
        <v>610</v>
      </c>
      <c r="B1136" s="9" t="s">
        <v>685</v>
      </c>
      <c r="C1136" s="9" t="s">
        <v>663</v>
      </c>
      <c r="D1136" s="12">
        <v>-0.2303</v>
      </c>
      <c r="E1136" s="12">
        <v>4.0500000000000001E-2</v>
      </c>
      <c r="F1136" s="12">
        <v>0.1195</v>
      </c>
      <c r="G1136" s="12">
        <v>-9.4899999999999998E-2</v>
      </c>
      <c r="H1136" s="12">
        <v>-2.3400000000000001E-2</v>
      </c>
      <c r="I1136" s="12">
        <v>0.13009999999999999</v>
      </c>
      <c r="J1136" s="9" t="s">
        <v>412</v>
      </c>
      <c r="K1136" s="9" t="s">
        <v>604</v>
      </c>
    </row>
    <row r="1137" spans="1:11" ht="28.8">
      <c r="A1137" s="9" t="s">
        <v>671</v>
      </c>
      <c r="B1137" s="9" t="s">
        <v>660</v>
      </c>
      <c r="C1137" s="9" t="s">
        <v>677</v>
      </c>
      <c r="D1137" s="12">
        <v>6.8900000000000003E-2</v>
      </c>
      <c r="E1137" s="12">
        <v>-0.1037</v>
      </c>
      <c r="F1137" s="12">
        <v>0.21759999999999999</v>
      </c>
      <c r="G1137" s="12">
        <v>-1.7399999999999999E-2</v>
      </c>
      <c r="H1137" s="12">
        <v>6.0900000000000003E-2</v>
      </c>
      <c r="I1137" s="12">
        <v>0.13009999999999999</v>
      </c>
      <c r="J1137" s="9" t="s">
        <v>412</v>
      </c>
      <c r="K1137" s="9" t="s">
        <v>604</v>
      </c>
    </row>
    <row r="1138" spans="1:11" ht="28.8">
      <c r="A1138" s="9" t="s">
        <v>609</v>
      </c>
      <c r="B1138" s="9" t="s">
        <v>672</v>
      </c>
      <c r="C1138" s="9" t="s">
        <v>683</v>
      </c>
      <c r="D1138" s="12">
        <v>-0.105</v>
      </c>
      <c r="E1138" s="12">
        <v>-0.1148</v>
      </c>
      <c r="F1138" s="12">
        <v>0.17019999999999999</v>
      </c>
      <c r="G1138" s="12">
        <v>-0.1099</v>
      </c>
      <c r="H1138" s="12">
        <v>-1.66E-2</v>
      </c>
      <c r="I1138" s="12">
        <v>0.13</v>
      </c>
      <c r="J1138" s="9" t="s">
        <v>412</v>
      </c>
      <c r="K1138" s="9" t="s">
        <v>604</v>
      </c>
    </row>
    <row r="1139" spans="1:11" ht="28.8">
      <c r="A1139" s="9" t="s">
        <v>661</v>
      </c>
      <c r="B1139" s="9" t="s">
        <v>653</v>
      </c>
      <c r="C1139" s="9" t="s">
        <v>683</v>
      </c>
      <c r="D1139" s="12">
        <v>-5.3400000000000003E-2</v>
      </c>
      <c r="E1139" s="12">
        <v>-0.21010000000000001</v>
      </c>
      <c r="F1139" s="12">
        <v>0.12620000000000001</v>
      </c>
      <c r="G1139" s="12">
        <v>-0.13175000000000001</v>
      </c>
      <c r="H1139" s="12">
        <v>-4.58E-2</v>
      </c>
      <c r="I1139" s="12">
        <v>0.12989999999999999</v>
      </c>
      <c r="J1139" s="9" t="s">
        <v>412</v>
      </c>
      <c r="K1139" s="9" t="s">
        <v>604</v>
      </c>
    </row>
    <row r="1140" spans="1:11" ht="28.8">
      <c r="A1140" s="9" t="s">
        <v>682</v>
      </c>
      <c r="B1140" s="9" t="s">
        <v>669</v>
      </c>
      <c r="C1140" s="9" t="s">
        <v>601</v>
      </c>
      <c r="D1140" s="12">
        <v>-3.2099999999999997E-2</v>
      </c>
      <c r="E1140" s="12">
        <v>-1.46E-2</v>
      </c>
      <c r="F1140" s="12">
        <v>-0.34310000000000002</v>
      </c>
      <c r="G1140" s="12">
        <v>-2.3349999999999999E-2</v>
      </c>
      <c r="H1140" s="12">
        <v>-0.12989999999999999</v>
      </c>
      <c r="I1140" s="12">
        <v>0.12989999999999999</v>
      </c>
      <c r="J1140" s="9" t="s">
        <v>412</v>
      </c>
      <c r="K1140" s="9" t="s">
        <v>604</v>
      </c>
    </row>
    <row r="1141" spans="1:11" ht="28.8">
      <c r="A1141" s="9" t="s">
        <v>662</v>
      </c>
      <c r="B1141" s="9" t="s">
        <v>678</v>
      </c>
      <c r="C1141" s="9" t="s">
        <v>601</v>
      </c>
      <c r="D1141" s="12">
        <v>-0.1173</v>
      </c>
      <c r="E1141" s="12">
        <v>-6.4199999999999993E-2</v>
      </c>
      <c r="F1141" s="12">
        <v>0.2079</v>
      </c>
      <c r="G1141" s="12">
        <v>-9.0749999999999997E-2</v>
      </c>
      <c r="H1141" s="12">
        <v>8.8000000000000005E-3</v>
      </c>
      <c r="I1141" s="12">
        <v>0.1298</v>
      </c>
      <c r="J1141" s="9" t="s">
        <v>412</v>
      </c>
      <c r="K1141" s="9" t="s">
        <v>604</v>
      </c>
    </row>
    <row r="1142" spans="1:11" ht="28.8">
      <c r="A1142" s="9" t="s">
        <v>679</v>
      </c>
      <c r="B1142" s="9" t="s">
        <v>658</v>
      </c>
      <c r="C1142" s="9" t="s">
        <v>666</v>
      </c>
      <c r="D1142" s="12">
        <v>-0.113</v>
      </c>
      <c r="E1142" s="12">
        <v>3.4000000000000002E-2</v>
      </c>
      <c r="F1142" s="12">
        <v>0.24249999999999999</v>
      </c>
      <c r="G1142" s="12">
        <v>-3.95E-2</v>
      </c>
      <c r="H1142" s="12">
        <v>5.45E-2</v>
      </c>
      <c r="I1142" s="12">
        <v>0.1298</v>
      </c>
      <c r="J1142" s="9" t="s">
        <v>412</v>
      </c>
      <c r="K1142" s="9" t="s">
        <v>604</v>
      </c>
    </row>
    <row r="1143" spans="1:11">
      <c r="A1143" s="9" t="s">
        <v>682</v>
      </c>
      <c r="B1143" s="9" t="s">
        <v>613</v>
      </c>
      <c r="C1143" s="9" t="s">
        <v>670</v>
      </c>
      <c r="D1143" s="12">
        <v>-0.19359999999999999</v>
      </c>
      <c r="E1143" s="12">
        <v>-1.2999999999999999E-2</v>
      </c>
      <c r="F1143" s="12">
        <v>-0.1827</v>
      </c>
      <c r="G1143" s="12">
        <v>-0.1033</v>
      </c>
      <c r="H1143" s="12">
        <v>-0.1298</v>
      </c>
      <c r="I1143" s="12">
        <v>0.1298</v>
      </c>
      <c r="J1143" s="9" t="s">
        <v>412</v>
      </c>
      <c r="K1143" s="9" t="s">
        <v>604</v>
      </c>
    </row>
    <row r="1144" spans="1:11">
      <c r="A1144" s="9" t="s">
        <v>682</v>
      </c>
      <c r="B1144" s="9" t="s">
        <v>665</v>
      </c>
      <c r="C1144" s="9" t="s">
        <v>670</v>
      </c>
      <c r="D1144" s="12">
        <v>-0.19359999999999999</v>
      </c>
      <c r="E1144" s="12">
        <v>1.1000000000000001E-3</v>
      </c>
      <c r="F1144" s="12">
        <v>-0.1948</v>
      </c>
      <c r="G1144" s="12">
        <v>-9.6250000000000002E-2</v>
      </c>
      <c r="H1144" s="12">
        <v>-0.12909999999999999</v>
      </c>
      <c r="I1144" s="12">
        <v>0.1298</v>
      </c>
      <c r="J1144" s="9" t="s">
        <v>412</v>
      </c>
      <c r="K1144" s="9" t="s">
        <v>604</v>
      </c>
    </row>
    <row r="1145" spans="1:11">
      <c r="A1145" s="9" t="s">
        <v>610</v>
      </c>
      <c r="B1145" s="9" t="s">
        <v>668</v>
      </c>
      <c r="C1145" s="9" t="s">
        <v>659</v>
      </c>
      <c r="D1145" s="12">
        <v>0.1174</v>
      </c>
      <c r="E1145" s="12">
        <v>-9.64E-2</v>
      </c>
      <c r="F1145" s="12">
        <v>-0.17549999999999999</v>
      </c>
      <c r="G1145" s="12">
        <v>1.0500000000000002E-2</v>
      </c>
      <c r="H1145" s="12">
        <v>-5.1499999999999997E-2</v>
      </c>
      <c r="I1145" s="12">
        <v>0.1298</v>
      </c>
      <c r="J1145" s="9" t="s">
        <v>412</v>
      </c>
      <c r="K1145" s="9" t="s">
        <v>604</v>
      </c>
    </row>
    <row r="1146" spans="1:11" ht="28.8">
      <c r="A1146" s="9" t="s">
        <v>610</v>
      </c>
      <c r="B1146" s="9" t="s">
        <v>673</v>
      </c>
      <c r="C1146" s="9" t="s">
        <v>666</v>
      </c>
      <c r="D1146" s="12">
        <v>9.5000000000000001E-2</v>
      </c>
      <c r="E1146" s="12">
        <v>-8.14E-2</v>
      </c>
      <c r="F1146" s="12">
        <v>-0.2127</v>
      </c>
      <c r="G1146" s="12">
        <v>6.8000000000000005E-3</v>
      </c>
      <c r="H1146" s="12">
        <v>-6.6400000000000001E-2</v>
      </c>
      <c r="I1146" s="12">
        <v>0.12970000000000001</v>
      </c>
      <c r="J1146" s="9" t="s">
        <v>412</v>
      </c>
      <c r="K1146" s="9" t="s">
        <v>604</v>
      </c>
    </row>
    <row r="1147" spans="1:11" ht="28.8">
      <c r="A1147" s="9" t="s">
        <v>682</v>
      </c>
      <c r="B1147" s="9" t="s">
        <v>653</v>
      </c>
      <c r="C1147" s="9" t="s">
        <v>677</v>
      </c>
      <c r="D1147" s="12">
        <v>1.23E-2</v>
      </c>
      <c r="E1147" s="12">
        <v>-4.8099999999999997E-2</v>
      </c>
      <c r="F1147" s="12">
        <v>0.32829999999999998</v>
      </c>
      <c r="G1147" s="12">
        <v>-1.7899999999999999E-2</v>
      </c>
      <c r="H1147" s="12">
        <v>9.7500000000000003E-2</v>
      </c>
      <c r="I1147" s="12">
        <v>0.12959999999999999</v>
      </c>
      <c r="J1147" s="9" t="s">
        <v>412</v>
      </c>
      <c r="K1147" s="9" t="s">
        <v>604</v>
      </c>
    </row>
    <row r="1148" spans="1:11">
      <c r="A1148" s="9" t="s">
        <v>610</v>
      </c>
      <c r="B1148" s="9" t="s">
        <v>653</v>
      </c>
      <c r="C1148" s="9" t="s">
        <v>670</v>
      </c>
      <c r="D1148" s="12">
        <v>-0.1699</v>
      </c>
      <c r="E1148" s="12">
        <v>-1.9800000000000002E-2</v>
      </c>
      <c r="F1148" s="12">
        <v>0.19900000000000001</v>
      </c>
      <c r="G1148" s="12">
        <v>-9.4850000000000004E-2</v>
      </c>
      <c r="H1148" s="12">
        <v>3.0999999999999999E-3</v>
      </c>
      <c r="I1148" s="12">
        <v>0.12959999999999999</v>
      </c>
      <c r="J1148" s="9" t="s">
        <v>412</v>
      </c>
      <c r="K1148" s="9" t="s">
        <v>604</v>
      </c>
    </row>
    <row r="1149" spans="1:11" ht="28.8">
      <c r="A1149" s="9" t="s">
        <v>662</v>
      </c>
      <c r="B1149" s="9" t="s">
        <v>653</v>
      </c>
      <c r="C1149" s="9" t="s">
        <v>683</v>
      </c>
      <c r="D1149" s="12">
        <v>-6.0100000000000001E-2</v>
      </c>
      <c r="E1149" s="12">
        <v>-0.2021</v>
      </c>
      <c r="F1149" s="12">
        <v>0.12620000000000001</v>
      </c>
      <c r="G1149" s="12">
        <v>-0.13109999999999999</v>
      </c>
      <c r="H1149" s="12">
        <v>-4.53E-2</v>
      </c>
      <c r="I1149" s="12">
        <v>0.1295</v>
      </c>
      <c r="J1149" s="9" t="s">
        <v>412</v>
      </c>
      <c r="K1149" s="9" t="s">
        <v>604</v>
      </c>
    </row>
    <row r="1150" spans="1:11">
      <c r="A1150" s="9" t="s">
        <v>610</v>
      </c>
      <c r="B1150" s="9" t="s">
        <v>613</v>
      </c>
      <c r="C1150" s="9" t="s">
        <v>655</v>
      </c>
      <c r="D1150" s="12">
        <v>-9.4E-2</v>
      </c>
      <c r="E1150" s="12">
        <v>8.9999999999999993E-3</v>
      </c>
      <c r="F1150" s="12">
        <v>0.28510000000000002</v>
      </c>
      <c r="G1150" s="12">
        <v>-4.2500000000000003E-2</v>
      </c>
      <c r="H1150" s="12">
        <v>6.6699999999999995E-2</v>
      </c>
      <c r="I1150" s="12">
        <v>0.12939999999999999</v>
      </c>
      <c r="J1150" s="9" t="s">
        <v>412</v>
      </c>
      <c r="K1150" s="9" t="s">
        <v>604</v>
      </c>
    </row>
    <row r="1151" spans="1:11" ht="28.8">
      <c r="A1151" s="9" t="s">
        <v>671</v>
      </c>
      <c r="B1151" s="9" t="s">
        <v>669</v>
      </c>
      <c r="C1151" s="9" t="s">
        <v>690</v>
      </c>
      <c r="D1151" s="12">
        <v>-7.0199999999999999E-2</v>
      </c>
      <c r="E1151" s="12">
        <v>0.20669999999999999</v>
      </c>
      <c r="F1151" s="12">
        <v>-0.11119999999999999</v>
      </c>
      <c r="G1151" s="12">
        <v>6.8250000000000005E-2</v>
      </c>
      <c r="H1151" s="12">
        <v>8.3999999999999995E-3</v>
      </c>
      <c r="I1151" s="12">
        <v>0.12939999999999999</v>
      </c>
      <c r="J1151" s="9" t="s">
        <v>412</v>
      </c>
      <c r="K1151" s="9" t="s">
        <v>604</v>
      </c>
    </row>
    <row r="1152" spans="1:11" ht="28.8">
      <c r="A1152" s="9" t="s">
        <v>603</v>
      </c>
      <c r="B1152" s="9" t="s">
        <v>668</v>
      </c>
      <c r="C1152" s="9" t="s">
        <v>677</v>
      </c>
      <c r="D1152" s="12">
        <v>0.14069999999999999</v>
      </c>
      <c r="E1152" s="12">
        <v>0.23269999999999999</v>
      </c>
      <c r="F1152" s="12">
        <v>1.4800000000000001E-2</v>
      </c>
      <c r="G1152" s="12">
        <v>0.18669999999999998</v>
      </c>
      <c r="H1152" s="12">
        <v>0.12939999999999999</v>
      </c>
      <c r="I1152" s="12">
        <v>0.12939999999999999</v>
      </c>
      <c r="J1152" s="9" t="s">
        <v>412</v>
      </c>
      <c r="K1152" s="9" t="s">
        <v>654</v>
      </c>
    </row>
    <row r="1153" spans="1:11" ht="28.8">
      <c r="A1153" s="9" t="s">
        <v>682</v>
      </c>
      <c r="B1153" s="9" t="s">
        <v>688</v>
      </c>
      <c r="C1153" s="9" t="s">
        <v>664</v>
      </c>
      <c r="D1153" s="12">
        <v>-0.08</v>
      </c>
      <c r="E1153" s="12">
        <v>5.6800000000000003E-2</v>
      </c>
      <c r="F1153" s="12">
        <v>0.251</v>
      </c>
      <c r="G1153" s="12">
        <v>-1.1599999999999999E-2</v>
      </c>
      <c r="H1153" s="12">
        <v>7.5899999999999995E-2</v>
      </c>
      <c r="I1153" s="12">
        <v>0.1293</v>
      </c>
      <c r="J1153" s="9" t="s">
        <v>412</v>
      </c>
      <c r="K1153" s="9" t="s">
        <v>604</v>
      </c>
    </row>
    <row r="1154" spans="1:11" ht="28.8">
      <c r="A1154" s="9" t="s">
        <v>603</v>
      </c>
      <c r="B1154" s="9" t="s">
        <v>668</v>
      </c>
      <c r="C1154" s="9" t="s">
        <v>674</v>
      </c>
      <c r="D1154" s="12">
        <v>-0.1212</v>
      </c>
      <c r="E1154" s="12">
        <v>0.23269999999999999</v>
      </c>
      <c r="F1154" s="12">
        <v>3.4000000000000002E-2</v>
      </c>
      <c r="G1154" s="12">
        <v>5.5749999999999994E-2</v>
      </c>
      <c r="H1154" s="12">
        <v>4.8500000000000001E-2</v>
      </c>
      <c r="I1154" s="12">
        <v>0.1293</v>
      </c>
      <c r="J1154" s="9" t="s">
        <v>412</v>
      </c>
      <c r="K1154" s="9" t="s">
        <v>604</v>
      </c>
    </row>
    <row r="1155" spans="1:11" ht="28.8">
      <c r="A1155" s="9" t="s">
        <v>603</v>
      </c>
      <c r="B1155" s="9" t="s">
        <v>672</v>
      </c>
      <c r="C1155" s="9" t="s">
        <v>674</v>
      </c>
      <c r="D1155" s="12">
        <v>-0.1212</v>
      </c>
      <c r="E1155" s="12">
        <v>-0.21229999999999999</v>
      </c>
      <c r="F1155" s="12">
        <v>5.2299999999999999E-2</v>
      </c>
      <c r="G1155" s="12">
        <v>-0.16675000000000001</v>
      </c>
      <c r="H1155" s="12">
        <v>-9.3799999999999994E-2</v>
      </c>
      <c r="I1155" s="12">
        <v>0.12859999999999999</v>
      </c>
      <c r="J1155" s="9" t="s">
        <v>412</v>
      </c>
      <c r="K1155" s="9" t="s">
        <v>604</v>
      </c>
    </row>
    <row r="1156" spans="1:11" ht="28.8">
      <c r="A1156" s="9" t="s">
        <v>671</v>
      </c>
      <c r="B1156" s="9" t="s">
        <v>673</v>
      </c>
      <c r="C1156" s="9" t="s">
        <v>656</v>
      </c>
      <c r="D1156" s="12">
        <v>6.54E-2</v>
      </c>
      <c r="E1156" s="12">
        <v>-0.12470000000000001</v>
      </c>
      <c r="F1156" s="12">
        <v>-0.19539999999999999</v>
      </c>
      <c r="G1156" s="12">
        <v>-2.9650000000000003E-2</v>
      </c>
      <c r="H1156" s="12">
        <v>-8.4900000000000003E-2</v>
      </c>
      <c r="I1156" s="12">
        <v>0.1285</v>
      </c>
      <c r="J1156" s="9" t="s">
        <v>412</v>
      </c>
      <c r="K1156" s="9" t="s">
        <v>604</v>
      </c>
    </row>
    <row r="1157" spans="1:11">
      <c r="A1157" s="9" t="s">
        <v>662</v>
      </c>
      <c r="B1157" s="9" t="s">
        <v>684</v>
      </c>
      <c r="C1157" s="9" t="s">
        <v>655</v>
      </c>
      <c r="D1157" s="12">
        <v>5.6899999999999999E-2</v>
      </c>
      <c r="E1157" s="12">
        <v>-0.2475</v>
      </c>
      <c r="F1157" s="12">
        <v>8.1100000000000005E-2</v>
      </c>
      <c r="G1157" s="12">
        <v>-9.5299999999999996E-2</v>
      </c>
      <c r="H1157" s="12">
        <v>-3.6499999999999998E-2</v>
      </c>
      <c r="I1157" s="12">
        <v>0.1285</v>
      </c>
      <c r="J1157" s="9" t="s">
        <v>412</v>
      </c>
      <c r="K1157" s="9" t="s">
        <v>604</v>
      </c>
    </row>
    <row r="1158" spans="1:11" ht="28.8">
      <c r="A1158" s="9" t="s">
        <v>661</v>
      </c>
      <c r="B1158" s="9" t="s">
        <v>689</v>
      </c>
      <c r="C1158" s="9" t="s">
        <v>601</v>
      </c>
      <c r="D1158" s="12">
        <v>-0.2266</v>
      </c>
      <c r="E1158" s="12">
        <v>-0.1028</v>
      </c>
      <c r="F1158" s="12">
        <v>5.5399999999999998E-2</v>
      </c>
      <c r="G1158" s="12">
        <v>-0.16470000000000001</v>
      </c>
      <c r="H1158" s="12">
        <v>-9.1399999999999995E-2</v>
      </c>
      <c r="I1158" s="12">
        <v>0.1283</v>
      </c>
      <c r="J1158" s="9" t="s">
        <v>412</v>
      </c>
      <c r="K1158" s="9" t="s">
        <v>604</v>
      </c>
    </row>
    <row r="1159" spans="1:11" ht="28.8">
      <c r="A1159" s="9" t="s">
        <v>662</v>
      </c>
      <c r="B1159" s="9" t="s">
        <v>680</v>
      </c>
      <c r="C1159" s="9" t="s">
        <v>601</v>
      </c>
      <c r="D1159" s="12">
        <v>-0.1173</v>
      </c>
      <c r="E1159" s="12">
        <v>-1.8100000000000002E-2</v>
      </c>
      <c r="F1159" s="12">
        <v>-0.2492</v>
      </c>
      <c r="G1159" s="12">
        <v>-6.7699999999999996E-2</v>
      </c>
      <c r="H1159" s="12">
        <v>-0.12820000000000001</v>
      </c>
      <c r="I1159" s="12">
        <v>0.12820000000000001</v>
      </c>
      <c r="J1159" s="9" t="s">
        <v>412</v>
      </c>
      <c r="K1159" s="9" t="s">
        <v>604</v>
      </c>
    </row>
    <row r="1160" spans="1:11" ht="28.8">
      <c r="A1160" s="9" t="s">
        <v>679</v>
      </c>
      <c r="B1160" s="9" t="s">
        <v>678</v>
      </c>
      <c r="C1160" s="9" t="s">
        <v>601</v>
      </c>
      <c r="D1160" s="12">
        <v>-8.3900000000000002E-2</v>
      </c>
      <c r="E1160" s="12">
        <v>-9.2299999999999993E-2</v>
      </c>
      <c r="F1160" s="12">
        <v>0.2079</v>
      </c>
      <c r="G1160" s="12">
        <v>-8.8099999999999998E-2</v>
      </c>
      <c r="H1160" s="12">
        <v>1.06E-2</v>
      </c>
      <c r="I1160" s="12">
        <v>0.128</v>
      </c>
      <c r="J1160" s="9" t="s">
        <v>412</v>
      </c>
      <c r="K1160" s="9" t="s">
        <v>604</v>
      </c>
    </row>
    <row r="1161" spans="1:11">
      <c r="A1161" s="9" t="s">
        <v>662</v>
      </c>
      <c r="B1161" s="9" t="s">
        <v>691</v>
      </c>
      <c r="C1161" s="9" t="s">
        <v>670</v>
      </c>
      <c r="D1161" s="12">
        <v>-0.18790000000000001</v>
      </c>
      <c r="E1161" s="12">
        <v>7.0099999999999996E-2</v>
      </c>
      <c r="F1161" s="12">
        <v>0.1258</v>
      </c>
      <c r="G1161" s="12">
        <v>-5.8900000000000008E-2</v>
      </c>
      <c r="H1161" s="12">
        <v>2.5999999999999999E-3</v>
      </c>
      <c r="I1161" s="12">
        <v>0.12790000000000001</v>
      </c>
      <c r="J1161" s="9" t="s">
        <v>412</v>
      </c>
      <c r="K1161" s="9" t="s">
        <v>604</v>
      </c>
    </row>
    <row r="1162" spans="1:11">
      <c r="A1162" s="9" t="s">
        <v>609</v>
      </c>
      <c r="B1162" s="9" t="s">
        <v>681</v>
      </c>
      <c r="C1162" s="9" t="s">
        <v>656</v>
      </c>
      <c r="D1162" s="12">
        <v>0.22770000000000001</v>
      </c>
      <c r="E1162" s="12">
        <v>-2E-3</v>
      </c>
      <c r="F1162" s="12">
        <v>0.15409999999999999</v>
      </c>
      <c r="G1162" s="12">
        <v>0.11285000000000001</v>
      </c>
      <c r="H1162" s="12">
        <v>0.12659999999999999</v>
      </c>
      <c r="I1162" s="12">
        <v>0.12790000000000001</v>
      </c>
      <c r="J1162" s="9" t="s">
        <v>412</v>
      </c>
      <c r="K1162" s="9" t="s">
        <v>604</v>
      </c>
    </row>
    <row r="1163" spans="1:11" ht="28.8">
      <c r="A1163" s="9" t="s">
        <v>662</v>
      </c>
      <c r="B1163" s="9" t="s">
        <v>685</v>
      </c>
      <c r="C1163" s="9" t="s">
        <v>601</v>
      </c>
      <c r="D1163" s="12">
        <v>-0.1173</v>
      </c>
      <c r="E1163" s="12">
        <v>0.1087</v>
      </c>
      <c r="F1163" s="12">
        <v>-0.157</v>
      </c>
      <c r="G1163" s="12">
        <v>-4.2999999999999983E-3</v>
      </c>
      <c r="H1163" s="12">
        <v>-5.5199999999999999E-2</v>
      </c>
      <c r="I1163" s="12">
        <v>0.12770000000000001</v>
      </c>
      <c r="J1163" s="9" t="s">
        <v>412</v>
      </c>
      <c r="K1163" s="9" t="s">
        <v>604</v>
      </c>
    </row>
    <row r="1164" spans="1:11">
      <c r="A1164" s="9" t="s">
        <v>610</v>
      </c>
      <c r="B1164" s="9" t="s">
        <v>689</v>
      </c>
      <c r="C1164" s="9" t="s">
        <v>670</v>
      </c>
      <c r="D1164" s="12">
        <v>-0.1699</v>
      </c>
      <c r="E1164" s="12">
        <v>-1.21E-2</v>
      </c>
      <c r="F1164" s="12">
        <v>0.20100000000000001</v>
      </c>
      <c r="G1164" s="12">
        <v>-9.0999999999999998E-2</v>
      </c>
      <c r="H1164" s="12">
        <v>6.4000000000000003E-3</v>
      </c>
      <c r="I1164" s="12">
        <v>0.12770000000000001</v>
      </c>
      <c r="J1164" s="9" t="s">
        <v>412</v>
      </c>
      <c r="K1164" s="9" t="s">
        <v>604</v>
      </c>
    </row>
    <row r="1165" spans="1:11" ht="28.8">
      <c r="A1165" s="9" t="s">
        <v>671</v>
      </c>
      <c r="B1165" s="9" t="s">
        <v>665</v>
      </c>
      <c r="C1165" s="9" t="s">
        <v>659</v>
      </c>
      <c r="D1165" s="12">
        <v>0.13159999999999999</v>
      </c>
      <c r="E1165" s="12">
        <v>0.1009</v>
      </c>
      <c r="F1165" s="12">
        <v>0.1502</v>
      </c>
      <c r="G1165" s="12">
        <v>0.11624999999999999</v>
      </c>
      <c r="H1165" s="12">
        <v>0.12759999999999999</v>
      </c>
      <c r="I1165" s="12">
        <v>0.12759999999999999</v>
      </c>
      <c r="J1165" s="9" t="s">
        <v>412</v>
      </c>
      <c r="K1165" s="9" t="s">
        <v>654</v>
      </c>
    </row>
    <row r="1166" spans="1:11" ht="28.8">
      <c r="A1166" s="9" t="s">
        <v>671</v>
      </c>
      <c r="B1166" s="9" t="s">
        <v>689</v>
      </c>
      <c r="C1166" s="9" t="s">
        <v>656</v>
      </c>
      <c r="D1166" s="12">
        <v>6.54E-2</v>
      </c>
      <c r="E1166" s="12">
        <v>-0.12859999999999999</v>
      </c>
      <c r="F1166" s="12">
        <v>-0.1888</v>
      </c>
      <c r="G1166" s="12">
        <v>-3.1599999999999996E-2</v>
      </c>
      <c r="H1166" s="12">
        <v>-8.4000000000000005E-2</v>
      </c>
      <c r="I1166" s="12">
        <v>0.12759999999999999</v>
      </c>
      <c r="J1166" s="9" t="s">
        <v>412</v>
      </c>
      <c r="K1166" s="9" t="s">
        <v>604</v>
      </c>
    </row>
    <row r="1167" spans="1:11">
      <c r="A1167" s="9" t="s">
        <v>609</v>
      </c>
      <c r="B1167" s="9" t="s">
        <v>676</v>
      </c>
      <c r="C1167" s="9" t="s">
        <v>655</v>
      </c>
      <c r="D1167" s="12">
        <v>0.16819999999999999</v>
      </c>
      <c r="E1167" s="12">
        <v>-3.9E-2</v>
      </c>
      <c r="F1167" s="12">
        <v>0.17549999999999999</v>
      </c>
      <c r="G1167" s="12">
        <v>6.4599999999999991E-2</v>
      </c>
      <c r="H1167" s="12">
        <v>0.1016</v>
      </c>
      <c r="I1167" s="12">
        <v>0.12759999999999999</v>
      </c>
      <c r="J1167" s="9" t="s">
        <v>412</v>
      </c>
      <c r="K1167" s="9" t="s">
        <v>604</v>
      </c>
    </row>
    <row r="1168" spans="1:11">
      <c r="A1168" s="9" t="s">
        <v>682</v>
      </c>
      <c r="B1168" s="9" t="s">
        <v>668</v>
      </c>
      <c r="C1168" s="9" t="s">
        <v>655</v>
      </c>
      <c r="D1168" s="12">
        <v>7.3099999999999998E-2</v>
      </c>
      <c r="E1168" s="12">
        <v>7.3000000000000001E-3</v>
      </c>
      <c r="F1168" s="12">
        <v>-0.3019</v>
      </c>
      <c r="G1168" s="12">
        <v>4.02E-2</v>
      </c>
      <c r="H1168" s="12">
        <v>-7.3800000000000004E-2</v>
      </c>
      <c r="I1168" s="12">
        <v>0.1275</v>
      </c>
      <c r="J1168" s="9" t="s">
        <v>412</v>
      </c>
      <c r="K1168" s="9" t="s">
        <v>604</v>
      </c>
    </row>
    <row r="1169" spans="1:11" ht="28.8">
      <c r="A1169" s="9" t="s">
        <v>610</v>
      </c>
      <c r="B1169" s="9" t="s">
        <v>602</v>
      </c>
      <c r="C1169" s="9" t="s">
        <v>683</v>
      </c>
      <c r="D1169" s="12">
        <v>-8.1500000000000003E-2</v>
      </c>
      <c r="E1169" s="12">
        <v>-0.19400000000000001</v>
      </c>
      <c r="F1169" s="12">
        <v>0.107</v>
      </c>
      <c r="G1169" s="12">
        <v>-0.13775000000000001</v>
      </c>
      <c r="H1169" s="12">
        <v>-5.6099999999999997E-2</v>
      </c>
      <c r="I1169" s="12">
        <v>0.1275</v>
      </c>
      <c r="J1169" s="9" t="s">
        <v>412</v>
      </c>
      <c r="K1169" s="9" t="s">
        <v>604</v>
      </c>
    </row>
    <row r="1170" spans="1:11">
      <c r="A1170" s="9" t="s">
        <v>610</v>
      </c>
      <c r="B1170" s="9" t="s">
        <v>669</v>
      </c>
      <c r="C1170" s="9" t="s">
        <v>659</v>
      </c>
      <c r="D1170" s="12">
        <v>0.1174</v>
      </c>
      <c r="E1170" s="12">
        <v>-0.2331</v>
      </c>
      <c r="F1170" s="12">
        <v>3.1899999999999998E-2</v>
      </c>
      <c r="G1170" s="12">
        <v>-5.7849999999999999E-2</v>
      </c>
      <c r="H1170" s="12">
        <v>-2.8000000000000001E-2</v>
      </c>
      <c r="I1170" s="12">
        <v>0.1275</v>
      </c>
      <c r="J1170" s="9" t="s">
        <v>412</v>
      </c>
      <c r="K1170" s="9" t="s">
        <v>604</v>
      </c>
    </row>
    <row r="1171" spans="1:11">
      <c r="A1171" s="9" t="s">
        <v>662</v>
      </c>
      <c r="B1171" s="9" t="s">
        <v>673</v>
      </c>
      <c r="C1171" s="9" t="s">
        <v>670</v>
      </c>
      <c r="D1171" s="12">
        <v>-0.18790000000000001</v>
      </c>
      <c r="E1171" s="12">
        <v>4.2999999999999997E-2</v>
      </c>
      <c r="F1171" s="12">
        <v>0.15040000000000001</v>
      </c>
      <c r="G1171" s="12">
        <v>-7.2450000000000014E-2</v>
      </c>
      <c r="H1171" s="12">
        <v>1.8E-3</v>
      </c>
      <c r="I1171" s="12">
        <v>0.12709999999999999</v>
      </c>
      <c r="J1171" s="9" t="s">
        <v>412</v>
      </c>
      <c r="K1171" s="9" t="s">
        <v>604</v>
      </c>
    </row>
    <row r="1172" spans="1:11" ht="28.8">
      <c r="A1172" s="9" t="s">
        <v>679</v>
      </c>
      <c r="B1172" s="9" t="s">
        <v>686</v>
      </c>
      <c r="C1172" s="9" t="s">
        <v>601</v>
      </c>
      <c r="D1172" s="12">
        <v>-8.3900000000000002E-2</v>
      </c>
      <c r="E1172" s="12">
        <v>0.2019</v>
      </c>
      <c r="F1172" s="12">
        <v>-9.5100000000000004E-2</v>
      </c>
      <c r="G1172" s="12">
        <v>5.8999999999999997E-2</v>
      </c>
      <c r="H1172" s="12">
        <v>7.7000000000000002E-3</v>
      </c>
      <c r="I1172" s="12">
        <v>0.127</v>
      </c>
      <c r="J1172" s="9" t="s">
        <v>412</v>
      </c>
      <c r="K1172" s="9" t="s">
        <v>604</v>
      </c>
    </row>
    <row r="1173" spans="1:11" ht="28.8">
      <c r="A1173" s="9" t="s">
        <v>679</v>
      </c>
      <c r="B1173" s="9" t="s">
        <v>653</v>
      </c>
      <c r="C1173" s="9" t="s">
        <v>659</v>
      </c>
      <c r="D1173" s="12">
        <v>-6.4799999999999996E-2</v>
      </c>
      <c r="E1173" s="12">
        <v>6.2700000000000006E-2</v>
      </c>
      <c r="F1173" s="12">
        <v>-0.2535</v>
      </c>
      <c r="G1173" s="12">
        <v>-1.0499999999999954E-3</v>
      </c>
      <c r="H1173" s="12">
        <v>-8.5199999999999998E-2</v>
      </c>
      <c r="I1173" s="12">
        <v>0.127</v>
      </c>
      <c r="J1173" s="9" t="s">
        <v>412</v>
      </c>
      <c r="K1173" s="9" t="s">
        <v>604</v>
      </c>
    </row>
    <row r="1174" spans="1:11" ht="28.8">
      <c r="A1174" s="9" t="s">
        <v>679</v>
      </c>
      <c r="B1174" s="9" t="s">
        <v>680</v>
      </c>
      <c r="C1174" s="9" t="s">
        <v>683</v>
      </c>
      <c r="D1174" s="12">
        <v>0.16389999999999999</v>
      </c>
      <c r="E1174" s="12">
        <v>0.1643</v>
      </c>
      <c r="F1174" s="12">
        <v>5.2699999999999997E-2</v>
      </c>
      <c r="G1174" s="12">
        <v>0.1641</v>
      </c>
      <c r="H1174" s="12">
        <v>0.12690000000000001</v>
      </c>
      <c r="I1174" s="12">
        <v>0.12690000000000001</v>
      </c>
      <c r="J1174" s="9" t="s">
        <v>412</v>
      </c>
      <c r="K1174" s="9" t="s">
        <v>654</v>
      </c>
    </row>
    <row r="1175" spans="1:11" ht="28.8">
      <c r="A1175" s="9" t="s">
        <v>610</v>
      </c>
      <c r="B1175" s="9" t="s">
        <v>687</v>
      </c>
      <c r="C1175" s="9" t="s">
        <v>674</v>
      </c>
      <c r="D1175" s="12">
        <v>-0.1986</v>
      </c>
      <c r="E1175" s="12">
        <v>1.24E-2</v>
      </c>
      <c r="F1175" s="12">
        <v>0.16930000000000001</v>
      </c>
      <c r="G1175" s="12">
        <v>-9.3100000000000002E-2</v>
      </c>
      <c r="H1175" s="12">
        <v>-5.5999999999999999E-3</v>
      </c>
      <c r="I1175" s="12">
        <v>0.1268</v>
      </c>
      <c r="J1175" s="9" t="s">
        <v>412</v>
      </c>
      <c r="K1175" s="9" t="s">
        <v>604</v>
      </c>
    </row>
    <row r="1176" spans="1:11" ht="28.8">
      <c r="A1176" s="9" t="s">
        <v>603</v>
      </c>
      <c r="B1176" s="9" t="s">
        <v>686</v>
      </c>
      <c r="C1176" s="9" t="s">
        <v>677</v>
      </c>
      <c r="D1176" s="12">
        <v>0.14069999999999999</v>
      </c>
      <c r="E1176" s="12">
        <v>-0.11899999999999999</v>
      </c>
      <c r="F1176" s="12">
        <v>0.1203</v>
      </c>
      <c r="G1176" s="12">
        <v>1.0849999999999999E-2</v>
      </c>
      <c r="H1176" s="12">
        <v>4.7399999999999998E-2</v>
      </c>
      <c r="I1176" s="12">
        <v>0.12670000000000001</v>
      </c>
      <c r="J1176" s="9" t="s">
        <v>412</v>
      </c>
      <c r="K1176" s="9" t="s">
        <v>604</v>
      </c>
    </row>
    <row r="1177" spans="1:11" ht="28.8">
      <c r="A1177" s="9" t="s">
        <v>603</v>
      </c>
      <c r="B1177" s="9" t="s">
        <v>676</v>
      </c>
      <c r="C1177" s="9" t="s">
        <v>659</v>
      </c>
      <c r="D1177" s="12">
        <v>-0.17230000000000001</v>
      </c>
      <c r="E1177" s="12">
        <v>-0.1002</v>
      </c>
      <c r="F1177" s="12">
        <v>0.1076</v>
      </c>
      <c r="G1177" s="12">
        <v>-0.13625000000000001</v>
      </c>
      <c r="H1177" s="12">
        <v>-5.5E-2</v>
      </c>
      <c r="I1177" s="12">
        <v>0.12670000000000001</v>
      </c>
      <c r="J1177" s="9" t="s">
        <v>412</v>
      </c>
      <c r="K1177" s="9" t="s">
        <v>604</v>
      </c>
    </row>
    <row r="1178" spans="1:11" ht="28.8">
      <c r="A1178" s="9" t="s">
        <v>679</v>
      </c>
      <c r="B1178" s="9" t="s">
        <v>685</v>
      </c>
      <c r="C1178" s="9" t="s">
        <v>675</v>
      </c>
      <c r="D1178" s="12">
        <v>4.0599999999999997E-2</v>
      </c>
      <c r="E1178" s="12">
        <v>0.22770000000000001</v>
      </c>
      <c r="F1178" s="12">
        <v>0.11119999999999999</v>
      </c>
      <c r="G1178" s="12">
        <v>0.13414999999999999</v>
      </c>
      <c r="H1178" s="12">
        <v>0.1265</v>
      </c>
      <c r="I1178" s="12">
        <v>0.1265</v>
      </c>
      <c r="J1178" s="9" t="s">
        <v>412</v>
      </c>
      <c r="K1178" s="9" t="s">
        <v>654</v>
      </c>
    </row>
    <row r="1179" spans="1:11" ht="28.8">
      <c r="A1179" s="9" t="s">
        <v>610</v>
      </c>
      <c r="B1179" s="9" t="s">
        <v>669</v>
      </c>
      <c r="C1179" s="9" t="s">
        <v>683</v>
      </c>
      <c r="D1179" s="12">
        <v>-8.1500000000000003E-2</v>
      </c>
      <c r="E1179" s="12">
        <v>-0.2331</v>
      </c>
      <c r="F1179" s="12">
        <v>6.4799999999999996E-2</v>
      </c>
      <c r="G1179" s="12">
        <v>-0.1573</v>
      </c>
      <c r="H1179" s="12">
        <v>-8.3299999999999999E-2</v>
      </c>
      <c r="I1179" s="12">
        <v>0.1265</v>
      </c>
      <c r="J1179" s="9" t="s">
        <v>412</v>
      </c>
      <c r="K1179" s="9" t="s">
        <v>604</v>
      </c>
    </row>
    <row r="1180" spans="1:11" ht="28.8">
      <c r="A1180" s="9" t="s">
        <v>603</v>
      </c>
      <c r="B1180" s="9" t="s">
        <v>687</v>
      </c>
      <c r="C1180" s="9" t="s">
        <v>683</v>
      </c>
      <c r="D1180" s="12">
        <v>0.17660000000000001</v>
      </c>
      <c r="E1180" s="12">
        <v>-0.1457</v>
      </c>
      <c r="F1180" s="12">
        <v>5.7099999999999998E-2</v>
      </c>
      <c r="G1180" s="12">
        <v>1.5450000000000005E-2</v>
      </c>
      <c r="H1180" s="12">
        <v>2.93E-2</v>
      </c>
      <c r="I1180" s="12">
        <v>0.1265</v>
      </c>
      <c r="J1180" s="9" t="s">
        <v>412</v>
      </c>
      <c r="K1180" s="9" t="s">
        <v>604</v>
      </c>
    </row>
    <row r="1181" spans="1:11" ht="28.8">
      <c r="A1181" s="9" t="s">
        <v>661</v>
      </c>
      <c r="B1181" s="9" t="s">
        <v>665</v>
      </c>
      <c r="C1181" s="9" t="s">
        <v>664</v>
      </c>
      <c r="D1181" s="12">
        <v>-2.4199999999999999E-2</v>
      </c>
      <c r="E1181" s="12">
        <v>0.1731</v>
      </c>
      <c r="F1181" s="12">
        <v>-0.1817</v>
      </c>
      <c r="G1181" s="12">
        <v>7.4450000000000002E-2</v>
      </c>
      <c r="H1181" s="12">
        <v>-1.09E-2</v>
      </c>
      <c r="I1181" s="12">
        <v>0.1263</v>
      </c>
      <c r="J1181" s="9" t="s">
        <v>412</v>
      </c>
      <c r="K1181" s="9" t="s">
        <v>604</v>
      </c>
    </row>
    <row r="1182" spans="1:11" ht="28.8">
      <c r="A1182" s="9" t="s">
        <v>682</v>
      </c>
      <c r="B1182" s="9" t="s">
        <v>668</v>
      </c>
      <c r="C1182" s="9" t="s">
        <v>601</v>
      </c>
      <c r="D1182" s="12">
        <v>-3.2099999999999997E-2</v>
      </c>
      <c r="E1182" s="12">
        <v>7.3000000000000001E-3</v>
      </c>
      <c r="F1182" s="12">
        <v>0.33939999999999998</v>
      </c>
      <c r="G1182" s="12">
        <v>-1.2399999999999998E-2</v>
      </c>
      <c r="H1182" s="12">
        <v>0.10489999999999999</v>
      </c>
      <c r="I1182" s="12">
        <v>0.1263</v>
      </c>
      <c r="J1182" s="9" t="s">
        <v>412</v>
      </c>
      <c r="K1182" s="9" t="s">
        <v>604</v>
      </c>
    </row>
    <row r="1183" spans="1:11" ht="28.8">
      <c r="A1183" s="9" t="s">
        <v>662</v>
      </c>
      <c r="B1183" s="9" t="s">
        <v>665</v>
      </c>
      <c r="C1183" s="9" t="s">
        <v>664</v>
      </c>
      <c r="D1183" s="12">
        <v>-2.87E-2</v>
      </c>
      <c r="E1183" s="12">
        <v>-0.1681</v>
      </c>
      <c r="F1183" s="12">
        <v>-0.1817</v>
      </c>
      <c r="G1183" s="12">
        <v>-9.8400000000000001E-2</v>
      </c>
      <c r="H1183" s="12">
        <v>-0.12620000000000001</v>
      </c>
      <c r="I1183" s="12">
        <v>0.12620000000000001</v>
      </c>
      <c r="J1183" s="9" t="s">
        <v>412</v>
      </c>
      <c r="K1183" s="9" t="s">
        <v>604</v>
      </c>
    </row>
    <row r="1184" spans="1:11" ht="28.8">
      <c r="A1184" s="9" t="s">
        <v>662</v>
      </c>
      <c r="B1184" s="9" t="s">
        <v>680</v>
      </c>
      <c r="C1184" s="9" t="s">
        <v>666</v>
      </c>
      <c r="D1184" s="12">
        <v>-0.1094</v>
      </c>
      <c r="E1184" s="12">
        <v>-1.8100000000000002E-2</v>
      </c>
      <c r="F1184" s="12">
        <v>0.25119999999999998</v>
      </c>
      <c r="G1184" s="12">
        <v>-6.3750000000000001E-2</v>
      </c>
      <c r="H1184" s="12">
        <v>4.1300000000000003E-2</v>
      </c>
      <c r="I1184" s="12">
        <v>0.12620000000000001</v>
      </c>
      <c r="J1184" s="9" t="s">
        <v>412</v>
      </c>
      <c r="K1184" s="9" t="s">
        <v>604</v>
      </c>
    </row>
    <row r="1185" spans="1:11" ht="28.8">
      <c r="A1185" s="9" t="s">
        <v>679</v>
      </c>
      <c r="B1185" s="9" t="s">
        <v>602</v>
      </c>
      <c r="C1185" s="9" t="s">
        <v>677</v>
      </c>
      <c r="D1185" s="12">
        <v>0.13189999999999999</v>
      </c>
      <c r="E1185" s="12">
        <v>-2.3400000000000001E-2</v>
      </c>
      <c r="F1185" s="12">
        <v>-0.223</v>
      </c>
      <c r="G1185" s="12">
        <v>5.4249999999999993E-2</v>
      </c>
      <c r="H1185" s="12">
        <v>-3.8199999999999998E-2</v>
      </c>
      <c r="I1185" s="12">
        <v>0.12609999999999999</v>
      </c>
      <c r="J1185" s="9" t="s">
        <v>412</v>
      </c>
      <c r="K1185" s="9" t="s">
        <v>604</v>
      </c>
    </row>
    <row r="1186" spans="1:11">
      <c r="A1186" s="9" t="s">
        <v>610</v>
      </c>
      <c r="B1186" s="9" t="s">
        <v>678</v>
      </c>
      <c r="C1186" s="9" t="s">
        <v>663</v>
      </c>
      <c r="D1186" s="12">
        <v>-0.2303</v>
      </c>
      <c r="E1186" s="12">
        <v>3.4000000000000002E-2</v>
      </c>
      <c r="F1186" s="12">
        <v>-0.1142</v>
      </c>
      <c r="G1186" s="12">
        <v>-9.8150000000000001E-2</v>
      </c>
      <c r="H1186" s="12">
        <v>-0.10349999999999999</v>
      </c>
      <c r="I1186" s="12">
        <v>0.12609999999999999</v>
      </c>
      <c r="J1186" s="9" t="s">
        <v>412</v>
      </c>
      <c r="K1186" s="9" t="s">
        <v>604</v>
      </c>
    </row>
    <row r="1187" spans="1:11">
      <c r="A1187" s="9" t="s">
        <v>682</v>
      </c>
      <c r="B1187" s="9" t="s">
        <v>676</v>
      </c>
      <c r="C1187" s="9" t="s">
        <v>659</v>
      </c>
      <c r="D1187" s="12">
        <v>0.1188</v>
      </c>
      <c r="E1187" s="12">
        <v>0.1517</v>
      </c>
      <c r="F1187" s="12">
        <v>0.1076</v>
      </c>
      <c r="G1187" s="12">
        <v>0.13525000000000001</v>
      </c>
      <c r="H1187" s="12">
        <v>0.126</v>
      </c>
      <c r="I1187" s="12">
        <v>0.126</v>
      </c>
      <c r="J1187" s="9" t="s">
        <v>412</v>
      </c>
      <c r="K1187" s="9" t="s">
        <v>654</v>
      </c>
    </row>
    <row r="1188" spans="1:11" ht="28.8">
      <c r="A1188" s="9" t="s">
        <v>679</v>
      </c>
      <c r="B1188" s="9" t="s">
        <v>660</v>
      </c>
      <c r="C1188" s="9" t="s">
        <v>674</v>
      </c>
      <c r="D1188" s="12">
        <v>0.11849999999999999</v>
      </c>
      <c r="E1188" s="12">
        <v>-2.46E-2</v>
      </c>
      <c r="F1188" s="12">
        <v>-0.2349</v>
      </c>
      <c r="G1188" s="12">
        <v>4.6949999999999999E-2</v>
      </c>
      <c r="H1188" s="12">
        <v>-4.7E-2</v>
      </c>
      <c r="I1188" s="12">
        <v>0.126</v>
      </c>
      <c r="J1188" s="9" t="s">
        <v>412</v>
      </c>
      <c r="K1188" s="9" t="s">
        <v>604</v>
      </c>
    </row>
    <row r="1189" spans="1:11" ht="28.8">
      <c r="A1189" s="9" t="s">
        <v>671</v>
      </c>
      <c r="B1189" s="9" t="s">
        <v>669</v>
      </c>
      <c r="C1189" s="9" t="s">
        <v>683</v>
      </c>
      <c r="D1189" s="12">
        <v>0.1066</v>
      </c>
      <c r="E1189" s="12">
        <v>0.20669999999999999</v>
      </c>
      <c r="F1189" s="12">
        <v>6.4799999999999996E-2</v>
      </c>
      <c r="G1189" s="12">
        <v>0.15665000000000001</v>
      </c>
      <c r="H1189" s="12">
        <v>0.126</v>
      </c>
      <c r="I1189" s="12">
        <v>0.126</v>
      </c>
      <c r="J1189" s="9" t="s">
        <v>412</v>
      </c>
      <c r="K1189" s="9" t="s">
        <v>654</v>
      </c>
    </row>
    <row r="1190" spans="1:11" ht="28.8">
      <c r="A1190" s="9" t="s">
        <v>671</v>
      </c>
      <c r="B1190" s="9" t="s">
        <v>602</v>
      </c>
      <c r="C1190" s="9" t="s">
        <v>677</v>
      </c>
      <c r="D1190" s="12">
        <v>6.8900000000000003E-2</v>
      </c>
      <c r="E1190" s="12">
        <v>-8.6199999999999999E-2</v>
      </c>
      <c r="F1190" s="12">
        <v>-0.223</v>
      </c>
      <c r="G1190" s="12">
        <v>-8.649999999999998E-3</v>
      </c>
      <c r="H1190" s="12">
        <v>-8.0100000000000005E-2</v>
      </c>
      <c r="I1190" s="12">
        <v>0.126</v>
      </c>
      <c r="J1190" s="9" t="s">
        <v>412</v>
      </c>
      <c r="K1190" s="9" t="s">
        <v>604</v>
      </c>
    </row>
    <row r="1191" spans="1:11" ht="28.8">
      <c r="A1191" s="9" t="s">
        <v>661</v>
      </c>
      <c r="B1191" s="9" t="s">
        <v>653</v>
      </c>
      <c r="C1191" s="9" t="s">
        <v>664</v>
      </c>
      <c r="D1191" s="12">
        <v>-2.4199999999999999E-2</v>
      </c>
      <c r="E1191" s="12">
        <v>-0.21010000000000001</v>
      </c>
      <c r="F1191" s="12">
        <v>0.14360000000000001</v>
      </c>
      <c r="G1191" s="12">
        <v>-0.11715</v>
      </c>
      <c r="H1191" s="12">
        <v>-3.0200000000000001E-2</v>
      </c>
      <c r="I1191" s="12">
        <v>0.126</v>
      </c>
      <c r="J1191" s="9" t="s">
        <v>412</v>
      </c>
      <c r="K1191" s="9" t="s">
        <v>604</v>
      </c>
    </row>
    <row r="1192" spans="1:11" ht="28.8">
      <c r="A1192" s="9" t="s">
        <v>610</v>
      </c>
      <c r="B1192" s="9" t="s">
        <v>691</v>
      </c>
      <c r="C1192" s="9" t="s">
        <v>675</v>
      </c>
      <c r="D1192" s="12">
        <v>-2.1399999999999999E-2</v>
      </c>
      <c r="E1192" s="12">
        <v>0.29249999999999998</v>
      </c>
      <c r="F1192" s="12">
        <v>-6.3600000000000004E-2</v>
      </c>
      <c r="G1192" s="12">
        <v>0.13555</v>
      </c>
      <c r="H1192" s="12">
        <v>6.9199999999999998E-2</v>
      </c>
      <c r="I1192" s="12">
        <v>0.12590000000000001</v>
      </c>
      <c r="J1192" s="9" t="s">
        <v>412</v>
      </c>
      <c r="K1192" s="9" t="s">
        <v>604</v>
      </c>
    </row>
    <row r="1193" spans="1:11" ht="28.8">
      <c r="A1193" s="9" t="s">
        <v>682</v>
      </c>
      <c r="B1193" s="9" t="s">
        <v>660</v>
      </c>
      <c r="C1193" s="9" t="s">
        <v>675</v>
      </c>
      <c r="D1193" s="12">
        <v>0.06</v>
      </c>
      <c r="E1193" s="12">
        <v>-9.1399999999999995E-2</v>
      </c>
      <c r="F1193" s="12">
        <v>-0.22600000000000001</v>
      </c>
      <c r="G1193" s="12">
        <v>-1.5699999999999999E-2</v>
      </c>
      <c r="H1193" s="12">
        <v>-8.5800000000000001E-2</v>
      </c>
      <c r="I1193" s="12">
        <v>0.1258</v>
      </c>
      <c r="J1193" s="9" t="s">
        <v>412</v>
      </c>
      <c r="K1193" s="9" t="s">
        <v>604</v>
      </c>
    </row>
    <row r="1194" spans="1:11">
      <c r="A1194" s="9" t="s">
        <v>609</v>
      </c>
      <c r="B1194" s="9" t="s">
        <v>685</v>
      </c>
      <c r="C1194" s="9" t="s">
        <v>655</v>
      </c>
      <c r="D1194" s="12">
        <v>0.16819999999999999</v>
      </c>
      <c r="E1194" s="12">
        <v>3.8399999999999997E-2</v>
      </c>
      <c r="F1194" s="12">
        <v>0.17069999999999999</v>
      </c>
      <c r="G1194" s="12">
        <v>0.10329999999999999</v>
      </c>
      <c r="H1194" s="12">
        <v>0.1258</v>
      </c>
      <c r="I1194" s="12">
        <v>0.1258</v>
      </c>
      <c r="J1194" s="9" t="s">
        <v>412</v>
      </c>
      <c r="K1194" s="9" t="s">
        <v>654</v>
      </c>
    </row>
    <row r="1195" spans="1:11">
      <c r="A1195" s="9" t="s">
        <v>610</v>
      </c>
      <c r="B1195" s="9" t="s">
        <v>668</v>
      </c>
      <c r="C1195" s="9" t="s">
        <v>663</v>
      </c>
      <c r="D1195" s="12">
        <v>-0.2303</v>
      </c>
      <c r="E1195" s="12">
        <v>-9.64E-2</v>
      </c>
      <c r="F1195" s="12">
        <v>-5.04E-2</v>
      </c>
      <c r="G1195" s="12">
        <v>-0.16335</v>
      </c>
      <c r="H1195" s="12">
        <v>-0.12570000000000001</v>
      </c>
      <c r="I1195" s="12">
        <v>0.12570000000000001</v>
      </c>
      <c r="J1195" s="9" t="s">
        <v>412</v>
      </c>
      <c r="K1195" s="9" t="s">
        <v>604</v>
      </c>
    </row>
    <row r="1196" spans="1:11" ht="28.8">
      <c r="A1196" s="9" t="s">
        <v>671</v>
      </c>
      <c r="B1196" s="9" t="s">
        <v>684</v>
      </c>
      <c r="C1196" s="9" t="s">
        <v>670</v>
      </c>
      <c r="D1196" s="12">
        <v>-0.32890000000000003</v>
      </c>
      <c r="E1196" s="12">
        <v>-3.3399999999999999E-2</v>
      </c>
      <c r="F1196" s="12">
        <v>-1.49E-2</v>
      </c>
      <c r="G1196" s="12">
        <v>-0.18115000000000001</v>
      </c>
      <c r="H1196" s="12">
        <v>-0.12570000000000001</v>
      </c>
      <c r="I1196" s="12">
        <v>0.12570000000000001</v>
      </c>
      <c r="J1196" s="9" t="s">
        <v>412</v>
      </c>
      <c r="K1196" s="9" t="s">
        <v>604</v>
      </c>
    </row>
    <row r="1197" spans="1:11" ht="28.8">
      <c r="A1197" s="9" t="s">
        <v>610</v>
      </c>
      <c r="B1197" s="9" t="s">
        <v>680</v>
      </c>
      <c r="C1197" s="9" t="s">
        <v>690</v>
      </c>
      <c r="D1197" s="12">
        <v>-5.8599999999999999E-2</v>
      </c>
      <c r="E1197" s="12">
        <v>-0.1973</v>
      </c>
      <c r="F1197" s="12">
        <v>-0.12130000000000001</v>
      </c>
      <c r="G1197" s="12">
        <v>-0.12795000000000001</v>
      </c>
      <c r="H1197" s="12">
        <v>-0.12570000000000001</v>
      </c>
      <c r="I1197" s="12">
        <v>0.12570000000000001</v>
      </c>
      <c r="J1197" s="9" t="s">
        <v>412</v>
      </c>
      <c r="K1197" s="9" t="s">
        <v>604</v>
      </c>
    </row>
    <row r="1198" spans="1:11" ht="28.8">
      <c r="A1198" s="9" t="s">
        <v>682</v>
      </c>
      <c r="B1198" s="9" t="s">
        <v>681</v>
      </c>
      <c r="C1198" s="9" t="s">
        <v>683</v>
      </c>
      <c r="D1198" s="12">
        <v>-8.5099999999999995E-2</v>
      </c>
      <c r="E1198" s="12">
        <v>0.15890000000000001</v>
      </c>
      <c r="F1198" s="12">
        <v>-0.13270000000000001</v>
      </c>
      <c r="G1198" s="12">
        <v>3.6900000000000009E-2</v>
      </c>
      <c r="H1198" s="12">
        <v>-1.9599999999999999E-2</v>
      </c>
      <c r="I1198" s="12">
        <v>0.12559999999999999</v>
      </c>
      <c r="J1198" s="9" t="s">
        <v>412</v>
      </c>
      <c r="K1198" s="9" t="s">
        <v>604</v>
      </c>
    </row>
    <row r="1199" spans="1:11" ht="28.8">
      <c r="A1199" s="9" t="s">
        <v>609</v>
      </c>
      <c r="B1199" s="9" t="s">
        <v>680</v>
      </c>
      <c r="C1199" s="9" t="s">
        <v>664</v>
      </c>
      <c r="D1199" s="12">
        <v>-6.5699999999999995E-2</v>
      </c>
      <c r="E1199" s="12">
        <v>-0.1628</v>
      </c>
      <c r="F1199" s="12">
        <v>0.14829999999999999</v>
      </c>
      <c r="G1199" s="12">
        <v>-0.11424999999999999</v>
      </c>
      <c r="H1199" s="12">
        <v>-2.6700000000000002E-2</v>
      </c>
      <c r="I1199" s="12">
        <v>0.12559999999999999</v>
      </c>
      <c r="J1199" s="9" t="s">
        <v>412</v>
      </c>
      <c r="K1199" s="9" t="s">
        <v>604</v>
      </c>
    </row>
    <row r="1200" spans="1:11">
      <c r="A1200" s="9" t="s">
        <v>610</v>
      </c>
      <c r="B1200" s="9" t="s">
        <v>689</v>
      </c>
      <c r="C1200" s="9" t="s">
        <v>663</v>
      </c>
      <c r="D1200" s="12">
        <v>-0.2303</v>
      </c>
      <c r="E1200" s="12">
        <v>-1.21E-2</v>
      </c>
      <c r="F1200" s="12">
        <v>0.13370000000000001</v>
      </c>
      <c r="G1200" s="12">
        <v>-0.1212</v>
      </c>
      <c r="H1200" s="12">
        <v>-3.6200000000000003E-2</v>
      </c>
      <c r="I1200" s="12">
        <v>0.12529999999999999</v>
      </c>
      <c r="J1200" s="9" t="s">
        <v>412</v>
      </c>
      <c r="K1200" s="9" t="s">
        <v>604</v>
      </c>
    </row>
    <row r="1201" spans="1:11" ht="28.8">
      <c r="A1201" s="9" t="s">
        <v>610</v>
      </c>
      <c r="B1201" s="9" t="s">
        <v>684</v>
      </c>
      <c r="C1201" s="9" t="s">
        <v>683</v>
      </c>
      <c r="D1201" s="12">
        <v>-8.1500000000000003E-2</v>
      </c>
      <c r="E1201" s="12">
        <v>0.2329</v>
      </c>
      <c r="F1201" s="12">
        <v>-6.1499999999999999E-2</v>
      </c>
      <c r="G1201" s="12">
        <v>7.569999999999999E-2</v>
      </c>
      <c r="H1201" s="12">
        <v>0.03</v>
      </c>
      <c r="I1201" s="12">
        <v>0.12529999999999999</v>
      </c>
      <c r="J1201" s="9" t="s">
        <v>412</v>
      </c>
      <c r="K1201" s="9" t="s">
        <v>604</v>
      </c>
    </row>
    <row r="1202" spans="1:11" ht="28.8">
      <c r="A1202" s="9" t="s">
        <v>603</v>
      </c>
      <c r="B1202" s="9" t="s">
        <v>678</v>
      </c>
      <c r="C1202" s="9" t="s">
        <v>677</v>
      </c>
      <c r="D1202" s="12">
        <v>0.14069999999999999</v>
      </c>
      <c r="E1202" s="12">
        <v>0.17549999999999999</v>
      </c>
      <c r="F1202" s="12">
        <v>5.8999999999999997E-2</v>
      </c>
      <c r="G1202" s="12">
        <v>0.15809999999999999</v>
      </c>
      <c r="H1202" s="12">
        <v>0.12509999999999999</v>
      </c>
      <c r="I1202" s="12">
        <v>0.12509999999999999</v>
      </c>
      <c r="J1202" s="9" t="s">
        <v>412</v>
      </c>
      <c r="K1202" s="9" t="s">
        <v>654</v>
      </c>
    </row>
    <row r="1203" spans="1:11" ht="28.8">
      <c r="A1203" s="9" t="s">
        <v>679</v>
      </c>
      <c r="B1203" s="9" t="s">
        <v>685</v>
      </c>
      <c r="C1203" s="9" t="s">
        <v>690</v>
      </c>
      <c r="D1203" s="12">
        <v>-6.6900000000000001E-2</v>
      </c>
      <c r="E1203" s="12">
        <v>0.22770000000000001</v>
      </c>
      <c r="F1203" s="12">
        <v>-8.0600000000000005E-2</v>
      </c>
      <c r="G1203" s="12">
        <v>8.0399999999999999E-2</v>
      </c>
      <c r="H1203" s="12">
        <v>2.6700000000000002E-2</v>
      </c>
      <c r="I1203" s="12">
        <v>0.12509999999999999</v>
      </c>
      <c r="J1203" s="9" t="s">
        <v>412</v>
      </c>
      <c r="K1203" s="9" t="s">
        <v>604</v>
      </c>
    </row>
    <row r="1204" spans="1:11" ht="28.8">
      <c r="A1204" s="9" t="s">
        <v>662</v>
      </c>
      <c r="B1204" s="9" t="s">
        <v>689</v>
      </c>
      <c r="C1204" s="9" t="s">
        <v>674</v>
      </c>
      <c r="D1204" s="12">
        <v>0.17680000000000001</v>
      </c>
      <c r="E1204" s="12">
        <v>-8.6699999999999999E-2</v>
      </c>
      <c r="F1204" s="12">
        <v>0.112</v>
      </c>
      <c r="G1204" s="12">
        <v>4.5050000000000007E-2</v>
      </c>
      <c r="H1204" s="12">
        <v>6.7299999999999999E-2</v>
      </c>
      <c r="I1204" s="12">
        <v>0.12509999999999999</v>
      </c>
      <c r="J1204" s="9" t="s">
        <v>412</v>
      </c>
      <c r="K1204" s="9" t="s">
        <v>604</v>
      </c>
    </row>
    <row r="1205" spans="1:11" ht="28.8">
      <c r="A1205" s="9" t="s">
        <v>603</v>
      </c>
      <c r="B1205" s="9" t="s">
        <v>669</v>
      </c>
      <c r="C1205" s="9" t="s">
        <v>667</v>
      </c>
      <c r="D1205" s="12">
        <v>-6.3299999999999995E-2</v>
      </c>
      <c r="E1205" s="12">
        <v>-0.2472</v>
      </c>
      <c r="F1205" s="12">
        <v>6.4399999999999999E-2</v>
      </c>
      <c r="G1205" s="12">
        <v>-0.15525</v>
      </c>
      <c r="H1205" s="12">
        <v>-8.2000000000000003E-2</v>
      </c>
      <c r="I1205" s="12">
        <v>0.125</v>
      </c>
      <c r="J1205" s="9" t="s">
        <v>412</v>
      </c>
      <c r="K1205" s="9" t="s">
        <v>604</v>
      </c>
    </row>
    <row r="1206" spans="1:11" ht="28.8">
      <c r="A1206" s="9" t="s">
        <v>682</v>
      </c>
      <c r="B1206" s="9" t="s">
        <v>676</v>
      </c>
      <c r="C1206" s="9" t="s">
        <v>675</v>
      </c>
      <c r="D1206" s="12">
        <v>0.06</v>
      </c>
      <c r="E1206" s="12">
        <v>0.1517</v>
      </c>
      <c r="F1206" s="12">
        <v>0.16320000000000001</v>
      </c>
      <c r="G1206" s="12">
        <v>0.10585</v>
      </c>
      <c r="H1206" s="12">
        <v>0.125</v>
      </c>
      <c r="I1206" s="12">
        <v>0.125</v>
      </c>
      <c r="J1206" s="9" t="s">
        <v>412</v>
      </c>
      <c r="K1206" s="9" t="s">
        <v>654</v>
      </c>
    </row>
    <row r="1207" spans="1:11" ht="28.8">
      <c r="A1207" s="9" t="s">
        <v>661</v>
      </c>
      <c r="B1207" s="9" t="s">
        <v>678</v>
      </c>
      <c r="C1207" s="9" t="s">
        <v>659</v>
      </c>
      <c r="D1207" s="12">
        <v>4.3499999999999997E-2</v>
      </c>
      <c r="E1207" s="12">
        <v>-0.15379999999999999</v>
      </c>
      <c r="F1207" s="12">
        <v>-0.1774</v>
      </c>
      <c r="G1207" s="12">
        <v>-5.5149999999999998E-2</v>
      </c>
      <c r="H1207" s="12">
        <v>-9.5899999999999999E-2</v>
      </c>
      <c r="I1207" s="12">
        <v>0.1249</v>
      </c>
      <c r="J1207" s="9" t="s">
        <v>412</v>
      </c>
      <c r="K1207" s="9" t="s">
        <v>604</v>
      </c>
    </row>
    <row r="1208" spans="1:11" ht="28.8">
      <c r="A1208" s="9" t="s">
        <v>679</v>
      </c>
      <c r="B1208" s="9" t="s">
        <v>688</v>
      </c>
      <c r="C1208" s="9" t="s">
        <v>601</v>
      </c>
      <c r="D1208" s="12">
        <v>-8.3900000000000002E-2</v>
      </c>
      <c r="E1208" s="12">
        <v>0.14299999999999999</v>
      </c>
      <c r="F1208" s="12">
        <v>-0.1477</v>
      </c>
      <c r="G1208" s="12">
        <v>2.9549999999999993E-2</v>
      </c>
      <c r="H1208" s="12">
        <v>-2.9499999999999998E-2</v>
      </c>
      <c r="I1208" s="12">
        <v>0.1249</v>
      </c>
      <c r="J1208" s="9" t="s">
        <v>412</v>
      </c>
      <c r="K1208" s="9" t="s">
        <v>604</v>
      </c>
    </row>
    <row r="1209" spans="1:11">
      <c r="A1209" s="9" t="s">
        <v>609</v>
      </c>
      <c r="B1209" s="9" t="s">
        <v>681</v>
      </c>
      <c r="C1209" s="9" t="s">
        <v>655</v>
      </c>
      <c r="D1209" s="12">
        <v>0.16819999999999999</v>
      </c>
      <c r="E1209" s="12">
        <v>-2E-3</v>
      </c>
      <c r="F1209" s="12">
        <v>0.20449999999999999</v>
      </c>
      <c r="G1209" s="12">
        <v>8.3099999999999993E-2</v>
      </c>
      <c r="H1209" s="12">
        <v>0.1236</v>
      </c>
      <c r="I1209" s="12">
        <v>0.1249</v>
      </c>
      <c r="J1209" s="9" t="s">
        <v>412</v>
      </c>
      <c r="K1209" s="9" t="s">
        <v>604</v>
      </c>
    </row>
    <row r="1210" spans="1:11" ht="28.8">
      <c r="A1210" s="9" t="s">
        <v>609</v>
      </c>
      <c r="B1210" s="9" t="s">
        <v>657</v>
      </c>
      <c r="C1210" s="9" t="s">
        <v>690</v>
      </c>
      <c r="D1210" s="12">
        <v>4.9799999999999997E-2</v>
      </c>
      <c r="E1210" s="12">
        <v>-0.28839999999999999</v>
      </c>
      <c r="F1210" s="12">
        <v>3.61E-2</v>
      </c>
      <c r="G1210" s="12">
        <v>-0.11929999999999999</v>
      </c>
      <c r="H1210" s="12">
        <v>-6.7500000000000004E-2</v>
      </c>
      <c r="I1210" s="12">
        <v>0.12479999999999999</v>
      </c>
      <c r="J1210" s="9" t="s">
        <v>412</v>
      </c>
      <c r="K1210" s="9" t="s">
        <v>604</v>
      </c>
    </row>
    <row r="1211" spans="1:11" ht="28.8">
      <c r="A1211" s="9" t="s">
        <v>662</v>
      </c>
      <c r="B1211" s="9" t="s">
        <v>653</v>
      </c>
      <c r="C1211" s="9" t="s">
        <v>664</v>
      </c>
      <c r="D1211" s="12">
        <v>-2.87E-2</v>
      </c>
      <c r="E1211" s="12">
        <v>-0.2021</v>
      </c>
      <c r="F1211" s="12">
        <v>0.14360000000000001</v>
      </c>
      <c r="G1211" s="12">
        <v>-0.1154</v>
      </c>
      <c r="H1211" s="12">
        <v>-2.9000000000000001E-2</v>
      </c>
      <c r="I1211" s="12">
        <v>0.12479999999999999</v>
      </c>
      <c r="J1211" s="9" t="s">
        <v>412</v>
      </c>
      <c r="K1211" s="9" t="s">
        <v>604</v>
      </c>
    </row>
    <row r="1212" spans="1:11" ht="28.8">
      <c r="A1212" s="9" t="s">
        <v>671</v>
      </c>
      <c r="B1212" s="9" t="s">
        <v>657</v>
      </c>
      <c r="C1212" s="9" t="s">
        <v>675</v>
      </c>
      <c r="D1212" s="12">
        <v>0.10780000000000001</v>
      </c>
      <c r="E1212" s="12">
        <v>-0.1326</v>
      </c>
      <c r="F1212" s="12">
        <v>-0.13370000000000001</v>
      </c>
      <c r="G1212" s="12">
        <v>-1.2399999999999994E-2</v>
      </c>
      <c r="H1212" s="12">
        <v>-5.28E-2</v>
      </c>
      <c r="I1212" s="12">
        <v>0.12470000000000001</v>
      </c>
      <c r="J1212" s="9" t="s">
        <v>412</v>
      </c>
      <c r="K1212" s="9" t="s">
        <v>604</v>
      </c>
    </row>
    <row r="1213" spans="1:11" ht="28.8">
      <c r="A1213" s="9" t="s">
        <v>679</v>
      </c>
      <c r="B1213" s="9" t="s">
        <v>660</v>
      </c>
      <c r="C1213" s="9" t="s">
        <v>677</v>
      </c>
      <c r="D1213" s="12">
        <v>0.13189999999999999</v>
      </c>
      <c r="E1213" s="12">
        <v>-2.46E-2</v>
      </c>
      <c r="F1213" s="12">
        <v>0.21759999999999999</v>
      </c>
      <c r="G1213" s="12">
        <v>5.3649999999999996E-2</v>
      </c>
      <c r="H1213" s="12">
        <v>0.10829999999999999</v>
      </c>
      <c r="I1213" s="12">
        <v>0.12470000000000001</v>
      </c>
      <c r="J1213" s="9" t="s">
        <v>412</v>
      </c>
      <c r="K1213" s="9" t="s">
        <v>604</v>
      </c>
    </row>
    <row r="1214" spans="1:11" ht="28.8">
      <c r="A1214" s="9" t="s">
        <v>682</v>
      </c>
      <c r="B1214" s="9" t="s">
        <v>681</v>
      </c>
      <c r="C1214" s="9" t="s">
        <v>601</v>
      </c>
      <c r="D1214" s="12">
        <v>-3.2099999999999997E-2</v>
      </c>
      <c r="E1214" s="12">
        <v>0.15890000000000001</v>
      </c>
      <c r="F1214" s="12">
        <v>-0.18310000000000001</v>
      </c>
      <c r="G1214" s="12">
        <v>6.3400000000000012E-2</v>
      </c>
      <c r="H1214" s="12">
        <v>-1.8800000000000001E-2</v>
      </c>
      <c r="I1214" s="12">
        <v>0.12470000000000001</v>
      </c>
      <c r="J1214" s="9" t="s">
        <v>412</v>
      </c>
      <c r="K1214" s="9" t="s">
        <v>604</v>
      </c>
    </row>
    <row r="1215" spans="1:11">
      <c r="A1215" s="9" t="s">
        <v>610</v>
      </c>
      <c r="B1215" s="9" t="s">
        <v>681</v>
      </c>
      <c r="C1215" s="9" t="s">
        <v>663</v>
      </c>
      <c r="D1215" s="12">
        <v>-0.2303</v>
      </c>
      <c r="E1215" s="12">
        <v>0.13150000000000001</v>
      </c>
      <c r="F1215" s="12">
        <v>1.23E-2</v>
      </c>
      <c r="G1215" s="12">
        <v>-4.9399999999999999E-2</v>
      </c>
      <c r="H1215" s="12">
        <v>-2.8799999999999999E-2</v>
      </c>
      <c r="I1215" s="12">
        <v>0.12470000000000001</v>
      </c>
      <c r="J1215" s="9" t="s">
        <v>412</v>
      </c>
      <c r="K1215" s="9" t="s">
        <v>604</v>
      </c>
    </row>
    <row r="1216" spans="1:11">
      <c r="A1216" s="9" t="s">
        <v>682</v>
      </c>
      <c r="B1216" s="9" t="s">
        <v>680</v>
      </c>
      <c r="C1216" s="9" t="s">
        <v>655</v>
      </c>
      <c r="D1216" s="12">
        <v>7.3099999999999998E-2</v>
      </c>
      <c r="E1216" s="12">
        <v>6.7000000000000004E-2</v>
      </c>
      <c r="F1216" s="12">
        <v>0.2334</v>
      </c>
      <c r="G1216" s="12">
        <v>7.0050000000000001E-2</v>
      </c>
      <c r="H1216" s="12">
        <v>0.1245</v>
      </c>
      <c r="I1216" s="12">
        <v>0.1245</v>
      </c>
      <c r="J1216" s="9" t="s">
        <v>412</v>
      </c>
      <c r="K1216" s="9" t="s">
        <v>654</v>
      </c>
    </row>
    <row r="1217" spans="1:11">
      <c r="A1217" s="9" t="s">
        <v>610</v>
      </c>
      <c r="B1217" s="9" t="s">
        <v>687</v>
      </c>
      <c r="C1217" s="9" t="s">
        <v>663</v>
      </c>
      <c r="D1217" s="12">
        <v>-0.2303</v>
      </c>
      <c r="E1217" s="12">
        <v>1.24E-2</v>
      </c>
      <c r="F1217" s="12">
        <v>0.13100000000000001</v>
      </c>
      <c r="G1217" s="12">
        <v>-0.10895000000000001</v>
      </c>
      <c r="H1217" s="12">
        <v>-2.9000000000000001E-2</v>
      </c>
      <c r="I1217" s="12">
        <v>0.1245</v>
      </c>
      <c r="J1217" s="9" t="s">
        <v>412</v>
      </c>
      <c r="K1217" s="9" t="s">
        <v>604</v>
      </c>
    </row>
    <row r="1218" spans="1:11" ht="28.8">
      <c r="A1218" s="9" t="s">
        <v>671</v>
      </c>
      <c r="B1218" s="9" t="s">
        <v>665</v>
      </c>
      <c r="C1218" s="9" t="s">
        <v>664</v>
      </c>
      <c r="D1218" s="12">
        <v>-9.0800000000000006E-2</v>
      </c>
      <c r="E1218" s="12">
        <v>0.1009</v>
      </c>
      <c r="F1218" s="12">
        <v>-0.1817</v>
      </c>
      <c r="G1218" s="12">
        <v>5.0499999999999989E-3</v>
      </c>
      <c r="H1218" s="12">
        <v>-5.7200000000000001E-2</v>
      </c>
      <c r="I1218" s="12">
        <v>0.1245</v>
      </c>
      <c r="J1218" s="9" t="s">
        <v>412</v>
      </c>
      <c r="K1218" s="9" t="s">
        <v>604</v>
      </c>
    </row>
    <row r="1219" spans="1:11" ht="28.8">
      <c r="A1219" s="9" t="s">
        <v>662</v>
      </c>
      <c r="B1219" s="9" t="s">
        <v>688</v>
      </c>
      <c r="C1219" s="9" t="s">
        <v>666</v>
      </c>
      <c r="D1219" s="12">
        <v>-0.1094</v>
      </c>
      <c r="E1219" s="12">
        <v>0.1293</v>
      </c>
      <c r="F1219" s="12">
        <v>-0.13469999999999999</v>
      </c>
      <c r="G1219" s="12">
        <v>9.9500000000000005E-3</v>
      </c>
      <c r="H1219" s="12">
        <v>-3.8199999999999998E-2</v>
      </c>
      <c r="I1219" s="12">
        <v>0.1244</v>
      </c>
      <c r="J1219" s="9" t="s">
        <v>412</v>
      </c>
      <c r="K1219" s="9" t="s">
        <v>604</v>
      </c>
    </row>
    <row r="1220" spans="1:11">
      <c r="A1220" s="9" t="s">
        <v>662</v>
      </c>
      <c r="B1220" s="9" t="s">
        <v>676</v>
      </c>
      <c r="C1220" s="9" t="s">
        <v>663</v>
      </c>
      <c r="D1220" s="12">
        <v>7.4700000000000003E-2</v>
      </c>
      <c r="E1220" s="12">
        <v>0.17610000000000001</v>
      </c>
      <c r="F1220" s="12">
        <v>0.1225</v>
      </c>
      <c r="G1220" s="12">
        <v>0.12540000000000001</v>
      </c>
      <c r="H1220" s="12">
        <v>0.1244</v>
      </c>
      <c r="I1220" s="12">
        <v>0.1244</v>
      </c>
      <c r="J1220" s="9" t="s">
        <v>412</v>
      </c>
      <c r="K1220" s="9" t="s">
        <v>654</v>
      </c>
    </row>
    <row r="1221" spans="1:11" ht="28.8">
      <c r="A1221" s="9" t="s">
        <v>661</v>
      </c>
      <c r="B1221" s="9" t="s">
        <v>665</v>
      </c>
      <c r="C1221" s="9" t="s">
        <v>675</v>
      </c>
      <c r="D1221" s="12">
        <v>0.14380000000000001</v>
      </c>
      <c r="E1221" s="12">
        <v>0.1731</v>
      </c>
      <c r="F1221" s="12">
        <v>5.5599999999999997E-2</v>
      </c>
      <c r="G1221" s="12">
        <v>0.15845000000000001</v>
      </c>
      <c r="H1221" s="12">
        <v>0.1242</v>
      </c>
      <c r="I1221" s="12">
        <v>0.1242</v>
      </c>
      <c r="J1221" s="9" t="s">
        <v>412</v>
      </c>
      <c r="K1221" s="9" t="s">
        <v>654</v>
      </c>
    </row>
    <row r="1222" spans="1:11" ht="28.8">
      <c r="A1222" s="9" t="s">
        <v>603</v>
      </c>
      <c r="B1222" s="9" t="s">
        <v>680</v>
      </c>
      <c r="C1222" s="9" t="s">
        <v>675</v>
      </c>
      <c r="D1222" s="12">
        <v>-0.18360000000000001</v>
      </c>
      <c r="E1222" s="12">
        <v>-4.2000000000000003E-2</v>
      </c>
      <c r="F1222" s="12">
        <v>0.14710000000000001</v>
      </c>
      <c r="G1222" s="12">
        <v>-0.11280000000000001</v>
      </c>
      <c r="H1222" s="12">
        <v>-2.6100000000000002E-2</v>
      </c>
      <c r="I1222" s="12">
        <v>0.1242</v>
      </c>
      <c r="J1222" s="9" t="s">
        <v>412</v>
      </c>
      <c r="K1222" s="9" t="s">
        <v>604</v>
      </c>
    </row>
    <row r="1223" spans="1:11" ht="28.8">
      <c r="A1223" s="9" t="s">
        <v>679</v>
      </c>
      <c r="B1223" s="9" t="s">
        <v>681</v>
      </c>
      <c r="C1223" s="9" t="s">
        <v>656</v>
      </c>
      <c r="D1223" s="12">
        <v>-2.2700000000000001E-2</v>
      </c>
      <c r="E1223" s="12">
        <v>0.1958</v>
      </c>
      <c r="F1223" s="12">
        <v>0.15409999999999999</v>
      </c>
      <c r="G1223" s="12">
        <v>8.6550000000000002E-2</v>
      </c>
      <c r="H1223" s="12">
        <v>0.1091</v>
      </c>
      <c r="I1223" s="12">
        <v>0.1242</v>
      </c>
      <c r="J1223" s="9" t="s">
        <v>412</v>
      </c>
      <c r="K1223" s="9" t="s">
        <v>604</v>
      </c>
    </row>
    <row r="1224" spans="1:11" ht="28.8">
      <c r="A1224" s="9" t="s">
        <v>661</v>
      </c>
      <c r="B1224" s="9" t="s">
        <v>668</v>
      </c>
      <c r="C1224" s="9" t="s">
        <v>667</v>
      </c>
      <c r="D1224" s="12">
        <v>5.3600000000000002E-2</v>
      </c>
      <c r="E1224" s="12">
        <v>-0.13339999999999999</v>
      </c>
      <c r="F1224" s="12">
        <v>-0.1852</v>
      </c>
      <c r="G1224" s="12">
        <v>-3.9899999999999991E-2</v>
      </c>
      <c r="H1224" s="12">
        <v>-8.8300000000000003E-2</v>
      </c>
      <c r="I1224" s="12">
        <v>0.1241</v>
      </c>
      <c r="J1224" s="9" t="s">
        <v>412</v>
      </c>
      <c r="K1224" s="9" t="s">
        <v>604</v>
      </c>
    </row>
    <row r="1225" spans="1:11">
      <c r="A1225" s="9" t="s">
        <v>662</v>
      </c>
      <c r="B1225" s="9" t="s">
        <v>688</v>
      </c>
      <c r="C1225" s="9" t="s">
        <v>659</v>
      </c>
      <c r="D1225" s="12">
        <v>-8.3599999999999994E-2</v>
      </c>
      <c r="E1225" s="12">
        <v>0.1293</v>
      </c>
      <c r="F1225" s="12">
        <v>-0.15909999999999999</v>
      </c>
      <c r="G1225" s="12">
        <v>2.2850000000000002E-2</v>
      </c>
      <c r="H1225" s="12">
        <v>-3.78E-2</v>
      </c>
      <c r="I1225" s="12">
        <v>0.124</v>
      </c>
      <c r="J1225" s="9" t="s">
        <v>412</v>
      </c>
      <c r="K1225" s="9" t="s">
        <v>604</v>
      </c>
    </row>
    <row r="1226" spans="1:11" ht="28.8">
      <c r="A1226" s="9" t="s">
        <v>661</v>
      </c>
      <c r="B1226" s="9" t="s">
        <v>685</v>
      </c>
      <c r="C1226" s="9" t="s">
        <v>674</v>
      </c>
      <c r="D1226" s="12">
        <v>6.8199999999999997E-2</v>
      </c>
      <c r="E1226" s="12">
        <v>0.18970000000000001</v>
      </c>
      <c r="F1226" s="12">
        <v>0.1139</v>
      </c>
      <c r="G1226" s="12">
        <v>0.12895000000000001</v>
      </c>
      <c r="H1226" s="12">
        <v>0.1239</v>
      </c>
      <c r="I1226" s="12">
        <v>0.1239</v>
      </c>
      <c r="J1226" s="9" t="s">
        <v>412</v>
      </c>
      <c r="K1226" s="9" t="s">
        <v>654</v>
      </c>
    </row>
    <row r="1227" spans="1:11" ht="28.8">
      <c r="A1227" s="9" t="s">
        <v>682</v>
      </c>
      <c r="B1227" s="9" t="s">
        <v>676</v>
      </c>
      <c r="C1227" s="9" t="s">
        <v>677</v>
      </c>
      <c r="D1227" s="12">
        <v>1.23E-2</v>
      </c>
      <c r="E1227" s="12">
        <v>0.1517</v>
      </c>
      <c r="F1227" s="12">
        <v>0.2077</v>
      </c>
      <c r="G1227" s="12">
        <v>8.2000000000000003E-2</v>
      </c>
      <c r="H1227" s="12">
        <v>0.1239</v>
      </c>
      <c r="I1227" s="12">
        <v>0.1239</v>
      </c>
      <c r="J1227" s="9" t="s">
        <v>412</v>
      </c>
      <c r="K1227" s="9" t="s">
        <v>654</v>
      </c>
    </row>
    <row r="1228" spans="1:11" ht="28.8">
      <c r="A1228" s="9" t="s">
        <v>679</v>
      </c>
      <c r="B1228" s="9" t="s">
        <v>687</v>
      </c>
      <c r="C1228" s="9" t="s">
        <v>663</v>
      </c>
      <c r="D1228" s="12">
        <v>0.13450000000000001</v>
      </c>
      <c r="E1228" s="12">
        <v>0.10589999999999999</v>
      </c>
      <c r="F1228" s="12">
        <v>0.13100000000000001</v>
      </c>
      <c r="G1228" s="12">
        <v>0.1202</v>
      </c>
      <c r="H1228" s="12">
        <v>0.12379999999999999</v>
      </c>
      <c r="I1228" s="12">
        <v>0.12379999999999999</v>
      </c>
      <c r="J1228" s="9" t="s">
        <v>412</v>
      </c>
      <c r="K1228" s="9" t="s">
        <v>654</v>
      </c>
    </row>
    <row r="1229" spans="1:11" ht="28.8">
      <c r="A1229" s="9" t="s">
        <v>661</v>
      </c>
      <c r="B1229" s="9" t="s">
        <v>681</v>
      </c>
      <c r="C1229" s="9" t="s">
        <v>659</v>
      </c>
      <c r="D1229" s="12">
        <v>4.3499999999999997E-2</v>
      </c>
      <c r="E1229" s="12">
        <v>2.3900000000000001E-2</v>
      </c>
      <c r="F1229" s="12">
        <v>0.30399999999999999</v>
      </c>
      <c r="G1229" s="12">
        <v>3.3700000000000001E-2</v>
      </c>
      <c r="H1229" s="12">
        <v>0.12379999999999999</v>
      </c>
      <c r="I1229" s="12">
        <v>0.12379999999999999</v>
      </c>
      <c r="J1229" s="9" t="s">
        <v>412</v>
      </c>
      <c r="K1229" s="9" t="s">
        <v>654</v>
      </c>
    </row>
    <row r="1230" spans="1:11" ht="28.8">
      <c r="A1230" s="9" t="s">
        <v>610</v>
      </c>
      <c r="B1230" s="9" t="s">
        <v>672</v>
      </c>
      <c r="C1230" s="9" t="s">
        <v>666</v>
      </c>
      <c r="D1230" s="12">
        <v>9.5000000000000001E-2</v>
      </c>
      <c r="E1230" s="12">
        <v>7.0999999999999994E-2</v>
      </c>
      <c r="F1230" s="12">
        <v>0.2054</v>
      </c>
      <c r="G1230" s="12">
        <v>8.299999999999999E-2</v>
      </c>
      <c r="H1230" s="12">
        <v>0.12379999999999999</v>
      </c>
      <c r="I1230" s="12">
        <v>0.12379999999999999</v>
      </c>
      <c r="J1230" s="9" t="s">
        <v>412</v>
      </c>
      <c r="K1230" s="9" t="s">
        <v>654</v>
      </c>
    </row>
    <row r="1231" spans="1:11">
      <c r="A1231" s="9" t="s">
        <v>609</v>
      </c>
      <c r="B1231" s="9" t="s">
        <v>678</v>
      </c>
      <c r="C1231" s="9" t="s">
        <v>656</v>
      </c>
      <c r="D1231" s="12">
        <v>0.22770000000000001</v>
      </c>
      <c r="E1231" s="12">
        <v>-0.10390000000000001</v>
      </c>
      <c r="F1231" s="12">
        <v>-3.9800000000000002E-2</v>
      </c>
      <c r="G1231" s="12">
        <v>6.1900000000000004E-2</v>
      </c>
      <c r="H1231" s="12">
        <v>2.8000000000000001E-2</v>
      </c>
      <c r="I1231" s="12">
        <v>0.12379999999999999</v>
      </c>
      <c r="J1231" s="9" t="s">
        <v>412</v>
      </c>
      <c r="K1231" s="9" t="s">
        <v>604</v>
      </c>
    </row>
    <row r="1232" spans="1:11" ht="28.8">
      <c r="A1232" s="9" t="s">
        <v>679</v>
      </c>
      <c r="B1232" s="9" t="s">
        <v>681</v>
      </c>
      <c r="C1232" s="9" t="s">
        <v>666</v>
      </c>
      <c r="D1232" s="12">
        <v>-0.113</v>
      </c>
      <c r="E1232" s="12">
        <v>0.1958</v>
      </c>
      <c r="F1232" s="12">
        <v>6.2399999999999997E-2</v>
      </c>
      <c r="G1232" s="12">
        <v>4.1399999999999999E-2</v>
      </c>
      <c r="H1232" s="12">
        <v>4.8399999999999999E-2</v>
      </c>
      <c r="I1232" s="12">
        <v>0.1237</v>
      </c>
      <c r="J1232" s="9" t="s">
        <v>412</v>
      </c>
      <c r="K1232" s="9" t="s">
        <v>604</v>
      </c>
    </row>
    <row r="1233" spans="1:11" ht="28.8">
      <c r="A1233" s="9" t="s">
        <v>671</v>
      </c>
      <c r="B1233" s="9" t="s">
        <v>685</v>
      </c>
      <c r="C1233" s="9" t="s">
        <v>674</v>
      </c>
      <c r="D1233" s="12">
        <v>-6.2799999999999995E-2</v>
      </c>
      <c r="E1233" s="12">
        <v>0.19439999999999999</v>
      </c>
      <c r="F1233" s="12">
        <v>0.1139</v>
      </c>
      <c r="G1233" s="12">
        <v>6.5799999999999997E-2</v>
      </c>
      <c r="H1233" s="12">
        <v>8.1799999999999998E-2</v>
      </c>
      <c r="I1233" s="12">
        <v>0.1237</v>
      </c>
      <c r="J1233" s="9" t="s">
        <v>412</v>
      </c>
      <c r="K1233" s="9" t="s">
        <v>604</v>
      </c>
    </row>
    <row r="1234" spans="1:11">
      <c r="A1234" s="9" t="s">
        <v>682</v>
      </c>
      <c r="B1234" s="9" t="s">
        <v>613</v>
      </c>
      <c r="C1234" s="9" t="s">
        <v>655</v>
      </c>
      <c r="D1234" s="12">
        <v>7.3099999999999998E-2</v>
      </c>
      <c r="E1234" s="12">
        <v>-1.2999999999999999E-2</v>
      </c>
      <c r="F1234" s="12">
        <v>0.28510000000000002</v>
      </c>
      <c r="G1234" s="12">
        <v>3.005E-2</v>
      </c>
      <c r="H1234" s="12">
        <v>0.115</v>
      </c>
      <c r="I1234" s="12">
        <v>0.1237</v>
      </c>
      <c r="J1234" s="9" t="s">
        <v>412</v>
      </c>
      <c r="K1234" s="9" t="s">
        <v>604</v>
      </c>
    </row>
    <row r="1235" spans="1:11">
      <c r="A1235" s="9" t="s">
        <v>610</v>
      </c>
      <c r="B1235" s="9" t="s">
        <v>678</v>
      </c>
      <c r="C1235" s="9" t="s">
        <v>655</v>
      </c>
      <c r="D1235" s="12">
        <v>-9.4E-2</v>
      </c>
      <c r="E1235" s="12">
        <v>3.4000000000000002E-2</v>
      </c>
      <c r="F1235" s="12">
        <v>-0.2429</v>
      </c>
      <c r="G1235" s="12">
        <v>-0.03</v>
      </c>
      <c r="H1235" s="12">
        <v>-0.10100000000000001</v>
      </c>
      <c r="I1235" s="12">
        <v>0.1236</v>
      </c>
      <c r="J1235" s="9" t="s">
        <v>412</v>
      </c>
      <c r="K1235" s="9" t="s">
        <v>604</v>
      </c>
    </row>
    <row r="1236" spans="1:11" ht="28.8">
      <c r="A1236" s="9" t="s">
        <v>671</v>
      </c>
      <c r="B1236" s="9" t="s">
        <v>687</v>
      </c>
      <c r="C1236" s="9" t="s">
        <v>674</v>
      </c>
      <c r="D1236" s="12">
        <v>-6.2799999999999995E-2</v>
      </c>
      <c r="E1236" s="12">
        <v>0.13850000000000001</v>
      </c>
      <c r="F1236" s="12">
        <v>0.16930000000000001</v>
      </c>
      <c r="G1236" s="12">
        <v>3.7850000000000009E-2</v>
      </c>
      <c r="H1236" s="12">
        <v>8.1699999999999995E-2</v>
      </c>
      <c r="I1236" s="12">
        <v>0.1235</v>
      </c>
      <c r="J1236" s="9" t="s">
        <v>412</v>
      </c>
      <c r="K1236" s="9" t="s">
        <v>604</v>
      </c>
    </row>
    <row r="1237" spans="1:11" ht="28.8">
      <c r="A1237" s="9" t="s">
        <v>679</v>
      </c>
      <c r="B1237" s="9" t="s">
        <v>686</v>
      </c>
      <c r="C1237" s="9" t="s">
        <v>690</v>
      </c>
      <c r="D1237" s="12">
        <v>-6.6900000000000001E-2</v>
      </c>
      <c r="E1237" s="12">
        <v>0.2019</v>
      </c>
      <c r="F1237" s="12">
        <v>-0.10150000000000001</v>
      </c>
      <c r="G1237" s="12">
        <v>6.7500000000000004E-2</v>
      </c>
      <c r="H1237" s="12">
        <v>1.12E-2</v>
      </c>
      <c r="I1237" s="12">
        <v>0.1235</v>
      </c>
      <c r="J1237" s="9" t="s">
        <v>412</v>
      </c>
      <c r="K1237" s="9" t="s">
        <v>604</v>
      </c>
    </row>
    <row r="1238" spans="1:11" ht="28.8">
      <c r="A1238" s="9" t="s">
        <v>671</v>
      </c>
      <c r="B1238" s="9" t="s">
        <v>680</v>
      </c>
      <c r="C1238" s="9" t="s">
        <v>601</v>
      </c>
      <c r="D1238" s="12">
        <v>-0.10879999999999999</v>
      </c>
      <c r="E1238" s="12">
        <v>-1.24E-2</v>
      </c>
      <c r="F1238" s="12">
        <v>-0.2492</v>
      </c>
      <c r="G1238" s="12">
        <v>-6.0599999999999994E-2</v>
      </c>
      <c r="H1238" s="12">
        <v>-0.1235</v>
      </c>
      <c r="I1238" s="12">
        <v>0.1235</v>
      </c>
      <c r="J1238" s="9" t="s">
        <v>412</v>
      </c>
      <c r="K1238" s="9" t="s">
        <v>604</v>
      </c>
    </row>
    <row r="1239" spans="1:11" ht="28.8">
      <c r="A1239" s="9" t="s">
        <v>671</v>
      </c>
      <c r="B1239" s="9" t="s">
        <v>669</v>
      </c>
      <c r="C1239" s="9" t="s">
        <v>659</v>
      </c>
      <c r="D1239" s="12">
        <v>0.13159999999999999</v>
      </c>
      <c r="E1239" s="12">
        <v>0.20669999999999999</v>
      </c>
      <c r="F1239" s="12">
        <v>3.1899999999999998E-2</v>
      </c>
      <c r="G1239" s="12">
        <v>0.16914999999999999</v>
      </c>
      <c r="H1239" s="12">
        <v>0.1234</v>
      </c>
      <c r="I1239" s="12">
        <v>0.1234</v>
      </c>
      <c r="J1239" s="9" t="s">
        <v>412</v>
      </c>
      <c r="K1239" s="9" t="s">
        <v>654</v>
      </c>
    </row>
    <row r="1240" spans="1:11" ht="28.8">
      <c r="A1240" s="9" t="s">
        <v>662</v>
      </c>
      <c r="B1240" s="9" t="s">
        <v>665</v>
      </c>
      <c r="C1240" s="9" t="s">
        <v>675</v>
      </c>
      <c r="D1240" s="12">
        <v>0.14630000000000001</v>
      </c>
      <c r="E1240" s="12">
        <v>-0.1681</v>
      </c>
      <c r="F1240" s="12">
        <v>5.5599999999999997E-2</v>
      </c>
      <c r="G1240" s="12">
        <v>-1.0899999999999993E-2</v>
      </c>
      <c r="H1240" s="12">
        <v>1.1299999999999999E-2</v>
      </c>
      <c r="I1240" s="12">
        <v>0.12330000000000001</v>
      </c>
      <c r="J1240" s="9" t="s">
        <v>412</v>
      </c>
      <c r="K1240" s="9" t="s">
        <v>604</v>
      </c>
    </row>
    <row r="1241" spans="1:11">
      <c r="A1241" s="9" t="s">
        <v>610</v>
      </c>
      <c r="B1241" s="9" t="s">
        <v>673</v>
      </c>
      <c r="C1241" s="9" t="s">
        <v>659</v>
      </c>
      <c r="D1241" s="12">
        <v>0.1174</v>
      </c>
      <c r="E1241" s="12">
        <v>-8.14E-2</v>
      </c>
      <c r="F1241" s="12">
        <v>-0.17030000000000001</v>
      </c>
      <c r="G1241" s="12">
        <v>1.8000000000000002E-2</v>
      </c>
      <c r="H1241" s="12">
        <v>-4.48E-2</v>
      </c>
      <c r="I1241" s="12">
        <v>0.123</v>
      </c>
      <c r="J1241" s="9" t="s">
        <v>412</v>
      </c>
      <c r="K1241" s="9" t="s">
        <v>604</v>
      </c>
    </row>
    <row r="1242" spans="1:11" ht="28.8">
      <c r="A1242" s="9" t="s">
        <v>662</v>
      </c>
      <c r="B1242" s="9" t="s">
        <v>684</v>
      </c>
      <c r="C1242" s="9" t="s">
        <v>664</v>
      </c>
      <c r="D1242" s="12">
        <v>-2.87E-2</v>
      </c>
      <c r="E1242" s="12">
        <v>-0.2475</v>
      </c>
      <c r="F1242" s="12">
        <v>-9.2899999999999996E-2</v>
      </c>
      <c r="G1242" s="12">
        <v>-0.1381</v>
      </c>
      <c r="H1242" s="12">
        <v>-0.123</v>
      </c>
      <c r="I1242" s="12">
        <v>0.123</v>
      </c>
      <c r="J1242" s="9" t="s">
        <v>412</v>
      </c>
      <c r="K1242" s="9" t="s">
        <v>604</v>
      </c>
    </row>
    <row r="1243" spans="1:11" ht="28.8">
      <c r="A1243" s="9" t="s">
        <v>671</v>
      </c>
      <c r="B1243" s="9" t="s">
        <v>658</v>
      </c>
      <c r="C1243" s="9" t="s">
        <v>659</v>
      </c>
      <c r="D1243" s="12">
        <v>0.13159999999999999</v>
      </c>
      <c r="E1243" s="12">
        <v>0.18609999999999999</v>
      </c>
      <c r="F1243" s="12">
        <v>-5.1400000000000001E-2</v>
      </c>
      <c r="G1243" s="12">
        <v>0.15884999999999999</v>
      </c>
      <c r="H1243" s="12">
        <v>8.8800000000000004E-2</v>
      </c>
      <c r="I1243" s="12">
        <v>0.123</v>
      </c>
      <c r="J1243" s="9" t="s">
        <v>412</v>
      </c>
      <c r="K1243" s="9" t="s">
        <v>604</v>
      </c>
    </row>
    <row r="1244" spans="1:11" ht="28.8">
      <c r="A1244" s="9" t="s">
        <v>671</v>
      </c>
      <c r="B1244" s="9" t="s">
        <v>681</v>
      </c>
      <c r="C1244" s="9" t="s">
        <v>675</v>
      </c>
      <c r="D1244" s="12">
        <v>0.10780000000000001</v>
      </c>
      <c r="E1244" s="12">
        <v>7.1800000000000003E-2</v>
      </c>
      <c r="F1244" s="12">
        <v>0.1895</v>
      </c>
      <c r="G1244" s="12">
        <v>8.9800000000000005E-2</v>
      </c>
      <c r="H1244" s="12">
        <v>0.123</v>
      </c>
      <c r="I1244" s="12">
        <v>0.123</v>
      </c>
      <c r="J1244" s="9" t="s">
        <v>412</v>
      </c>
      <c r="K1244" s="9" t="s">
        <v>654</v>
      </c>
    </row>
    <row r="1245" spans="1:11" ht="28.8">
      <c r="A1245" s="9" t="s">
        <v>662</v>
      </c>
      <c r="B1245" s="9" t="s">
        <v>684</v>
      </c>
      <c r="C1245" s="9" t="s">
        <v>683</v>
      </c>
      <c r="D1245" s="12">
        <v>-6.0100000000000001E-2</v>
      </c>
      <c r="E1245" s="12">
        <v>-0.2475</v>
      </c>
      <c r="F1245" s="12">
        <v>-6.1499999999999999E-2</v>
      </c>
      <c r="G1245" s="12">
        <v>-0.15379999999999999</v>
      </c>
      <c r="H1245" s="12">
        <v>-0.123</v>
      </c>
      <c r="I1245" s="12">
        <v>0.123</v>
      </c>
      <c r="J1245" s="9" t="s">
        <v>412</v>
      </c>
      <c r="K1245" s="9" t="s">
        <v>604</v>
      </c>
    </row>
    <row r="1246" spans="1:11" ht="28.8">
      <c r="A1246" s="9" t="s">
        <v>679</v>
      </c>
      <c r="B1246" s="9" t="s">
        <v>665</v>
      </c>
      <c r="C1246" s="9" t="s">
        <v>663</v>
      </c>
      <c r="D1246" s="12">
        <v>0.13450000000000001</v>
      </c>
      <c r="E1246" s="12">
        <v>7.6399999999999996E-2</v>
      </c>
      <c r="F1246" s="12">
        <v>0.158</v>
      </c>
      <c r="G1246" s="12">
        <v>0.10545</v>
      </c>
      <c r="H1246" s="12">
        <v>0.1229</v>
      </c>
      <c r="I1246" s="12">
        <v>0.1229</v>
      </c>
      <c r="J1246" s="9" t="s">
        <v>412</v>
      </c>
      <c r="K1246" s="9" t="s">
        <v>654</v>
      </c>
    </row>
    <row r="1247" spans="1:11" ht="28.8">
      <c r="A1247" s="9" t="s">
        <v>682</v>
      </c>
      <c r="B1247" s="9" t="s">
        <v>658</v>
      </c>
      <c r="C1247" s="9" t="s">
        <v>675</v>
      </c>
      <c r="D1247" s="12">
        <v>0.06</v>
      </c>
      <c r="E1247" s="12">
        <v>-5.5500000000000001E-2</v>
      </c>
      <c r="F1247" s="12">
        <v>0.25319999999999998</v>
      </c>
      <c r="G1247" s="12">
        <v>2.2499999999999985E-3</v>
      </c>
      <c r="H1247" s="12">
        <v>8.5900000000000004E-2</v>
      </c>
      <c r="I1247" s="12">
        <v>0.1229</v>
      </c>
      <c r="J1247" s="9" t="s">
        <v>412</v>
      </c>
      <c r="K1247" s="9" t="s">
        <v>604</v>
      </c>
    </row>
    <row r="1248" spans="1:11" ht="28.8">
      <c r="A1248" s="9" t="s">
        <v>682</v>
      </c>
      <c r="B1248" s="9" t="s">
        <v>676</v>
      </c>
      <c r="C1248" s="9" t="s">
        <v>601</v>
      </c>
      <c r="D1248" s="12">
        <v>-3.2099999999999997E-2</v>
      </c>
      <c r="E1248" s="12">
        <v>0.1517</v>
      </c>
      <c r="F1248" s="12">
        <v>-0.18490000000000001</v>
      </c>
      <c r="G1248" s="12">
        <v>5.9800000000000006E-2</v>
      </c>
      <c r="H1248" s="12">
        <v>-2.18E-2</v>
      </c>
      <c r="I1248" s="12">
        <v>0.1229</v>
      </c>
      <c r="J1248" s="9" t="s">
        <v>412</v>
      </c>
      <c r="K1248" s="9" t="s">
        <v>604</v>
      </c>
    </row>
    <row r="1249" spans="1:11">
      <c r="A1249" s="9" t="s">
        <v>682</v>
      </c>
      <c r="B1249" s="9" t="s">
        <v>685</v>
      </c>
      <c r="C1249" s="9" t="s">
        <v>655</v>
      </c>
      <c r="D1249" s="12">
        <v>7.3099999999999998E-2</v>
      </c>
      <c r="E1249" s="12">
        <v>0.12429999999999999</v>
      </c>
      <c r="F1249" s="12">
        <v>0.17069999999999999</v>
      </c>
      <c r="G1249" s="12">
        <v>9.8699999999999996E-2</v>
      </c>
      <c r="H1249" s="12">
        <v>0.1227</v>
      </c>
      <c r="I1249" s="12">
        <v>0.1227</v>
      </c>
      <c r="J1249" s="9" t="s">
        <v>412</v>
      </c>
      <c r="K1249" s="9" t="s">
        <v>654</v>
      </c>
    </row>
    <row r="1250" spans="1:11">
      <c r="A1250" s="9" t="s">
        <v>682</v>
      </c>
      <c r="B1250" s="9" t="s">
        <v>684</v>
      </c>
      <c r="C1250" s="9" t="s">
        <v>667</v>
      </c>
      <c r="D1250" s="12">
        <v>-0.02</v>
      </c>
      <c r="E1250" s="12">
        <v>-0.1031</v>
      </c>
      <c r="F1250" s="12">
        <v>-0.24479999999999999</v>
      </c>
      <c r="G1250" s="12">
        <v>-6.1550000000000001E-2</v>
      </c>
      <c r="H1250" s="12">
        <v>-0.1226</v>
      </c>
      <c r="I1250" s="12">
        <v>0.1226</v>
      </c>
      <c r="J1250" s="9" t="s">
        <v>412</v>
      </c>
      <c r="K1250" s="9" t="s">
        <v>604</v>
      </c>
    </row>
    <row r="1251" spans="1:11" ht="28.8">
      <c r="A1251" s="9" t="s">
        <v>679</v>
      </c>
      <c r="B1251" s="9" t="s">
        <v>689</v>
      </c>
      <c r="C1251" s="9" t="s">
        <v>670</v>
      </c>
      <c r="D1251" s="12">
        <v>-9.5200000000000007E-2</v>
      </c>
      <c r="E1251" s="12">
        <v>-7.0900000000000005E-2</v>
      </c>
      <c r="F1251" s="12">
        <v>0.20100000000000001</v>
      </c>
      <c r="G1251" s="12">
        <v>-8.3050000000000013E-2</v>
      </c>
      <c r="H1251" s="12">
        <v>1.17E-2</v>
      </c>
      <c r="I1251" s="12">
        <v>0.12239999999999999</v>
      </c>
      <c r="J1251" s="9" t="s">
        <v>412</v>
      </c>
      <c r="K1251" s="9" t="s">
        <v>604</v>
      </c>
    </row>
    <row r="1252" spans="1:11" ht="28.8">
      <c r="A1252" s="9" t="s">
        <v>671</v>
      </c>
      <c r="B1252" s="9" t="s">
        <v>658</v>
      </c>
      <c r="C1252" s="9" t="s">
        <v>683</v>
      </c>
      <c r="D1252" s="12">
        <v>0.1066</v>
      </c>
      <c r="E1252" s="12">
        <v>0.18609999999999999</v>
      </c>
      <c r="F1252" s="12">
        <v>-7.4499999999999997E-2</v>
      </c>
      <c r="G1252" s="12">
        <v>0.14634999999999998</v>
      </c>
      <c r="H1252" s="12">
        <v>7.2700000000000001E-2</v>
      </c>
      <c r="I1252" s="12">
        <v>0.12239999999999999</v>
      </c>
      <c r="J1252" s="9" t="s">
        <v>412</v>
      </c>
      <c r="K1252" s="9" t="s">
        <v>604</v>
      </c>
    </row>
    <row r="1253" spans="1:11" ht="28.8">
      <c r="A1253" s="9" t="s">
        <v>671</v>
      </c>
      <c r="B1253" s="9" t="s">
        <v>680</v>
      </c>
      <c r="C1253" s="9" t="s">
        <v>655</v>
      </c>
      <c r="D1253" s="12">
        <v>0.1215</v>
      </c>
      <c r="E1253" s="12">
        <v>-1.24E-2</v>
      </c>
      <c r="F1253" s="12">
        <v>0.2334</v>
      </c>
      <c r="G1253" s="12">
        <v>5.4550000000000001E-2</v>
      </c>
      <c r="H1253" s="12">
        <v>0.11409999999999999</v>
      </c>
      <c r="I1253" s="12">
        <v>0.12239999999999999</v>
      </c>
      <c r="J1253" s="9" t="s">
        <v>412</v>
      </c>
      <c r="K1253" s="9" t="s">
        <v>604</v>
      </c>
    </row>
    <row r="1254" spans="1:11">
      <c r="A1254" s="9" t="s">
        <v>662</v>
      </c>
      <c r="B1254" s="9" t="s">
        <v>676</v>
      </c>
      <c r="C1254" s="9" t="s">
        <v>659</v>
      </c>
      <c r="D1254" s="12">
        <v>-8.3599999999999994E-2</v>
      </c>
      <c r="E1254" s="12">
        <v>0.17610000000000001</v>
      </c>
      <c r="F1254" s="12">
        <v>0.1076</v>
      </c>
      <c r="G1254" s="12">
        <v>4.6250000000000006E-2</v>
      </c>
      <c r="H1254" s="12">
        <v>6.6699999999999995E-2</v>
      </c>
      <c r="I1254" s="12">
        <v>0.12239999999999999</v>
      </c>
      <c r="J1254" s="9" t="s">
        <v>412</v>
      </c>
      <c r="K1254" s="9" t="s">
        <v>604</v>
      </c>
    </row>
    <row r="1255" spans="1:11">
      <c r="A1255" s="9" t="s">
        <v>682</v>
      </c>
      <c r="B1255" s="9" t="s">
        <v>602</v>
      </c>
      <c r="C1255" s="9" t="s">
        <v>667</v>
      </c>
      <c r="D1255" s="12">
        <v>-0.02</v>
      </c>
      <c r="E1255" s="12">
        <v>9.5699999999999993E-2</v>
      </c>
      <c r="F1255" s="12">
        <v>0.25119999999999998</v>
      </c>
      <c r="G1255" s="12">
        <v>3.7849999999999995E-2</v>
      </c>
      <c r="H1255" s="12">
        <v>0.109</v>
      </c>
      <c r="I1255" s="12">
        <v>0.12230000000000001</v>
      </c>
      <c r="J1255" s="9" t="s">
        <v>412</v>
      </c>
      <c r="K1255" s="9" t="s">
        <v>604</v>
      </c>
    </row>
    <row r="1256" spans="1:11" ht="28.8">
      <c r="A1256" s="9" t="s">
        <v>603</v>
      </c>
      <c r="B1256" s="9" t="s">
        <v>681</v>
      </c>
      <c r="C1256" s="9" t="s">
        <v>690</v>
      </c>
      <c r="D1256" s="12">
        <v>4.1099999999999998E-2</v>
      </c>
      <c r="E1256" s="12">
        <v>-0.19009999999999999</v>
      </c>
      <c r="F1256" s="12">
        <v>-0.1356</v>
      </c>
      <c r="G1256" s="12">
        <v>-7.4499999999999997E-2</v>
      </c>
      <c r="H1256" s="12">
        <v>-9.4899999999999998E-2</v>
      </c>
      <c r="I1256" s="12">
        <v>0.12230000000000001</v>
      </c>
      <c r="J1256" s="9" t="s">
        <v>412</v>
      </c>
      <c r="K1256" s="9" t="s">
        <v>604</v>
      </c>
    </row>
    <row r="1257" spans="1:11" ht="28.8">
      <c r="A1257" s="9" t="s">
        <v>679</v>
      </c>
      <c r="B1257" s="9" t="s">
        <v>688</v>
      </c>
      <c r="C1257" s="9" t="s">
        <v>659</v>
      </c>
      <c r="D1257" s="12">
        <v>-6.4799999999999996E-2</v>
      </c>
      <c r="E1257" s="12">
        <v>0.14299999999999999</v>
      </c>
      <c r="F1257" s="12">
        <v>-0.15909999999999999</v>
      </c>
      <c r="G1257" s="12">
        <v>3.9099999999999996E-2</v>
      </c>
      <c r="H1257" s="12">
        <v>-2.7E-2</v>
      </c>
      <c r="I1257" s="12">
        <v>0.12230000000000001</v>
      </c>
      <c r="J1257" s="9" t="s">
        <v>412</v>
      </c>
      <c r="K1257" s="9" t="s">
        <v>604</v>
      </c>
    </row>
    <row r="1258" spans="1:11" ht="28.8">
      <c r="A1258" s="9" t="s">
        <v>609</v>
      </c>
      <c r="B1258" s="9" t="s">
        <v>658</v>
      </c>
      <c r="C1258" s="9" t="s">
        <v>664</v>
      </c>
      <c r="D1258" s="12">
        <v>-6.5699999999999995E-2</v>
      </c>
      <c r="E1258" s="12">
        <v>1.5599999999999999E-2</v>
      </c>
      <c r="F1258" s="12">
        <v>-0.28549999999999998</v>
      </c>
      <c r="G1258" s="12">
        <v>-2.5049999999999996E-2</v>
      </c>
      <c r="H1258" s="12">
        <v>-0.1119</v>
      </c>
      <c r="I1258" s="12">
        <v>0.12230000000000001</v>
      </c>
      <c r="J1258" s="9" t="s">
        <v>412</v>
      </c>
      <c r="K1258" s="9" t="s">
        <v>604</v>
      </c>
    </row>
    <row r="1259" spans="1:11" ht="28.8">
      <c r="A1259" s="9" t="s">
        <v>661</v>
      </c>
      <c r="B1259" s="9" t="s">
        <v>665</v>
      </c>
      <c r="C1259" s="9" t="s">
        <v>659</v>
      </c>
      <c r="D1259" s="12">
        <v>4.3499999999999997E-2</v>
      </c>
      <c r="E1259" s="12">
        <v>0.1731</v>
      </c>
      <c r="F1259" s="12">
        <v>0.1502</v>
      </c>
      <c r="G1259" s="12">
        <v>0.10830000000000001</v>
      </c>
      <c r="H1259" s="12">
        <v>0.12230000000000001</v>
      </c>
      <c r="I1259" s="12">
        <v>0.12230000000000001</v>
      </c>
      <c r="J1259" s="9" t="s">
        <v>412</v>
      </c>
      <c r="K1259" s="9" t="s">
        <v>654</v>
      </c>
    </row>
    <row r="1260" spans="1:11">
      <c r="A1260" s="9" t="s">
        <v>610</v>
      </c>
      <c r="B1260" s="9" t="s">
        <v>688</v>
      </c>
      <c r="C1260" s="9" t="s">
        <v>670</v>
      </c>
      <c r="D1260" s="12">
        <v>-0.1699</v>
      </c>
      <c r="E1260" s="12">
        <v>8.5699999999999998E-2</v>
      </c>
      <c r="F1260" s="12">
        <v>-0.1111</v>
      </c>
      <c r="G1260" s="12">
        <v>-4.2099999999999999E-2</v>
      </c>
      <c r="H1260" s="12">
        <v>-6.5100000000000005E-2</v>
      </c>
      <c r="I1260" s="12">
        <v>0.1222</v>
      </c>
      <c r="J1260" s="9" t="s">
        <v>412</v>
      </c>
      <c r="K1260" s="9" t="s">
        <v>604</v>
      </c>
    </row>
    <row r="1261" spans="1:11" ht="28.8">
      <c r="A1261" s="9" t="s">
        <v>662</v>
      </c>
      <c r="B1261" s="9" t="s">
        <v>685</v>
      </c>
      <c r="C1261" s="9" t="s">
        <v>675</v>
      </c>
      <c r="D1261" s="12">
        <v>0.14630000000000001</v>
      </c>
      <c r="E1261" s="12">
        <v>0.1087</v>
      </c>
      <c r="F1261" s="12">
        <v>0.11119999999999999</v>
      </c>
      <c r="G1261" s="12">
        <v>0.1275</v>
      </c>
      <c r="H1261" s="12">
        <v>0.1221</v>
      </c>
      <c r="I1261" s="12">
        <v>0.1221</v>
      </c>
      <c r="J1261" s="9" t="s">
        <v>412</v>
      </c>
      <c r="K1261" s="9" t="s">
        <v>654</v>
      </c>
    </row>
    <row r="1262" spans="1:11" ht="28.8">
      <c r="A1262" s="9" t="s">
        <v>679</v>
      </c>
      <c r="B1262" s="9" t="s">
        <v>665</v>
      </c>
      <c r="C1262" s="9" t="s">
        <v>670</v>
      </c>
      <c r="D1262" s="12">
        <v>-9.5200000000000007E-2</v>
      </c>
      <c r="E1262" s="12">
        <v>7.6399999999999996E-2</v>
      </c>
      <c r="F1262" s="12">
        <v>-0.1948</v>
      </c>
      <c r="G1262" s="12">
        <v>-9.4000000000000056E-3</v>
      </c>
      <c r="H1262" s="12">
        <v>-7.1199999999999999E-2</v>
      </c>
      <c r="I1262" s="12">
        <v>0.1221</v>
      </c>
      <c r="J1262" s="9" t="s">
        <v>412</v>
      </c>
      <c r="K1262" s="9" t="s">
        <v>604</v>
      </c>
    </row>
    <row r="1263" spans="1:11">
      <c r="A1263" s="9" t="s">
        <v>662</v>
      </c>
      <c r="B1263" s="9" t="s">
        <v>668</v>
      </c>
      <c r="C1263" s="9" t="s">
        <v>667</v>
      </c>
      <c r="D1263" s="12">
        <v>0.12540000000000001</v>
      </c>
      <c r="E1263" s="12">
        <v>5.5599999999999997E-2</v>
      </c>
      <c r="F1263" s="12">
        <v>-0.1852</v>
      </c>
      <c r="G1263" s="12">
        <v>9.0499999999999997E-2</v>
      </c>
      <c r="H1263" s="12">
        <v>-1.4E-3</v>
      </c>
      <c r="I1263" s="12">
        <v>0.1221</v>
      </c>
      <c r="J1263" s="9" t="s">
        <v>412</v>
      </c>
      <c r="K1263" s="9" t="s">
        <v>604</v>
      </c>
    </row>
    <row r="1264" spans="1:11">
      <c r="A1264" s="9" t="s">
        <v>662</v>
      </c>
      <c r="B1264" s="9" t="s">
        <v>678</v>
      </c>
      <c r="C1264" s="9" t="s">
        <v>656</v>
      </c>
      <c r="D1264" s="12">
        <v>0.26229999999999998</v>
      </c>
      <c r="E1264" s="12">
        <v>-6.4199999999999993E-2</v>
      </c>
      <c r="F1264" s="12">
        <v>-3.9800000000000002E-2</v>
      </c>
      <c r="G1264" s="12">
        <v>9.9049999999999999E-2</v>
      </c>
      <c r="H1264" s="12">
        <v>5.28E-2</v>
      </c>
      <c r="I1264" s="12">
        <v>0.1221</v>
      </c>
      <c r="J1264" s="9" t="s">
        <v>412</v>
      </c>
      <c r="K1264" s="9" t="s">
        <v>604</v>
      </c>
    </row>
    <row r="1265" spans="1:11" ht="28.8">
      <c r="A1265" s="9" t="s">
        <v>682</v>
      </c>
      <c r="B1265" s="9" t="s">
        <v>681</v>
      </c>
      <c r="C1265" s="9" t="s">
        <v>690</v>
      </c>
      <c r="D1265" s="12">
        <v>-7.1099999999999997E-2</v>
      </c>
      <c r="E1265" s="12">
        <v>0.15890000000000001</v>
      </c>
      <c r="F1265" s="12">
        <v>-0.1356</v>
      </c>
      <c r="G1265" s="12">
        <v>4.3900000000000008E-2</v>
      </c>
      <c r="H1265" s="12">
        <v>-1.5900000000000001E-2</v>
      </c>
      <c r="I1265" s="12">
        <v>0.12189999999999999</v>
      </c>
      <c r="J1265" s="9" t="s">
        <v>412</v>
      </c>
      <c r="K1265" s="9" t="s">
        <v>604</v>
      </c>
    </row>
    <row r="1266" spans="1:11" ht="28.8">
      <c r="A1266" s="9" t="s">
        <v>610</v>
      </c>
      <c r="B1266" s="9" t="s">
        <v>680</v>
      </c>
      <c r="C1266" s="9" t="s">
        <v>675</v>
      </c>
      <c r="D1266" s="12">
        <v>-2.1399999999999999E-2</v>
      </c>
      <c r="E1266" s="12">
        <v>-0.1973</v>
      </c>
      <c r="F1266" s="12">
        <v>0.14710000000000001</v>
      </c>
      <c r="G1266" s="12">
        <v>-0.10935</v>
      </c>
      <c r="H1266" s="12">
        <v>-2.3800000000000002E-2</v>
      </c>
      <c r="I1266" s="12">
        <v>0.12189999999999999</v>
      </c>
      <c r="J1266" s="9" t="s">
        <v>412</v>
      </c>
      <c r="K1266" s="9" t="s">
        <v>604</v>
      </c>
    </row>
    <row r="1267" spans="1:11" ht="28.8">
      <c r="A1267" s="9" t="s">
        <v>679</v>
      </c>
      <c r="B1267" s="9" t="s">
        <v>673</v>
      </c>
      <c r="C1267" s="9" t="s">
        <v>675</v>
      </c>
      <c r="D1267" s="12">
        <v>4.0599999999999997E-2</v>
      </c>
      <c r="E1267" s="12">
        <v>-7.4499999999999997E-2</v>
      </c>
      <c r="F1267" s="12">
        <v>-0.25030000000000002</v>
      </c>
      <c r="G1267" s="12">
        <v>-1.695E-2</v>
      </c>
      <c r="H1267" s="12">
        <v>-9.4700000000000006E-2</v>
      </c>
      <c r="I1267" s="12">
        <v>0.12180000000000001</v>
      </c>
      <c r="J1267" s="9" t="s">
        <v>412</v>
      </c>
      <c r="K1267" s="9" t="s">
        <v>604</v>
      </c>
    </row>
    <row r="1268" spans="1:11" ht="28.8">
      <c r="A1268" s="9" t="s">
        <v>661</v>
      </c>
      <c r="B1268" s="9" t="s">
        <v>684</v>
      </c>
      <c r="C1268" s="9" t="s">
        <v>674</v>
      </c>
      <c r="D1268" s="12">
        <v>6.8199999999999997E-2</v>
      </c>
      <c r="E1268" s="12">
        <v>0.1986</v>
      </c>
      <c r="F1268" s="12">
        <v>9.8699999999999996E-2</v>
      </c>
      <c r="G1268" s="12">
        <v>0.13339999999999999</v>
      </c>
      <c r="H1268" s="12">
        <v>0.12180000000000001</v>
      </c>
      <c r="I1268" s="12">
        <v>0.12180000000000001</v>
      </c>
      <c r="J1268" s="9" t="s">
        <v>412</v>
      </c>
      <c r="K1268" s="9" t="s">
        <v>654</v>
      </c>
    </row>
    <row r="1269" spans="1:11" ht="28.8">
      <c r="A1269" s="9" t="s">
        <v>609</v>
      </c>
      <c r="B1269" s="9" t="s">
        <v>658</v>
      </c>
      <c r="C1269" s="9" t="s">
        <v>675</v>
      </c>
      <c r="D1269" s="12">
        <v>9.6600000000000005E-2</v>
      </c>
      <c r="E1269" s="12">
        <v>1.5599999999999999E-2</v>
      </c>
      <c r="F1269" s="12">
        <v>0.25319999999999998</v>
      </c>
      <c r="G1269" s="12">
        <v>5.6100000000000004E-2</v>
      </c>
      <c r="H1269" s="12">
        <v>0.12180000000000001</v>
      </c>
      <c r="I1269" s="12">
        <v>0.12180000000000001</v>
      </c>
      <c r="J1269" s="9" t="s">
        <v>412</v>
      </c>
      <c r="K1269" s="9" t="s">
        <v>654</v>
      </c>
    </row>
    <row r="1270" spans="1:11" ht="28.8">
      <c r="A1270" s="9" t="s">
        <v>609</v>
      </c>
      <c r="B1270" s="9" t="s">
        <v>684</v>
      </c>
      <c r="C1270" s="9" t="s">
        <v>690</v>
      </c>
      <c r="D1270" s="12">
        <v>4.9799999999999997E-2</v>
      </c>
      <c r="E1270" s="12">
        <v>-0.19400000000000001</v>
      </c>
      <c r="F1270" s="12">
        <v>0.12130000000000001</v>
      </c>
      <c r="G1270" s="12">
        <v>-7.2099999999999997E-2</v>
      </c>
      <c r="H1270" s="12">
        <v>-7.6E-3</v>
      </c>
      <c r="I1270" s="12">
        <v>0.1217</v>
      </c>
      <c r="J1270" s="9" t="s">
        <v>412</v>
      </c>
      <c r="K1270" s="9" t="s">
        <v>604</v>
      </c>
    </row>
    <row r="1271" spans="1:11" ht="28.8">
      <c r="A1271" s="9" t="s">
        <v>662</v>
      </c>
      <c r="B1271" s="9" t="s">
        <v>673</v>
      </c>
      <c r="C1271" s="9" t="s">
        <v>666</v>
      </c>
      <c r="D1271" s="12">
        <v>-0.1094</v>
      </c>
      <c r="E1271" s="12">
        <v>4.2999999999999997E-2</v>
      </c>
      <c r="F1271" s="12">
        <v>-0.2127</v>
      </c>
      <c r="G1271" s="12">
        <v>-3.32E-2</v>
      </c>
      <c r="H1271" s="12">
        <v>-9.2999999999999999E-2</v>
      </c>
      <c r="I1271" s="12">
        <v>0.1217</v>
      </c>
      <c r="J1271" s="9" t="s">
        <v>412</v>
      </c>
      <c r="K1271" s="9" t="s">
        <v>604</v>
      </c>
    </row>
    <row r="1272" spans="1:11" ht="28.8">
      <c r="A1272" s="9" t="s">
        <v>671</v>
      </c>
      <c r="B1272" s="9" t="s">
        <v>676</v>
      </c>
      <c r="C1272" s="9" t="s">
        <v>690</v>
      </c>
      <c r="D1272" s="12">
        <v>-7.0199999999999999E-2</v>
      </c>
      <c r="E1272" s="12">
        <v>0.2205</v>
      </c>
      <c r="F1272" s="12">
        <v>-7.4399999999999994E-2</v>
      </c>
      <c r="G1272" s="12">
        <v>7.5149999999999995E-2</v>
      </c>
      <c r="H1272" s="12">
        <v>2.53E-2</v>
      </c>
      <c r="I1272" s="12">
        <v>0.1217</v>
      </c>
      <c r="J1272" s="9" t="s">
        <v>412</v>
      </c>
      <c r="K1272" s="9" t="s">
        <v>604</v>
      </c>
    </row>
    <row r="1273" spans="1:11" ht="28.8">
      <c r="A1273" s="9" t="s">
        <v>661</v>
      </c>
      <c r="B1273" s="9" t="s">
        <v>660</v>
      </c>
      <c r="C1273" s="9" t="s">
        <v>664</v>
      </c>
      <c r="D1273" s="12">
        <v>-2.4199999999999999E-2</v>
      </c>
      <c r="E1273" s="12">
        <v>-0.21290000000000001</v>
      </c>
      <c r="F1273" s="12">
        <v>0.128</v>
      </c>
      <c r="G1273" s="12">
        <v>-0.11855</v>
      </c>
      <c r="H1273" s="12">
        <v>-3.6400000000000002E-2</v>
      </c>
      <c r="I1273" s="12">
        <v>0.1217</v>
      </c>
      <c r="J1273" s="9" t="s">
        <v>412</v>
      </c>
      <c r="K1273" s="9" t="s">
        <v>604</v>
      </c>
    </row>
    <row r="1274" spans="1:11">
      <c r="A1274" s="9" t="s">
        <v>662</v>
      </c>
      <c r="B1274" s="9" t="s">
        <v>691</v>
      </c>
      <c r="C1274" s="9" t="s">
        <v>656</v>
      </c>
      <c r="D1274" s="12">
        <v>0.26229999999999998</v>
      </c>
      <c r="E1274" s="12">
        <v>7.0099999999999996E-2</v>
      </c>
      <c r="F1274" s="12">
        <v>-3.2500000000000001E-2</v>
      </c>
      <c r="G1274" s="12">
        <v>0.16619999999999999</v>
      </c>
      <c r="H1274" s="12">
        <v>0.1</v>
      </c>
      <c r="I1274" s="12">
        <v>0.1216</v>
      </c>
      <c r="J1274" s="9" t="s">
        <v>412</v>
      </c>
      <c r="K1274" s="9" t="s">
        <v>604</v>
      </c>
    </row>
    <row r="1275" spans="1:11">
      <c r="A1275" s="9" t="s">
        <v>662</v>
      </c>
      <c r="B1275" s="9" t="s">
        <v>688</v>
      </c>
      <c r="C1275" s="9" t="s">
        <v>663</v>
      </c>
      <c r="D1275" s="12">
        <v>7.4700000000000003E-2</v>
      </c>
      <c r="E1275" s="12">
        <v>0.1293</v>
      </c>
      <c r="F1275" s="12">
        <v>0.16059999999999999</v>
      </c>
      <c r="G1275" s="12">
        <v>0.10200000000000001</v>
      </c>
      <c r="H1275" s="12">
        <v>0.1215</v>
      </c>
      <c r="I1275" s="12">
        <v>0.1215</v>
      </c>
      <c r="J1275" s="9" t="s">
        <v>412</v>
      </c>
      <c r="K1275" s="9" t="s">
        <v>654</v>
      </c>
    </row>
    <row r="1276" spans="1:11">
      <c r="A1276" s="9" t="s">
        <v>662</v>
      </c>
      <c r="B1276" s="9" t="s">
        <v>689</v>
      </c>
      <c r="C1276" s="9" t="s">
        <v>667</v>
      </c>
      <c r="D1276" s="12">
        <v>0.12540000000000001</v>
      </c>
      <c r="E1276" s="12">
        <v>-8.6699999999999999E-2</v>
      </c>
      <c r="F1276" s="12">
        <v>-0.15240000000000001</v>
      </c>
      <c r="G1276" s="12">
        <v>1.9350000000000006E-2</v>
      </c>
      <c r="H1276" s="12">
        <v>-3.7900000000000003E-2</v>
      </c>
      <c r="I1276" s="12">
        <v>0.1215</v>
      </c>
      <c r="J1276" s="9" t="s">
        <v>412</v>
      </c>
      <c r="K1276" s="9" t="s">
        <v>604</v>
      </c>
    </row>
    <row r="1277" spans="1:11" ht="28.8">
      <c r="A1277" s="9" t="s">
        <v>679</v>
      </c>
      <c r="B1277" s="9" t="s">
        <v>685</v>
      </c>
      <c r="C1277" s="9" t="s">
        <v>677</v>
      </c>
      <c r="D1277" s="12">
        <v>0.13189999999999999</v>
      </c>
      <c r="E1277" s="12">
        <v>0.22770000000000001</v>
      </c>
      <c r="F1277" s="12">
        <v>4.1999999999999997E-3</v>
      </c>
      <c r="G1277" s="12">
        <v>0.17980000000000002</v>
      </c>
      <c r="H1277" s="12">
        <v>0.12130000000000001</v>
      </c>
      <c r="I1277" s="12">
        <v>0.12130000000000001</v>
      </c>
      <c r="J1277" s="9" t="s">
        <v>412</v>
      </c>
      <c r="K1277" s="9" t="s">
        <v>654</v>
      </c>
    </row>
    <row r="1278" spans="1:11">
      <c r="A1278" s="9" t="s">
        <v>662</v>
      </c>
      <c r="B1278" s="9" t="s">
        <v>678</v>
      </c>
      <c r="C1278" s="9" t="s">
        <v>655</v>
      </c>
      <c r="D1278" s="12">
        <v>5.6899999999999999E-2</v>
      </c>
      <c r="E1278" s="12">
        <v>-6.4199999999999993E-2</v>
      </c>
      <c r="F1278" s="12">
        <v>-0.2429</v>
      </c>
      <c r="G1278" s="12">
        <v>-3.649999999999997E-3</v>
      </c>
      <c r="H1278" s="12">
        <v>-8.3400000000000002E-2</v>
      </c>
      <c r="I1278" s="12">
        <v>0.12130000000000001</v>
      </c>
      <c r="J1278" s="9" t="s">
        <v>412</v>
      </c>
      <c r="K1278" s="9" t="s">
        <v>604</v>
      </c>
    </row>
    <row r="1279" spans="1:11" ht="28.8">
      <c r="A1279" s="9" t="s">
        <v>603</v>
      </c>
      <c r="B1279" s="9" t="s">
        <v>687</v>
      </c>
      <c r="C1279" s="9" t="s">
        <v>659</v>
      </c>
      <c r="D1279" s="12">
        <v>-0.17230000000000001</v>
      </c>
      <c r="E1279" s="12">
        <v>-0.1457</v>
      </c>
      <c r="F1279" s="12">
        <v>4.58E-2</v>
      </c>
      <c r="G1279" s="12">
        <v>-0.159</v>
      </c>
      <c r="H1279" s="12">
        <v>-9.0700000000000003E-2</v>
      </c>
      <c r="I1279" s="12">
        <v>0.12130000000000001</v>
      </c>
      <c r="J1279" s="9" t="s">
        <v>412</v>
      </c>
      <c r="K1279" s="9" t="s">
        <v>604</v>
      </c>
    </row>
    <row r="1280" spans="1:11" ht="28.8">
      <c r="A1280" s="9" t="s">
        <v>671</v>
      </c>
      <c r="B1280" s="9" t="s">
        <v>687</v>
      </c>
      <c r="C1280" s="9" t="s">
        <v>663</v>
      </c>
      <c r="D1280" s="12">
        <v>9.4399999999999998E-2</v>
      </c>
      <c r="E1280" s="12">
        <v>0.13850000000000001</v>
      </c>
      <c r="F1280" s="12">
        <v>0.13100000000000001</v>
      </c>
      <c r="G1280" s="12">
        <v>0.11645</v>
      </c>
      <c r="H1280" s="12">
        <v>0.12130000000000001</v>
      </c>
      <c r="I1280" s="12">
        <v>0.12130000000000001</v>
      </c>
      <c r="J1280" s="9" t="s">
        <v>412</v>
      </c>
      <c r="K1280" s="9" t="s">
        <v>654</v>
      </c>
    </row>
    <row r="1281" spans="1:11" ht="28.8">
      <c r="A1281" s="9" t="s">
        <v>603</v>
      </c>
      <c r="B1281" s="9" t="s">
        <v>676</v>
      </c>
      <c r="C1281" s="9" t="s">
        <v>674</v>
      </c>
      <c r="D1281" s="12">
        <v>-0.1212</v>
      </c>
      <c r="E1281" s="12">
        <v>-0.1002</v>
      </c>
      <c r="F1281" s="12">
        <v>0.14230000000000001</v>
      </c>
      <c r="G1281" s="12">
        <v>-0.11069999999999999</v>
      </c>
      <c r="H1281" s="12">
        <v>-2.64E-2</v>
      </c>
      <c r="I1281" s="12">
        <v>0.1212</v>
      </c>
      <c r="J1281" s="9" t="s">
        <v>412</v>
      </c>
      <c r="K1281" s="9" t="s">
        <v>604</v>
      </c>
    </row>
    <row r="1282" spans="1:11" ht="28.8">
      <c r="A1282" s="9" t="s">
        <v>671</v>
      </c>
      <c r="B1282" s="9" t="s">
        <v>681</v>
      </c>
      <c r="C1282" s="9" t="s">
        <v>601</v>
      </c>
      <c r="D1282" s="12">
        <v>-0.10879999999999999</v>
      </c>
      <c r="E1282" s="12">
        <v>7.1800000000000003E-2</v>
      </c>
      <c r="F1282" s="12">
        <v>-0.18310000000000001</v>
      </c>
      <c r="G1282" s="12">
        <v>-1.8499999999999996E-2</v>
      </c>
      <c r="H1282" s="12">
        <v>-7.3400000000000007E-2</v>
      </c>
      <c r="I1282" s="12">
        <v>0.1212</v>
      </c>
      <c r="J1282" s="9" t="s">
        <v>412</v>
      </c>
      <c r="K1282" s="9" t="s">
        <v>604</v>
      </c>
    </row>
    <row r="1283" spans="1:11">
      <c r="A1283" s="9" t="s">
        <v>610</v>
      </c>
      <c r="B1283" s="9" t="s">
        <v>688</v>
      </c>
      <c r="C1283" s="9" t="s">
        <v>659</v>
      </c>
      <c r="D1283" s="12">
        <v>0.1174</v>
      </c>
      <c r="E1283" s="12">
        <v>8.5699999999999998E-2</v>
      </c>
      <c r="F1283" s="12">
        <v>-0.15909999999999999</v>
      </c>
      <c r="G1283" s="12">
        <v>0.10155</v>
      </c>
      <c r="H1283" s="12">
        <v>1.47E-2</v>
      </c>
      <c r="I1283" s="12">
        <v>0.1208</v>
      </c>
      <c r="J1283" s="9" t="s">
        <v>412</v>
      </c>
      <c r="K1283" s="9" t="s">
        <v>604</v>
      </c>
    </row>
    <row r="1284" spans="1:11" ht="28.8">
      <c r="A1284" s="9" t="s">
        <v>609</v>
      </c>
      <c r="B1284" s="9" t="s">
        <v>685</v>
      </c>
      <c r="C1284" s="9" t="s">
        <v>601</v>
      </c>
      <c r="D1284" s="12">
        <v>-0.1671</v>
      </c>
      <c r="E1284" s="12">
        <v>3.8399999999999997E-2</v>
      </c>
      <c r="F1284" s="12">
        <v>-0.157</v>
      </c>
      <c r="G1284" s="12">
        <v>-6.4350000000000004E-2</v>
      </c>
      <c r="H1284" s="12">
        <v>-9.5200000000000007E-2</v>
      </c>
      <c r="I1284" s="12">
        <v>0.1208</v>
      </c>
      <c r="J1284" s="9" t="s">
        <v>412</v>
      </c>
      <c r="K1284" s="9" t="s">
        <v>604</v>
      </c>
    </row>
    <row r="1285" spans="1:11">
      <c r="A1285" s="9" t="s">
        <v>682</v>
      </c>
      <c r="B1285" s="9" t="s">
        <v>668</v>
      </c>
      <c r="C1285" s="9" t="s">
        <v>670</v>
      </c>
      <c r="D1285" s="12">
        <v>-0.19359999999999999</v>
      </c>
      <c r="E1285" s="12">
        <v>7.3000000000000001E-3</v>
      </c>
      <c r="F1285" s="12">
        <v>0.16139999999999999</v>
      </c>
      <c r="G1285" s="12">
        <v>-9.3149999999999997E-2</v>
      </c>
      <c r="H1285" s="12">
        <v>-8.3000000000000001E-3</v>
      </c>
      <c r="I1285" s="12">
        <v>0.1208</v>
      </c>
      <c r="J1285" s="9" t="s">
        <v>412</v>
      </c>
      <c r="K1285" s="9" t="s">
        <v>604</v>
      </c>
    </row>
    <row r="1286" spans="1:11" ht="28.8">
      <c r="A1286" s="9" t="s">
        <v>682</v>
      </c>
      <c r="B1286" s="9" t="s">
        <v>685</v>
      </c>
      <c r="C1286" s="9" t="s">
        <v>666</v>
      </c>
      <c r="D1286" s="12">
        <v>0.22600000000000001</v>
      </c>
      <c r="E1286" s="12">
        <v>0.12429999999999999</v>
      </c>
      <c r="F1286" s="12">
        <v>-1.17E-2</v>
      </c>
      <c r="G1286" s="12">
        <v>0.17515</v>
      </c>
      <c r="H1286" s="12">
        <v>0.1129</v>
      </c>
      <c r="I1286" s="12">
        <v>0.1207</v>
      </c>
      <c r="J1286" s="9" t="s">
        <v>412</v>
      </c>
      <c r="K1286" s="9" t="s">
        <v>604</v>
      </c>
    </row>
    <row r="1287" spans="1:11" ht="28.8">
      <c r="A1287" s="9" t="s">
        <v>603</v>
      </c>
      <c r="B1287" s="9" t="s">
        <v>684</v>
      </c>
      <c r="C1287" s="9" t="s">
        <v>675</v>
      </c>
      <c r="D1287" s="12">
        <v>-0.18360000000000001</v>
      </c>
      <c r="E1287" s="12">
        <v>-0.10829999999999999</v>
      </c>
      <c r="F1287" s="12">
        <v>-7.0099999999999996E-2</v>
      </c>
      <c r="G1287" s="12">
        <v>-0.14595</v>
      </c>
      <c r="H1287" s="12">
        <v>-0.1207</v>
      </c>
      <c r="I1287" s="12">
        <v>0.1207</v>
      </c>
      <c r="J1287" s="9" t="s">
        <v>412</v>
      </c>
      <c r="K1287" s="9" t="s">
        <v>604</v>
      </c>
    </row>
    <row r="1288" spans="1:11" ht="28.8">
      <c r="A1288" s="9" t="s">
        <v>661</v>
      </c>
      <c r="B1288" s="9" t="s">
        <v>686</v>
      </c>
      <c r="C1288" s="9" t="s">
        <v>666</v>
      </c>
      <c r="D1288" s="12">
        <v>0.2175</v>
      </c>
      <c r="E1288" s="12">
        <v>0.111</v>
      </c>
      <c r="F1288" s="12">
        <v>3.3500000000000002E-2</v>
      </c>
      <c r="G1288" s="12">
        <v>0.16425000000000001</v>
      </c>
      <c r="H1288" s="12">
        <v>0.1207</v>
      </c>
      <c r="I1288" s="12">
        <v>0.1207</v>
      </c>
      <c r="J1288" s="9" t="s">
        <v>412</v>
      </c>
      <c r="K1288" s="9" t="s">
        <v>654</v>
      </c>
    </row>
    <row r="1289" spans="1:11" ht="28.8">
      <c r="A1289" s="9" t="s">
        <v>610</v>
      </c>
      <c r="B1289" s="9" t="s">
        <v>691</v>
      </c>
      <c r="C1289" s="9" t="s">
        <v>690</v>
      </c>
      <c r="D1289" s="12">
        <v>-5.8599999999999999E-2</v>
      </c>
      <c r="E1289" s="12">
        <v>0.29249999999999998</v>
      </c>
      <c r="F1289" s="12">
        <v>1.0800000000000001E-2</v>
      </c>
      <c r="G1289" s="12">
        <v>0.11695</v>
      </c>
      <c r="H1289" s="12">
        <v>8.1600000000000006E-2</v>
      </c>
      <c r="I1289" s="12">
        <v>0.1206</v>
      </c>
      <c r="J1289" s="9" t="s">
        <v>412</v>
      </c>
      <c r="K1289" s="9" t="s">
        <v>604</v>
      </c>
    </row>
    <row r="1290" spans="1:11" ht="28.8">
      <c r="A1290" s="9" t="s">
        <v>609</v>
      </c>
      <c r="B1290" s="9" t="s">
        <v>673</v>
      </c>
      <c r="C1290" s="9" t="s">
        <v>666</v>
      </c>
      <c r="D1290" s="12">
        <v>-7.7700000000000005E-2</v>
      </c>
      <c r="E1290" s="12">
        <v>-7.1300000000000002E-2</v>
      </c>
      <c r="F1290" s="12">
        <v>-0.2127</v>
      </c>
      <c r="G1290" s="12">
        <v>-7.4500000000000011E-2</v>
      </c>
      <c r="H1290" s="12">
        <v>-0.1206</v>
      </c>
      <c r="I1290" s="12">
        <v>0.1206</v>
      </c>
      <c r="J1290" s="9" t="s">
        <v>412</v>
      </c>
      <c r="K1290" s="9" t="s">
        <v>604</v>
      </c>
    </row>
    <row r="1291" spans="1:11">
      <c r="A1291" s="9" t="s">
        <v>610</v>
      </c>
      <c r="B1291" s="9" t="s">
        <v>613</v>
      </c>
      <c r="C1291" s="9" t="s">
        <v>670</v>
      </c>
      <c r="D1291" s="12">
        <v>-0.1699</v>
      </c>
      <c r="E1291" s="12">
        <v>8.9999999999999993E-3</v>
      </c>
      <c r="F1291" s="12">
        <v>-0.1827</v>
      </c>
      <c r="G1291" s="12">
        <v>-8.0449999999999994E-2</v>
      </c>
      <c r="H1291" s="12">
        <v>-0.1145</v>
      </c>
      <c r="I1291" s="12">
        <v>0.1206</v>
      </c>
      <c r="J1291" s="9" t="s">
        <v>412</v>
      </c>
      <c r="K1291" s="9" t="s">
        <v>604</v>
      </c>
    </row>
    <row r="1292" spans="1:11">
      <c r="A1292" s="9" t="s">
        <v>682</v>
      </c>
      <c r="B1292" s="9" t="s">
        <v>688</v>
      </c>
      <c r="C1292" s="9" t="s">
        <v>670</v>
      </c>
      <c r="D1292" s="12">
        <v>-0.19359999999999999</v>
      </c>
      <c r="E1292" s="12">
        <v>5.6800000000000003E-2</v>
      </c>
      <c r="F1292" s="12">
        <v>-0.1111</v>
      </c>
      <c r="G1292" s="12">
        <v>-6.8399999999999989E-2</v>
      </c>
      <c r="H1292" s="12">
        <v>-8.2600000000000007E-2</v>
      </c>
      <c r="I1292" s="12">
        <v>0.1205</v>
      </c>
      <c r="J1292" s="9" t="s">
        <v>412</v>
      </c>
      <c r="K1292" s="9" t="s">
        <v>604</v>
      </c>
    </row>
    <row r="1293" spans="1:11" ht="28.8">
      <c r="A1293" s="9" t="s">
        <v>661</v>
      </c>
      <c r="B1293" s="9" t="s">
        <v>602</v>
      </c>
      <c r="C1293" s="9" t="s">
        <v>666</v>
      </c>
      <c r="D1293" s="12">
        <v>0.2175</v>
      </c>
      <c r="E1293" s="12">
        <v>2.06E-2</v>
      </c>
      <c r="F1293" s="12">
        <v>0.12330000000000001</v>
      </c>
      <c r="G1293" s="12">
        <v>0.11905</v>
      </c>
      <c r="H1293" s="12">
        <v>0.1205</v>
      </c>
      <c r="I1293" s="12">
        <v>0.1205</v>
      </c>
      <c r="J1293" s="9" t="s">
        <v>412</v>
      </c>
      <c r="K1293" s="9" t="s">
        <v>654</v>
      </c>
    </row>
    <row r="1294" spans="1:11">
      <c r="A1294" s="9" t="s">
        <v>609</v>
      </c>
      <c r="B1294" s="9" t="s">
        <v>681</v>
      </c>
      <c r="C1294" s="9" t="s">
        <v>667</v>
      </c>
      <c r="D1294" s="12">
        <v>0.33360000000000001</v>
      </c>
      <c r="E1294" s="12">
        <v>-2E-3</v>
      </c>
      <c r="F1294" s="12">
        <v>2.58E-2</v>
      </c>
      <c r="G1294" s="12">
        <v>0.1658</v>
      </c>
      <c r="H1294" s="12">
        <v>0.1191</v>
      </c>
      <c r="I1294" s="12">
        <v>0.12039999999999999</v>
      </c>
      <c r="J1294" s="9" t="s">
        <v>412</v>
      </c>
      <c r="K1294" s="9" t="s">
        <v>604</v>
      </c>
    </row>
    <row r="1295" spans="1:11" ht="28.8">
      <c r="A1295" s="9" t="s">
        <v>609</v>
      </c>
      <c r="B1295" s="9" t="s">
        <v>669</v>
      </c>
      <c r="C1295" s="9" t="s">
        <v>674</v>
      </c>
      <c r="D1295" s="12">
        <v>-8.6999999999999994E-3</v>
      </c>
      <c r="E1295" s="12">
        <v>4.6199999999999998E-2</v>
      </c>
      <c r="F1295" s="12">
        <v>0.30640000000000001</v>
      </c>
      <c r="G1295" s="12">
        <v>1.8749999999999999E-2</v>
      </c>
      <c r="H1295" s="12">
        <v>0.11459999999999999</v>
      </c>
      <c r="I1295" s="12">
        <v>0.12039999999999999</v>
      </c>
      <c r="J1295" s="9" t="s">
        <v>412</v>
      </c>
      <c r="K1295" s="9" t="s">
        <v>604</v>
      </c>
    </row>
    <row r="1296" spans="1:11" ht="28.8">
      <c r="A1296" s="9" t="s">
        <v>679</v>
      </c>
      <c r="B1296" s="9" t="s">
        <v>672</v>
      </c>
      <c r="C1296" s="9" t="s">
        <v>664</v>
      </c>
      <c r="D1296" s="12">
        <v>0.1353</v>
      </c>
      <c r="E1296" s="12">
        <v>0.13270000000000001</v>
      </c>
      <c r="F1296" s="12">
        <v>-9.2899999999999996E-2</v>
      </c>
      <c r="G1296" s="12">
        <v>0.13400000000000001</v>
      </c>
      <c r="H1296" s="12">
        <v>5.8400000000000001E-2</v>
      </c>
      <c r="I1296" s="12">
        <v>0.1203</v>
      </c>
      <c r="J1296" s="9" t="s">
        <v>412</v>
      </c>
      <c r="K1296" s="9" t="s">
        <v>604</v>
      </c>
    </row>
    <row r="1297" spans="1:11" ht="28.8">
      <c r="A1297" s="9" t="s">
        <v>661</v>
      </c>
      <c r="B1297" s="9" t="s">
        <v>602</v>
      </c>
      <c r="C1297" s="9" t="s">
        <v>670</v>
      </c>
      <c r="D1297" s="12">
        <v>-0.29680000000000001</v>
      </c>
      <c r="E1297" s="12">
        <v>2.06E-2</v>
      </c>
      <c r="F1297" s="12">
        <v>-4.3400000000000001E-2</v>
      </c>
      <c r="G1297" s="12">
        <v>-0.1381</v>
      </c>
      <c r="H1297" s="12">
        <v>-0.1065</v>
      </c>
      <c r="I1297" s="12">
        <v>0.1203</v>
      </c>
      <c r="J1297" s="9" t="s">
        <v>412</v>
      </c>
      <c r="K1297" s="9" t="s">
        <v>604</v>
      </c>
    </row>
    <row r="1298" spans="1:11" ht="28.8">
      <c r="A1298" s="9" t="s">
        <v>609</v>
      </c>
      <c r="B1298" s="9" t="s">
        <v>684</v>
      </c>
      <c r="C1298" s="9" t="s">
        <v>675</v>
      </c>
      <c r="D1298" s="12">
        <v>9.6600000000000005E-2</v>
      </c>
      <c r="E1298" s="12">
        <v>-0.19400000000000001</v>
      </c>
      <c r="F1298" s="12">
        <v>-7.0099999999999996E-2</v>
      </c>
      <c r="G1298" s="12">
        <v>-4.87E-2</v>
      </c>
      <c r="H1298" s="12">
        <v>-5.5800000000000002E-2</v>
      </c>
      <c r="I1298" s="12">
        <v>0.1202</v>
      </c>
      <c r="J1298" s="9" t="s">
        <v>412</v>
      </c>
      <c r="K1298" s="9" t="s">
        <v>604</v>
      </c>
    </row>
    <row r="1299" spans="1:11" ht="28.8">
      <c r="A1299" s="9" t="s">
        <v>609</v>
      </c>
      <c r="B1299" s="9" t="s">
        <v>665</v>
      </c>
      <c r="C1299" s="9" t="s">
        <v>664</v>
      </c>
      <c r="D1299" s="12">
        <v>-6.5699999999999995E-2</v>
      </c>
      <c r="E1299" s="12">
        <v>-0.11310000000000001</v>
      </c>
      <c r="F1299" s="12">
        <v>-0.1817</v>
      </c>
      <c r="G1299" s="12">
        <v>-8.9400000000000007E-2</v>
      </c>
      <c r="H1299" s="12">
        <v>-0.1202</v>
      </c>
      <c r="I1299" s="12">
        <v>0.1202</v>
      </c>
      <c r="J1299" s="9" t="s">
        <v>412</v>
      </c>
      <c r="K1299" s="9" t="s">
        <v>604</v>
      </c>
    </row>
    <row r="1300" spans="1:11" ht="28.8">
      <c r="A1300" s="9" t="s">
        <v>609</v>
      </c>
      <c r="B1300" s="9" t="s">
        <v>684</v>
      </c>
      <c r="C1300" s="9" t="s">
        <v>683</v>
      </c>
      <c r="D1300" s="12">
        <v>-0.105</v>
      </c>
      <c r="E1300" s="12">
        <v>-0.19400000000000001</v>
      </c>
      <c r="F1300" s="12">
        <v>-6.1499999999999999E-2</v>
      </c>
      <c r="G1300" s="12">
        <v>-0.14949999999999999</v>
      </c>
      <c r="H1300" s="12">
        <v>-0.1202</v>
      </c>
      <c r="I1300" s="12">
        <v>0.1202</v>
      </c>
      <c r="J1300" s="9" t="s">
        <v>412</v>
      </c>
      <c r="K1300" s="9" t="s">
        <v>604</v>
      </c>
    </row>
    <row r="1301" spans="1:11" ht="28.8">
      <c r="A1301" s="9" t="s">
        <v>661</v>
      </c>
      <c r="B1301" s="9" t="s">
        <v>676</v>
      </c>
      <c r="C1301" s="9" t="s">
        <v>664</v>
      </c>
      <c r="D1301" s="12">
        <v>-2.4199999999999999E-2</v>
      </c>
      <c r="E1301" s="12">
        <v>0.33629999999999999</v>
      </c>
      <c r="F1301" s="12">
        <v>-2.9999999999999997E-4</v>
      </c>
      <c r="G1301" s="12">
        <v>0.15604999999999999</v>
      </c>
      <c r="H1301" s="12">
        <v>0.104</v>
      </c>
      <c r="I1301" s="12">
        <v>0.1202</v>
      </c>
      <c r="J1301" s="9" t="s">
        <v>412</v>
      </c>
      <c r="K1301" s="9" t="s">
        <v>604</v>
      </c>
    </row>
    <row r="1302" spans="1:11" ht="28.8">
      <c r="A1302" s="9" t="s">
        <v>682</v>
      </c>
      <c r="B1302" s="9" t="s">
        <v>678</v>
      </c>
      <c r="C1302" s="9" t="s">
        <v>674</v>
      </c>
      <c r="D1302" s="12">
        <v>4.1999999999999997E-3</v>
      </c>
      <c r="E1302" s="12">
        <v>-0.16669999999999999</v>
      </c>
      <c r="F1302" s="12">
        <v>-0.18970000000000001</v>
      </c>
      <c r="G1302" s="12">
        <v>-8.1249999999999989E-2</v>
      </c>
      <c r="H1302" s="12">
        <v>-0.1174</v>
      </c>
      <c r="I1302" s="12">
        <v>0.1202</v>
      </c>
      <c r="J1302" s="9" t="s">
        <v>412</v>
      </c>
      <c r="K1302" s="9" t="s">
        <v>604</v>
      </c>
    </row>
    <row r="1303" spans="1:11" ht="28.8">
      <c r="A1303" s="9" t="s">
        <v>671</v>
      </c>
      <c r="B1303" s="9" t="s">
        <v>686</v>
      </c>
      <c r="C1303" s="9" t="s">
        <v>655</v>
      </c>
      <c r="D1303" s="12">
        <v>0.1215</v>
      </c>
      <c r="E1303" s="12">
        <v>0.13</v>
      </c>
      <c r="F1303" s="12">
        <v>0.1085</v>
      </c>
      <c r="G1303" s="12">
        <v>0.12575</v>
      </c>
      <c r="H1303" s="12">
        <v>0.12</v>
      </c>
      <c r="I1303" s="12">
        <v>0.12</v>
      </c>
      <c r="J1303" s="9" t="s">
        <v>412</v>
      </c>
      <c r="K1303" s="9" t="s">
        <v>654</v>
      </c>
    </row>
    <row r="1304" spans="1:11" ht="28.8">
      <c r="A1304" s="9" t="s">
        <v>682</v>
      </c>
      <c r="B1304" s="9" t="s">
        <v>689</v>
      </c>
      <c r="C1304" s="9" t="s">
        <v>666</v>
      </c>
      <c r="D1304" s="12">
        <v>0.22600000000000001</v>
      </c>
      <c r="E1304" s="12">
        <v>0.1298</v>
      </c>
      <c r="F1304" s="12">
        <v>3.5000000000000001E-3</v>
      </c>
      <c r="G1304" s="12">
        <v>0.1779</v>
      </c>
      <c r="H1304" s="12">
        <v>0.1198</v>
      </c>
      <c r="I1304" s="12">
        <v>0.1198</v>
      </c>
      <c r="J1304" s="9" t="s">
        <v>412</v>
      </c>
      <c r="K1304" s="9" t="s">
        <v>654</v>
      </c>
    </row>
    <row r="1305" spans="1:11" ht="28.8">
      <c r="A1305" s="9" t="s">
        <v>671</v>
      </c>
      <c r="B1305" s="9" t="s">
        <v>668</v>
      </c>
      <c r="C1305" s="9" t="s">
        <v>667</v>
      </c>
      <c r="D1305" s="12">
        <v>0.14219999999999999</v>
      </c>
      <c r="E1305" s="12">
        <v>-3.2099999999999997E-2</v>
      </c>
      <c r="F1305" s="12">
        <v>-0.1852</v>
      </c>
      <c r="G1305" s="12">
        <v>5.5050000000000002E-2</v>
      </c>
      <c r="H1305" s="12">
        <v>-2.5000000000000001E-2</v>
      </c>
      <c r="I1305" s="12">
        <v>0.1198</v>
      </c>
      <c r="J1305" s="9" t="s">
        <v>412</v>
      </c>
      <c r="K1305" s="9" t="s">
        <v>604</v>
      </c>
    </row>
    <row r="1306" spans="1:11">
      <c r="A1306" s="9" t="s">
        <v>610</v>
      </c>
      <c r="B1306" s="9" t="s">
        <v>669</v>
      </c>
      <c r="C1306" s="9" t="s">
        <v>667</v>
      </c>
      <c r="D1306" s="12">
        <v>6.1800000000000001E-2</v>
      </c>
      <c r="E1306" s="12">
        <v>-0.2331</v>
      </c>
      <c r="F1306" s="12">
        <v>6.4399999999999999E-2</v>
      </c>
      <c r="G1306" s="12">
        <v>-8.5650000000000004E-2</v>
      </c>
      <c r="H1306" s="12">
        <v>-3.56E-2</v>
      </c>
      <c r="I1306" s="12">
        <v>0.1198</v>
      </c>
      <c r="J1306" s="9" t="s">
        <v>412</v>
      </c>
      <c r="K1306" s="9" t="s">
        <v>604</v>
      </c>
    </row>
    <row r="1307" spans="1:11" ht="28.8">
      <c r="A1307" s="9" t="s">
        <v>603</v>
      </c>
      <c r="B1307" s="9" t="s">
        <v>602</v>
      </c>
      <c r="C1307" s="9" t="s">
        <v>670</v>
      </c>
      <c r="D1307" s="12">
        <v>0.28070000000000001</v>
      </c>
      <c r="E1307" s="12">
        <v>3.5099999999999999E-2</v>
      </c>
      <c r="F1307" s="12">
        <v>-4.3400000000000001E-2</v>
      </c>
      <c r="G1307" s="12">
        <v>0.15790000000000001</v>
      </c>
      <c r="H1307" s="12">
        <v>9.0800000000000006E-2</v>
      </c>
      <c r="I1307" s="12">
        <v>0.1197</v>
      </c>
      <c r="J1307" s="9" t="s">
        <v>412</v>
      </c>
      <c r="K1307" s="9" t="s">
        <v>604</v>
      </c>
    </row>
    <row r="1308" spans="1:11" ht="28.8">
      <c r="A1308" s="9" t="s">
        <v>679</v>
      </c>
      <c r="B1308" s="9" t="s">
        <v>672</v>
      </c>
      <c r="C1308" s="9" t="s">
        <v>675</v>
      </c>
      <c r="D1308" s="12">
        <v>4.0599999999999997E-2</v>
      </c>
      <c r="E1308" s="12">
        <v>0.13270000000000001</v>
      </c>
      <c r="F1308" s="12">
        <v>0.185</v>
      </c>
      <c r="G1308" s="12">
        <v>8.6650000000000005E-2</v>
      </c>
      <c r="H1308" s="12">
        <v>0.11940000000000001</v>
      </c>
      <c r="I1308" s="12">
        <v>0.11940000000000001</v>
      </c>
      <c r="J1308" s="9" t="s">
        <v>412</v>
      </c>
      <c r="K1308" s="9" t="s">
        <v>654</v>
      </c>
    </row>
    <row r="1309" spans="1:11">
      <c r="A1309" s="9" t="s">
        <v>682</v>
      </c>
      <c r="B1309" s="9" t="s">
        <v>673</v>
      </c>
      <c r="C1309" s="9" t="s">
        <v>670</v>
      </c>
      <c r="D1309" s="12">
        <v>-0.19359999999999999</v>
      </c>
      <c r="E1309" s="12">
        <v>-1.3899999999999999E-2</v>
      </c>
      <c r="F1309" s="12">
        <v>0.15040000000000001</v>
      </c>
      <c r="G1309" s="12">
        <v>-0.10375</v>
      </c>
      <c r="H1309" s="12">
        <v>-1.9E-2</v>
      </c>
      <c r="I1309" s="12">
        <v>0.1193</v>
      </c>
      <c r="J1309" s="9" t="s">
        <v>412</v>
      </c>
      <c r="K1309" s="9" t="s">
        <v>604</v>
      </c>
    </row>
    <row r="1310" spans="1:11" ht="28.8">
      <c r="A1310" s="9" t="s">
        <v>682</v>
      </c>
      <c r="B1310" s="9" t="s">
        <v>602</v>
      </c>
      <c r="C1310" s="9" t="s">
        <v>674</v>
      </c>
      <c r="D1310" s="12">
        <v>4.1999999999999997E-3</v>
      </c>
      <c r="E1310" s="12">
        <v>9.5699999999999993E-2</v>
      </c>
      <c r="F1310" s="12">
        <v>0.2581</v>
      </c>
      <c r="G1310" s="12">
        <v>4.9949999999999994E-2</v>
      </c>
      <c r="H1310" s="12">
        <v>0.1193</v>
      </c>
      <c r="I1310" s="12">
        <v>0.1193</v>
      </c>
      <c r="J1310" s="9" t="s">
        <v>412</v>
      </c>
      <c r="K1310" s="9" t="s">
        <v>654</v>
      </c>
    </row>
    <row r="1311" spans="1:11" ht="28.8">
      <c r="A1311" s="9" t="s">
        <v>662</v>
      </c>
      <c r="B1311" s="9" t="s">
        <v>668</v>
      </c>
      <c r="C1311" s="9" t="s">
        <v>675</v>
      </c>
      <c r="D1311" s="12">
        <v>0.14630000000000001</v>
      </c>
      <c r="E1311" s="12">
        <v>5.5599999999999997E-2</v>
      </c>
      <c r="F1311" s="12">
        <v>-0.15609999999999999</v>
      </c>
      <c r="G1311" s="12">
        <v>0.10095000000000001</v>
      </c>
      <c r="H1311" s="12">
        <v>1.5299999999999999E-2</v>
      </c>
      <c r="I1311" s="12">
        <v>0.1193</v>
      </c>
      <c r="J1311" s="9" t="s">
        <v>412</v>
      </c>
      <c r="K1311" s="9" t="s">
        <v>604</v>
      </c>
    </row>
    <row r="1312" spans="1:11" ht="28.8">
      <c r="A1312" s="9" t="s">
        <v>603</v>
      </c>
      <c r="B1312" s="9" t="s">
        <v>691</v>
      </c>
      <c r="C1312" s="9" t="s">
        <v>663</v>
      </c>
      <c r="D1312" s="12">
        <v>-0.2828</v>
      </c>
      <c r="E1312" s="12">
        <v>3.3000000000000002E-2</v>
      </c>
      <c r="F1312" s="12">
        <v>4.1599999999999998E-2</v>
      </c>
      <c r="G1312" s="12">
        <v>-0.1249</v>
      </c>
      <c r="H1312" s="12">
        <v>-6.9400000000000003E-2</v>
      </c>
      <c r="I1312" s="12">
        <v>0.1192</v>
      </c>
      <c r="J1312" s="9" t="s">
        <v>412</v>
      </c>
      <c r="K1312" s="9" t="s">
        <v>604</v>
      </c>
    </row>
    <row r="1313" spans="1:11" ht="28.8">
      <c r="A1313" s="9" t="s">
        <v>679</v>
      </c>
      <c r="B1313" s="9" t="s">
        <v>686</v>
      </c>
      <c r="C1313" s="9" t="s">
        <v>664</v>
      </c>
      <c r="D1313" s="12">
        <v>0.1353</v>
      </c>
      <c r="E1313" s="12">
        <v>0.2019</v>
      </c>
      <c r="F1313" s="12">
        <v>-2.01E-2</v>
      </c>
      <c r="G1313" s="12">
        <v>0.1686</v>
      </c>
      <c r="H1313" s="12">
        <v>0.1057</v>
      </c>
      <c r="I1313" s="12">
        <v>0.1191</v>
      </c>
      <c r="J1313" s="9" t="s">
        <v>412</v>
      </c>
      <c r="K1313" s="9" t="s">
        <v>604</v>
      </c>
    </row>
    <row r="1314" spans="1:11" ht="28.8">
      <c r="A1314" s="9" t="s">
        <v>661</v>
      </c>
      <c r="B1314" s="9" t="s">
        <v>681</v>
      </c>
      <c r="C1314" s="9" t="s">
        <v>675</v>
      </c>
      <c r="D1314" s="12">
        <v>0.14380000000000001</v>
      </c>
      <c r="E1314" s="12">
        <v>2.3900000000000001E-2</v>
      </c>
      <c r="F1314" s="12">
        <v>0.1895</v>
      </c>
      <c r="G1314" s="12">
        <v>8.3850000000000008E-2</v>
      </c>
      <c r="H1314" s="12">
        <v>0.1191</v>
      </c>
      <c r="I1314" s="12">
        <v>0.1191</v>
      </c>
      <c r="J1314" s="9" t="s">
        <v>412</v>
      </c>
      <c r="K1314" s="9" t="s">
        <v>654</v>
      </c>
    </row>
    <row r="1315" spans="1:11" ht="28.8">
      <c r="A1315" s="9" t="s">
        <v>679</v>
      </c>
      <c r="B1315" s="9" t="s">
        <v>672</v>
      </c>
      <c r="C1315" s="9" t="s">
        <v>677</v>
      </c>
      <c r="D1315" s="12">
        <v>0.13189999999999999</v>
      </c>
      <c r="E1315" s="12">
        <v>0.13270000000000001</v>
      </c>
      <c r="F1315" s="12">
        <v>9.2299999999999993E-2</v>
      </c>
      <c r="G1315" s="12">
        <v>0.1323</v>
      </c>
      <c r="H1315" s="12">
        <v>0.11899999999999999</v>
      </c>
      <c r="I1315" s="12">
        <v>0.11899999999999999</v>
      </c>
      <c r="J1315" s="9" t="s">
        <v>412</v>
      </c>
      <c r="K1315" s="9" t="s">
        <v>654</v>
      </c>
    </row>
    <row r="1316" spans="1:11" ht="28.8">
      <c r="A1316" s="9" t="s">
        <v>671</v>
      </c>
      <c r="B1316" s="9" t="s">
        <v>689</v>
      </c>
      <c r="C1316" s="9" t="s">
        <v>663</v>
      </c>
      <c r="D1316" s="12">
        <v>9.4399999999999998E-2</v>
      </c>
      <c r="E1316" s="12">
        <v>-0.12859999999999999</v>
      </c>
      <c r="F1316" s="12">
        <v>0.13370000000000001</v>
      </c>
      <c r="G1316" s="12">
        <v>-1.7099999999999997E-2</v>
      </c>
      <c r="H1316" s="12">
        <v>3.32E-2</v>
      </c>
      <c r="I1316" s="12">
        <v>0.11890000000000001</v>
      </c>
      <c r="J1316" s="9" t="s">
        <v>412</v>
      </c>
      <c r="K1316" s="9" t="s">
        <v>604</v>
      </c>
    </row>
    <row r="1317" spans="1:11" ht="28.8">
      <c r="A1317" s="9" t="s">
        <v>610</v>
      </c>
      <c r="B1317" s="9" t="s">
        <v>676</v>
      </c>
      <c r="C1317" s="9" t="s">
        <v>666</v>
      </c>
      <c r="D1317" s="12">
        <v>9.5000000000000001E-2</v>
      </c>
      <c r="E1317" s="12">
        <v>8.2799999999999999E-2</v>
      </c>
      <c r="F1317" s="12">
        <v>0.17879999999999999</v>
      </c>
      <c r="G1317" s="12">
        <v>8.8900000000000007E-2</v>
      </c>
      <c r="H1317" s="12">
        <v>0.11890000000000001</v>
      </c>
      <c r="I1317" s="12">
        <v>0.11890000000000001</v>
      </c>
      <c r="J1317" s="9" t="s">
        <v>412</v>
      </c>
      <c r="K1317" s="9" t="s">
        <v>654</v>
      </c>
    </row>
    <row r="1318" spans="1:11" ht="28.8">
      <c r="A1318" s="9" t="s">
        <v>679</v>
      </c>
      <c r="B1318" s="9" t="s">
        <v>653</v>
      </c>
      <c r="C1318" s="9" t="s">
        <v>670</v>
      </c>
      <c r="D1318" s="12">
        <v>-9.5200000000000007E-2</v>
      </c>
      <c r="E1318" s="12">
        <v>6.2700000000000006E-2</v>
      </c>
      <c r="F1318" s="12">
        <v>0.19900000000000001</v>
      </c>
      <c r="G1318" s="12">
        <v>-1.6250000000000001E-2</v>
      </c>
      <c r="H1318" s="12">
        <v>5.5500000000000001E-2</v>
      </c>
      <c r="I1318" s="12">
        <v>0.11890000000000001</v>
      </c>
      <c r="J1318" s="9" t="s">
        <v>412</v>
      </c>
      <c r="K1318" s="9" t="s">
        <v>604</v>
      </c>
    </row>
    <row r="1319" spans="1:11">
      <c r="A1319" s="9" t="s">
        <v>662</v>
      </c>
      <c r="B1319" s="9" t="s">
        <v>680</v>
      </c>
      <c r="C1319" s="9" t="s">
        <v>656</v>
      </c>
      <c r="D1319" s="12">
        <v>0.26229999999999998</v>
      </c>
      <c r="E1319" s="12">
        <v>-1.8100000000000002E-2</v>
      </c>
      <c r="F1319" s="12">
        <v>7.6399999999999996E-2</v>
      </c>
      <c r="G1319" s="12">
        <v>0.12209999999999999</v>
      </c>
      <c r="H1319" s="12">
        <v>0.1069</v>
      </c>
      <c r="I1319" s="12">
        <v>0.11890000000000001</v>
      </c>
      <c r="J1319" s="9" t="s">
        <v>412</v>
      </c>
      <c r="K1319" s="9" t="s">
        <v>604</v>
      </c>
    </row>
    <row r="1320" spans="1:11" ht="28.8">
      <c r="A1320" s="9" t="s">
        <v>661</v>
      </c>
      <c r="B1320" s="9" t="s">
        <v>678</v>
      </c>
      <c r="C1320" s="9" t="s">
        <v>663</v>
      </c>
      <c r="D1320" s="12">
        <v>8.8300000000000003E-2</v>
      </c>
      <c r="E1320" s="12">
        <v>-0.15379999999999999</v>
      </c>
      <c r="F1320" s="12">
        <v>-0.1142</v>
      </c>
      <c r="G1320" s="12">
        <v>-3.2749999999999994E-2</v>
      </c>
      <c r="H1320" s="12">
        <v>-5.9900000000000002E-2</v>
      </c>
      <c r="I1320" s="12">
        <v>0.1188</v>
      </c>
      <c r="J1320" s="9" t="s">
        <v>412</v>
      </c>
      <c r="K1320" s="9" t="s">
        <v>604</v>
      </c>
    </row>
    <row r="1321" spans="1:11" ht="28.8">
      <c r="A1321" s="9" t="s">
        <v>671</v>
      </c>
      <c r="B1321" s="9" t="s">
        <v>691</v>
      </c>
      <c r="C1321" s="9" t="s">
        <v>664</v>
      </c>
      <c r="D1321" s="12">
        <v>-9.0800000000000006E-2</v>
      </c>
      <c r="E1321" s="12">
        <v>-0.1353</v>
      </c>
      <c r="F1321" s="12">
        <v>0.13</v>
      </c>
      <c r="G1321" s="12">
        <v>-0.11305000000000001</v>
      </c>
      <c r="H1321" s="12">
        <v>-3.2000000000000001E-2</v>
      </c>
      <c r="I1321" s="12">
        <v>0.1187</v>
      </c>
      <c r="J1321" s="9" t="s">
        <v>412</v>
      </c>
      <c r="K1321" s="9" t="s">
        <v>604</v>
      </c>
    </row>
    <row r="1322" spans="1:11" ht="28.8">
      <c r="A1322" s="9" t="s">
        <v>671</v>
      </c>
      <c r="B1322" s="9" t="s">
        <v>686</v>
      </c>
      <c r="C1322" s="9" t="s">
        <v>667</v>
      </c>
      <c r="D1322" s="12">
        <v>0.14219999999999999</v>
      </c>
      <c r="E1322" s="12">
        <v>0.13</v>
      </c>
      <c r="F1322" s="12">
        <v>8.4000000000000005E-2</v>
      </c>
      <c r="G1322" s="12">
        <v>0.1361</v>
      </c>
      <c r="H1322" s="12">
        <v>0.1187</v>
      </c>
      <c r="I1322" s="12">
        <v>0.1187</v>
      </c>
      <c r="J1322" s="9" t="s">
        <v>412</v>
      </c>
      <c r="K1322" s="9" t="s">
        <v>654</v>
      </c>
    </row>
    <row r="1323" spans="1:11" ht="28.8">
      <c r="A1323" s="9" t="s">
        <v>671</v>
      </c>
      <c r="B1323" s="9" t="s">
        <v>687</v>
      </c>
      <c r="C1323" s="9" t="s">
        <v>667</v>
      </c>
      <c r="D1323" s="12">
        <v>0.14219999999999999</v>
      </c>
      <c r="E1323" s="12">
        <v>0.13850000000000001</v>
      </c>
      <c r="F1323" s="12">
        <v>-7.4800000000000005E-2</v>
      </c>
      <c r="G1323" s="12">
        <v>0.14035</v>
      </c>
      <c r="H1323" s="12">
        <v>6.8599999999999994E-2</v>
      </c>
      <c r="I1323" s="12">
        <v>0.11849999999999999</v>
      </c>
      <c r="J1323" s="9" t="s">
        <v>412</v>
      </c>
      <c r="K1323" s="9" t="s">
        <v>604</v>
      </c>
    </row>
    <row r="1324" spans="1:11" ht="28.8">
      <c r="A1324" s="9" t="s">
        <v>610</v>
      </c>
      <c r="B1324" s="9" t="s">
        <v>653</v>
      </c>
      <c r="C1324" s="9" t="s">
        <v>675</v>
      </c>
      <c r="D1324" s="12">
        <v>-2.1399999999999999E-2</v>
      </c>
      <c r="E1324" s="12">
        <v>-1.9800000000000002E-2</v>
      </c>
      <c r="F1324" s="12">
        <v>-0.31430000000000002</v>
      </c>
      <c r="G1324" s="12">
        <v>-2.06E-2</v>
      </c>
      <c r="H1324" s="12">
        <v>-0.11849999999999999</v>
      </c>
      <c r="I1324" s="12">
        <v>0.11849999999999999</v>
      </c>
      <c r="J1324" s="9" t="s">
        <v>412</v>
      </c>
      <c r="K1324" s="9" t="s">
        <v>604</v>
      </c>
    </row>
    <row r="1325" spans="1:11" ht="28.8">
      <c r="A1325" s="9" t="s">
        <v>679</v>
      </c>
      <c r="B1325" s="9" t="s">
        <v>688</v>
      </c>
      <c r="C1325" s="9" t="s">
        <v>690</v>
      </c>
      <c r="D1325" s="12">
        <v>-6.6900000000000001E-2</v>
      </c>
      <c r="E1325" s="12">
        <v>0.14299999999999999</v>
      </c>
      <c r="F1325" s="12">
        <v>0.14399999999999999</v>
      </c>
      <c r="G1325" s="12">
        <v>3.8049999999999994E-2</v>
      </c>
      <c r="H1325" s="12">
        <v>7.3400000000000007E-2</v>
      </c>
      <c r="I1325" s="12">
        <v>0.11799999999999999</v>
      </c>
      <c r="J1325" s="9" t="s">
        <v>412</v>
      </c>
      <c r="K1325" s="9" t="s">
        <v>604</v>
      </c>
    </row>
    <row r="1326" spans="1:11" ht="28.8">
      <c r="A1326" s="9" t="s">
        <v>603</v>
      </c>
      <c r="B1326" s="9" t="s">
        <v>688</v>
      </c>
      <c r="C1326" s="9" t="s">
        <v>659</v>
      </c>
      <c r="D1326" s="12">
        <v>-0.17230000000000001</v>
      </c>
      <c r="E1326" s="12">
        <v>-2.2200000000000001E-2</v>
      </c>
      <c r="F1326" s="12">
        <v>-0.15909999999999999</v>
      </c>
      <c r="G1326" s="12">
        <v>-9.7250000000000003E-2</v>
      </c>
      <c r="H1326" s="12">
        <v>-0.1179</v>
      </c>
      <c r="I1326" s="12">
        <v>0.1179</v>
      </c>
      <c r="J1326" s="9" t="s">
        <v>412</v>
      </c>
      <c r="K1326" s="9" t="s">
        <v>604</v>
      </c>
    </row>
    <row r="1327" spans="1:11" ht="28.8">
      <c r="A1327" s="9" t="s">
        <v>661</v>
      </c>
      <c r="B1327" s="9" t="s">
        <v>672</v>
      </c>
      <c r="C1327" s="9" t="s">
        <v>690</v>
      </c>
      <c r="D1327" s="12">
        <v>3.3700000000000001E-2</v>
      </c>
      <c r="E1327" s="12">
        <v>0.30880000000000002</v>
      </c>
      <c r="F1327" s="12">
        <v>1.11E-2</v>
      </c>
      <c r="G1327" s="12">
        <v>0.17125000000000001</v>
      </c>
      <c r="H1327" s="12">
        <v>0.1179</v>
      </c>
      <c r="I1327" s="12">
        <v>0.1179</v>
      </c>
      <c r="J1327" s="9" t="s">
        <v>412</v>
      </c>
      <c r="K1327" s="9" t="s">
        <v>654</v>
      </c>
    </row>
    <row r="1328" spans="1:11" ht="28.8">
      <c r="A1328" s="9" t="s">
        <v>661</v>
      </c>
      <c r="B1328" s="9" t="s">
        <v>684</v>
      </c>
      <c r="C1328" s="9" t="s">
        <v>690</v>
      </c>
      <c r="D1328" s="12">
        <v>3.3700000000000001E-2</v>
      </c>
      <c r="E1328" s="12">
        <v>0.1986</v>
      </c>
      <c r="F1328" s="12">
        <v>0.12130000000000001</v>
      </c>
      <c r="G1328" s="12">
        <v>0.11615</v>
      </c>
      <c r="H1328" s="12">
        <v>0.1179</v>
      </c>
      <c r="I1328" s="12">
        <v>0.1179</v>
      </c>
      <c r="J1328" s="9" t="s">
        <v>412</v>
      </c>
      <c r="K1328" s="9" t="s">
        <v>654</v>
      </c>
    </row>
    <row r="1329" spans="1:11">
      <c r="A1329" s="9" t="s">
        <v>682</v>
      </c>
      <c r="B1329" s="9" t="s">
        <v>687</v>
      </c>
      <c r="C1329" s="9" t="s">
        <v>670</v>
      </c>
      <c r="D1329" s="12">
        <v>-0.19359999999999999</v>
      </c>
      <c r="E1329" s="12">
        <v>0.13450000000000001</v>
      </c>
      <c r="F1329" s="12">
        <v>2.5499999999999998E-2</v>
      </c>
      <c r="G1329" s="12">
        <v>-2.9549999999999993E-2</v>
      </c>
      <c r="H1329" s="12">
        <v>-1.12E-2</v>
      </c>
      <c r="I1329" s="12">
        <v>0.1179</v>
      </c>
      <c r="J1329" s="9" t="s">
        <v>412</v>
      </c>
      <c r="K1329" s="9" t="s">
        <v>604</v>
      </c>
    </row>
    <row r="1330" spans="1:11" ht="28.8">
      <c r="A1330" s="9" t="s">
        <v>682</v>
      </c>
      <c r="B1330" s="9" t="s">
        <v>681</v>
      </c>
      <c r="C1330" s="9" t="s">
        <v>674</v>
      </c>
      <c r="D1330" s="12">
        <v>4.1999999999999997E-3</v>
      </c>
      <c r="E1330" s="12">
        <v>0.15890000000000001</v>
      </c>
      <c r="F1330" s="12">
        <v>0.19020000000000001</v>
      </c>
      <c r="G1330" s="12">
        <v>8.1550000000000011E-2</v>
      </c>
      <c r="H1330" s="12">
        <v>0.1178</v>
      </c>
      <c r="I1330" s="12">
        <v>0.1178</v>
      </c>
      <c r="J1330" s="9" t="s">
        <v>412</v>
      </c>
      <c r="K1330" s="9" t="s">
        <v>654</v>
      </c>
    </row>
    <row r="1331" spans="1:11" ht="28.8">
      <c r="A1331" s="9" t="s">
        <v>671</v>
      </c>
      <c r="B1331" s="9" t="s">
        <v>665</v>
      </c>
      <c r="C1331" s="9" t="s">
        <v>663</v>
      </c>
      <c r="D1331" s="12">
        <v>9.4399999999999998E-2</v>
      </c>
      <c r="E1331" s="12">
        <v>0.1009</v>
      </c>
      <c r="F1331" s="12">
        <v>0.158</v>
      </c>
      <c r="G1331" s="12">
        <v>9.7650000000000001E-2</v>
      </c>
      <c r="H1331" s="12">
        <v>0.1178</v>
      </c>
      <c r="I1331" s="12">
        <v>0.1178</v>
      </c>
      <c r="J1331" s="9" t="s">
        <v>412</v>
      </c>
      <c r="K1331" s="9" t="s">
        <v>654</v>
      </c>
    </row>
    <row r="1332" spans="1:11" ht="28.8">
      <c r="A1332" s="9" t="s">
        <v>610</v>
      </c>
      <c r="B1332" s="9" t="s">
        <v>673</v>
      </c>
      <c r="C1332" s="9" t="s">
        <v>675</v>
      </c>
      <c r="D1332" s="12">
        <v>-2.1399999999999999E-2</v>
      </c>
      <c r="E1332" s="12">
        <v>-8.14E-2</v>
      </c>
      <c r="F1332" s="12">
        <v>-0.25030000000000002</v>
      </c>
      <c r="G1332" s="12">
        <v>-5.1400000000000001E-2</v>
      </c>
      <c r="H1332" s="12">
        <v>-0.1177</v>
      </c>
      <c r="I1332" s="12">
        <v>0.1177</v>
      </c>
      <c r="J1332" s="9" t="s">
        <v>412</v>
      </c>
      <c r="K1332" s="9" t="s">
        <v>604</v>
      </c>
    </row>
    <row r="1333" spans="1:11" ht="28.8">
      <c r="A1333" s="9" t="s">
        <v>662</v>
      </c>
      <c r="B1333" s="9" t="s">
        <v>657</v>
      </c>
      <c r="C1333" s="9" t="s">
        <v>674</v>
      </c>
      <c r="D1333" s="12">
        <v>0.17680000000000001</v>
      </c>
      <c r="E1333" s="12">
        <v>4.3299999999999998E-2</v>
      </c>
      <c r="F1333" s="12">
        <v>-0.1331</v>
      </c>
      <c r="G1333" s="12">
        <v>0.11005000000000001</v>
      </c>
      <c r="H1333" s="12">
        <v>2.9000000000000001E-2</v>
      </c>
      <c r="I1333" s="12">
        <v>0.1177</v>
      </c>
      <c r="J1333" s="9" t="s">
        <v>412</v>
      </c>
      <c r="K1333" s="9" t="s">
        <v>604</v>
      </c>
    </row>
    <row r="1334" spans="1:11" ht="28.8">
      <c r="A1334" s="9" t="s">
        <v>610</v>
      </c>
      <c r="B1334" s="9" t="s">
        <v>685</v>
      </c>
      <c r="C1334" s="9" t="s">
        <v>674</v>
      </c>
      <c r="D1334" s="12">
        <v>-0.1986</v>
      </c>
      <c r="E1334" s="12">
        <v>4.0500000000000001E-2</v>
      </c>
      <c r="F1334" s="12">
        <v>0.1139</v>
      </c>
      <c r="G1334" s="12">
        <v>-7.9049999999999995E-2</v>
      </c>
      <c r="H1334" s="12">
        <v>-1.4800000000000001E-2</v>
      </c>
      <c r="I1334" s="12">
        <v>0.1176</v>
      </c>
      <c r="J1334" s="9" t="s">
        <v>412</v>
      </c>
      <c r="K1334" s="9" t="s">
        <v>604</v>
      </c>
    </row>
    <row r="1335" spans="1:11" ht="28.8">
      <c r="A1335" s="9" t="s">
        <v>671</v>
      </c>
      <c r="B1335" s="9" t="s">
        <v>691</v>
      </c>
      <c r="C1335" s="9" t="s">
        <v>659</v>
      </c>
      <c r="D1335" s="12">
        <v>0.13159999999999999</v>
      </c>
      <c r="E1335" s="12">
        <v>-0.1353</v>
      </c>
      <c r="F1335" s="12">
        <v>-8.5900000000000004E-2</v>
      </c>
      <c r="G1335" s="12">
        <v>-1.8500000000000044E-3</v>
      </c>
      <c r="H1335" s="12">
        <v>-2.9899999999999999E-2</v>
      </c>
      <c r="I1335" s="12">
        <v>0.1176</v>
      </c>
      <c r="J1335" s="9" t="s">
        <v>412</v>
      </c>
      <c r="K1335" s="9" t="s">
        <v>604</v>
      </c>
    </row>
    <row r="1336" spans="1:11" ht="28.8">
      <c r="A1336" s="9" t="s">
        <v>679</v>
      </c>
      <c r="B1336" s="9" t="s">
        <v>653</v>
      </c>
      <c r="C1336" s="9" t="s">
        <v>683</v>
      </c>
      <c r="D1336" s="12">
        <v>0.16389999999999999</v>
      </c>
      <c r="E1336" s="12">
        <v>6.2700000000000006E-2</v>
      </c>
      <c r="F1336" s="12">
        <v>0.12620000000000001</v>
      </c>
      <c r="G1336" s="12">
        <v>0.1133</v>
      </c>
      <c r="H1336" s="12">
        <v>0.1176</v>
      </c>
      <c r="I1336" s="12">
        <v>0.1176</v>
      </c>
      <c r="J1336" s="9" t="s">
        <v>412</v>
      </c>
      <c r="K1336" s="9" t="s">
        <v>654</v>
      </c>
    </row>
    <row r="1337" spans="1:11" ht="28.8">
      <c r="A1337" s="9" t="s">
        <v>679</v>
      </c>
      <c r="B1337" s="9" t="s">
        <v>678</v>
      </c>
      <c r="C1337" s="9" t="s">
        <v>683</v>
      </c>
      <c r="D1337" s="12">
        <v>0.16389999999999999</v>
      </c>
      <c r="E1337" s="12">
        <v>-9.2299999999999993E-2</v>
      </c>
      <c r="F1337" s="12">
        <v>-9.6299999999999997E-2</v>
      </c>
      <c r="G1337" s="12">
        <v>3.5799999999999998E-2</v>
      </c>
      <c r="H1337" s="12">
        <v>-8.2000000000000007E-3</v>
      </c>
      <c r="I1337" s="12">
        <v>0.11749999999999999</v>
      </c>
      <c r="J1337" s="9" t="s">
        <v>412</v>
      </c>
      <c r="K1337" s="9" t="s">
        <v>604</v>
      </c>
    </row>
    <row r="1338" spans="1:11" ht="28.8">
      <c r="A1338" s="9" t="s">
        <v>609</v>
      </c>
      <c r="B1338" s="9" t="s">
        <v>684</v>
      </c>
      <c r="C1338" s="9" t="s">
        <v>664</v>
      </c>
      <c r="D1338" s="12">
        <v>-6.5699999999999995E-2</v>
      </c>
      <c r="E1338" s="12">
        <v>-0.19400000000000001</v>
      </c>
      <c r="F1338" s="12">
        <v>-9.2899999999999996E-2</v>
      </c>
      <c r="G1338" s="12">
        <v>-0.12984999999999999</v>
      </c>
      <c r="H1338" s="12">
        <v>-0.11749999999999999</v>
      </c>
      <c r="I1338" s="12">
        <v>0.11749999999999999</v>
      </c>
      <c r="J1338" s="9" t="s">
        <v>412</v>
      </c>
      <c r="K1338" s="9" t="s">
        <v>604</v>
      </c>
    </row>
    <row r="1339" spans="1:11" ht="28.8">
      <c r="A1339" s="9" t="s">
        <v>661</v>
      </c>
      <c r="B1339" s="9" t="s">
        <v>668</v>
      </c>
      <c r="C1339" s="9" t="s">
        <v>659</v>
      </c>
      <c r="D1339" s="12">
        <v>4.3499999999999997E-2</v>
      </c>
      <c r="E1339" s="12">
        <v>-0.13339999999999999</v>
      </c>
      <c r="F1339" s="12">
        <v>-0.17549999999999999</v>
      </c>
      <c r="G1339" s="12">
        <v>-4.4949999999999997E-2</v>
      </c>
      <c r="H1339" s="12">
        <v>-8.8499999999999995E-2</v>
      </c>
      <c r="I1339" s="12">
        <v>0.11749999999999999</v>
      </c>
      <c r="J1339" s="9" t="s">
        <v>412</v>
      </c>
      <c r="K1339" s="9" t="s">
        <v>604</v>
      </c>
    </row>
    <row r="1340" spans="1:11" ht="28.8">
      <c r="A1340" s="9" t="s">
        <v>679</v>
      </c>
      <c r="B1340" s="9" t="s">
        <v>680</v>
      </c>
      <c r="C1340" s="9" t="s">
        <v>690</v>
      </c>
      <c r="D1340" s="12">
        <v>-6.6900000000000001E-2</v>
      </c>
      <c r="E1340" s="12">
        <v>0.1643</v>
      </c>
      <c r="F1340" s="12">
        <v>-0.12130000000000001</v>
      </c>
      <c r="G1340" s="12">
        <v>4.87E-2</v>
      </c>
      <c r="H1340" s="12">
        <v>-8.0000000000000002E-3</v>
      </c>
      <c r="I1340" s="12">
        <v>0.11749999999999999</v>
      </c>
      <c r="J1340" s="9" t="s">
        <v>412</v>
      </c>
      <c r="K1340" s="9" t="s">
        <v>604</v>
      </c>
    </row>
    <row r="1341" spans="1:11" ht="28.8">
      <c r="A1341" s="9" t="s">
        <v>671</v>
      </c>
      <c r="B1341" s="9" t="s">
        <v>613</v>
      </c>
      <c r="C1341" s="9" t="s">
        <v>683</v>
      </c>
      <c r="D1341" s="12">
        <v>0.1066</v>
      </c>
      <c r="E1341" s="12">
        <v>3.5900000000000001E-2</v>
      </c>
      <c r="F1341" s="12">
        <v>-0.21</v>
      </c>
      <c r="G1341" s="12">
        <v>7.1250000000000008E-2</v>
      </c>
      <c r="H1341" s="12">
        <v>-2.2499999999999999E-2</v>
      </c>
      <c r="I1341" s="12">
        <v>0.11749999999999999</v>
      </c>
      <c r="J1341" s="9" t="s">
        <v>412</v>
      </c>
      <c r="K1341" s="9" t="s">
        <v>604</v>
      </c>
    </row>
    <row r="1342" spans="1:11" ht="28.8">
      <c r="A1342" s="9" t="s">
        <v>610</v>
      </c>
      <c r="B1342" s="9" t="s">
        <v>676</v>
      </c>
      <c r="C1342" s="9" t="s">
        <v>601</v>
      </c>
      <c r="D1342" s="12">
        <v>8.48E-2</v>
      </c>
      <c r="E1342" s="12">
        <v>8.2799999999999999E-2</v>
      </c>
      <c r="F1342" s="12">
        <v>-0.18490000000000001</v>
      </c>
      <c r="G1342" s="12">
        <v>8.3799999999999999E-2</v>
      </c>
      <c r="H1342" s="12">
        <v>-5.7999999999999996E-3</v>
      </c>
      <c r="I1342" s="12">
        <v>0.11749999999999999</v>
      </c>
      <c r="J1342" s="9" t="s">
        <v>412</v>
      </c>
      <c r="K1342" s="9" t="s">
        <v>604</v>
      </c>
    </row>
    <row r="1343" spans="1:11" ht="28.8">
      <c r="A1343" s="9" t="s">
        <v>679</v>
      </c>
      <c r="B1343" s="9" t="s">
        <v>685</v>
      </c>
      <c r="C1343" s="9" t="s">
        <v>666</v>
      </c>
      <c r="D1343" s="12">
        <v>-0.113</v>
      </c>
      <c r="E1343" s="12">
        <v>0.22770000000000001</v>
      </c>
      <c r="F1343" s="12">
        <v>-1.17E-2</v>
      </c>
      <c r="G1343" s="12">
        <v>5.7350000000000005E-2</v>
      </c>
      <c r="H1343" s="12">
        <v>3.44E-2</v>
      </c>
      <c r="I1343" s="12">
        <v>0.11749999999999999</v>
      </c>
      <c r="J1343" s="9" t="s">
        <v>412</v>
      </c>
      <c r="K1343" s="9" t="s">
        <v>604</v>
      </c>
    </row>
    <row r="1344" spans="1:11" ht="28.8">
      <c r="A1344" s="9" t="s">
        <v>679</v>
      </c>
      <c r="B1344" s="9" t="s">
        <v>680</v>
      </c>
      <c r="C1344" s="9" t="s">
        <v>675</v>
      </c>
      <c r="D1344" s="12">
        <v>4.0599999999999997E-2</v>
      </c>
      <c r="E1344" s="12">
        <v>0.1643</v>
      </c>
      <c r="F1344" s="12">
        <v>0.14710000000000001</v>
      </c>
      <c r="G1344" s="12">
        <v>0.10245</v>
      </c>
      <c r="H1344" s="12">
        <v>0.1174</v>
      </c>
      <c r="I1344" s="12">
        <v>0.1174</v>
      </c>
      <c r="J1344" s="9" t="s">
        <v>412</v>
      </c>
      <c r="K1344" s="9" t="s">
        <v>654</v>
      </c>
    </row>
    <row r="1345" spans="1:11">
      <c r="A1345" s="9" t="s">
        <v>610</v>
      </c>
      <c r="B1345" s="9" t="s">
        <v>676</v>
      </c>
      <c r="C1345" s="9" t="s">
        <v>655</v>
      </c>
      <c r="D1345" s="12">
        <v>-9.4E-2</v>
      </c>
      <c r="E1345" s="12">
        <v>8.2799999999999999E-2</v>
      </c>
      <c r="F1345" s="12">
        <v>0.17549999999999999</v>
      </c>
      <c r="G1345" s="12">
        <v>-5.6000000000000008E-3</v>
      </c>
      <c r="H1345" s="12">
        <v>5.4800000000000001E-2</v>
      </c>
      <c r="I1345" s="12">
        <v>0.1174</v>
      </c>
      <c r="J1345" s="9" t="s">
        <v>412</v>
      </c>
      <c r="K1345" s="9" t="s">
        <v>604</v>
      </c>
    </row>
    <row r="1346" spans="1:11" ht="28.8">
      <c r="A1346" s="9" t="s">
        <v>609</v>
      </c>
      <c r="B1346" s="9" t="s">
        <v>681</v>
      </c>
      <c r="C1346" s="9" t="s">
        <v>601</v>
      </c>
      <c r="D1346" s="12">
        <v>-0.1671</v>
      </c>
      <c r="E1346" s="12">
        <v>-2E-3</v>
      </c>
      <c r="F1346" s="12">
        <v>-0.18310000000000001</v>
      </c>
      <c r="G1346" s="12">
        <v>-8.455E-2</v>
      </c>
      <c r="H1346" s="12">
        <v>-0.1174</v>
      </c>
      <c r="I1346" s="12">
        <v>0.1174</v>
      </c>
      <c r="J1346" s="9" t="s">
        <v>412</v>
      </c>
      <c r="K1346" s="9" t="s">
        <v>604</v>
      </c>
    </row>
    <row r="1347" spans="1:11" ht="28.8">
      <c r="A1347" s="9" t="s">
        <v>679</v>
      </c>
      <c r="B1347" s="9" t="s">
        <v>687</v>
      </c>
      <c r="C1347" s="9" t="s">
        <v>666</v>
      </c>
      <c r="D1347" s="12">
        <v>-0.113</v>
      </c>
      <c r="E1347" s="12">
        <v>0.10589999999999999</v>
      </c>
      <c r="F1347" s="12">
        <v>0.1331</v>
      </c>
      <c r="G1347" s="12">
        <v>-3.5500000000000045E-3</v>
      </c>
      <c r="H1347" s="12">
        <v>4.2000000000000003E-2</v>
      </c>
      <c r="I1347" s="12">
        <v>0.1174</v>
      </c>
      <c r="J1347" s="9" t="s">
        <v>412</v>
      </c>
      <c r="K1347" s="9" t="s">
        <v>604</v>
      </c>
    </row>
    <row r="1348" spans="1:11" ht="28.8">
      <c r="A1348" s="9" t="s">
        <v>671</v>
      </c>
      <c r="B1348" s="9" t="s">
        <v>678</v>
      </c>
      <c r="C1348" s="9" t="s">
        <v>663</v>
      </c>
      <c r="D1348" s="12">
        <v>9.4399999999999998E-2</v>
      </c>
      <c r="E1348" s="12">
        <v>-0.14360000000000001</v>
      </c>
      <c r="F1348" s="12">
        <v>-0.1142</v>
      </c>
      <c r="G1348" s="12">
        <v>-2.4600000000000004E-2</v>
      </c>
      <c r="H1348" s="12">
        <v>-5.45E-2</v>
      </c>
      <c r="I1348" s="12">
        <v>0.1174</v>
      </c>
      <c r="J1348" s="9" t="s">
        <v>412</v>
      </c>
      <c r="K1348" s="9" t="s">
        <v>604</v>
      </c>
    </row>
    <row r="1349" spans="1:11" ht="28.8">
      <c r="A1349" s="9" t="s">
        <v>603</v>
      </c>
      <c r="B1349" s="9" t="s">
        <v>686</v>
      </c>
      <c r="C1349" s="9" t="s">
        <v>683</v>
      </c>
      <c r="D1349" s="12">
        <v>0.17660000000000001</v>
      </c>
      <c r="E1349" s="12">
        <v>-0.11899999999999999</v>
      </c>
      <c r="F1349" s="12">
        <v>-5.6800000000000003E-2</v>
      </c>
      <c r="G1349" s="12">
        <v>2.8800000000000006E-2</v>
      </c>
      <c r="H1349" s="12">
        <v>2.9999999999999997E-4</v>
      </c>
      <c r="I1349" s="12">
        <v>0.1174</v>
      </c>
      <c r="J1349" s="9" t="s">
        <v>412</v>
      </c>
      <c r="K1349" s="9" t="s">
        <v>604</v>
      </c>
    </row>
    <row r="1350" spans="1:11" ht="28.8">
      <c r="A1350" s="9" t="s">
        <v>679</v>
      </c>
      <c r="B1350" s="9" t="s">
        <v>691</v>
      </c>
      <c r="C1350" s="9" t="s">
        <v>663</v>
      </c>
      <c r="D1350" s="12">
        <v>0.13450000000000001</v>
      </c>
      <c r="E1350" s="12">
        <v>-0.1757</v>
      </c>
      <c r="F1350" s="12">
        <v>4.1599999999999998E-2</v>
      </c>
      <c r="G1350" s="12">
        <v>-2.0599999999999993E-2</v>
      </c>
      <c r="H1350" s="12">
        <v>2.0000000000000001E-4</v>
      </c>
      <c r="I1350" s="12">
        <v>0.1173</v>
      </c>
      <c r="J1350" s="9" t="s">
        <v>412</v>
      </c>
      <c r="K1350" s="9" t="s">
        <v>604</v>
      </c>
    </row>
    <row r="1351" spans="1:11">
      <c r="A1351" s="9" t="s">
        <v>682</v>
      </c>
      <c r="B1351" s="9" t="s">
        <v>669</v>
      </c>
      <c r="C1351" s="9" t="s">
        <v>670</v>
      </c>
      <c r="D1351" s="12">
        <v>-0.19359999999999999</v>
      </c>
      <c r="E1351" s="12">
        <v>-1.46E-2</v>
      </c>
      <c r="F1351" s="12">
        <v>-0.14330000000000001</v>
      </c>
      <c r="G1351" s="12">
        <v>-0.1041</v>
      </c>
      <c r="H1351" s="12">
        <v>-0.1171</v>
      </c>
      <c r="I1351" s="12">
        <v>0.1171</v>
      </c>
      <c r="J1351" s="9" t="s">
        <v>412</v>
      </c>
      <c r="K1351" s="9" t="s">
        <v>604</v>
      </c>
    </row>
    <row r="1352" spans="1:11">
      <c r="A1352" s="9" t="s">
        <v>610</v>
      </c>
      <c r="B1352" s="9" t="s">
        <v>672</v>
      </c>
      <c r="C1352" s="9" t="s">
        <v>655</v>
      </c>
      <c r="D1352" s="12">
        <v>-9.4E-2</v>
      </c>
      <c r="E1352" s="12">
        <v>7.0999999999999994E-2</v>
      </c>
      <c r="F1352" s="12">
        <v>0.1862</v>
      </c>
      <c r="G1352" s="12">
        <v>-1.1500000000000003E-2</v>
      </c>
      <c r="H1352" s="12">
        <v>5.4399999999999997E-2</v>
      </c>
      <c r="I1352" s="12">
        <v>0.1171</v>
      </c>
      <c r="J1352" s="9" t="s">
        <v>412</v>
      </c>
      <c r="K1352" s="9" t="s">
        <v>604</v>
      </c>
    </row>
    <row r="1353" spans="1:11" ht="28.8">
      <c r="A1353" s="9" t="s">
        <v>610</v>
      </c>
      <c r="B1353" s="9" t="s">
        <v>660</v>
      </c>
      <c r="C1353" s="9" t="s">
        <v>677</v>
      </c>
      <c r="D1353" s="12">
        <v>0.10100000000000001</v>
      </c>
      <c r="E1353" s="12">
        <v>-3.2599999999999997E-2</v>
      </c>
      <c r="F1353" s="12">
        <v>0.21759999999999999</v>
      </c>
      <c r="G1353" s="12">
        <v>3.4200000000000008E-2</v>
      </c>
      <c r="H1353" s="12">
        <v>9.5399999999999999E-2</v>
      </c>
      <c r="I1353" s="12">
        <v>0.1171</v>
      </c>
      <c r="J1353" s="9" t="s">
        <v>412</v>
      </c>
      <c r="K1353" s="9" t="s">
        <v>604</v>
      </c>
    </row>
    <row r="1354" spans="1:11">
      <c r="A1354" s="9" t="s">
        <v>610</v>
      </c>
      <c r="B1354" s="9" t="s">
        <v>681</v>
      </c>
      <c r="C1354" s="9" t="s">
        <v>656</v>
      </c>
      <c r="D1354" s="12">
        <v>6.5699999999999995E-2</v>
      </c>
      <c r="E1354" s="12">
        <v>0.13150000000000001</v>
      </c>
      <c r="F1354" s="12">
        <v>0.15409999999999999</v>
      </c>
      <c r="G1354" s="12">
        <v>9.8599999999999993E-2</v>
      </c>
      <c r="H1354" s="12">
        <v>0.1171</v>
      </c>
      <c r="I1354" s="12">
        <v>0.1171</v>
      </c>
      <c r="J1354" s="9" t="s">
        <v>412</v>
      </c>
      <c r="K1354" s="9" t="s">
        <v>654</v>
      </c>
    </row>
    <row r="1355" spans="1:11" ht="28.8">
      <c r="A1355" s="9" t="s">
        <v>661</v>
      </c>
      <c r="B1355" s="9" t="s">
        <v>685</v>
      </c>
      <c r="C1355" s="9" t="s">
        <v>683</v>
      </c>
      <c r="D1355" s="12">
        <v>-5.3400000000000003E-2</v>
      </c>
      <c r="E1355" s="12">
        <v>0.18970000000000001</v>
      </c>
      <c r="F1355" s="12">
        <v>0.108</v>
      </c>
      <c r="G1355" s="12">
        <v>6.8150000000000002E-2</v>
      </c>
      <c r="H1355" s="12">
        <v>8.14E-2</v>
      </c>
      <c r="I1355" s="12">
        <v>0.11700000000000001</v>
      </c>
      <c r="J1355" s="9" t="s">
        <v>412</v>
      </c>
      <c r="K1355" s="9" t="s">
        <v>604</v>
      </c>
    </row>
    <row r="1356" spans="1:11" ht="28.8">
      <c r="A1356" s="9" t="s">
        <v>682</v>
      </c>
      <c r="B1356" s="9" t="s">
        <v>613</v>
      </c>
      <c r="C1356" s="9" t="s">
        <v>601</v>
      </c>
      <c r="D1356" s="12">
        <v>-3.2099999999999997E-2</v>
      </c>
      <c r="E1356" s="12">
        <v>-1.2999999999999999E-2</v>
      </c>
      <c r="F1356" s="12">
        <v>-0.30580000000000002</v>
      </c>
      <c r="G1356" s="12">
        <v>-2.2549999999999997E-2</v>
      </c>
      <c r="H1356" s="12">
        <v>-0.11700000000000001</v>
      </c>
      <c r="I1356" s="12">
        <v>0.11700000000000001</v>
      </c>
      <c r="J1356" s="9" t="s">
        <v>412</v>
      </c>
      <c r="K1356" s="9" t="s">
        <v>604</v>
      </c>
    </row>
    <row r="1357" spans="1:11" ht="28.8">
      <c r="A1357" s="9" t="s">
        <v>661</v>
      </c>
      <c r="B1357" s="9" t="s">
        <v>657</v>
      </c>
      <c r="C1357" s="9" t="s">
        <v>683</v>
      </c>
      <c r="D1357" s="12">
        <v>-5.3400000000000003E-2</v>
      </c>
      <c r="E1357" s="12">
        <v>-0.2077</v>
      </c>
      <c r="F1357" s="12">
        <v>8.9399999999999993E-2</v>
      </c>
      <c r="G1357" s="12">
        <v>-0.13055</v>
      </c>
      <c r="H1357" s="12">
        <v>-5.7200000000000001E-2</v>
      </c>
      <c r="I1357" s="12">
        <v>0.1169</v>
      </c>
      <c r="J1357" s="9" t="s">
        <v>412</v>
      </c>
      <c r="K1357" s="9" t="s">
        <v>604</v>
      </c>
    </row>
    <row r="1358" spans="1:11" ht="28.8">
      <c r="A1358" s="9" t="s">
        <v>671</v>
      </c>
      <c r="B1358" s="9" t="s">
        <v>673</v>
      </c>
      <c r="C1358" s="9" t="s">
        <v>666</v>
      </c>
      <c r="D1358" s="12">
        <v>1.34E-2</v>
      </c>
      <c r="E1358" s="12">
        <v>-0.12470000000000001</v>
      </c>
      <c r="F1358" s="12">
        <v>-0.2127</v>
      </c>
      <c r="G1358" s="12">
        <v>-5.5650000000000005E-2</v>
      </c>
      <c r="H1358" s="12">
        <v>-0.108</v>
      </c>
      <c r="I1358" s="12">
        <v>0.1169</v>
      </c>
      <c r="J1358" s="9" t="s">
        <v>412</v>
      </c>
      <c r="K1358" s="9" t="s">
        <v>604</v>
      </c>
    </row>
    <row r="1359" spans="1:11" ht="28.8">
      <c r="A1359" s="9" t="s">
        <v>603</v>
      </c>
      <c r="B1359" s="9" t="s">
        <v>602</v>
      </c>
      <c r="C1359" s="9" t="s">
        <v>667</v>
      </c>
      <c r="D1359" s="12">
        <v>-6.3299999999999995E-2</v>
      </c>
      <c r="E1359" s="12">
        <v>3.5099999999999999E-2</v>
      </c>
      <c r="F1359" s="12">
        <v>0.25119999999999998</v>
      </c>
      <c r="G1359" s="12">
        <v>-1.4099999999999998E-2</v>
      </c>
      <c r="H1359" s="12">
        <v>7.4399999999999994E-2</v>
      </c>
      <c r="I1359" s="12">
        <v>0.11650000000000001</v>
      </c>
      <c r="J1359" s="9" t="s">
        <v>412</v>
      </c>
      <c r="K1359" s="9" t="s">
        <v>604</v>
      </c>
    </row>
    <row r="1360" spans="1:11" ht="28.8">
      <c r="A1360" s="9" t="s">
        <v>679</v>
      </c>
      <c r="B1360" s="9" t="s">
        <v>688</v>
      </c>
      <c r="C1360" s="9" t="s">
        <v>670</v>
      </c>
      <c r="D1360" s="12">
        <v>-9.5200000000000007E-2</v>
      </c>
      <c r="E1360" s="12">
        <v>0.14299999999999999</v>
      </c>
      <c r="F1360" s="12">
        <v>-0.1111</v>
      </c>
      <c r="G1360" s="12">
        <v>2.3899999999999991E-2</v>
      </c>
      <c r="H1360" s="12">
        <v>-2.1100000000000001E-2</v>
      </c>
      <c r="I1360" s="12">
        <v>0.1164</v>
      </c>
      <c r="J1360" s="9" t="s">
        <v>412</v>
      </c>
      <c r="K1360" s="9" t="s">
        <v>604</v>
      </c>
    </row>
    <row r="1361" spans="1:11" ht="28.8">
      <c r="A1361" s="9" t="s">
        <v>610</v>
      </c>
      <c r="B1361" s="9" t="s">
        <v>602</v>
      </c>
      <c r="C1361" s="9" t="s">
        <v>664</v>
      </c>
      <c r="D1361" s="12">
        <v>-9.1300000000000006E-2</v>
      </c>
      <c r="E1361" s="12">
        <v>-0.19400000000000001</v>
      </c>
      <c r="F1361" s="12">
        <v>6.3899999999999998E-2</v>
      </c>
      <c r="G1361" s="12">
        <v>-0.14265</v>
      </c>
      <c r="H1361" s="12">
        <v>-7.3800000000000004E-2</v>
      </c>
      <c r="I1361" s="12">
        <v>0.1164</v>
      </c>
      <c r="J1361" s="9" t="s">
        <v>412</v>
      </c>
      <c r="K1361" s="9" t="s">
        <v>604</v>
      </c>
    </row>
    <row r="1362" spans="1:11">
      <c r="A1362" s="9" t="s">
        <v>682</v>
      </c>
      <c r="B1362" s="9" t="s">
        <v>680</v>
      </c>
      <c r="C1362" s="9" t="s">
        <v>670</v>
      </c>
      <c r="D1362" s="12">
        <v>-0.19359999999999999</v>
      </c>
      <c r="E1362" s="12">
        <v>6.7000000000000004E-2</v>
      </c>
      <c r="F1362" s="12">
        <v>8.8499999999999995E-2</v>
      </c>
      <c r="G1362" s="12">
        <v>-6.3299999999999995E-2</v>
      </c>
      <c r="H1362" s="12">
        <v>-1.2699999999999999E-2</v>
      </c>
      <c r="I1362" s="12">
        <v>0.1163</v>
      </c>
      <c r="J1362" s="9" t="s">
        <v>412</v>
      </c>
      <c r="K1362" s="9" t="s">
        <v>604</v>
      </c>
    </row>
    <row r="1363" spans="1:11" ht="28.8">
      <c r="A1363" s="9" t="s">
        <v>662</v>
      </c>
      <c r="B1363" s="9" t="s">
        <v>660</v>
      </c>
      <c r="C1363" s="9" t="s">
        <v>677</v>
      </c>
      <c r="D1363" s="12">
        <v>1.2200000000000001E-2</v>
      </c>
      <c r="E1363" s="12">
        <v>-0.1187</v>
      </c>
      <c r="F1363" s="12">
        <v>0.21759999999999999</v>
      </c>
      <c r="G1363" s="12">
        <v>-5.3249999999999999E-2</v>
      </c>
      <c r="H1363" s="12">
        <v>3.6999999999999998E-2</v>
      </c>
      <c r="I1363" s="12">
        <v>0.1162</v>
      </c>
      <c r="J1363" s="9" t="s">
        <v>412</v>
      </c>
      <c r="K1363" s="9" t="s">
        <v>604</v>
      </c>
    </row>
    <row r="1364" spans="1:11" ht="28.8">
      <c r="A1364" s="9" t="s">
        <v>679</v>
      </c>
      <c r="B1364" s="9" t="s">
        <v>686</v>
      </c>
      <c r="C1364" s="9" t="s">
        <v>666</v>
      </c>
      <c r="D1364" s="12">
        <v>-0.113</v>
      </c>
      <c r="E1364" s="12">
        <v>0.2019</v>
      </c>
      <c r="F1364" s="12">
        <v>3.3500000000000002E-2</v>
      </c>
      <c r="G1364" s="12">
        <v>4.4449999999999996E-2</v>
      </c>
      <c r="H1364" s="12">
        <v>4.0800000000000003E-2</v>
      </c>
      <c r="I1364" s="12">
        <v>0.11609999999999999</v>
      </c>
      <c r="J1364" s="9" t="s">
        <v>412</v>
      </c>
      <c r="K1364" s="9" t="s">
        <v>604</v>
      </c>
    </row>
    <row r="1365" spans="1:11" ht="28.8">
      <c r="A1365" s="9" t="s">
        <v>682</v>
      </c>
      <c r="B1365" s="9" t="s">
        <v>680</v>
      </c>
      <c r="C1365" s="9" t="s">
        <v>601</v>
      </c>
      <c r="D1365" s="12">
        <v>-3.2099999999999997E-2</v>
      </c>
      <c r="E1365" s="12">
        <v>6.7000000000000004E-2</v>
      </c>
      <c r="F1365" s="12">
        <v>-0.2492</v>
      </c>
      <c r="G1365" s="12">
        <v>1.7450000000000004E-2</v>
      </c>
      <c r="H1365" s="12">
        <v>-7.1499999999999994E-2</v>
      </c>
      <c r="I1365" s="12">
        <v>0.11609999999999999</v>
      </c>
      <c r="J1365" s="9" t="s">
        <v>412</v>
      </c>
      <c r="K1365" s="9" t="s">
        <v>604</v>
      </c>
    </row>
    <row r="1366" spans="1:11" ht="28.8">
      <c r="A1366" s="9" t="s">
        <v>609</v>
      </c>
      <c r="B1366" s="9" t="s">
        <v>660</v>
      </c>
      <c r="C1366" s="9" t="s">
        <v>675</v>
      </c>
      <c r="D1366" s="12">
        <v>9.6600000000000005E-2</v>
      </c>
      <c r="E1366" s="12">
        <v>2.5700000000000001E-2</v>
      </c>
      <c r="F1366" s="12">
        <v>-0.22600000000000001</v>
      </c>
      <c r="G1366" s="12">
        <v>6.1150000000000003E-2</v>
      </c>
      <c r="H1366" s="12">
        <v>-3.4500000000000003E-2</v>
      </c>
      <c r="I1366" s="12">
        <v>0.11609999999999999</v>
      </c>
      <c r="J1366" s="9" t="s">
        <v>412</v>
      </c>
      <c r="K1366" s="9" t="s">
        <v>604</v>
      </c>
    </row>
    <row r="1367" spans="1:11" ht="28.8">
      <c r="A1367" s="9" t="s">
        <v>679</v>
      </c>
      <c r="B1367" s="9" t="s">
        <v>687</v>
      </c>
      <c r="C1367" s="9" t="s">
        <v>675</v>
      </c>
      <c r="D1367" s="12">
        <v>4.0599999999999997E-2</v>
      </c>
      <c r="E1367" s="12">
        <v>0.10589999999999999</v>
      </c>
      <c r="F1367" s="12">
        <v>0.20180000000000001</v>
      </c>
      <c r="G1367" s="12">
        <v>7.3249999999999996E-2</v>
      </c>
      <c r="H1367" s="12">
        <v>0.11609999999999999</v>
      </c>
      <c r="I1367" s="12">
        <v>0.11609999999999999</v>
      </c>
      <c r="J1367" s="9" t="s">
        <v>412</v>
      </c>
      <c r="K1367" s="9" t="s">
        <v>654</v>
      </c>
    </row>
    <row r="1368" spans="1:11">
      <c r="A1368" s="9" t="s">
        <v>682</v>
      </c>
      <c r="B1368" s="9" t="s">
        <v>678</v>
      </c>
      <c r="C1368" s="9" t="s">
        <v>663</v>
      </c>
      <c r="D1368" s="12">
        <v>-6.7400000000000002E-2</v>
      </c>
      <c r="E1368" s="12">
        <v>-0.16669999999999999</v>
      </c>
      <c r="F1368" s="12">
        <v>-0.1142</v>
      </c>
      <c r="G1368" s="12">
        <v>-0.11704999999999999</v>
      </c>
      <c r="H1368" s="12">
        <v>-0.11609999999999999</v>
      </c>
      <c r="I1368" s="12">
        <v>0.11609999999999999</v>
      </c>
      <c r="J1368" s="9" t="s">
        <v>412</v>
      </c>
      <c r="K1368" s="9" t="s">
        <v>604</v>
      </c>
    </row>
    <row r="1369" spans="1:11" ht="28.8">
      <c r="A1369" s="9" t="s">
        <v>610</v>
      </c>
      <c r="B1369" s="9" t="s">
        <v>665</v>
      </c>
      <c r="C1369" s="9" t="s">
        <v>664</v>
      </c>
      <c r="D1369" s="12">
        <v>-9.1300000000000006E-2</v>
      </c>
      <c r="E1369" s="12">
        <v>7.4899999999999994E-2</v>
      </c>
      <c r="F1369" s="12">
        <v>-0.1817</v>
      </c>
      <c r="G1369" s="12">
        <v>-8.2000000000000059E-3</v>
      </c>
      <c r="H1369" s="12">
        <v>-6.6000000000000003E-2</v>
      </c>
      <c r="I1369" s="12">
        <v>0.11600000000000001</v>
      </c>
      <c r="J1369" s="9" t="s">
        <v>412</v>
      </c>
      <c r="K1369" s="9" t="s">
        <v>604</v>
      </c>
    </row>
    <row r="1370" spans="1:11" ht="28.8">
      <c r="A1370" s="9" t="s">
        <v>682</v>
      </c>
      <c r="B1370" s="9" t="s">
        <v>678</v>
      </c>
      <c r="C1370" s="9" t="s">
        <v>683</v>
      </c>
      <c r="D1370" s="12">
        <v>-8.5099999999999995E-2</v>
      </c>
      <c r="E1370" s="12">
        <v>-0.16669999999999999</v>
      </c>
      <c r="F1370" s="12">
        <v>-9.6299999999999997E-2</v>
      </c>
      <c r="G1370" s="12">
        <v>-0.12589999999999998</v>
      </c>
      <c r="H1370" s="12">
        <v>-0.11600000000000001</v>
      </c>
      <c r="I1370" s="12">
        <v>0.11600000000000001</v>
      </c>
      <c r="J1370" s="9" t="s">
        <v>412</v>
      </c>
      <c r="K1370" s="9" t="s">
        <v>604</v>
      </c>
    </row>
    <row r="1371" spans="1:11" ht="28.8">
      <c r="A1371" s="9" t="s">
        <v>671</v>
      </c>
      <c r="B1371" s="9" t="s">
        <v>688</v>
      </c>
      <c r="C1371" s="9" t="s">
        <v>664</v>
      </c>
      <c r="D1371" s="12">
        <v>-9.0800000000000006E-2</v>
      </c>
      <c r="E1371" s="12">
        <v>6.3E-3</v>
      </c>
      <c r="F1371" s="12">
        <v>0.251</v>
      </c>
      <c r="G1371" s="12">
        <v>-4.2250000000000003E-2</v>
      </c>
      <c r="H1371" s="12">
        <v>5.5500000000000001E-2</v>
      </c>
      <c r="I1371" s="12">
        <v>0.11600000000000001</v>
      </c>
      <c r="J1371" s="9" t="s">
        <v>412</v>
      </c>
      <c r="K1371" s="9" t="s">
        <v>604</v>
      </c>
    </row>
    <row r="1372" spans="1:11" ht="28.8">
      <c r="A1372" s="9" t="s">
        <v>679</v>
      </c>
      <c r="B1372" s="9" t="s">
        <v>680</v>
      </c>
      <c r="C1372" s="9" t="s">
        <v>670</v>
      </c>
      <c r="D1372" s="12">
        <v>-9.5200000000000007E-2</v>
      </c>
      <c r="E1372" s="12">
        <v>0.1643</v>
      </c>
      <c r="F1372" s="12">
        <v>8.8499999999999995E-2</v>
      </c>
      <c r="G1372" s="12">
        <v>3.4549999999999997E-2</v>
      </c>
      <c r="H1372" s="12">
        <v>5.2499999999999998E-2</v>
      </c>
      <c r="I1372" s="12">
        <v>0.11600000000000001</v>
      </c>
      <c r="J1372" s="9" t="s">
        <v>412</v>
      </c>
      <c r="K1372" s="9" t="s">
        <v>604</v>
      </c>
    </row>
    <row r="1373" spans="1:11" ht="28.8">
      <c r="A1373" s="9" t="s">
        <v>661</v>
      </c>
      <c r="B1373" s="9" t="s">
        <v>678</v>
      </c>
      <c r="C1373" s="9" t="s">
        <v>675</v>
      </c>
      <c r="D1373" s="12">
        <v>0.14380000000000001</v>
      </c>
      <c r="E1373" s="12">
        <v>-0.15379999999999999</v>
      </c>
      <c r="F1373" s="12">
        <v>-5.0299999999999997E-2</v>
      </c>
      <c r="G1373" s="12">
        <v>-4.9999999999999906E-3</v>
      </c>
      <c r="H1373" s="12">
        <v>-2.01E-2</v>
      </c>
      <c r="I1373" s="12">
        <v>0.11600000000000001</v>
      </c>
      <c r="J1373" s="9" t="s">
        <v>412</v>
      </c>
      <c r="K1373" s="9" t="s">
        <v>604</v>
      </c>
    </row>
    <row r="1374" spans="1:11" ht="28.8">
      <c r="A1374" s="9" t="s">
        <v>610</v>
      </c>
      <c r="B1374" s="9" t="s">
        <v>665</v>
      </c>
      <c r="C1374" s="9" t="s">
        <v>674</v>
      </c>
      <c r="D1374" s="12">
        <v>-0.1986</v>
      </c>
      <c r="E1374" s="12">
        <v>7.4899999999999994E-2</v>
      </c>
      <c r="F1374" s="12">
        <v>7.4200000000000002E-2</v>
      </c>
      <c r="G1374" s="12">
        <v>-6.1850000000000002E-2</v>
      </c>
      <c r="H1374" s="12">
        <v>-1.6500000000000001E-2</v>
      </c>
      <c r="I1374" s="12">
        <v>0.1159</v>
      </c>
      <c r="J1374" s="9" t="s">
        <v>412</v>
      </c>
      <c r="K1374" s="9" t="s">
        <v>604</v>
      </c>
    </row>
    <row r="1375" spans="1:11" ht="28.8">
      <c r="A1375" s="9" t="s">
        <v>671</v>
      </c>
      <c r="B1375" s="9" t="s">
        <v>673</v>
      </c>
      <c r="C1375" s="9" t="s">
        <v>690</v>
      </c>
      <c r="D1375" s="12">
        <v>-7.0199999999999999E-2</v>
      </c>
      <c r="E1375" s="12">
        <v>-0.12470000000000001</v>
      </c>
      <c r="F1375" s="12">
        <v>-0.15279999999999999</v>
      </c>
      <c r="G1375" s="12">
        <v>-9.7450000000000009E-2</v>
      </c>
      <c r="H1375" s="12">
        <v>-0.1159</v>
      </c>
      <c r="I1375" s="12">
        <v>0.1159</v>
      </c>
      <c r="J1375" s="9" t="s">
        <v>412</v>
      </c>
      <c r="K1375" s="9" t="s">
        <v>604</v>
      </c>
    </row>
    <row r="1376" spans="1:11" ht="28.8">
      <c r="A1376" s="9" t="s">
        <v>679</v>
      </c>
      <c r="B1376" s="9" t="s">
        <v>689</v>
      </c>
      <c r="C1376" s="9" t="s">
        <v>677</v>
      </c>
      <c r="D1376" s="12">
        <v>0.13189999999999999</v>
      </c>
      <c r="E1376" s="12">
        <v>-7.0900000000000005E-2</v>
      </c>
      <c r="F1376" s="12">
        <v>-0.14460000000000001</v>
      </c>
      <c r="G1376" s="12">
        <v>3.0499999999999992E-2</v>
      </c>
      <c r="H1376" s="12">
        <v>-2.7900000000000001E-2</v>
      </c>
      <c r="I1376" s="12">
        <v>0.1158</v>
      </c>
      <c r="J1376" s="9" t="s">
        <v>412</v>
      </c>
      <c r="K1376" s="9" t="s">
        <v>604</v>
      </c>
    </row>
    <row r="1377" spans="1:11" ht="28.8">
      <c r="A1377" s="9" t="s">
        <v>661</v>
      </c>
      <c r="B1377" s="9" t="s">
        <v>687</v>
      </c>
      <c r="C1377" s="9" t="s">
        <v>601</v>
      </c>
      <c r="D1377" s="12">
        <v>-0.2266</v>
      </c>
      <c r="E1377" s="12">
        <v>-8.9700000000000002E-2</v>
      </c>
      <c r="F1377" s="12">
        <v>-3.04E-2</v>
      </c>
      <c r="G1377" s="12">
        <v>-0.15815000000000001</v>
      </c>
      <c r="H1377" s="12">
        <v>-0.11559999999999999</v>
      </c>
      <c r="I1377" s="12">
        <v>0.11559999999999999</v>
      </c>
      <c r="J1377" s="9" t="s">
        <v>412</v>
      </c>
      <c r="K1377" s="9" t="s">
        <v>604</v>
      </c>
    </row>
    <row r="1378" spans="1:11" ht="28.8">
      <c r="A1378" s="9" t="s">
        <v>661</v>
      </c>
      <c r="B1378" s="9" t="s">
        <v>602</v>
      </c>
      <c r="C1378" s="9" t="s">
        <v>674</v>
      </c>
      <c r="D1378" s="12">
        <v>6.8199999999999997E-2</v>
      </c>
      <c r="E1378" s="12">
        <v>2.06E-2</v>
      </c>
      <c r="F1378" s="12">
        <v>0.2581</v>
      </c>
      <c r="G1378" s="12">
        <v>4.4399999999999995E-2</v>
      </c>
      <c r="H1378" s="12">
        <v>0.11559999999999999</v>
      </c>
      <c r="I1378" s="12">
        <v>0.11559999999999999</v>
      </c>
      <c r="J1378" s="9" t="s">
        <v>412</v>
      </c>
      <c r="K1378" s="9" t="s">
        <v>654</v>
      </c>
    </row>
    <row r="1379" spans="1:11" ht="28.8">
      <c r="A1379" s="9" t="s">
        <v>671</v>
      </c>
      <c r="B1379" s="9" t="s">
        <v>688</v>
      </c>
      <c r="C1379" s="9" t="s">
        <v>667</v>
      </c>
      <c r="D1379" s="12">
        <v>0.14219999999999999</v>
      </c>
      <c r="E1379" s="12">
        <v>6.3E-3</v>
      </c>
      <c r="F1379" s="12">
        <v>0.19789999999999999</v>
      </c>
      <c r="G1379" s="12">
        <v>7.4249999999999997E-2</v>
      </c>
      <c r="H1379" s="12">
        <v>0.11550000000000001</v>
      </c>
      <c r="I1379" s="12">
        <v>0.11550000000000001</v>
      </c>
      <c r="J1379" s="9" t="s">
        <v>412</v>
      </c>
      <c r="K1379" s="9" t="s">
        <v>654</v>
      </c>
    </row>
    <row r="1380" spans="1:11" ht="28.8">
      <c r="A1380" s="9" t="s">
        <v>662</v>
      </c>
      <c r="B1380" s="9" t="s">
        <v>681</v>
      </c>
      <c r="C1380" s="9" t="s">
        <v>683</v>
      </c>
      <c r="D1380" s="12">
        <v>-6.0100000000000001E-2</v>
      </c>
      <c r="E1380" s="12">
        <v>0.1535</v>
      </c>
      <c r="F1380" s="12">
        <v>-0.13270000000000001</v>
      </c>
      <c r="G1380" s="12">
        <v>4.6699999999999998E-2</v>
      </c>
      <c r="H1380" s="12">
        <v>-1.3100000000000001E-2</v>
      </c>
      <c r="I1380" s="12">
        <v>0.11550000000000001</v>
      </c>
      <c r="J1380" s="9" t="s">
        <v>412</v>
      </c>
      <c r="K1380" s="9" t="s">
        <v>604</v>
      </c>
    </row>
    <row r="1381" spans="1:11" ht="28.8">
      <c r="A1381" s="9" t="s">
        <v>671</v>
      </c>
      <c r="B1381" s="9" t="s">
        <v>678</v>
      </c>
      <c r="C1381" s="9" t="s">
        <v>683</v>
      </c>
      <c r="D1381" s="12">
        <v>0.1066</v>
      </c>
      <c r="E1381" s="12">
        <v>-0.14360000000000001</v>
      </c>
      <c r="F1381" s="12">
        <v>-9.6299999999999997E-2</v>
      </c>
      <c r="G1381" s="12">
        <v>-1.8500000000000003E-2</v>
      </c>
      <c r="H1381" s="12">
        <v>-4.4400000000000002E-2</v>
      </c>
      <c r="I1381" s="12">
        <v>0.11550000000000001</v>
      </c>
      <c r="J1381" s="9" t="s">
        <v>412</v>
      </c>
      <c r="K1381" s="9" t="s">
        <v>604</v>
      </c>
    </row>
    <row r="1382" spans="1:11" ht="28.8">
      <c r="A1382" s="9" t="s">
        <v>679</v>
      </c>
      <c r="B1382" s="9" t="s">
        <v>689</v>
      </c>
      <c r="C1382" s="9" t="s">
        <v>667</v>
      </c>
      <c r="D1382" s="12">
        <v>-0.12280000000000001</v>
      </c>
      <c r="E1382" s="12">
        <v>-7.0900000000000005E-2</v>
      </c>
      <c r="F1382" s="12">
        <v>-0.15240000000000001</v>
      </c>
      <c r="G1382" s="12">
        <v>-9.6850000000000006E-2</v>
      </c>
      <c r="H1382" s="12">
        <v>-0.1154</v>
      </c>
      <c r="I1382" s="12">
        <v>0.1154</v>
      </c>
      <c r="J1382" s="9" t="s">
        <v>412</v>
      </c>
      <c r="K1382" s="9" t="s">
        <v>604</v>
      </c>
    </row>
    <row r="1383" spans="1:11" ht="28.8">
      <c r="A1383" s="9" t="s">
        <v>603</v>
      </c>
      <c r="B1383" s="9" t="s">
        <v>684</v>
      </c>
      <c r="C1383" s="9" t="s">
        <v>683</v>
      </c>
      <c r="D1383" s="12">
        <v>0.17660000000000001</v>
      </c>
      <c r="E1383" s="12">
        <v>-0.10829999999999999</v>
      </c>
      <c r="F1383" s="12">
        <v>-6.1499999999999999E-2</v>
      </c>
      <c r="G1383" s="12">
        <v>3.4150000000000007E-2</v>
      </c>
      <c r="H1383" s="12">
        <v>2.3E-3</v>
      </c>
      <c r="I1383" s="12">
        <v>0.1154</v>
      </c>
      <c r="J1383" s="9" t="s">
        <v>412</v>
      </c>
      <c r="K1383" s="9" t="s">
        <v>604</v>
      </c>
    </row>
    <row r="1384" spans="1:11" ht="28.8">
      <c r="A1384" s="9" t="s">
        <v>671</v>
      </c>
      <c r="B1384" s="9" t="s">
        <v>685</v>
      </c>
      <c r="C1384" s="9" t="s">
        <v>664</v>
      </c>
      <c r="D1384" s="12">
        <v>-9.0800000000000006E-2</v>
      </c>
      <c r="E1384" s="12">
        <v>0.19439999999999999</v>
      </c>
      <c r="F1384" s="12">
        <v>6.0699999999999997E-2</v>
      </c>
      <c r="G1384" s="12">
        <v>5.1799999999999992E-2</v>
      </c>
      <c r="H1384" s="12">
        <v>5.4800000000000001E-2</v>
      </c>
      <c r="I1384" s="12">
        <v>0.1153</v>
      </c>
      <c r="J1384" s="9" t="s">
        <v>412</v>
      </c>
      <c r="K1384" s="9" t="s">
        <v>604</v>
      </c>
    </row>
    <row r="1385" spans="1:11">
      <c r="A1385" s="9" t="s">
        <v>609</v>
      </c>
      <c r="B1385" s="9" t="s">
        <v>678</v>
      </c>
      <c r="C1385" s="9" t="s">
        <v>663</v>
      </c>
      <c r="D1385" s="12">
        <v>-0.12770000000000001</v>
      </c>
      <c r="E1385" s="12">
        <v>-0.10390000000000001</v>
      </c>
      <c r="F1385" s="12">
        <v>-0.1142</v>
      </c>
      <c r="G1385" s="12">
        <v>-0.11580000000000001</v>
      </c>
      <c r="H1385" s="12">
        <v>-0.1153</v>
      </c>
      <c r="I1385" s="12">
        <v>0.1153</v>
      </c>
      <c r="J1385" s="9" t="s">
        <v>412</v>
      </c>
      <c r="K1385" s="9" t="s">
        <v>604</v>
      </c>
    </row>
    <row r="1386" spans="1:11" ht="28.8">
      <c r="A1386" s="9" t="s">
        <v>610</v>
      </c>
      <c r="B1386" s="9" t="s">
        <v>681</v>
      </c>
      <c r="C1386" s="9" t="s">
        <v>683</v>
      </c>
      <c r="D1386" s="12">
        <v>-8.1500000000000003E-2</v>
      </c>
      <c r="E1386" s="12">
        <v>0.13150000000000001</v>
      </c>
      <c r="F1386" s="12">
        <v>-0.13270000000000001</v>
      </c>
      <c r="G1386" s="12">
        <v>2.5000000000000001E-2</v>
      </c>
      <c r="H1386" s="12">
        <v>-2.76E-2</v>
      </c>
      <c r="I1386" s="12">
        <v>0.1152</v>
      </c>
      <c r="J1386" s="9" t="s">
        <v>412</v>
      </c>
      <c r="K1386" s="9" t="s">
        <v>604</v>
      </c>
    </row>
    <row r="1387" spans="1:11">
      <c r="A1387" s="9" t="s">
        <v>610</v>
      </c>
      <c r="B1387" s="9" t="s">
        <v>688</v>
      </c>
      <c r="C1387" s="9" t="s">
        <v>667</v>
      </c>
      <c r="D1387" s="12">
        <v>6.1800000000000001E-2</v>
      </c>
      <c r="E1387" s="12">
        <v>8.5699999999999998E-2</v>
      </c>
      <c r="F1387" s="12">
        <v>0.19789999999999999</v>
      </c>
      <c r="G1387" s="12">
        <v>7.3749999999999996E-2</v>
      </c>
      <c r="H1387" s="12">
        <v>0.11509999999999999</v>
      </c>
      <c r="I1387" s="12">
        <v>0.11509999999999999</v>
      </c>
      <c r="J1387" s="9" t="s">
        <v>412</v>
      </c>
      <c r="K1387" s="9" t="s">
        <v>654</v>
      </c>
    </row>
    <row r="1388" spans="1:11" ht="28.8">
      <c r="A1388" s="9" t="s">
        <v>671</v>
      </c>
      <c r="B1388" s="9" t="s">
        <v>685</v>
      </c>
      <c r="C1388" s="9" t="s">
        <v>690</v>
      </c>
      <c r="D1388" s="12">
        <v>-7.0199999999999999E-2</v>
      </c>
      <c r="E1388" s="12">
        <v>0.19439999999999999</v>
      </c>
      <c r="F1388" s="12">
        <v>-8.0600000000000005E-2</v>
      </c>
      <c r="G1388" s="12">
        <v>6.2099999999999995E-2</v>
      </c>
      <c r="H1388" s="12">
        <v>1.4500000000000001E-2</v>
      </c>
      <c r="I1388" s="12">
        <v>0.11509999999999999</v>
      </c>
      <c r="J1388" s="9" t="s">
        <v>412</v>
      </c>
      <c r="K1388" s="9" t="s">
        <v>604</v>
      </c>
    </row>
    <row r="1389" spans="1:11">
      <c r="A1389" s="9" t="s">
        <v>662</v>
      </c>
      <c r="B1389" s="9" t="s">
        <v>686</v>
      </c>
      <c r="C1389" s="9" t="s">
        <v>656</v>
      </c>
      <c r="D1389" s="12">
        <v>0.26229999999999998</v>
      </c>
      <c r="E1389" s="12">
        <v>6.7000000000000002E-3</v>
      </c>
      <c r="F1389" s="12">
        <v>7.6300000000000007E-2</v>
      </c>
      <c r="G1389" s="12">
        <v>0.13449999999999998</v>
      </c>
      <c r="H1389" s="12">
        <v>0.11509999999999999</v>
      </c>
      <c r="I1389" s="12">
        <v>0.11509999999999999</v>
      </c>
      <c r="J1389" s="9" t="s">
        <v>412</v>
      </c>
      <c r="K1389" s="9" t="s">
        <v>654</v>
      </c>
    </row>
    <row r="1390" spans="1:11" ht="28.8">
      <c r="A1390" s="9" t="s">
        <v>679</v>
      </c>
      <c r="B1390" s="9" t="s">
        <v>684</v>
      </c>
      <c r="C1390" s="9" t="s">
        <v>663</v>
      </c>
      <c r="D1390" s="12">
        <v>0.13450000000000001</v>
      </c>
      <c r="E1390" s="12">
        <v>-7.2800000000000004E-2</v>
      </c>
      <c r="F1390" s="12">
        <v>0.13800000000000001</v>
      </c>
      <c r="G1390" s="12">
        <v>3.0850000000000002E-2</v>
      </c>
      <c r="H1390" s="12">
        <v>6.6600000000000006E-2</v>
      </c>
      <c r="I1390" s="12">
        <v>0.11509999999999999</v>
      </c>
      <c r="J1390" s="9" t="s">
        <v>412</v>
      </c>
      <c r="K1390" s="9" t="s">
        <v>604</v>
      </c>
    </row>
    <row r="1391" spans="1:11">
      <c r="A1391" s="9" t="s">
        <v>682</v>
      </c>
      <c r="B1391" s="9" t="s">
        <v>686</v>
      </c>
      <c r="C1391" s="9" t="s">
        <v>670</v>
      </c>
      <c r="D1391" s="12">
        <v>-0.19359999999999999</v>
      </c>
      <c r="E1391" s="12">
        <v>-1.6400000000000001E-2</v>
      </c>
      <c r="F1391" s="12">
        <v>-0.13539999999999999</v>
      </c>
      <c r="G1391" s="12">
        <v>-0.105</v>
      </c>
      <c r="H1391" s="12">
        <v>-0.11509999999999999</v>
      </c>
      <c r="I1391" s="12">
        <v>0.11509999999999999</v>
      </c>
      <c r="J1391" s="9" t="s">
        <v>412</v>
      </c>
      <c r="K1391" s="9" t="s">
        <v>604</v>
      </c>
    </row>
    <row r="1392" spans="1:11" ht="28.8">
      <c r="A1392" s="9" t="s">
        <v>679</v>
      </c>
      <c r="B1392" s="9" t="s">
        <v>681</v>
      </c>
      <c r="C1392" s="9" t="s">
        <v>667</v>
      </c>
      <c r="D1392" s="12">
        <v>-0.12280000000000001</v>
      </c>
      <c r="E1392" s="12">
        <v>0.1958</v>
      </c>
      <c r="F1392" s="12">
        <v>2.58E-2</v>
      </c>
      <c r="G1392" s="12">
        <v>3.6499999999999998E-2</v>
      </c>
      <c r="H1392" s="12">
        <v>3.2899999999999999E-2</v>
      </c>
      <c r="I1392" s="12">
        <v>0.1148</v>
      </c>
      <c r="J1392" s="9" t="s">
        <v>412</v>
      </c>
      <c r="K1392" s="9" t="s">
        <v>604</v>
      </c>
    </row>
    <row r="1393" spans="1:11" ht="28.8">
      <c r="A1393" s="9" t="s">
        <v>661</v>
      </c>
      <c r="B1393" s="9" t="s">
        <v>688</v>
      </c>
      <c r="C1393" s="9" t="s">
        <v>664</v>
      </c>
      <c r="D1393" s="12">
        <v>-2.4199999999999999E-2</v>
      </c>
      <c r="E1393" s="12">
        <v>6.8500000000000005E-2</v>
      </c>
      <c r="F1393" s="12">
        <v>0.251</v>
      </c>
      <c r="G1393" s="12">
        <v>2.2150000000000003E-2</v>
      </c>
      <c r="H1393" s="12">
        <v>9.8400000000000001E-2</v>
      </c>
      <c r="I1393" s="12">
        <v>0.11459999999999999</v>
      </c>
      <c r="J1393" s="9" t="s">
        <v>412</v>
      </c>
      <c r="K1393" s="9" t="s">
        <v>604</v>
      </c>
    </row>
    <row r="1394" spans="1:11" ht="28.8">
      <c r="A1394" s="9" t="s">
        <v>609</v>
      </c>
      <c r="B1394" s="9" t="s">
        <v>687</v>
      </c>
      <c r="C1394" s="9" t="s">
        <v>675</v>
      </c>
      <c r="D1394" s="12">
        <v>9.6600000000000005E-2</v>
      </c>
      <c r="E1394" s="12">
        <v>-4.5400000000000003E-2</v>
      </c>
      <c r="F1394" s="12">
        <v>0.20180000000000001</v>
      </c>
      <c r="G1394" s="12">
        <v>2.5600000000000001E-2</v>
      </c>
      <c r="H1394" s="12">
        <v>8.43E-2</v>
      </c>
      <c r="I1394" s="12">
        <v>0.11459999999999999</v>
      </c>
      <c r="J1394" s="9" t="s">
        <v>412</v>
      </c>
      <c r="K1394" s="9" t="s">
        <v>604</v>
      </c>
    </row>
    <row r="1395" spans="1:11" ht="28.8">
      <c r="A1395" s="9" t="s">
        <v>671</v>
      </c>
      <c r="B1395" s="9" t="s">
        <v>685</v>
      </c>
      <c r="C1395" s="9" t="s">
        <v>659</v>
      </c>
      <c r="D1395" s="12">
        <v>0.13159999999999999</v>
      </c>
      <c r="E1395" s="12">
        <v>0.19439999999999999</v>
      </c>
      <c r="F1395" s="12">
        <v>-1.7899999999999999E-2</v>
      </c>
      <c r="G1395" s="12">
        <v>0.16299999999999998</v>
      </c>
      <c r="H1395" s="12">
        <v>0.1027</v>
      </c>
      <c r="I1395" s="12">
        <v>0.11459999999999999</v>
      </c>
      <c r="J1395" s="9" t="s">
        <v>412</v>
      </c>
      <c r="K1395" s="9" t="s">
        <v>604</v>
      </c>
    </row>
    <row r="1396" spans="1:11">
      <c r="A1396" s="9" t="s">
        <v>610</v>
      </c>
      <c r="B1396" s="9" t="s">
        <v>668</v>
      </c>
      <c r="C1396" s="9" t="s">
        <v>667</v>
      </c>
      <c r="D1396" s="12">
        <v>6.1800000000000001E-2</v>
      </c>
      <c r="E1396" s="12">
        <v>-9.64E-2</v>
      </c>
      <c r="F1396" s="12">
        <v>-0.1852</v>
      </c>
      <c r="G1396" s="12">
        <v>-1.7299999999999999E-2</v>
      </c>
      <c r="H1396" s="12">
        <v>-7.3200000000000001E-2</v>
      </c>
      <c r="I1396" s="12">
        <v>0.1145</v>
      </c>
      <c r="J1396" s="9" t="s">
        <v>412</v>
      </c>
      <c r="K1396" s="9" t="s">
        <v>604</v>
      </c>
    </row>
    <row r="1397" spans="1:11" ht="28.8">
      <c r="A1397" s="9" t="s">
        <v>661</v>
      </c>
      <c r="B1397" s="9" t="s">
        <v>613</v>
      </c>
      <c r="C1397" s="9" t="s">
        <v>667</v>
      </c>
      <c r="D1397" s="12">
        <v>5.3600000000000002E-2</v>
      </c>
      <c r="E1397" s="12">
        <v>3.3000000000000002E-2</v>
      </c>
      <c r="F1397" s="12">
        <v>0.25679999999999997</v>
      </c>
      <c r="G1397" s="12">
        <v>4.3300000000000005E-2</v>
      </c>
      <c r="H1397" s="12">
        <v>0.1145</v>
      </c>
      <c r="I1397" s="12">
        <v>0.1145</v>
      </c>
      <c r="J1397" s="9" t="s">
        <v>412</v>
      </c>
      <c r="K1397" s="9" t="s">
        <v>654</v>
      </c>
    </row>
    <row r="1398" spans="1:11" ht="28.8">
      <c r="A1398" s="9" t="s">
        <v>662</v>
      </c>
      <c r="B1398" s="9" t="s">
        <v>602</v>
      </c>
      <c r="C1398" s="9" t="s">
        <v>675</v>
      </c>
      <c r="D1398" s="12">
        <v>0.14630000000000001</v>
      </c>
      <c r="E1398" s="12">
        <v>9.3799999999999994E-2</v>
      </c>
      <c r="F1398" s="12">
        <v>0.1032</v>
      </c>
      <c r="G1398" s="12">
        <v>0.12005</v>
      </c>
      <c r="H1398" s="12">
        <v>0.1144</v>
      </c>
      <c r="I1398" s="12">
        <v>0.1144</v>
      </c>
      <c r="J1398" s="9" t="s">
        <v>412</v>
      </c>
      <c r="K1398" s="9" t="s">
        <v>654</v>
      </c>
    </row>
    <row r="1399" spans="1:11">
      <c r="A1399" s="9" t="s">
        <v>662</v>
      </c>
      <c r="B1399" s="9" t="s">
        <v>665</v>
      </c>
      <c r="C1399" s="9" t="s">
        <v>667</v>
      </c>
      <c r="D1399" s="12">
        <v>0.12540000000000001</v>
      </c>
      <c r="E1399" s="12">
        <v>-0.1681</v>
      </c>
      <c r="F1399" s="12">
        <v>-4.9799999999999997E-2</v>
      </c>
      <c r="G1399" s="12">
        <v>-2.1349999999999994E-2</v>
      </c>
      <c r="H1399" s="12">
        <v>-3.0800000000000001E-2</v>
      </c>
      <c r="I1399" s="12">
        <v>0.1144</v>
      </c>
      <c r="J1399" s="9" t="s">
        <v>412</v>
      </c>
      <c r="K1399" s="9" t="s">
        <v>604</v>
      </c>
    </row>
    <row r="1400" spans="1:11" ht="28.8">
      <c r="A1400" s="9" t="s">
        <v>661</v>
      </c>
      <c r="B1400" s="9" t="s">
        <v>689</v>
      </c>
      <c r="C1400" s="9" t="s">
        <v>655</v>
      </c>
      <c r="D1400" s="12">
        <v>0.17599999999999999</v>
      </c>
      <c r="E1400" s="12">
        <v>-0.1028</v>
      </c>
      <c r="F1400" s="12">
        <v>-6.4000000000000001E-2</v>
      </c>
      <c r="G1400" s="12">
        <v>3.6599999999999994E-2</v>
      </c>
      <c r="H1400" s="12">
        <v>3.0000000000000001E-3</v>
      </c>
      <c r="I1400" s="12">
        <v>0.1143</v>
      </c>
      <c r="J1400" s="9" t="s">
        <v>412</v>
      </c>
      <c r="K1400" s="9" t="s">
        <v>604</v>
      </c>
    </row>
    <row r="1401" spans="1:11" ht="28.8">
      <c r="A1401" s="9" t="s">
        <v>610</v>
      </c>
      <c r="B1401" s="9" t="s">
        <v>672</v>
      </c>
      <c r="C1401" s="9" t="s">
        <v>601</v>
      </c>
      <c r="D1401" s="12">
        <v>8.48E-2</v>
      </c>
      <c r="E1401" s="12">
        <v>7.0999999999999994E-2</v>
      </c>
      <c r="F1401" s="12">
        <v>-0.187</v>
      </c>
      <c r="G1401" s="12">
        <v>7.7899999999999997E-2</v>
      </c>
      <c r="H1401" s="12">
        <v>-1.04E-2</v>
      </c>
      <c r="I1401" s="12">
        <v>0.1143</v>
      </c>
      <c r="J1401" s="9" t="s">
        <v>412</v>
      </c>
      <c r="K1401" s="9" t="s">
        <v>604</v>
      </c>
    </row>
    <row r="1402" spans="1:11" ht="28.8">
      <c r="A1402" s="9" t="s">
        <v>661</v>
      </c>
      <c r="B1402" s="9" t="s">
        <v>680</v>
      </c>
      <c r="C1402" s="9" t="s">
        <v>675</v>
      </c>
      <c r="D1402" s="12">
        <v>0.14380000000000001</v>
      </c>
      <c r="E1402" s="12">
        <v>5.1799999999999999E-2</v>
      </c>
      <c r="F1402" s="12">
        <v>0.14710000000000001</v>
      </c>
      <c r="G1402" s="12">
        <v>9.7799999999999998E-2</v>
      </c>
      <c r="H1402" s="12">
        <v>0.1142</v>
      </c>
      <c r="I1402" s="12">
        <v>0.1142</v>
      </c>
      <c r="J1402" s="9" t="s">
        <v>412</v>
      </c>
      <c r="K1402" s="9" t="s">
        <v>654</v>
      </c>
    </row>
    <row r="1403" spans="1:11" ht="28.8">
      <c r="A1403" s="9" t="s">
        <v>682</v>
      </c>
      <c r="B1403" s="9" t="s">
        <v>657</v>
      </c>
      <c r="C1403" s="9" t="s">
        <v>677</v>
      </c>
      <c r="D1403" s="12">
        <v>1.23E-2</v>
      </c>
      <c r="E1403" s="12">
        <v>-0.1056</v>
      </c>
      <c r="F1403" s="12">
        <v>0.2248</v>
      </c>
      <c r="G1403" s="12">
        <v>-4.6649999999999997E-2</v>
      </c>
      <c r="H1403" s="12">
        <v>4.3799999999999999E-2</v>
      </c>
      <c r="I1403" s="12">
        <v>0.1142</v>
      </c>
      <c r="J1403" s="9" t="s">
        <v>412</v>
      </c>
      <c r="K1403" s="9" t="s">
        <v>604</v>
      </c>
    </row>
    <row r="1404" spans="1:11">
      <c r="A1404" s="9" t="s">
        <v>610</v>
      </c>
      <c r="B1404" s="9" t="s">
        <v>665</v>
      </c>
      <c r="C1404" s="9" t="s">
        <v>659</v>
      </c>
      <c r="D1404" s="12">
        <v>0.1174</v>
      </c>
      <c r="E1404" s="12">
        <v>7.4899999999999994E-2</v>
      </c>
      <c r="F1404" s="12">
        <v>0.1502</v>
      </c>
      <c r="G1404" s="12">
        <v>9.6149999999999999E-2</v>
      </c>
      <c r="H1404" s="12">
        <v>0.1142</v>
      </c>
      <c r="I1404" s="12">
        <v>0.1142</v>
      </c>
      <c r="J1404" s="9" t="s">
        <v>412</v>
      </c>
      <c r="K1404" s="9" t="s">
        <v>654</v>
      </c>
    </row>
    <row r="1405" spans="1:11" ht="28.8">
      <c r="A1405" s="9" t="s">
        <v>603</v>
      </c>
      <c r="B1405" s="9" t="s">
        <v>686</v>
      </c>
      <c r="C1405" s="9" t="s">
        <v>659</v>
      </c>
      <c r="D1405" s="12">
        <v>-0.17230000000000001</v>
      </c>
      <c r="E1405" s="12">
        <v>-0.11899999999999999</v>
      </c>
      <c r="F1405" s="12">
        <v>5.1200000000000002E-2</v>
      </c>
      <c r="G1405" s="12">
        <v>-0.14565</v>
      </c>
      <c r="H1405" s="12">
        <v>-0.08</v>
      </c>
      <c r="I1405" s="12">
        <v>0.1142</v>
      </c>
      <c r="J1405" s="9" t="s">
        <v>412</v>
      </c>
      <c r="K1405" s="9" t="s">
        <v>604</v>
      </c>
    </row>
    <row r="1406" spans="1:11" ht="28.8">
      <c r="A1406" s="9" t="s">
        <v>679</v>
      </c>
      <c r="B1406" s="9" t="s">
        <v>681</v>
      </c>
      <c r="C1406" s="9" t="s">
        <v>663</v>
      </c>
      <c r="D1406" s="12">
        <v>0.13450000000000001</v>
      </c>
      <c r="E1406" s="12">
        <v>0.1958</v>
      </c>
      <c r="F1406" s="12">
        <v>1.23E-2</v>
      </c>
      <c r="G1406" s="12">
        <v>0.16515000000000002</v>
      </c>
      <c r="H1406" s="12">
        <v>0.1142</v>
      </c>
      <c r="I1406" s="12">
        <v>0.1142</v>
      </c>
      <c r="J1406" s="9" t="s">
        <v>412</v>
      </c>
      <c r="K1406" s="9" t="s">
        <v>654</v>
      </c>
    </row>
    <row r="1407" spans="1:11">
      <c r="A1407" s="9" t="s">
        <v>610</v>
      </c>
      <c r="B1407" s="9" t="s">
        <v>673</v>
      </c>
      <c r="C1407" s="9" t="s">
        <v>656</v>
      </c>
      <c r="D1407" s="12">
        <v>6.5699999999999995E-2</v>
      </c>
      <c r="E1407" s="12">
        <v>-8.14E-2</v>
      </c>
      <c r="F1407" s="12">
        <v>-0.19539999999999999</v>
      </c>
      <c r="G1407" s="12">
        <v>-7.8500000000000028E-3</v>
      </c>
      <c r="H1407" s="12">
        <v>-7.0300000000000001E-2</v>
      </c>
      <c r="I1407" s="12">
        <v>0.1142</v>
      </c>
      <c r="J1407" s="9" t="s">
        <v>412</v>
      </c>
      <c r="K1407" s="9" t="s">
        <v>604</v>
      </c>
    </row>
    <row r="1408" spans="1:11" ht="28.8">
      <c r="A1408" s="9" t="s">
        <v>610</v>
      </c>
      <c r="B1408" s="9" t="s">
        <v>681</v>
      </c>
      <c r="C1408" s="9" t="s">
        <v>675</v>
      </c>
      <c r="D1408" s="12">
        <v>-2.1399999999999999E-2</v>
      </c>
      <c r="E1408" s="12">
        <v>0.13150000000000001</v>
      </c>
      <c r="F1408" s="12">
        <v>0.1895</v>
      </c>
      <c r="G1408" s="12">
        <v>5.5050000000000002E-2</v>
      </c>
      <c r="H1408" s="12">
        <v>9.9900000000000003E-2</v>
      </c>
      <c r="I1408" s="12">
        <v>0.11409999999999999</v>
      </c>
      <c r="J1408" s="9" t="s">
        <v>412</v>
      </c>
      <c r="K1408" s="9" t="s">
        <v>604</v>
      </c>
    </row>
    <row r="1409" spans="1:11" ht="28.8">
      <c r="A1409" s="9" t="s">
        <v>662</v>
      </c>
      <c r="B1409" s="9" t="s">
        <v>672</v>
      </c>
      <c r="C1409" s="9" t="s">
        <v>675</v>
      </c>
      <c r="D1409" s="12">
        <v>0.14630000000000001</v>
      </c>
      <c r="E1409" s="12">
        <v>1.0999999999999999E-2</v>
      </c>
      <c r="F1409" s="12">
        <v>0.185</v>
      </c>
      <c r="G1409" s="12">
        <v>7.8650000000000012E-2</v>
      </c>
      <c r="H1409" s="12">
        <v>0.11409999999999999</v>
      </c>
      <c r="I1409" s="12">
        <v>0.11409999999999999</v>
      </c>
      <c r="J1409" s="9" t="s">
        <v>412</v>
      </c>
      <c r="K1409" s="9" t="s">
        <v>654</v>
      </c>
    </row>
    <row r="1410" spans="1:11" ht="28.8">
      <c r="A1410" s="9" t="s">
        <v>671</v>
      </c>
      <c r="B1410" s="9" t="s">
        <v>689</v>
      </c>
      <c r="C1410" s="9" t="s">
        <v>677</v>
      </c>
      <c r="D1410" s="12">
        <v>6.8900000000000003E-2</v>
      </c>
      <c r="E1410" s="12">
        <v>-0.12859999999999999</v>
      </c>
      <c r="F1410" s="12">
        <v>-0.14460000000000001</v>
      </c>
      <c r="G1410" s="12">
        <v>-2.9849999999999995E-2</v>
      </c>
      <c r="H1410" s="12">
        <v>-6.8099999999999994E-2</v>
      </c>
      <c r="I1410" s="12">
        <v>0.114</v>
      </c>
      <c r="J1410" s="9" t="s">
        <v>412</v>
      </c>
      <c r="K1410" s="9" t="s">
        <v>604</v>
      </c>
    </row>
    <row r="1411" spans="1:11">
      <c r="A1411" s="9" t="s">
        <v>682</v>
      </c>
      <c r="B1411" s="9" t="s">
        <v>676</v>
      </c>
      <c r="C1411" s="9" t="s">
        <v>663</v>
      </c>
      <c r="D1411" s="12">
        <v>-6.7400000000000002E-2</v>
      </c>
      <c r="E1411" s="12">
        <v>0.1517</v>
      </c>
      <c r="F1411" s="12">
        <v>0.1225</v>
      </c>
      <c r="G1411" s="12">
        <v>4.215E-2</v>
      </c>
      <c r="H1411" s="12">
        <v>6.8900000000000003E-2</v>
      </c>
      <c r="I1411" s="12">
        <v>0.1139</v>
      </c>
      <c r="J1411" s="9" t="s">
        <v>412</v>
      </c>
      <c r="K1411" s="9" t="s">
        <v>604</v>
      </c>
    </row>
    <row r="1412" spans="1:11" ht="28.8">
      <c r="A1412" s="9" t="s">
        <v>679</v>
      </c>
      <c r="B1412" s="9" t="s">
        <v>653</v>
      </c>
      <c r="C1412" s="9" t="s">
        <v>664</v>
      </c>
      <c r="D1412" s="12">
        <v>0.1353</v>
      </c>
      <c r="E1412" s="12">
        <v>6.2700000000000006E-2</v>
      </c>
      <c r="F1412" s="12">
        <v>0.14360000000000001</v>
      </c>
      <c r="G1412" s="12">
        <v>9.9000000000000005E-2</v>
      </c>
      <c r="H1412" s="12">
        <v>0.1139</v>
      </c>
      <c r="I1412" s="12">
        <v>0.1139</v>
      </c>
      <c r="J1412" s="9" t="s">
        <v>412</v>
      </c>
      <c r="K1412" s="9" t="s">
        <v>654</v>
      </c>
    </row>
    <row r="1413" spans="1:11" ht="28.8">
      <c r="A1413" s="9" t="s">
        <v>679</v>
      </c>
      <c r="B1413" s="9" t="s">
        <v>665</v>
      </c>
      <c r="C1413" s="9" t="s">
        <v>677</v>
      </c>
      <c r="D1413" s="12">
        <v>0.13189999999999999</v>
      </c>
      <c r="E1413" s="12">
        <v>7.6399999999999996E-2</v>
      </c>
      <c r="F1413" s="12">
        <v>0.13339999999999999</v>
      </c>
      <c r="G1413" s="12">
        <v>0.10414999999999999</v>
      </c>
      <c r="H1413" s="12">
        <v>0.1139</v>
      </c>
      <c r="I1413" s="12">
        <v>0.1139</v>
      </c>
      <c r="J1413" s="9" t="s">
        <v>412</v>
      </c>
      <c r="K1413" s="9" t="s">
        <v>654</v>
      </c>
    </row>
    <row r="1414" spans="1:11">
      <c r="A1414" s="9" t="s">
        <v>682</v>
      </c>
      <c r="B1414" s="9" t="s">
        <v>658</v>
      </c>
      <c r="C1414" s="9" t="s">
        <v>656</v>
      </c>
      <c r="D1414" s="12">
        <v>-1.9900000000000001E-2</v>
      </c>
      <c r="E1414" s="12">
        <v>-5.5500000000000001E-2</v>
      </c>
      <c r="F1414" s="12">
        <v>0.2661</v>
      </c>
      <c r="G1414" s="12">
        <v>-3.7699999999999997E-2</v>
      </c>
      <c r="H1414" s="12">
        <v>6.3500000000000001E-2</v>
      </c>
      <c r="I1414" s="12">
        <v>0.1138</v>
      </c>
      <c r="J1414" s="9" t="s">
        <v>412</v>
      </c>
      <c r="K1414" s="9" t="s">
        <v>604</v>
      </c>
    </row>
    <row r="1415" spans="1:11" ht="28.8">
      <c r="A1415" s="9" t="s">
        <v>679</v>
      </c>
      <c r="B1415" s="9" t="s">
        <v>668</v>
      </c>
      <c r="C1415" s="9" t="s">
        <v>667</v>
      </c>
      <c r="D1415" s="12">
        <v>-0.12280000000000001</v>
      </c>
      <c r="E1415" s="12">
        <v>-3.3300000000000003E-2</v>
      </c>
      <c r="F1415" s="12">
        <v>-0.1852</v>
      </c>
      <c r="G1415" s="12">
        <v>-7.8050000000000008E-2</v>
      </c>
      <c r="H1415" s="12">
        <v>-0.1138</v>
      </c>
      <c r="I1415" s="12">
        <v>0.1138</v>
      </c>
      <c r="J1415" s="9" t="s">
        <v>412</v>
      </c>
      <c r="K1415" s="9" t="s">
        <v>604</v>
      </c>
    </row>
    <row r="1416" spans="1:11" ht="28.8">
      <c r="A1416" s="9" t="s">
        <v>679</v>
      </c>
      <c r="B1416" s="9" t="s">
        <v>678</v>
      </c>
      <c r="C1416" s="9" t="s">
        <v>663</v>
      </c>
      <c r="D1416" s="12">
        <v>0.13450000000000001</v>
      </c>
      <c r="E1416" s="12">
        <v>-9.2299999999999993E-2</v>
      </c>
      <c r="F1416" s="12">
        <v>-0.1142</v>
      </c>
      <c r="G1416" s="12">
        <v>2.1100000000000008E-2</v>
      </c>
      <c r="H1416" s="12">
        <v>-2.4E-2</v>
      </c>
      <c r="I1416" s="12">
        <v>0.1137</v>
      </c>
      <c r="J1416" s="9" t="s">
        <v>412</v>
      </c>
      <c r="K1416" s="9" t="s">
        <v>604</v>
      </c>
    </row>
    <row r="1417" spans="1:11">
      <c r="A1417" s="9" t="s">
        <v>682</v>
      </c>
      <c r="B1417" s="9" t="s">
        <v>657</v>
      </c>
      <c r="C1417" s="9" t="s">
        <v>663</v>
      </c>
      <c r="D1417" s="12">
        <v>-6.7400000000000002E-2</v>
      </c>
      <c r="E1417" s="12">
        <v>-0.1056</v>
      </c>
      <c r="F1417" s="12">
        <v>-0.16819999999999999</v>
      </c>
      <c r="G1417" s="12">
        <v>-8.6499999999999994E-2</v>
      </c>
      <c r="H1417" s="12">
        <v>-0.1137</v>
      </c>
      <c r="I1417" s="12">
        <v>0.1137</v>
      </c>
      <c r="J1417" s="9" t="s">
        <v>412</v>
      </c>
      <c r="K1417" s="9" t="s">
        <v>604</v>
      </c>
    </row>
    <row r="1418" spans="1:11" ht="28.8">
      <c r="A1418" s="9" t="s">
        <v>679</v>
      </c>
      <c r="B1418" s="9" t="s">
        <v>680</v>
      </c>
      <c r="C1418" s="9" t="s">
        <v>667</v>
      </c>
      <c r="D1418" s="12">
        <v>-0.12280000000000001</v>
      </c>
      <c r="E1418" s="12">
        <v>0.1643</v>
      </c>
      <c r="F1418" s="12">
        <v>-5.3800000000000001E-2</v>
      </c>
      <c r="G1418" s="12">
        <v>2.0749999999999998E-2</v>
      </c>
      <c r="H1418" s="12">
        <v>-4.1000000000000003E-3</v>
      </c>
      <c r="I1418" s="12">
        <v>0.11360000000000001</v>
      </c>
      <c r="J1418" s="9" t="s">
        <v>412</v>
      </c>
      <c r="K1418" s="9" t="s">
        <v>604</v>
      </c>
    </row>
    <row r="1419" spans="1:11" ht="28.8">
      <c r="A1419" s="9" t="s">
        <v>661</v>
      </c>
      <c r="B1419" s="9" t="s">
        <v>673</v>
      </c>
      <c r="C1419" s="9" t="s">
        <v>659</v>
      </c>
      <c r="D1419" s="12">
        <v>4.3499999999999997E-2</v>
      </c>
      <c r="E1419" s="12">
        <v>-0.12659999999999999</v>
      </c>
      <c r="F1419" s="12">
        <v>-0.17030000000000001</v>
      </c>
      <c r="G1419" s="12">
        <v>-4.1549999999999997E-2</v>
      </c>
      <c r="H1419" s="12">
        <v>-8.4500000000000006E-2</v>
      </c>
      <c r="I1419" s="12">
        <v>0.1135</v>
      </c>
      <c r="J1419" s="9" t="s">
        <v>412</v>
      </c>
      <c r="K1419" s="9" t="s">
        <v>604</v>
      </c>
    </row>
    <row r="1420" spans="1:11" ht="28.8">
      <c r="A1420" s="9" t="s">
        <v>603</v>
      </c>
      <c r="B1420" s="9" t="s">
        <v>684</v>
      </c>
      <c r="C1420" s="9" t="s">
        <v>659</v>
      </c>
      <c r="D1420" s="12">
        <v>-0.17230000000000001</v>
      </c>
      <c r="E1420" s="12">
        <v>-0.10829999999999999</v>
      </c>
      <c r="F1420" s="12">
        <v>-5.9499999999999997E-2</v>
      </c>
      <c r="G1420" s="12">
        <v>-0.14030000000000001</v>
      </c>
      <c r="H1420" s="12">
        <v>-0.1133</v>
      </c>
      <c r="I1420" s="12">
        <v>0.1133</v>
      </c>
      <c r="J1420" s="9" t="s">
        <v>412</v>
      </c>
      <c r="K1420" s="9" t="s">
        <v>604</v>
      </c>
    </row>
    <row r="1421" spans="1:11" ht="28.8">
      <c r="A1421" s="9" t="s">
        <v>671</v>
      </c>
      <c r="B1421" s="9" t="s">
        <v>665</v>
      </c>
      <c r="C1421" s="9" t="s">
        <v>656</v>
      </c>
      <c r="D1421" s="12">
        <v>6.54E-2</v>
      </c>
      <c r="E1421" s="12">
        <v>0.1009</v>
      </c>
      <c r="F1421" s="12">
        <v>0.17330000000000001</v>
      </c>
      <c r="G1421" s="12">
        <v>8.3150000000000002E-2</v>
      </c>
      <c r="H1421" s="12">
        <v>0.1132</v>
      </c>
      <c r="I1421" s="12">
        <v>0.1132</v>
      </c>
      <c r="J1421" s="9" t="s">
        <v>412</v>
      </c>
      <c r="K1421" s="9" t="s">
        <v>654</v>
      </c>
    </row>
    <row r="1422" spans="1:11">
      <c r="A1422" s="9" t="s">
        <v>610</v>
      </c>
      <c r="B1422" s="9" t="s">
        <v>680</v>
      </c>
      <c r="C1422" s="9" t="s">
        <v>656</v>
      </c>
      <c r="D1422" s="12">
        <v>6.5699999999999995E-2</v>
      </c>
      <c r="E1422" s="12">
        <v>-0.1973</v>
      </c>
      <c r="F1422" s="12">
        <v>7.6399999999999996E-2</v>
      </c>
      <c r="G1422" s="12">
        <v>-6.5799999999999997E-2</v>
      </c>
      <c r="H1422" s="12">
        <v>-1.84E-2</v>
      </c>
      <c r="I1422" s="12">
        <v>0.11310000000000001</v>
      </c>
      <c r="J1422" s="9" t="s">
        <v>412</v>
      </c>
      <c r="K1422" s="9" t="s">
        <v>604</v>
      </c>
    </row>
    <row r="1423" spans="1:11" ht="28.8">
      <c r="A1423" s="9" t="s">
        <v>671</v>
      </c>
      <c r="B1423" s="9" t="s">
        <v>668</v>
      </c>
      <c r="C1423" s="9" t="s">
        <v>659</v>
      </c>
      <c r="D1423" s="12">
        <v>0.13159999999999999</v>
      </c>
      <c r="E1423" s="12">
        <v>-3.2099999999999997E-2</v>
      </c>
      <c r="F1423" s="12">
        <v>-0.17549999999999999</v>
      </c>
      <c r="G1423" s="12">
        <v>4.9750000000000003E-2</v>
      </c>
      <c r="H1423" s="12">
        <v>-2.53E-2</v>
      </c>
      <c r="I1423" s="12">
        <v>0.11310000000000001</v>
      </c>
      <c r="J1423" s="9" t="s">
        <v>412</v>
      </c>
      <c r="K1423" s="9" t="s">
        <v>604</v>
      </c>
    </row>
    <row r="1424" spans="1:11" ht="28.8">
      <c r="A1424" s="9" t="s">
        <v>679</v>
      </c>
      <c r="B1424" s="9" t="s">
        <v>689</v>
      </c>
      <c r="C1424" s="9" t="s">
        <v>663</v>
      </c>
      <c r="D1424" s="12">
        <v>0.13450000000000001</v>
      </c>
      <c r="E1424" s="12">
        <v>-7.0900000000000005E-2</v>
      </c>
      <c r="F1424" s="12">
        <v>0.13370000000000001</v>
      </c>
      <c r="G1424" s="12">
        <v>3.1800000000000002E-2</v>
      </c>
      <c r="H1424" s="12">
        <v>6.5799999999999997E-2</v>
      </c>
      <c r="I1424" s="12">
        <v>0.113</v>
      </c>
      <c r="J1424" s="9" t="s">
        <v>412</v>
      </c>
      <c r="K1424" s="9" t="s">
        <v>604</v>
      </c>
    </row>
    <row r="1425" spans="1:11">
      <c r="A1425" s="9" t="s">
        <v>682</v>
      </c>
      <c r="B1425" s="9" t="s">
        <v>689</v>
      </c>
      <c r="C1425" s="9" t="s">
        <v>656</v>
      </c>
      <c r="D1425" s="12">
        <v>-1.9900000000000001E-2</v>
      </c>
      <c r="E1425" s="12">
        <v>0.1298</v>
      </c>
      <c r="F1425" s="12">
        <v>-0.1888</v>
      </c>
      <c r="G1425" s="12">
        <v>5.4949999999999999E-2</v>
      </c>
      <c r="H1425" s="12">
        <v>-2.63E-2</v>
      </c>
      <c r="I1425" s="12">
        <v>0.1128</v>
      </c>
      <c r="J1425" s="9" t="s">
        <v>412</v>
      </c>
      <c r="K1425" s="9" t="s">
        <v>604</v>
      </c>
    </row>
    <row r="1426" spans="1:11" ht="28.8">
      <c r="A1426" s="9" t="s">
        <v>609</v>
      </c>
      <c r="B1426" s="9" t="s">
        <v>602</v>
      </c>
      <c r="C1426" s="9" t="s">
        <v>664</v>
      </c>
      <c r="D1426" s="12">
        <v>-6.5699999999999995E-2</v>
      </c>
      <c r="E1426" s="12">
        <v>-0.2089</v>
      </c>
      <c r="F1426" s="12">
        <v>6.3899999999999998E-2</v>
      </c>
      <c r="G1426" s="12">
        <v>-0.13730000000000001</v>
      </c>
      <c r="H1426" s="12">
        <v>-7.0199999999999999E-2</v>
      </c>
      <c r="I1426" s="12">
        <v>0.1128</v>
      </c>
      <c r="J1426" s="9" t="s">
        <v>412</v>
      </c>
      <c r="K1426" s="9" t="s">
        <v>604</v>
      </c>
    </row>
    <row r="1427" spans="1:11">
      <c r="A1427" s="9" t="s">
        <v>610</v>
      </c>
      <c r="B1427" s="9" t="s">
        <v>602</v>
      </c>
      <c r="C1427" s="9" t="s">
        <v>659</v>
      </c>
      <c r="D1427" s="12">
        <v>0.1174</v>
      </c>
      <c r="E1427" s="12">
        <v>-0.19400000000000001</v>
      </c>
      <c r="F1427" s="12">
        <v>-2.64E-2</v>
      </c>
      <c r="G1427" s="12">
        <v>-3.8300000000000001E-2</v>
      </c>
      <c r="H1427" s="12">
        <v>-3.4299999999999997E-2</v>
      </c>
      <c r="I1427" s="12">
        <v>0.11260000000000001</v>
      </c>
      <c r="J1427" s="9" t="s">
        <v>412</v>
      </c>
      <c r="K1427" s="9" t="s">
        <v>604</v>
      </c>
    </row>
    <row r="1428" spans="1:11" ht="28.8">
      <c r="A1428" s="9" t="s">
        <v>679</v>
      </c>
      <c r="B1428" s="9" t="s">
        <v>691</v>
      </c>
      <c r="C1428" s="9" t="s">
        <v>667</v>
      </c>
      <c r="D1428" s="12">
        <v>-0.12280000000000001</v>
      </c>
      <c r="E1428" s="12">
        <v>-0.1757</v>
      </c>
      <c r="F1428" s="12">
        <v>-3.8699999999999998E-2</v>
      </c>
      <c r="G1428" s="12">
        <v>-0.14924999999999999</v>
      </c>
      <c r="H1428" s="12">
        <v>-0.1124</v>
      </c>
      <c r="I1428" s="12">
        <v>0.1124</v>
      </c>
      <c r="J1428" s="9" t="s">
        <v>412</v>
      </c>
      <c r="K1428" s="9" t="s">
        <v>604</v>
      </c>
    </row>
    <row r="1429" spans="1:11" ht="28.8">
      <c r="A1429" s="9" t="s">
        <v>662</v>
      </c>
      <c r="B1429" s="9" t="s">
        <v>673</v>
      </c>
      <c r="C1429" s="9" t="s">
        <v>674</v>
      </c>
      <c r="D1429" s="12">
        <v>0.17680000000000001</v>
      </c>
      <c r="E1429" s="12">
        <v>4.2999999999999997E-2</v>
      </c>
      <c r="F1429" s="12">
        <v>-0.11700000000000001</v>
      </c>
      <c r="G1429" s="12">
        <v>0.1099</v>
      </c>
      <c r="H1429" s="12">
        <v>3.4200000000000001E-2</v>
      </c>
      <c r="I1429" s="12">
        <v>0.1123</v>
      </c>
      <c r="J1429" s="9" t="s">
        <v>412</v>
      </c>
      <c r="K1429" s="9" t="s">
        <v>604</v>
      </c>
    </row>
    <row r="1430" spans="1:11" ht="28.8">
      <c r="A1430" s="9" t="s">
        <v>682</v>
      </c>
      <c r="B1430" s="9" t="s">
        <v>665</v>
      </c>
      <c r="C1430" s="9" t="s">
        <v>601</v>
      </c>
      <c r="D1430" s="12">
        <v>-3.2099999999999997E-2</v>
      </c>
      <c r="E1430" s="12">
        <v>1.1000000000000001E-3</v>
      </c>
      <c r="F1430" s="12">
        <v>-0.30330000000000001</v>
      </c>
      <c r="G1430" s="12">
        <v>-1.5499999999999998E-2</v>
      </c>
      <c r="H1430" s="12">
        <v>-0.1115</v>
      </c>
      <c r="I1430" s="12">
        <v>0.11219999999999999</v>
      </c>
      <c r="J1430" s="9" t="s">
        <v>412</v>
      </c>
      <c r="K1430" s="9" t="s">
        <v>604</v>
      </c>
    </row>
    <row r="1431" spans="1:11" ht="28.8">
      <c r="A1431" s="9" t="s">
        <v>679</v>
      </c>
      <c r="B1431" s="9" t="s">
        <v>680</v>
      </c>
      <c r="C1431" s="9" t="s">
        <v>659</v>
      </c>
      <c r="D1431" s="12">
        <v>-6.4799999999999996E-2</v>
      </c>
      <c r="E1431" s="12">
        <v>0.1643</v>
      </c>
      <c r="F1431" s="12">
        <v>-0.1074</v>
      </c>
      <c r="G1431" s="12">
        <v>4.9750000000000003E-2</v>
      </c>
      <c r="H1431" s="12">
        <v>-2.5999999999999999E-3</v>
      </c>
      <c r="I1431" s="12">
        <v>0.11219999999999999</v>
      </c>
      <c r="J1431" s="9" t="s">
        <v>412</v>
      </c>
      <c r="K1431" s="9" t="s">
        <v>604</v>
      </c>
    </row>
    <row r="1432" spans="1:11" ht="28.8">
      <c r="A1432" s="9" t="s">
        <v>671</v>
      </c>
      <c r="B1432" s="9" t="s">
        <v>687</v>
      </c>
      <c r="C1432" s="9" t="s">
        <v>656</v>
      </c>
      <c r="D1432" s="12">
        <v>6.54E-2</v>
      </c>
      <c r="E1432" s="12">
        <v>0.13850000000000001</v>
      </c>
      <c r="F1432" s="12">
        <v>-0.13239999999999999</v>
      </c>
      <c r="G1432" s="12">
        <v>0.10195000000000001</v>
      </c>
      <c r="H1432" s="12">
        <v>2.3800000000000002E-2</v>
      </c>
      <c r="I1432" s="12">
        <v>0.11210000000000001</v>
      </c>
      <c r="J1432" s="9" t="s">
        <v>412</v>
      </c>
      <c r="K1432" s="9" t="s">
        <v>604</v>
      </c>
    </row>
    <row r="1433" spans="1:11">
      <c r="A1433" s="9" t="s">
        <v>662</v>
      </c>
      <c r="B1433" s="9" t="s">
        <v>685</v>
      </c>
      <c r="C1433" s="9" t="s">
        <v>655</v>
      </c>
      <c r="D1433" s="12">
        <v>5.6899999999999999E-2</v>
      </c>
      <c r="E1433" s="12">
        <v>0.1087</v>
      </c>
      <c r="F1433" s="12">
        <v>0.17069999999999999</v>
      </c>
      <c r="G1433" s="12">
        <v>8.2799999999999999E-2</v>
      </c>
      <c r="H1433" s="12">
        <v>0.11210000000000001</v>
      </c>
      <c r="I1433" s="12">
        <v>0.11210000000000001</v>
      </c>
      <c r="J1433" s="9" t="s">
        <v>412</v>
      </c>
      <c r="K1433" s="9" t="s">
        <v>654</v>
      </c>
    </row>
    <row r="1434" spans="1:11" ht="28.8">
      <c r="A1434" s="9" t="s">
        <v>609</v>
      </c>
      <c r="B1434" s="9" t="s">
        <v>658</v>
      </c>
      <c r="C1434" s="9" t="s">
        <v>666</v>
      </c>
      <c r="D1434" s="12">
        <v>-7.7700000000000005E-2</v>
      </c>
      <c r="E1434" s="12">
        <v>1.5599999999999999E-2</v>
      </c>
      <c r="F1434" s="12">
        <v>0.24249999999999999</v>
      </c>
      <c r="G1434" s="12">
        <v>-3.1050000000000001E-2</v>
      </c>
      <c r="H1434" s="12">
        <v>6.0100000000000001E-2</v>
      </c>
      <c r="I1434" s="12">
        <v>0.1119</v>
      </c>
      <c r="J1434" s="9" t="s">
        <v>412</v>
      </c>
      <c r="K1434" s="9" t="s">
        <v>604</v>
      </c>
    </row>
    <row r="1435" spans="1:11" ht="28.8">
      <c r="A1435" s="9" t="s">
        <v>679</v>
      </c>
      <c r="B1435" s="9" t="s">
        <v>673</v>
      </c>
      <c r="C1435" s="9" t="s">
        <v>683</v>
      </c>
      <c r="D1435" s="12">
        <v>0.16389999999999999</v>
      </c>
      <c r="E1435" s="12">
        <v>-7.4499999999999997E-2</v>
      </c>
      <c r="F1435" s="12">
        <v>-9.69E-2</v>
      </c>
      <c r="G1435" s="12">
        <v>4.4699999999999997E-2</v>
      </c>
      <c r="H1435" s="12">
        <v>-2.5000000000000001E-3</v>
      </c>
      <c r="I1435" s="12">
        <v>0.1118</v>
      </c>
      <c r="J1435" s="9" t="s">
        <v>412</v>
      </c>
      <c r="K1435" s="9" t="s">
        <v>604</v>
      </c>
    </row>
    <row r="1436" spans="1:11" ht="28.8">
      <c r="A1436" s="9" t="s">
        <v>661</v>
      </c>
      <c r="B1436" s="9" t="s">
        <v>660</v>
      </c>
      <c r="C1436" s="9" t="s">
        <v>690</v>
      </c>
      <c r="D1436" s="12">
        <v>3.3700000000000001E-2</v>
      </c>
      <c r="E1436" s="12">
        <v>-0.21290000000000001</v>
      </c>
      <c r="F1436" s="12">
        <v>-8.8499999999999995E-2</v>
      </c>
      <c r="G1436" s="12">
        <v>-8.9599999999999999E-2</v>
      </c>
      <c r="H1436" s="12">
        <v>-8.9200000000000002E-2</v>
      </c>
      <c r="I1436" s="12">
        <v>0.11169999999999999</v>
      </c>
      <c r="J1436" s="9" t="s">
        <v>412</v>
      </c>
      <c r="K1436" s="9" t="s">
        <v>604</v>
      </c>
    </row>
    <row r="1437" spans="1:11" ht="28.8">
      <c r="A1437" s="9" t="s">
        <v>679</v>
      </c>
      <c r="B1437" s="9" t="s">
        <v>678</v>
      </c>
      <c r="C1437" s="9" t="s">
        <v>666</v>
      </c>
      <c r="D1437" s="12">
        <v>-0.113</v>
      </c>
      <c r="E1437" s="12">
        <v>-9.2299999999999993E-2</v>
      </c>
      <c r="F1437" s="12">
        <v>-0.12959999999999999</v>
      </c>
      <c r="G1437" s="12">
        <v>-0.10264999999999999</v>
      </c>
      <c r="H1437" s="12">
        <v>-0.1116</v>
      </c>
      <c r="I1437" s="12">
        <v>0.1116</v>
      </c>
      <c r="J1437" s="9" t="s">
        <v>412</v>
      </c>
      <c r="K1437" s="9" t="s">
        <v>604</v>
      </c>
    </row>
    <row r="1438" spans="1:11">
      <c r="A1438" s="9" t="s">
        <v>682</v>
      </c>
      <c r="B1438" s="9" t="s">
        <v>688</v>
      </c>
      <c r="C1438" s="9" t="s">
        <v>659</v>
      </c>
      <c r="D1438" s="12">
        <v>0.1188</v>
      </c>
      <c r="E1438" s="12">
        <v>5.6800000000000003E-2</v>
      </c>
      <c r="F1438" s="12">
        <v>-0.15909999999999999</v>
      </c>
      <c r="G1438" s="12">
        <v>8.7800000000000003E-2</v>
      </c>
      <c r="H1438" s="12">
        <v>5.4999999999999997E-3</v>
      </c>
      <c r="I1438" s="12">
        <v>0.1116</v>
      </c>
      <c r="J1438" s="9" t="s">
        <v>412</v>
      </c>
      <c r="K1438" s="9" t="s">
        <v>604</v>
      </c>
    </row>
    <row r="1439" spans="1:11" ht="28.8">
      <c r="A1439" s="9" t="s">
        <v>671</v>
      </c>
      <c r="B1439" s="9" t="s">
        <v>676</v>
      </c>
      <c r="C1439" s="9" t="s">
        <v>683</v>
      </c>
      <c r="D1439" s="12">
        <v>0.1066</v>
      </c>
      <c r="E1439" s="12">
        <v>0.2205</v>
      </c>
      <c r="F1439" s="12">
        <v>-7.4999999999999997E-3</v>
      </c>
      <c r="G1439" s="12">
        <v>0.16355</v>
      </c>
      <c r="H1439" s="12">
        <v>0.1065</v>
      </c>
      <c r="I1439" s="12">
        <v>0.1115</v>
      </c>
      <c r="J1439" s="9" t="s">
        <v>412</v>
      </c>
      <c r="K1439" s="9" t="s">
        <v>604</v>
      </c>
    </row>
    <row r="1440" spans="1:11" ht="28.8">
      <c r="A1440" s="9" t="s">
        <v>679</v>
      </c>
      <c r="B1440" s="9" t="s">
        <v>678</v>
      </c>
      <c r="C1440" s="9" t="s">
        <v>659</v>
      </c>
      <c r="D1440" s="12">
        <v>-6.4799999999999996E-2</v>
      </c>
      <c r="E1440" s="12">
        <v>-9.2299999999999993E-2</v>
      </c>
      <c r="F1440" s="12">
        <v>-0.1774</v>
      </c>
      <c r="G1440" s="12">
        <v>-7.8549999999999995E-2</v>
      </c>
      <c r="H1440" s="12">
        <v>-0.1115</v>
      </c>
      <c r="I1440" s="12">
        <v>0.1115</v>
      </c>
      <c r="J1440" s="9" t="s">
        <v>412</v>
      </c>
      <c r="K1440" s="9" t="s">
        <v>604</v>
      </c>
    </row>
    <row r="1441" spans="1:11" ht="28.8">
      <c r="A1441" s="9" t="s">
        <v>679</v>
      </c>
      <c r="B1441" s="9" t="s">
        <v>669</v>
      </c>
      <c r="C1441" s="9" t="s">
        <v>677</v>
      </c>
      <c r="D1441" s="12">
        <v>0.13189999999999999</v>
      </c>
      <c r="E1441" s="12">
        <v>8.3900000000000002E-2</v>
      </c>
      <c r="F1441" s="12">
        <v>-0.1188</v>
      </c>
      <c r="G1441" s="12">
        <v>0.1079</v>
      </c>
      <c r="H1441" s="12">
        <v>3.2300000000000002E-2</v>
      </c>
      <c r="I1441" s="12">
        <v>0.1115</v>
      </c>
      <c r="J1441" s="9" t="s">
        <v>412</v>
      </c>
      <c r="K1441" s="9" t="s">
        <v>604</v>
      </c>
    </row>
    <row r="1442" spans="1:11" ht="28.8">
      <c r="A1442" s="9" t="s">
        <v>671</v>
      </c>
      <c r="B1442" s="9" t="s">
        <v>686</v>
      </c>
      <c r="C1442" s="9" t="s">
        <v>601</v>
      </c>
      <c r="D1442" s="12">
        <v>-0.10879999999999999</v>
      </c>
      <c r="E1442" s="12">
        <v>0.13</v>
      </c>
      <c r="F1442" s="12">
        <v>-9.5100000000000004E-2</v>
      </c>
      <c r="G1442" s="12">
        <v>1.0600000000000005E-2</v>
      </c>
      <c r="H1442" s="12">
        <v>-2.46E-2</v>
      </c>
      <c r="I1442" s="12">
        <v>0.1113</v>
      </c>
      <c r="J1442" s="9" t="s">
        <v>412</v>
      </c>
      <c r="K1442" s="9" t="s">
        <v>604</v>
      </c>
    </row>
    <row r="1443" spans="1:11" ht="28.8">
      <c r="A1443" s="9" t="s">
        <v>609</v>
      </c>
      <c r="B1443" s="9" t="s">
        <v>680</v>
      </c>
      <c r="C1443" s="9" t="s">
        <v>690</v>
      </c>
      <c r="D1443" s="12">
        <v>4.9799999999999997E-2</v>
      </c>
      <c r="E1443" s="12">
        <v>-0.1628</v>
      </c>
      <c r="F1443" s="12">
        <v>-0.12130000000000001</v>
      </c>
      <c r="G1443" s="12">
        <v>-5.6500000000000002E-2</v>
      </c>
      <c r="H1443" s="12">
        <v>-7.8100000000000003E-2</v>
      </c>
      <c r="I1443" s="12">
        <v>0.1113</v>
      </c>
      <c r="J1443" s="9" t="s">
        <v>412</v>
      </c>
      <c r="K1443" s="9" t="s">
        <v>604</v>
      </c>
    </row>
    <row r="1444" spans="1:11">
      <c r="A1444" s="9" t="s">
        <v>662</v>
      </c>
      <c r="B1444" s="9" t="s">
        <v>672</v>
      </c>
      <c r="C1444" s="9" t="s">
        <v>656</v>
      </c>
      <c r="D1444" s="12">
        <v>0.26229999999999998</v>
      </c>
      <c r="E1444" s="12">
        <v>1.0999999999999999E-2</v>
      </c>
      <c r="F1444" s="12">
        <v>6.0400000000000002E-2</v>
      </c>
      <c r="G1444" s="12">
        <v>0.13664999999999999</v>
      </c>
      <c r="H1444" s="12">
        <v>0.11119999999999999</v>
      </c>
      <c r="I1444" s="12">
        <v>0.11119999999999999</v>
      </c>
      <c r="J1444" s="9" t="s">
        <v>412</v>
      </c>
      <c r="K1444" s="9" t="s">
        <v>654</v>
      </c>
    </row>
    <row r="1445" spans="1:11">
      <c r="A1445" s="9" t="s">
        <v>682</v>
      </c>
      <c r="B1445" s="9" t="s">
        <v>681</v>
      </c>
      <c r="C1445" s="9" t="s">
        <v>656</v>
      </c>
      <c r="D1445" s="12">
        <v>-1.9900000000000001E-2</v>
      </c>
      <c r="E1445" s="12">
        <v>0.15890000000000001</v>
      </c>
      <c r="F1445" s="12">
        <v>0.15409999999999999</v>
      </c>
      <c r="G1445" s="12">
        <v>6.9500000000000006E-2</v>
      </c>
      <c r="H1445" s="12">
        <v>9.7699999999999995E-2</v>
      </c>
      <c r="I1445" s="12">
        <v>0.111</v>
      </c>
      <c r="J1445" s="9" t="s">
        <v>412</v>
      </c>
      <c r="K1445" s="9" t="s">
        <v>604</v>
      </c>
    </row>
    <row r="1446" spans="1:11">
      <c r="A1446" s="9" t="s">
        <v>682</v>
      </c>
      <c r="B1446" s="9" t="s">
        <v>687</v>
      </c>
      <c r="C1446" s="9" t="s">
        <v>663</v>
      </c>
      <c r="D1446" s="12">
        <v>-6.7400000000000002E-2</v>
      </c>
      <c r="E1446" s="12">
        <v>0.13450000000000001</v>
      </c>
      <c r="F1446" s="12">
        <v>0.13100000000000001</v>
      </c>
      <c r="G1446" s="12">
        <v>3.3550000000000003E-2</v>
      </c>
      <c r="H1446" s="12">
        <v>6.6000000000000003E-2</v>
      </c>
      <c r="I1446" s="12">
        <v>0.111</v>
      </c>
      <c r="J1446" s="9" t="s">
        <v>412</v>
      </c>
      <c r="K1446" s="9" t="s">
        <v>604</v>
      </c>
    </row>
    <row r="1447" spans="1:11" ht="28.8">
      <c r="A1447" s="9" t="s">
        <v>679</v>
      </c>
      <c r="B1447" s="9" t="s">
        <v>669</v>
      </c>
      <c r="C1447" s="9" t="s">
        <v>664</v>
      </c>
      <c r="D1447" s="12">
        <v>0.1353</v>
      </c>
      <c r="E1447" s="12">
        <v>8.3900000000000002E-2</v>
      </c>
      <c r="F1447" s="12">
        <v>-0.1138</v>
      </c>
      <c r="G1447" s="12">
        <v>0.1096</v>
      </c>
      <c r="H1447" s="12">
        <v>3.5099999999999999E-2</v>
      </c>
      <c r="I1447" s="12">
        <v>0.111</v>
      </c>
      <c r="J1447" s="9" t="s">
        <v>412</v>
      </c>
      <c r="K1447" s="9" t="s">
        <v>604</v>
      </c>
    </row>
    <row r="1448" spans="1:11">
      <c r="A1448" s="9" t="s">
        <v>682</v>
      </c>
      <c r="B1448" s="9" t="s">
        <v>602</v>
      </c>
      <c r="C1448" s="9" t="s">
        <v>670</v>
      </c>
      <c r="D1448" s="12">
        <v>-0.19359999999999999</v>
      </c>
      <c r="E1448" s="12">
        <v>9.5699999999999993E-2</v>
      </c>
      <c r="F1448" s="12">
        <v>-4.3400000000000001E-2</v>
      </c>
      <c r="G1448" s="12">
        <v>-4.895E-2</v>
      </c>
      <c r="H1448" s="12">
        <v>-4.7100000000000003E-2</v>
      </c>
      <c r="I1448" s="12">
        <v>0.1109</v>
      </c>
      <c r="J1448" s="9" t="s">
        <v>412</v>
      </c>
      <c r="K1448" s="9" t="s">
        <v>604</v>
      </c>
    </row>
    <row r="1449" spans="1:11" ht="28.8">
      <c r="A1449" s="9" t="s">
        <v>662</v>
      </c>
      <c r="B1449" s="9" t="s">
        <v>613</v>
      </c>
      <c r="C1449" s="9" t="s">
        <v>683</v>
      </c>
      <c r="D1449" s="12">
        <v>-6.0100000000000001E-2</v>
      </c>
      <c r="E1449" s="12">
        <v>6.2399999999999997E-2</v>
      </c>
      <c r="F1449" s="12">
        <v>-0.21</v>
      </c>
      <c r="G1449" s="12">
        <v>1.1499999999999982E-3</v>
      </c>
      <c r="H1449" s="12">
        <v>-6.9199999999999998E-2</v>
      </c>
      <c r="I1449" s="12">
        <v>0.1108</v>
      </c>
      <c r="J1449" s="9" t="s">
        <v>412</v>
      </c>
      <c r="K1449" s="9" t="s">
        <v>604</v>
      </c>
    </row>
    <row r="1450" spans="1:11" ht="28.8">
      <c r="A1450" s="9" t="s">
        <v>661</v>
      </c>
      <c r="B1450" s="9" t="s">
        <v>665</v>
      </c>
      <c r="C1450" s="9" t="s">
        <v>677</v>
      </c>
      <c r="D1450" s="12">
        <v>2.5700000000000001E-2</v>
      </c>
      <c r="E1450" s="12">
        <v>0.1731</v>
      </c>
      <c r="F1450" s="12">
        <v>0.13339999999999999</v>
      </c>
      <c r="G1450" s="12">
        <v>9.9400000000000002E-2</v>
      </c>
      <c r="H1450" s="12">
        <v>0.1108</v>
      </c>
      <c r="I1450" s="12">
        <v>0.1108</v>
      </c>
      <c r="J1450" s="9" t="s">
        <v>412</v>
      </c>
      <c r="K1450" s="9" t="s">
        <v>654</v>
      </c>
    </row>
    <row r="1451" spans="1:11" ht="28.8">
      <c r="A1451" s="9" t="s">
        <v>610</v>
      </c>
      <c r="B1451" s="9" t="s">
        <v>680</v>
      </c>
      <c r="C1451" s="9" t="s">
        <v>683</v>
      </c>
      <c r="D1451" s="12">
        <v>-8.1500000000000003E-2</v>
      </c>
      <c r="E1451" s="12">
        <v>-0.1973</v>
      </c>
      <c r="F1451" s="12">
        <v>5.2699999999999997E-2</v>
      </c>
      <c r="G1451" s="12">
        <v>-0.1394</v>
      </c>
      <c r="H1451" s="12">
        <v>-7.5399999999999995E-2</v>
      </c>
      <c r="I1451" s="12">
        <v>0.1105</v>
      </c>
      <c r="J1451" s="9" t="s">
        <v>412</v>
      </c>
      <c r="K1451" s="9" t="s">
        <v>604</v>
      </c>
    </row>
    <row r="1452" spans="1:11">
      <c r="A1452" s="9" t="s">
        <v>609</v>
      </c>
      <c r="B1452" s="9" t="s">
        <v>685</v>
      </c>
      <c r="C1452" s="9" t="s">
        <v>656</v>
      </c>
      <c r="D1452" s="12">
        <v>0.22770000000000001</v>
      </c>
      <c r="E1452" s="12">
        <v>3.8399999999999997E-2</v>
      </c>
      <c r="F1452" s="12">
        <v>6.5100000000000005E-2</v>
      </c>
      <c r="G1452" s="12">
        <v>0.13305</v>
      </c>
      <c r="H1452" s="12">
        <v>0.1104</v>
      </c>
      <c r="I1452" s="12">
        <v>0.1104</v>
      </c>
      <c r="J1452" s="9" t="s">
        <v>412</v>
      </c>
      <c r="K1452" s="9" t="s">
        <v>654</v>
      </c>
    </row>
    <row r="1453" spans="1:11">
      <c r="A1453" s="9" t="s">
        <v>682</v>
      </c>
      <c r="B1453" s="9" t="s">
        <v>689</v>
      </c>
      <c r="C1453" s="9" t="s">
        <v>663</v>
      </c>
      <c r="D1453" s="12">
        <v>-6.7400000000000002E-2</v>
      </c>
      <c r="E1453" s="12">
        <v>0.1298</v>
      </c>
      <c r="F1453" s="12">
        <v>0.13370000000000001</v>
      </c>
      <c r="G1453" s="12">
        <v>3.1199999999999999E-2</v>
      </c>
      <c r="H1453" s="12">
        <v>6.5299999999999997E-2</v>
      </c>
      <c r="I1453" s="12">
        <v>0.1103</v>
      </c>
      <c r="J1453" s="9" t="s">
        <v>412</v>
      </c>
      <c r="K1453" s="9" t="s">
        <v>604</v>
      </c>
    </row>
    <row r="1454" spans="1:11" ht="28.8">
      <c r="A1454" s="9" t="s">
        <v>682</v>
      </c>
      <c r="B1454" s="9" t="s">
        <v>602</v>
      </c>
      <c r="C1454" s="9" t="s">
        <v>677</v>
      </c>
      <c r="D1454" s="12">
        <v>1.23E-2</v>
      </c>
      <c r="E1454" s="12">
        <v>9.5699999999999993E-2</v>
      </c>
      <c r="F1454" s="12">
        <v>-0.223</v>
      </c>
      <c r="G1454" s="12">
        <v>5.3999999999999999E-2</v>
      </c>
      <c r="H1454" s="12">
        <v>-3.8300000000000001E-2</v>
      </c>
      <c r="I1454" s="12">
        <v>0.1103</v>
      </c>
      <c r="J1454" s="9" t="s">
        <v>412</v>
      </c>
      <c r="K1454" s="9" t="s">
        <v>604</v>
      </c>
    </row>
    <row r="1455" spans="1:11" ht="28.8">
      <c r="A1455" s="9" t="s">
        <v>679</v>
      </c>
      <c r="B1455" s="9" t="s">
        <v>660</v>
      </c>
      <c r="C1455" s="9" t="s">
        <v>670</v>
      </c>
      <c r="D1455" s="12">
        <v>-9.5200000000000007E-2</v>
      </c>
      <c r="E1455" s="12">
        <v>-2.46E-2</v>
      </c>
      <c r="F1455" s="12">
        <v>0.2104</v>
      </c>
      <c r="G1455" s="12">
        <v>-5.9900000000000002E-2</v>
      </c>
      <c r="H1455" s="12">
        <v>3.0200000000000001E-2</v>
      </c>
      <c r="I1455" s="12">
        <v>0.1101</v>
      </c>
      <c r="J1455" s="9" t="s">
        <v>412</v>
      </c>
      <c r="K1455" s="9" t="s">
        <v>604</v>
      </c>
    </row>
    <row r="1456" spans="1:11" ht="28.8">
      <c r="A1456" s="9" t="s">
        <v>682</v>
      </c>
      <c r="B1456" s="9" t="s">
        <v>660</v>
      </c>
      <c r="C1456" s="9" t="s">
        <v>674</v>
      </c>
      <c r="D1456" s="12">
        <v>4.1999999999999997E-3</v>
      </c>
      <c r="E1456" s="12">
        <v>-9.1399999999999995E-2</v>
      </c>
      <c r="F1456" s="12">
        <v>-0.2349</v>
      </c>
      <c r="G1456" s="12">
        <v>-4.36E-2</v>
      </c>
      <c r="H1456" s="12">
        <v>-0.1074</v>
      </c>
      <c r="I1456" s="12">
        <v>0.1101</v>
      </c>
      <c r="J1456" s="9" t="s">
        <v>412</v>
      </c>
      <c r="K1456" s="9" t="s">
        <v>604</v>
      </c>
    </row>
    <row r="1457" spans="1:11">
      <c r="A1457" s="9" t="s">
        <v>662</v>
      </c>
      <c r="B1457" s="9" t="s">
        <v>686</v>
      </c>
      <c r="C1457" s="9" t="s">
        <v>670</v>
      </c>
      <c r="D1457" s="12">
        <v>-0.18790000000000001</v>
      </c>
      <c r="E1457" s="12">
        <v>6.7000000000000002E-3</v>
      </c>
      <c r="F1457" s="12">
        <v>-0.13539999999999999</v>
      </c>
      <c r="G1457" s="12">
        <v>-9.06E-2</v>
      </c>
      <c r="H1457" s="12">
        <v>-0.1055</v>
      </c>
      <c r="I1457" s="12">
        <v>0.11</v>
      </c>
      <c r="J1457" s="9" t="s">
        <v>412</v>
      </c>
      <c r="K1457" s="9" t="s">
        <v>604</v>
      </c>
    </row>
    <row r="1458" spans="1:11" ht="28.8">
      <c r="A1458" s="9" t="s">
        <v>662</v>
      </c>
      <c r="B1458" s="9" t="s">
        <v>602</v>
      </c>
      <c r="C1458" s="9" t="s">
        <v>677</v>
      </c>
      <c r="D1458" s="12">
        <v>1.2200000000000001E-2</v>
      </c>
      <c r="E1458" s="12">
        <v>9.3799999999999994E-2</v>
      </c>
      <c r="F1458" s="12">
        <v>-0.223</v>
      </c>
      <c r="G1458" s="12">
        <v>5.2999999999999999E-2</v>
      </c>
      <c r="H1458" s="12">
        <v>-3.9E-2</v>
      </c>
      <c r="I1458" s="12">
        <v>0.10970000000000001</v>
      </c>
      <c r="J1458" s="9" t="s">
        <v>412</v>
      </c>
      <c r="K1458" s="9" t="s">
        <v>604</v>
      </c>
    </row>
    <row r="1459" spans="1:11" ht="28.8">
      <c r="A1459" s="9" t="s">
        <v>610</v>
      </c>
      <c r="B1459" s="9" t="s">
        <v>668</v>
      </c>
      <c r="C1459" s="9" t="s">
        <v>674</v>
      </c>
      <c r="D1459" s="12">
        <v>-0.1986</v>
      </c>
      <c r="E1459" s="12">
        <v>-9.64E-2</v>
      </c>
      <c r="F1459" s="12">
        <v>3.4000000000000002E-2</v>
      </c>
      <c r="G1459" s="12">
        <v>-0.14749999999999999</v>
      </c>
      <c r="H1459" s="12">
        <v>-8.6999999999999994E-2</v>
      </c>
      <c r="I1459" s="12">
        <v>0.10970000000000001</v>
      </c>
      <c r="J1459" s="9" t="s">
        <v>412</v>
      </c>
      <c r="K1459" s="9" t="s">
        <v>604</v>
      </c>
    </row>
    <row r="1460" spans="1:11" ht="28.8">
      <c r="A1460" s="9" t="s">
        <v>603</v>
      </c>
      <c r="B1460" s="9" t="s">
        <v>668</v>
      </c>
      <c r="C1460" s="9" t="s">
        <v>690</v>
      </c>
      <c r="D1460" s="12">
        <v>4.1099999999999998E-2</v>
      </c>
      <c r="E1460" s="12">
        <v>0.23269999999999999</v>
      </c>
      <c r="F1460" s="12">
        <v>-5.5E-2</v>
      </c>
      <c r="G1460" s="12">
        <v>0.13689999999999999</v>
      </c>
      <c r="H1460" s="12">
        <v>7.2900000000000006E-2</v>
      </c>
      <c r="I1460" s="12">
        <v>0.1096</v>
      </c>
      <c r="J1460" s="9" t="s">
        <v>412</v>
      </c>
      <c r="K1460" s="9" t="s">
        <v>604</v>
      </c>
    </row>
    <row r="1461" spans="1:11" ht="28.8">
      <c r="A1461" s="9" t="s">
        <v>671</v>
      </c>
      <c r="B1461" s="9" t="s">
        <v>657</v>
      </c>
      <c r="C1461" s="9" t="s">
        <v>683</v>
      </c>
      <c r="D1461" s="12">
        <v>0.1066</v>
      </c>
      <c r="E1461" s="12">
        <v>-0.1326</v>
      </c>
      <c r="F1461" s="12">
        <v>8.9399999999999993E-2</v>
      </c>
      <c r="G1461" s="12">
        <v>-1.2999999999999998E-2</v>
      </c>
      <c r="H1461" s="12">
        <v>2.1100000000000001E-2</v>
      </c>
      <c r="I1461" s="12">
        <v>0.1096</v>
      </c>
      <c r="J1461" s="9" t="s">
        <v>412</v>
      </c>
      <c r="K1461" s="9" t="s">
        <v>604</v>
      </c>
    </row>
    <row r="1462" spans="1:11">
      <c r="A1462" s="9" t="s">
        <v>610</v>
      </c>
      <c r="B1462" s="9" t="s">
        <v>678</v>
      </c>
      <c r="C1462" s="9" t="s">
        <v>659</v>
      </c>
      <c r="D1462" s="12">
        <v>0.1174</v>
      </c>
      <c r="E1462" s="12">
        <v>3.4000000000000002E-2</v>
      </c>
      <c r="F1462" s="12">
        <v>-0.1774</v>
      </c>
      <c r="G1462" s="12">
        <v>7.5700000000000003E-2</v>
      </c>
      <c r="H1462" s="12">
        <v>-8.6999999999999994E-3</v>
      </c>
      <c r="I1462" s="12">
        <v>0.1096</v>
      </c>
      <c r="J1462" s="9" t="s">
        <v>412</v>
      </c>
      <c r="K1462" s="9" t="s">
        <v>604</v>
      </c>
    </row>
    <row r="1463" spans="1:11" ht="28.8">
      <c r="A1463" s="9" t="s">
        <v>671</v>
      </c>
      <c r="B1463" s="9" t="s">
        <v>657</v>
      </c>
      <c r="C1463" s="9" t="s">
        <v>674</v>
      </c>
      <c r="D1463" s="12">
        <v>-6.2799999999999995E-2</v>
      </c>
      <c r="E1463" s="12">
        <v>-0.1326</v>
      </c>
      <c r="F1463" s="12">
        <v>-0.1331</v>
      </c>
      <c r="G1463" s="12">
        <v>-9.7699999999999995E-2</v>
      </c>
      <c r="H1463" s="12">
        <v>-0.1095</v>
      </c>
      <c r="I1463" s="12">
        <v>0.1095</v>
      </c>
      <c r="J1463" s="9" t="s">
        <v>412</v>
      </c>
      <c r="K1463" s="9" t="s">
        <v>604</v>
      </c>
    </row>
    <row r="1464" spans="1:11">
      <c r="A1464" s="9" t="s">
        <v>610</v>
      </c>
      <c r="B1464" s="9" t="s">
        <v>686</v>
      </c>
      <c r="C1464" s="9" t="s">
        <v>663</v>
      </c>
      <c r="D1464" s="12">
        <v>-0.2303</v>
      </c>
      <c r="E1464" s="12">
        <v>2.07E-2</v>
      </c>
      <c r="F1464" s="12">
        <v>7.7299999999999994E-2</v>
      </c>
      <c r="G1464" s="12">
        <v>-0.1048</v>
      </c>
      <c r="H1464" s="12">
        <v>-4.41E-2</v>
      </c>
      <c r="I1464" s="12">
        <v>0.1094</v>
      </c>
      <c r="J1464" s="9" t="s">
        <v>412</v>
      </c>
      <c r="K1464" s="9" t="s">
        <v>604</v>
      </c>
    </row>
    <row r="1465" spans="1:11" ht="28.8">
      <c r="A1465" s="9" t="s">
        <v>603</v>
      </c>
      <c r="B1465" s="9" t="s">
        <v>684</v>
      </c>
      <c r="C1465" s="9" t="s">
        <v>674</v>
      </c>
      <c r="D1465" s="12">
        <v>-0.1212</v>
      </c>
      <c r="E1465" s="12">
        <v>-0.10829999999999999</v>
      </c>
      <c r="F1465" s="12">
        <v>9.8699999999999996E-2</v>
      </c>
      <c r="G1465" s="12">
        <v>-0.11474999999999999</v>
      </c>
      <c r="H1465" s="12">
        <v>-4.36E-2</v>
      </c>
      <c r="I1465" s="12">
        <v>0.1094</v>
      </c>
      <c r="J1465" s="9" t="s">
        <v>412</v>
      </c>
      <c r="K1465" s="9" t="s">
        <v>604</v>
      </c>
    </row>
    <row r="1466" spans="1:11" ht="28.8">
      <c r="A1466" s="9" t="s">
        <v>671</v>
      </c>
      <c r="B1466" s="9" t="s">
        <v>673</v>
      </c>
      <c r="C1466" s="9" t="s">
        <v>683</v>
      </c>
      <c r="D1466" s="12">
        <v>0.1066</v>
      </c>
      <c r="E1466" s="12">
        <v>-0.12470000000000001</v>
      </c>
      <c r="F1466" s="12">
        <v>-9.69E-2</v>
      </c>
      <c r="G1466" s="12">
        <v>-9.0500000000000025E-3</v>
      </c>
      <c r="H1466" s="12">
        <v>-3.8399999999999997E-2</v>
      </c>
      <c r="I1466" s="12">
        <v>0.1094</v>
      </c>
      <c r="J1466" s="9" t="s">
        <v>412</v>
      </c>
      <c r="K1466" s="9" t="s">
        <v>604</v>
      </c>
    </row>
    <row r="1467" spans="1:11" ht="28.8">
      <c r="A1467" s="9" t="s">
        <v>679</v>
      </c>
      <c r="B1467" s="9" t="s">
        <v>658</v>
      </c>
      <c r="C1467" s="9" t="s">
        <v>675</v>
      </c>
      <c r="D1467" s="12">
        <v>4.0599999999999997E-2</v>
      </c>
      <c r="E1467" s="12">
        <v>3.4000000000000002E-2</v>
      </c>
      <c r="F1467" s="12">
        <v>0.25319999999999998</v>
      </c>
      <c r="G1467" s="12">
        <v>3.73E-2</v>
      </c>
      <c r="H1467" s="12">
        <v>0.10929999999999999</v>
      </c>
      <c r="I1467" s="12">
        <v>0.10929999999999999</v>
      </c>
      <c r="J1467" s="9" t="s">
        <v>412</v>
      </c>
      <c r="K1467" s="9" t="s">
        <v>654</v>
      </c>
    </row>
    <row r="1468" spans="1:11" ht="28.8">
      <c r="A1468" s="9" t="s">
        <v>610</v>
      </c>
      <c r="B1468" s="9" t="s">
        <v>681</v>
      </c>
      <c r="C1468" s="9" t="s">
        <v>677</v>
      </c>
      <c r="D1468" s="12">
        <v>0.10100000000000001</v>
      </c>
      <c r="E1468" s="12">
        <v>0.13150000000000001</v>
      </c>
      <c r="F1468" s="12">
        <v>-9.5399999999999999E-2</v>
      </c>
      <c r="G1468" s="12">
        <v>0.11625000000000001</v>
      </c>
      <c r="H1468" s="12">
        <v>4.5699999999999998E-2</v>
      </c>
      <c r="I1468" s="12">
        <v>0.10929999999999999</v>
      </c>
      <c r="J1468" s="9" t="s">
        <v>412</v>
      </c>
      <c r="K1468" s="9" t="s">
        <v>604</v>
      </c>
    </row>
    <row r="1469" spans="1:11">
      <c r="A1469" s="9" t="s">
        <v>610</v>
      </c>
      <c r="B1469" s="9" t="s">
        <v>613</v>
      </c>
      <c r="C1469" s="9" t="s">
        <v>667</v>
      </c>
      <c r="D1469" s="12">
        <v>6.1800000000000001E-2</v>
      </c>
      <c r="E1469" s="12">
        <v>8.9999999999999993E-3</v>
      </c>
      <c r="F1469" s="12">
        <v>0.25679999999999997</v>
      </c>
      <c r="G1469" s="12">
        <v>3.5400000000000001E-2</v>
      </c>
      <c r="H1469" s="12">
        <v>0.10920000000000001</v>
      </c>
      <c r="I1469" s="12">
        <v>0.10920000000000001</v>
      </c>
      <c r="J1469" s="9" t="s">
        <v>412</v>
      </c>
      <c r="K1469" s="9" t="s">
        <v>654</v>
      </c>
    </row>
    <row r="1470" spans="1:11" ht="28.8">
      <c r="A1470" s="9" t="s">
        <v>661</v>
      </c>
      <c r="B1470" s="9" t="s">
        <v>687</v>
      </c>
      <c r="C1470" s="9" t="s">
        <v>674</v>
      </c>
      <c r="D1470" s="12">
        <v>6.8199999999999997E-2</v>
      </c>
      <c r="E1470" s="12">
        <v>-8.9700000000000002E-2</v>
      </c>
      <c r="F1470" s="12">
        <v>0.16930000000000001</v>
      </c>
      <c r="G1470" s="12">
        <v>-1.0750000000000003E-2</v>
      </c>
      <c r="H1470" s="12">
        <v>4.9299999999999997E-2</v>
      </c>
      <c r="I1470" s="12">
        <v>0.1091</v>
      </c>
      <c r="J1470" s="9" t="s">
        <v>412</v>
      </c>
      <c r="K1470" s="9" t="s">
        <v>604</v>
      </c>
    </row>
    <row r="1471" spans="1:11" ht="28.8">
      <c r="A1471" s="9" t="s">
        <v>679</v>
      </c>
      <c r="B1471" s="9" t="s">
        <v>687</v>
      </c>
      <c r="C1471" s="9" t="s">
        <v>683</v>
      </c>
      <c r="D1471" s="12">
        <v>0.16389999999999999</v>
      </c>
      <c r="E1471" s="12">
        <v>0.10589999999999999</v>
      </c>
      <c r="F1471" s="12">
        <v>5.7099999999999998E-2</v>
      </c>
      <c r="G1471" s="12">
        <v>0.13489999999999999</v>
      </c>
      <c r="H1471" s="12">
        <v>0.109</v>
      </c>
      <c r="I1471" s="12">
        <v>0.109</v>
      </c>
      <c r="J1471" s="9" t="s">
        <v>412</v>
      </c>
      <c r="K1471" s="9" t="s">
        <v>654</v>
      </c>
    </row>
    <row r="1472" spans="1:11" ht="28.8">
      <c r="A1472" s="9" t="s">
        <v>679</v>
      </c>
      <c r="B1472" s="9" t="s">
        <v>673</v>
      </c>
      <c r="C1472" s="9" t="s">
        <v>667</v>
      </c>
      <c r="D1472" s="12">
        <v>-0.12280000000000001</v>
      </c>
      <c r="E1472" s="12">
        <v>-7.4499999999999997E-2</v>
      </c>
      <c r="F1472" s="12">
        <v>-0.1298</v>
      </c>
      <c r="G1472" s="12">
        <v>-9.8650000000000002E-2</v>
      </c>
      <c r="H1472" s="12">
        <v>-0.109</v>
      </c>
      <c r="I1472" s="12">
        <v>0.109</v>
      </c>
      <c r="J1472" s="9" t="s">
        <v>412</v>
      </c>
      <c r="K1472" s="9" t="s">
        <v>604</v>
      </c>
    </row>
    <row r="1473" spans="1:11" ht="28.8">
      <c r="A1473" s="9" t="s">
        <v>610</v>
      </c>
      <c r="B1473" s="9" t="s">
        <v>678</v>
      </c>
      <c r="C1473" s="9" t="s">
        <v>601</v>
      </c>
      <c r="D1473" s="12">
        <v>8.48E-2</v>
      </c>
      <c r="E1473" s="12">
        <v>3.4000000000000002E-2</v>
      </c>
      <c r="F1473" s="12">
        <v>0.2079</v>
      </c>
      <c r="G1473" s="12">
        <v>5.9400000000000001E-2</v>
      </c>
      <c r="H1473" s="12">
        <v>0.1089</v>
      </c>
      <c r="I1473" s="12">
        <v>0.1089</v>
      </c>
      <c r="J1473" s="9" t="s">
        <v>412</v>
      </c>
      <c r="K1473" s="9" t="s">
        <v>654</v>
      </c>
    </row>
    <row r="1474" spans="1:11">
      <c r="A1474" s="9" t="s">
        <v>662</v>
      </c>
      <c r="B1474" s="9" t="s">
        <v>673</v>
      </c>
      <c r="C1474" s="9" t="s">
        <v>663</v>
      </c>
      <c r="D1474" s="12">
        <v>7.4700000000000003E-2</v>
      </c>
      <c r="E1474" s="12">
        <v>4.2999999999999997E-2</v>
      </c>
      <c r="F1474" s="12">
        <v>-0.20910000000000001</v>
      </c>
      <c r="G1474" s="12">
        <v>5.885E-2</v>
      </c>
      <c r="H1474" s="12">
        <v>-3.0499999999999999E-2</v>
      </c>
      <c r="I1474" s="12">
        <v>0.1089</v>
      </c>
      <c r="J1474" s="9" t="s">
        <v>412</v>
      </c>
      <c r="K1474" s="9" t="s">
        <v>604</v>
      </c>
    </row>
    <row r="1475" spans="1:11" ht="28.8">
      <c r="A1475" s="9" t="s">
        <v>603</v>
      </c>
      <c r="B1475" s="9" t="s">
        <v>686</v>
      </c>
      <c r="C1475" s="9" t="s">
        <v>675</v>
      </c>
      <c r="D1475" s="12">
        <v>-0.18360000000000001</v>
      </c>
      <c r="E1475" s="12">
        <v>-0.11899999999999999</v>
      </c>
      <c r="F1475" s="12">
        <v>-2.41E-2</v>
      </c>
      <c r="G1475" s="12">
        <v>-0.15129999999999999</v>
      </c>
      <c r="H1475" s="12">
        <v>-0.1089</v>
      </c>
      <c r="I1475" s="12">
        <v>0.1089</v>
      </c>
      <c r="J1475" s="9" t="s">
        <v>412</v>
      </c>
      <c r="K1475" s="9" t="s">
        <v>604</v>
      </c>
    </row>
    <row r="1476" spans="1:11" ht="28.8">
      <c r="A1476" s="9" t="s">
        <v>679</v>
      </c>
      <c r="B1476" s="9" t="s">
        <v>691</v>
      </c>
      <c r="C1476" s="9" t="s">
        <v>659</v>
      </c>
      <c r="D1476" s="12">
        <v>-6.4799999999999996E-2</v>
      </c>
      <c r="E1476" s="12">
        <v>-0.1757</v>
      </c>
      <c r="F1476" s="12">
        <v>-8.5900000000000004E-2</v>
      </c>
      <c r="G1476" s="12">
        <v>-0.12025</v>
      </c>
      <c r="H1476" s="12">
        <v>-0.10879999999999999</v>
      </c>
      <c r="I1476" s="12">
        <v>0.10879999999999999</v>
      </c>
      <c r="J1476" s="9" t="s">
        <v>412</v>
      </c>
      <c r="K1476" s="9" t="s">
        <v>604</v>
      </c>
    </row>
    <row r="1477" spans="1:11" ht="28.8">
      <c r="A1477" s="9" t="s">
        <v>662</v>
      </c>
      <c r="B1477" s="9" t="s">
        <v>657</v>
      </c>
      <c r="C1477" s="9" t="s">
        <v>664</v>
      </c>
      <c r="D1477" s="12">
        <v>-2.87E-2</v>
      </c>
      <c r="E1477" s="12">
        <v>4.3299999999999998E-2</v>
      </c>
      <c r="F1477" s="12">
        <v>0.25440000000000002</v>
      </c>
      <c r="G1477" s="12">
        <v>7.2999999999999992E-3</v>
      </c>
      <c r="H1477" s="12">
        <v>8.9700000000000002E-2</v>
      </c>
      <c r="I1477" s="12">
        <v>0.10879999999999999</v>
      </c>
      <c r="J1477" s="9" t="s">
        <v>412</v>
      </c>
      <c r="K1477" s="9" t="s">
        <v>604</v>
      </c>
    </row>
    <row r="1478" spans="1:11" ht="28.8">
      <c r="A1478" s="9" t="s">
        <v>662</v>
      </c>
      <c r="B1478" s="9" t="s">
        <v>602</v>
      </c>
      <c r="C1478" s="9" t="s">
        <v>666</v>
      </c>
      <c r="D1478" s="12">
        <v>-0.1094</v>
      </c>
      <c r="E1478" s="12">
        <v>9.3799999999999994E-2</v>
      </c>
      <c r="F1478" s="12">
        <v>0.12330000000000001</v>
      </c>
      <c r="G1478" s="12">
        <v>-7.8000000000000014E-3</v>
      </c>
      <c r="H1478" s="12">
        <v>3.5900000000000001E-2</v>
      </c>
      <c r="I1478" s="12">
        <v>0.10879999999999999</v>
      </c>
      <c r="J1478" s="9" t="s">
        <v>412</v>
      </c>
      <c r="K1478" s="9" t="s">
        <v>604</v>
      </c>
    </row>
    <row r="1479" spans="1:11">
      <c r="A1479" s="9" t="s">
        <v>610</v>
      </c>
      <c r="B1479" s="9" t="s">
        <v>686</v>
      </c>
      <c r="C1479" s="9" t="s">
        <v>670</v>
      </c>
      <c r="D1479" s="12">
        <v>-0.1699</v>
      </c>
      <c r="E1479" s="12">
        <v>2.07E-2</v>
      </c>
      <c r="F1479" s="12">
        <v>-0.13539999999999999</v>
      </c>
      <c r="G1479" s="12">
        <v>-7.46E-2</v>
      </c>
      <c r="H1479" s="12">
        <v>-9.4899999999999998E-2</v>
      </c>
      <c r="I1479" s="12">
        <v>0.1087</v>
      </c>
      <c r="J1479" s="9" t="s">
        <v>412</v>
      </c>
      <c r="K1479" s="9" t="s">
        <v>604</v>
      </c>
    </row>
    <row r="1480" spans="1:11" ht="28.8">
      <c r="A1480" s="9" t="s">
        <v>662</v>
      </c>
      <c r="B1480" s="9" t="s">
        <v>672</v>
      </c>
      <c r="C1480" s="9" t="s">
        <v>666</v>
      </c>
      <c r="D1480" s="12">
        <v>-0.1094</v>
      </c>
      <c r="E1480" s="12">
        <v>1.0999999999999999E-2</v>
      </c>
      <c r="F1480" s="12">
        <v>0.2054</v>
      </c>
      <c r="G1480" s="12">
        <v>-4.9200000000000001E-2</v>
      </c>
      <c r="H1480" s="12">
        <v>3.5700000000000003E-2</v>
      </c>
      <c r="I1480" s="12">
        <v>0.1086</v>
      </c>
      <c r="J1480" s="9" t="s">
        <v>412</v>
      </c>
      <c r="K1480" s="9" t="s">
        <v>604</v>
      </c>
    </row>
    <row r="1481" spans="1:11" ht="28.8">
      <c r="A1481" s="9" t="s">
        <v>610</v>
      </c>
      <c r="B1481" s="9" t="s">
        <v>681</v>
      </c>
      <c r="C1481" s="9" t="s">
        <v>690</v>
      </c>
      <c r="D1481" s="12">
        <v>-5.8599999999999999E-2</v>
      </c>
      <c r="E1481" s="12">
        <v>0.13150000000000001</v>
      </c>
      <c r="F1481" s="12">
        <v>-0.1356</v>
      </c>
      <c r="G1481" s="12">
        <v>3.6450000000000003E-2</v>
      </c>
      <c r="H1481" s="12">
        <v>-2.0899999999999998E-2</v>
      </c>
      <c r="I1481" s="12">
        <v>0.1086</v>
      </c>
      <c r="J1481" s="9" t="s">
        <v>412</v>
      </c>
      <c r="K1481" s="9" t="s">
        <v>604</v>
      </c>
    </row>
    <row r="1482" spans="1:11" ht="28.8">
      <c r="A1482" s="9" t="s">
        <v>661</v>
      </c>
      <c r="B1482" s="9" t="s">
        <v>688</v>
      </c>
      <c r="C1482" s="9" t="s">
        <v>655</v>
      </c>
      <c r="D1482" s="12">
        <v>0.17599999999999999</v>
      </c>
      <c r="E1482" s="12">
        <v>6.8500000000000005E-2</v>
      </c>
      <c r="F1482" s="12">
        <v>8.09E-2</v>
      </c>
      <c r="G1482" s="12">
        <v>0.12225</v>
      </c>
      <c r="H1482" s="12">
        <v>0.1085</v>
      </c>
      <c r="I1482" s="12">
        <v>0.1085</v>
      </c>
      <c r="J1482" s="9" t="s">
        <v>412</v>
      </c>
      <c r="K1482" s="9" t="s">
        <v>654</v>
      </c>
    </row>
    <row r="1483" spans="1:11" ht="28.8">
      <c r="A1483" s="9" t="s">
        <v>661</v>
      </c>
      <c r="B1483" s="9" t="s">
        <v>602</v>
      </c>
      <c r="C1483" s="9" t="s">
        <v>667</v>
      </c>
      <c r="D1483" s="12">
        <v>5.3600000000000002E-2</v>
      </c>
      <c r="E1483" s="12">
        <v>2.06E-2</v>
      </c>
      <c r="F1483" s="12">
        <v>0.25119999999999998</v>
      </c>
      <c r="G1483" s="12">
        <v>3.7100000000000001E-2</v>
      </c>
      <c r="H1483" s="12">
        <v>0.1085</v>
      </c>
      <c r="I1483" s="12">
        <v>0.1085</v>
      </c>
      <c r="J1483" s="9" t="s">
        <v>412</v>
      </c>
      <c r="K1483" s="9" t="s">
        <v>654</v>
      </c>
    </row>
    <row r="1484" spans="1:11" ht="28.8">
      <c r="A1484" s="9" t="s">
        <v>662</v>
      </c>
      <c r="B1484" s="9" t="s">
        <v>681</v>
      </c>
      <c r="C1484" s="9" t="s">
        <v>666</v>
      </c>
      <c r="D1484" s="12">
        <v>-0.1094</v>
      </c>
      <c r="E1484" s="12">
        <v>0.1535</v>
      </c>
      <c r="F1484" s="12">
        <v>6.2399999999999997E-2</v>
      </c>
      <c r="G1484" s="12">
        <v>2.205E-2</v>
      </c>
      <c r="H1484" s="12">
        <v>3.5499999999999997E-2</v>
      </c>
      <c r="I1484" s="12">
        <v>0.1084</v>
      </c>
      <c r="J1484" s="9" t="s">
        <v>412</v>
      </c>
      <c r="K1484" s="9" t="s">
        <v>604</v>
      </c>
    </row>
    <row r="1485" spans="1:11" ht="28.8">
      <c r="A1485" s="9" t="s">
        <v>682</v>
      </c>
      <c r="B1485" s="9" t="s">
        <v>669</v>
      </c>
      <c r="C1485" s="9" t="s">
        <v>674</v>
      </c>
      <c r="D1485" s="12">
        <v>4.1999999999999997E-3</v>
      </c>
      <c r="E1485" s="12">
        <v>-1.46E-2</v>
      </c>
      <c r="F1485" s="12">
        <v>0.30640000000000001</v>
      </c>
      <c r="G1485" s="12">
        <v>-5.1999999999999998E-3</v>
      </c>
      <c r="H1485" s="12">
        <v>9.8699999999999996E-2</v>
      </c>
      <c r="I1485" s="12">
        <v>0.1084</v>
      </c>
      <c r="J1485" s="9" t="s">
        <v>412</v>
      </c>
      <c r="K1485" s="9" t="s">
        <v>604</v>
      </c>
    </row>
    <row r="1486" spans="1:11">
      <c r="A1486" s="9" t="s">
        <v>662</v>
      </c>
      <c r="B1486" s="9" t="s">
        <v>602</v>
      </c>
      <c r="C1486" s="9" t="s">
        <v>670</v>
      </c>
      <c r="D1486" s="12">
        <v>-0.18790000000000001</v>
      </c>
      <c r="E1486" s="12">
        <v>9.3799999999999994E-2</v>
      </c>
      <c r="F1486" s="12">
        <v>-4.3400000000000001E-2</v>
      </c>
      <c r="G1486" s="12">
        <v>-4.7050000000000008E-2</v>
      </c>
      <c r="H1486" s="12">
        <v>-4.58E-2</v>
      </c>
      <c r="I1486" s="12">
        <v>0.1084</v>
      </c>
      <c r="J1486" s="9" t="s">
        <v>412</v>
      </c>
      <c r="K1486" s="9" t="s">
        <v>604</v>
      </c>
    </row>
    <row r="1487" spans="1:11">
      <c r="A1487" s="9" t="s">
        <v>662</v>
      </c>
      <c r="B1487" s="9" t="s">
        <v>678</v>
      </c>
      <c r="C1487" s="9" t="s">
        <v>659</v>
      </c>
      <c r="D1487" s="12">
        <v>-8.3599999999999994E-2</v>
      </c>
      <c r="E1487" s="12">
        <v>-6.4199999999999993E-2</v>
      </c>
      <c r="F1487" s="12">
        <v>-0.1774</v>
      </c>
      <c r="G1487" s="12">
        <v>-7.3899999999999993E-2</v>
      </c>
      <c r="H1487" s="12">
        <v>-0.1084</v>
      </c>
      <c r="I1487" s="12">
        <v>0.1084</v>
      </c>
      <c r="J1487" s="9" t="s">
        <v>412</v>
      </c>
      <c r="K1487" s="9" t="s">
        <v>604</v>
      </c>
    </row>
    <row r="1488" spans="1:11">
      <c r="A1488" s="9" t="s">
        <v>610</v>
      </c>
      <c r="B1488" s="9" t="s">
        <v>684</v>
      </c>
      <c r="C1488" s="9" t="s">
        <v>656</v>
      </c>
      <c r="D1488" s="12">
        <v>6.5699999999999995E-2</v>
      </c>
      <c r="E1488" s="12">
        <v>0.2329</v>
      </c>
      <c r="F1488" s="12">
        <v>2.6499999999999999E-2</v>
      </c>
      <c r="G1488" s="12">
        <v>0.14929999999999999</v>
      </c>
      <c r="H1488" s="12">
        <v>0.1084</v>
      </c>
      <c r="I1488" s="12">
        <v>0.1084</v>
      </c>
      <c r="J1488" s="9" t="s">
        <v>412</v>
      </c>
      <c r="K1488" s="9" t="s">
        <v>654</v>
      </c>
    </row>
    <row r="1489" spans="1:11" ht="28.8">
      <c r="A1489" s="9" t="s">
        <v>661</v>
      </c>
      <c r="B1489" s="9" t="s">
        <v>658</v>
      </c>
      <c r="C1489" s="9" t="s">
        <v>674</v>
      </c>
      <c r="D1489" s="12">
        <v>6.8199999999999997E-2</v>
      </c>
      <c r="E1489" s="12">
        <v>9.5200000000000007E-2</v>
      </c>
      <c r="F1489" s="12">
        <v>0.16159999999999999</v>
      </c>
      <c r="G1489" s="12">
        <v>8.1699999999999995E-2</v>
      </c>
      <c r="H1489" s="12">
        <v>0.10829999999999999</v>
      </c>
      <c r="I1489" s="12">
        <v>0.10829999999999999</v>
      </c>
      <c r="J1489" s="9" t="s">
        <v>412</v>
      </c>
      <c r="K1489" s="9" t="s">
        <v>654</v>
      </c>
    </row>
    <row r="1490" spans="1:11" ht="28.8">
      <c r="A1490" s="9" t="s">
        <v>671</v>
      </c>
      <c r="B1490" s="9" t="s">
        <v>681</v>
      </c>
      <c r="C1490" s="9" t="s">
        <v>674</v>
      </c>
      <c r="D1490" s="12">
        <v>-6.2799999999999995E-2</v>
      </c>
      <c r="E1490" s="12">
        <v>7.1800000000000003E-2</v>
      </c>
      <c r="F1490" s="12">
        <v>0.19020000000000001</v>
      </c>
      <c r="G1490" s="12">
        <v>4.500000000000004E-3</v>
      </c>
      <c r="H1490" s="12">
        <v>6.6400000000000001E-2</v>
      </c>
      <c r="I1490" s="12">
        <v>0.10829999999999999</v>
      </c>
      <c r="J1490" s="9" t="s">
        <v>412</v>
      </c>
      <c r="K1490" s="9" t="s">
        <v>604</v>
      </c>
    </row>
    <row r="1491" spans="1:11" ht="28.8">
      <c r="A1491" s="9" t="s">
        <v>661</v>
      </c>
      <c r="B1491" s="9" t="s">
        <v>689</v>
      </c>
      <c r="C1491" s="9" t="s">
        <v>663</v>
      </c>
      <c r="D1491" s="12">
        <v>8.8300000000000003E-2</v>
      </c>
      <c r="E1491" s="12">
        <v>-0.1028</v>
      </c>
      <c r="F1491" s="12">
        <v>0.13370000000000001</v>
      </c>
      <c r="G1491" s="12">
        <v>-7.2499999999999995E-3</v>
      </c>
      <c r="H1491" s="12">
        <v>3.9699999999999999E-2</v>
      </c>
      <c r="I1491" s="12">
        <v>0.10829999999999999</v>
      </c>
      <c r="J1491" s="9" t="s">
        <v>412</v>
      </c>
      <c r="K1491" s="9" t="s">
        <v>604</v>
      </c>
    </row>
    <row r="1492" spans="1:11" ht="28.8">
      <c r="A1492" s="9" t="s">
        <v>671</v>
      </c>
      <c r="B1492" s="9" t="s">
        <v>685</v>
      </c>
      <c r="C1492" s="9" t="s">
        <v>656</v>
      </c>
      <c r="D1492" s="12">
        <v>6.54E-2</v>
      </c>
      <c r="E1492" s="12">
        <v>0.19439999999999999</v>
      </c>
      <c r="F1492" s="12">
        <v>6.5100000000000005E-2</v>
      </c>
      <c r="G1492" s="12">
        <v>0.12989999999999999</v>
      </c>
      <c r="H1492" s="12">
        <v>0.10829999999999999</v>
      </c>
      <c r="I1492" s="12">
        <v>0.10829999999999999</v>
      </c>
      <c r="J1492" s="9" t="s">
        <v>412</v>
      </c>
      <c r="K1492" s="9" t="s">
        <v>654</v>
      </c>
    </row>
    <row r="1493" spans="1:11" ht="28.8">
      <c r="A1493" s="9" t="s">
        <v>682</v>
      </c>
      <c r="B1493" s="9" t="s">
        <v>673</v>
      </c>
      <c r="C1493" s="9" t="s">
        <v>675</v>
      </c>
      <c r="D1493" s="12">
        <v>0.06</v>
      </c>
      <c r="E1493" s="12">
        <v>-1.3899999999999999E-2</v>
      </c>
      <c r="F1493" s="12">
        <v>-0.25030000000000002</v>
      </c>
      <c r="G1493" s="12">
        <v>2.3050000000000001E-2</v>
      </c>
      <c r="H1493" s="12">
        <v>-6.8099999999999994E-2</v>
      </c>
      <c r="I1493" s="12">
        <v>0.1081</v>
      </c>
      <c r="J1493" s="9" t="s">
        <v>412</v>
      </c>
      <c r="K1493" s="9" t="s">
        <v>604</v>
      </c>
    </row>
    <row r="1494" spans="1:11" ht="28.8">
      <c r="A1494" s="9" t="s">
        <v>610</v>
      </c>
      <c r="B1494" s="9" t="s">
        <v>684</v>
      </c>
      <c r="C1494" s="9" t="s">
        <v>675</v>
      </c>
      <c r="D1494" s="12">
        <v>-2.1399999999999999E-2</v>
      </c>
      <c r="E1494" s="12">
        <v>0.2329</v>
      </c>
      <c r="F1494" s="12">
        <v>-7.0099999999999996E-2</v>
      </c>
      <c r="G1494" s="12">
        <v>0.10575</v>
      </c>
      <c r="H1494" s="12">
        <v>4.7199999999999999E-2</v>
      </c>
      <c r="I1494" s="12">
        <v>0.1081</v>
      </c>
      <c r="J1494" s="9" t="s">
        <v>412</v>
      </c>
      <c r="K1494" s="9" t="s">
        <v>604</v>
      </c>
    </row>
    <row r="1495" spans="1:11" ht="28.8">
      <c r="A1495" s="9" t="s">
        <v>671</v>
      </c>
      <c r="B1495" s="9" t="s">
        <v>653</v>
      </c>
      <c r="C1495" s="9" t="s">
        <v>664</v>
      </c>
      <c r="D1495" s="12">
        <v>-9.0800000000000006E-2</v>
      </c>
      <c r="E1495" s="12">
        <v>-0.09</v>
      </c>
      <c r="F1495" s="12">
        <v>0.14360000000000001</v>
      </c>
      <c r="G1495" s="12">
        <v>-9.0400000000000008E-2</v>
      </c>
      <c r="H1495" s="12">
        <v>-1.24E-2</v>
      </c>
      <c r="I1495" s="12">
        <v>0.1081</v>
      </c>
      <c r="J1495" s="9" t="s">
        <v>412</v>
      </c>
      <c r="K1495" s="9" t="s">
        <v>604</v>
      </c>
    </row>
    <row r="1496" spans="1:11" ht="28.8">
      <c r="A1496" s="9" t="s">
        <v>662</v>
      </c>
      <c r="B1496" s="9" t="s">
        <v>613</v>
      </c>
      <c r="C1496" s="9" t="s">
        <v>674</v>
      </c>
      <c r="D1496" s="12">
        <v>0.17680000000000001</v>
      </c>
      <c r="E1496" s="12">
        <v>6.2399999999999997E-2</v>
      </c>
      <c r="F1496" s="12">
        <v>-8.48E-2</v>
      </c>
      <c r="G1496" s="12">
        <v>0.11960000000000001</v>
      </c>
      <c r="H1496" s="12">
        <v>5.1499999999999997E-2</v>
      </c>
      <c r="I1496" s="12">
        <v>0.108</v>
      </c>
      <c r="J1496" s="9" t="s">
        <v>412</v>
      </c>
      <c r="K1496" s="9" t="s">
        <v>604</v>
      </c>
    </row>
    <row r="1497" spans="1:11" ht="28.8">
      <c r="A1497" s="9" t="s">
        <v>679</v>
      </c>
      <c r="B1497" s="9" t="s">
        <v>613</v>
      </c>
      <c r="C1497" s="9" t="s">
        <v>663</v>
      </c>
      <c r="D1497" s="12">
        <v>0.13450000000000001</v>
      </c>
      <c r="E1497" s="12">
        <v>-0.1157</v>
      </c>
      <c r="F1497" s="12">
        <v>-7.3700000000000002E-2</v>
      </c>
      <c r="G1497" s="12">
        <v>9.4000000000000056E-3</v>
      </c>
      <c r="H1497" s="12">
        <v>-1.83E-2</v>
      </c>
      <c r="I1497" s="12">
        <v>0.108</v>
      </c>
      <c r="J1497" s="9" t="s">
        <v>412</v>
      </c>
      <c r="K1497" s="9" t="s">
        <v>604</v>
      </c>
    </row>
    <row r="1498" spans="1:11" ht="28.8">
      <c r="A1498" s="9" t="s">
        <v>661</v>
      </c>
      <c r="B1498" s="9" t="s">
        <v>689</v>
      </c>
      <c r="C1498" s="9" t="s">
        <v>666</v>
      </c>
      <c r="D1498" s="12">
        <v>0.2175</v>
      </c>
      <c r="E1498" s="12">
        <v>-0.1028</v>
      </c>
      <c r="F1498" s="12">
        <v>3.5000000000000001E-3</v>
      </c>
      <c r="G1498" s="12">
        <v>5.7349999999999998E-2</v>
      </c>
      <c r="H1498" s="12">
        <v>3.9399999999999998E-2</v>
      </c>
      <c r="I1498" s="12">
        <v>0.1079</v>
      </c>
      <c r="J1498" s="9" t="s">
        <v>412</v>
      </c>
      <c r="K1498" s="9" t="s">
        <v>604</v>
      </c>
    </row>
    <row r="1499" spans="1:11" ht="28.8">
      <c r="A1499" s="9" t="s">
        <v>662</v>
      </c>
      <c r="B1499" s="9" t="s">
        <v>657</v>
      </c>
      <c r="C1499" s="9" t="s">
        <v>675</v>
      </c>
      <c r="D1499" s="12">
        <v>0.14630000000000001</v>
      </c>
      <c r="E1499" s="12">
        <v>4.3299999999999998E-2</v>
      </c>
      <c r="F1499" s="12">
        <v>-0.13370000000000001</v>
      </c>
      <c r="G1499" s="12">
        <v>9.4800000000000009E-2</v>
      </c>
      <c r="H1499" s="12">
        <v>1.8599999999999998E-2</v>
      </c>
      <c r="I1499" s="12">
        <v>0.10780000000000001</v>
      </c>
      <c r="J1499" s="9" t="s">
        <v>412</v>
      </c>
      <c r="K1499" s="9" t="s">
        <v>604</v>
      </c>
    </row>
    <row r="1500" spans="1:11">
      <c r="A1500" s="9" t="s">
        <v>662</v>
      </c>
      <c r="B1500" s="9" t="s">
        <v>673</v>
      </c>
      <c r="C1500" s="9" t="s">
        <v>655</v>
      </c>
      <c r="D1500" s="12">
        <v>5.6899999999999999E-2</v>
      </c>
      <c r="E1500" s="12">
        <v>4.2999999999999997E-2</v>
      </c>
      <c r="F1500" s="12">
        <v>-0.22339999999999999</v>
      </c>
      <c r="G1500" s="12">
        <v>4.9949999999999994E-2</v>
      </c>
      <c r="H1500" s="12">
        <v>-4.1200000000000001E-2</v>
      </c>
      <c r="I1500" s="12">
        <v>0.10780000000000001</v>
      </c>
      <c r="J1500" s="9" t="s">
        <v>412</v>
      </c>
      <c r="K1500" s="9" t="s">
        <v>604</v>
      </c>
    </row>
    <row r="1501" spans="1:11">
      <c r="A1501" s="9" t="s">
        <v>682</v>
      </c>
      <c r="B1501" s="9" t="s">
        <v>672</v>
      </c>
      <c r="C1501" s="9" t="s">
        <v>663</v>
      </c>
      <c r="D1501" s="12">
        <v>-6.7400000000000002E-2</v>
      </c>
      <c r="E1501" s="12">
        <v>-2.86E-2</v>
      </c>
      <c r="F1501" s="12">
        <v>0.22750000000000001</v>
      </c>
      <c r="G1501" s="12">
        <v>-4.8000000000000001E-2</v>
      </c>
      <c r="H1501" s="12">
        <v>4.3799999999999999E-2</v>
      </c>
      <c r="I1501" s="12">
        <v>0.10780000000000001</v>
      </c>
      <c r="J1501" s="9" t="s">
        <v>412</v>
      </c>
      <c r="K1501" s="9" t="s">
        <v>604</v>
      </c>
    </row>
    <row r="1502" spans="1:11" ht="28.8">
      <c r="A1502" s="9" t="s">
        <v>609</v>
      </c>
      <c r="B1502" s="9" t="s">
        <v>688</v>
      </c>
      <c r="C1502" s="9" t="s">
        <v>664</v>
      </c>
      <c r="D1502" s="12">
        <v>-6.5699999999999995E-2</v>
      </c>
      <c r="E1502" s="12">
        <v>6.3E-3</v>
      </c>
      <c r="F1502" s="12">
        <v>0.251</v>
      </c>
      <c r="G1502" s="12">
        <v>-2.9699999999999997E-2</v>
      </c>
      <c r="H1502" s="12">
        <v>6.3899999999999998E-2</v>
      </c>
      <c r="I1502" s="12">
        <v>0.1077</v>
      </c>
      <c r="J1502" s="9" t="s">
        <v>412</v>
      </c>
      <c r="K1502" s="9" t="s">
        <v>604</v>
      </c>
    </row>
    <row r="1503" spans="1:11" ht="28.8">
      <c r="A1503" s="9" t="s">
        <v>610</v>
      </c>
      <c r="B1503" s="9" t="s">
        <v>672</v>
      </c>
      <c r="C1503" s="9" t="s">
        <v>683</v>
      </c>
      <c r="D1503" s="12">
        <v>-8.1500000000000003E-2</v>
      </c>
      <c r="E1503" s="12">
        <v>7.0999999999999994E-2</v>
      </c>
      <c r="F1503" s="12">
        <v>0.17019999999999999</v>
      </c>
      <c r="G1503" s="12">
        <v>-5.2500000000000047E-3</v>
      </c>
      <c r="H1503" s="12">
        <v>5.3199999999999997E-2</v>
      </c>
      <c r="I1503" s="12">
        <v>0.1076</v>
      </c>
      <c r="J1503" s="9" t="s">
        <v>412</v>
      </c>
      <c r="K1503" s="9" t="s">
        <v>604</v>
      </c>
    </row>
    <row r="1504" spans="1:11" ht="28.8">
      <c r="A1504" s="9" t="s">
        <v>671</v>
      </c>
      <c r="B1504" s="9" t="s">
        <v>653</v>
      </c>
      <c r="C1504" s="9" t="s">
        <v>683</v>
      </c>
      <c r="D1504" s="12">
        <v>0.1066</v>
      </c>
      <c r="E1504" s="12">
        <v>-0.09</v>
      </c>
      <c r="F1504" s="12">
        <v>0.12620000000000001</v>
      </c>
      <c r="G1504" s="12">
        <v>8.3000000000000018E-3</v>
      </c>
      <c r="H1504" s="12">
        <v>4.7600000000000003E-2</v>
      </c>
      <c r="I1504" s="12">
        <v>0.1076</v>
      </c>
      <c r="J1504" s="9" t="s">
        <v>412</v>
      </c>
      <c r="K1504" s="9" t="s">
        <v>604</v>
      </c>
    </row>
    <row r="1505" spans="1:11" ht="28.8">
      <c r="A1505" s="9" t="s">
        <v>679</v>
      </c>
      <c r="B1505" s="9" t="s">
        <v>658</v>
      </c>
      <c r="C1505" s="9" t="s">
        <v>656</v>
      </c>
      <c r="D1505" s="12">
        <v>-2.2700000000000001E-2</v>
      </c>
      <c r="E1505" s="12">
        <v>3.4000000000000002E-2</v>
      </c>
      <c r="F1505" s="12">
        <v>0.2661</v>
      </c>
      <c r="G1505" s="12">
        <v>5.6500000000000005E-3</v>
      </c>
      <c r="H1505" s="12">
        <v>9.2399999999999996E-2</v>
      </c>
      <c r="I1505" s="12">
        <v>0.1076</v>
      </c>
      <c r="J1505" s="9" t="s">
        <v>412</v>
      </c>
      <c r="K1505" s="9" t="s">
        <v>604</v>
      </c>
    </row>
    <row r="1506" spans="1:11" ht="28.8">
      <c r="A1506" s="9" t="s">
        <v>610</v>
      </c>
      <c r="B1506" s="9" t="s">
        <v>680</v>
      </c>
      <c r="C1506" s="9" t="s">
        <v>677</v>
      </c>
      <c r="D1506" s="12">
        <v>0.10100000000000001</v>
      </c>
      <c r="E1506" s="12">
        <v>-0.1973</v>
      </c>
      <c r="F1506" s="12">
        <v>2.41E-2</v>
      </c>
      <c r="G1506" s="12">
        <v>-4.8149999999999998E-2</v>
      </c>
      <c r="H1506" s="12">
        <v>-2.4E-2</v>
      </c>
      <c r="I1506" s="12">
        <v>0.1075</v>
      </c>
      <c r="J1506" s="9" t="s">
        <v>412</v>
      </c>
      <c r="K1506" s="9" t="s">
        <v>604</v>
      </c>
    </row>
    <row r="1507" spans="1:11" ht="28.8">
      <c r="A1507" s="9" t="s">
        <v>679</v>
      </c>
      <c r="B1507" s="9" t="s">
        <v>669</v>
      </c>
      <c r="C1507" s="9" t="s">
        <v>670</v>
      </c>
      <c r="D1507" s="12">
        <v>-9.5200000000000007E-2</v>
      </c>
      <c r="E1507" s="12">
        <v>8.3900000000000002E-2</v>
      </c>
      <c r="F1507" s="12">
        <v>-0.14330000000000001</v>
      </c>
      <c r="G1507" s="12">
        <v>-5.6500000000000022E-3</v>
      </c>
      <c r="H1507" s="12">
        <v>-5.1499999999999997E-2</v>
      </c>
      <c r="I1507" s="12">
        <v>0.1075</v>
      </c>
      <c r="J1507" s="9" t="s">
        <v>412</v>
      </c>
      <c r="K1507" s="9" t="s">
        <v>604</v>
      </c>
    </row>
    <row r="1508" spans="1:11" ht="28.8">
      <c r="A1508" s="9" t="s">
        <v>671</v>
      </c>
      <c r="B1508" s="9" t="s">
        <v>660</v>
      </c>
      <c r="C1508" s="9" t="s">
        <v>664</v>
      </c>
      <c r="D1508" s="12">
        <v>-9.0800000000000006E-2</v>
      </c>
      <c r="E1508" s="12">
        <v>-0.1037</v>
      </c>
      <c r="F1508" s="12">
        <v>0.128</v>
      </c>
      <c r="G1508" s="12">
        <v>-9.7250000000000003E-2</v>
      </c>
      <c r="H1508" s="12">
        <v>-2.2200000000000001E-2</v>
      </c>
      <c r="I1508" s="12">
        <v>0.1075</v>
      </c>
      <c r="J1508" s="9" t="s">
        <v>412</v>
      </c>
      <c r="K1508" s="9" t="s">
        <v>604</v>
      </c>
    </row>
    <row r="1509" spans="1:11" ht="28.8">
      <c r="A1509" s="9" t="s">
        <v>610</v>
      </c>
      <c r="B1509" s="9" t="s">
        <v>689</v>
      </c>
      <c r="C1509" s="9" t="s">
        <v>674</v>
      </c>
      <c r="D1509" s="12">
        <v>-0.1986</v>
      </c>
      <c r="E1509" s="12">
        <v>-1.21E-2</v>
      </c>
      <c r="F1509" s="12">
        <v>0.112</v>
      </c>
      <c r="G1509" s="12">
        <v>-0.10535</v>
      </c>
      <c r="H1509" s="12">
        <v>-3.2899999999999999E-2</v>
      </c>
      <c r="I1509" s="12">
        <v>0.1075</v>
      </c>
      <c r="J1509" s="9" t="s">
        <v>412</v>
      </c>
      <c r="K1509" s="9" t="s">
        <v>604</v>
      </c>
    </row>
    <row r="1510" spans="1:11" ht="28.8">
      <c r="A1510" s="9" t="s">
        <v>603</v>
      </c>
      <c r="B1510" s="9" t="s">
        <v>602</v>
      </c>
      <c r="C1510" s="9" t="s">
        <v>675</v>
      </c>
      <c r="D1510" s="12">
        <v>-0.18360000000000001</v>
      </c>
      <c r="E1510" s="12">
        <v>3.5099999999999999E-2</v>
      </c>
      <c r="F1510" s="12">
        <v>0.1032</v>
      </c>
      <c r="G1510" s="12">
        <v>-7.425000000000001E-2</v>
      </c>
      <c r="H1510" s="12">
        <v>-1.5100000000000001E-2</v>
      </c>
      <c r="I1510" s="12">
        <v>0.10730000000000001</v>
      </c>
      <c r="J1510" s="9" t="s">
        <v>412</v>
      </c>
      <c r="K1510" s="9" t="s">
        <v>604</v>
      </c>
    </row>
    <row r="1511" spans="1:11" ht="28.8">
      <c r="A1511" s="9" t="s">
        <v>610</v>
      </c>
      <c r="B1511" s="9" t="s">
        <v>672</v>
      </c>
      <c r="C1511" s="9" t="s">
        <v>674</v>
      </c>
      <c r="D1511" s="12">
        <v>-0.1986</v>
      </c>
      <c r="E1511" s="12">
        <v>7.0999999999999994E-2</v>
      </c>
      <c r="F1511" s="12">
        <v>5.2299999999999999E-2</v>
      </c>
      <c r="G1511" s="12">
        <v>-6.3799999999999996E-2</v>
      </c>
      <c r="H1511" s="12">
        <v>-2.5100000000000001E-2</v>
      </c>
      <c r="I1511" s="12">
        <v>0.10730000000000001</v>
      </c>
      <c r="J1511" s="9" t="s">
        <v>412</v>
      </c>
      <c r="K1511" s="9" t="s">
        <v>604</v>
      </c>
    </row>
    <row r="1512" spans="1:11" ht="28.8">
      <c r="A1512" s="9" t="s">
        <v>603</v>
      </c>
      <c r="B1512" s="9" t="s">
        <v>680</v>
      </c>
      <c r="C1512" s="9" t="s">
        <v>659</v>
      </c>
      <c r="D1512" s="12">
        <v>-0.17230000000000001</v>
      </c>
      <c r="E1512" s="12">
        <v>-4.2000000000000003E-2</v>
      </c>
      <c r="F1512" s="12">
        <v>-0.1074</v>
      </c>
      <c r="G1512" s="12">
        <v>-0.10715000000000001</v>
      </c>
      <c r="H1512" s="12">
        <v>-0.1072</v>
      </c>
      <c r="I1512" s="12">
        <v>0.1072</v>
      </c>
      <c r="J1512" s="9" t="s">
        <v>412</v>
      </c>
      <c r="K1512" s="9" t="s">
        <v>604</v>
      </c>
    </row>
    <row r="1513" spans="1:11" ht="28.8">
      <c r="A1513" s="9" t="s">
        <v>682</v>
      </c>
      <c r="B1513" s="9" t="s">
        <v>660</v>
      </c>
      <c r="C1513" s="9" t="s">
        <v>677</v>
      </c>
      <c r="D1513" s="12">
        <v>1.23E-2</v>
      </c>
      <c r="E1513" s="12">
        <v>-9.1399999999999995E-2</v>
      </c>
      <c r="F1513" s="12">
        <v>0.21759999999999999</v>
      </c>
      <c r="G1513" s="12">
        <v>-3.9549999999999995E-2</v>
      </c>
      <c r="H1513" s="12">
        <v>4.6199999999999998E-2</v>
      </c>
      <c r="I1513" s="12">
        <v>0.1071</v>
      </c>
      <c r="J1513" s="9" t="s">
        <v>412</v>
      </c>
      <c r="K1513" s="9" t="s">
        <v>604</v>
      </c>
    </row>
    <row r="1514" spans="1:11" ht="28.8">
      <c r="A1514" s="9" t="s">
        <v>609</v>
      </c>
      <c r="B1514" s="9" t="s">
        <v>688</v>
      </c>
      <c r="C1514" s="9" t="s">
        <v>601</v>
      </c>
      <c r="D1514" s="12">
        <v>-0.1671</v>
      </c>
      <c r="E1514" s="12">
        <v>6.3E-3</v>
      </c>
      <c r="F1514" s="12">
        <v>-0.1477</v>
      </c>
      <c r="G1514" s="12">
        <v>-8.0399999999999999E-2</v>
      </c>
      <c r="H1514" s="12">
        <v>-0.1028</v>
      </c>
      <c r="I1514" s="12">
        <v>0.107</v>
      </c>
      <c r="J1514" s="9" t="s">
        <v>412</v>
      </c>
      <c r="K1514" s="9" t="s">
        <v>604</v>
      </c>
    </row>
    <row r="1515" spans="1:11" ht="28.8">
      <c r="A1515" s="9" t="s">
        <v>662</v>
      </c>
      <c r="B1515" s="9" t="s">
        <v>684</v>
      </c>
      <c r="C1515" s="9" t="s">
        <v>677</v>
      </c>
      <c r="D1515" s="12">
        <v>1.2200000000000001E-2</v>
      </c>
      <c r="E1515" s="12">
        <v>-0.2475</v>
      </c>
      <c r="F1515" s="12">
        <v>-6.13E-2</v>
      </c>
      <c r="G1515" s="12">
        <v>-0.11765</v>
      </c>
      <c r="H1515" s="12">
        <v>-9.8900000000000002E-2</v>
      </c>
      <c r="I1515" s="12">
        <v>0.107</v>
      </c>
      <c r="J1515" s="9" t="s">
        <v>412</v>
      </c>
      <c r="K1515" s="9" t="s">
        <v>604</v>
      </c>
    </row>
    <row r="1516" spans="1:11" ht="28.8">
      <c r="A1516" s="9" t="s">
        <v>603</v>
      </c>
      <c r="B1516" s="9" t="s">
        <v>687</v>
      </c>
      <c r="C1516" s="9" t="s">
        <v>677</v>
      </c>
      <c r="D1516" s="12">
        <v>0.14069999999999999</v>
      </c>
      <c r="E1516" s="12">
        <v>-0.1457</v>
      </c>
      <c r="F1516" s="12">
        <v>3.4500000000000003E-2</v>
      </c>
      <c r="G1516" s="12">
        <v>-2.5000000000000022E-3</v>
      </c>
      <c r="H1516" s="12">
        <v>9.9000000000000008E-3</v>
      </c>
      <c r="I1516" s="12">
        <v>0.107</v>
      </c>
      <c r="J1516" s="9" t="s">
        <v>412</v>
      </c>
      <c r="K1516" s="9" t="s">
        <v>604</v>
      </c>
    </row>
    <row r="1517" spans="1:11" ht="28.8">
      <c r="A1517" s="9" t="s">
        <v>682</v>
      </c>
      <c r="B1517" s="9" t="s">
        <v>681</v>
      </c>
      <c r="C1517" s="9" t="s">
        <v>664</v>
      </c>
      <c r="D1517" s="12">
        <v>-0.08</v>
      </c>
      <c r="E1517" s="12">
        <v>0.15890000000000001</v>
      </c>
      <c r="F1517" s="12">
        <v>-8.14E-2</v>
      </c>
      <c r="G1517" s="12">
        <v>3.9450000000000006E-2</v>
      </c>
      <c r="H1517" s="12">
        <v>-8.9999999999999998E-4</v>
      </c>
      <c r="I1517" s="12">
        <v>0.10680000000000001</v>
      </c>
      <c r="J1517" s="9" t="s">
        <v>412</v>
      </c>
      <c r="K1517" s="9" t="s">
        <v>604</v>
      </c>
    </row>
    <row r="1518" spans="1:11" ht="28.8">
      <c r="A1518" s="9" t="s">
        <v>679</v>
      </c>
      <c r="B1518" s="9" t="s">
        <v>680</v>
      </c>
      <c r="C1518" s="9" t="s">
        <v>677</v>
      </c>
      <c r="D1518" s="12">
        <v>0.13189999999999999</v>
      </c>
      <c r="E1518" s="12">
        <v>0.1643</v>
      </c>
      <c r="F1518" s="12">
        <v>2.41E-2</v>
      </c>
      <c r="G1518" s="12">
        <v>0.14810000000000001</v>
      </c>
      <c r="H1518" s="12">
        <v>0.10680000000000001</v>
      </c>
      <c r="I1518" s="12">
        <v>0.10680000000000001</v>
      </c>
      <c r="J1518" s="9" t="s">
        <v>412</v>
      </c>
      <c r="K1518" s="9" t="s">
        <v>654</v>
      </c>
    </row>
    <row r="1519" spans="1:11" ht="28.8">
      <c r="A1519" s="9" t="s">
        <v>662</v>
      </c>
      <c r="B1519" s="9" t="s">
        <v>681</v>
      </c>
      <c r="C1519" s="9" t="s">
        <v>690</v>
      </c>
      <c r="D1519" s="12">
        <v>-3.1300000000000001E-2</v>
      </c>
      <c r="E1519" s="12">
        <v>0.1535</v>
      </c>
      <c r="F1519" s="12">
        <v>-0.1356</v>
      </c>
      <c r="G1519" s="12">
        <v>6.1100000000000002E-2</v>
      </c>
      <c r="H1519" s="12">
        <v>-4.4999999999999997E-3</v>
      </c>
      <c r="I1519" s="12">
        <v>0.10680000000000001</v>
      </c>
      <c r="J1519" s="9" t="s">
        <v>412</v>
      </c>
      <c r="K1519" s="9" t="s">
        <v>604</v>
      </c>
    </row>
    <row r="1520" spans="1:11" ht="28.8">
      <c r="A1520" s="9" t="s">
        <v>609</v>
      </c>
      <c r="B1520" s="9" t="s">
        <v>680</v>
      </c>
      <c r="C1520" s="9" t="s">
        <v>683</v>
      </c>
      <c r="D1520" s="12">
        <v>-0.105</v>
      </c>
      <c r="E1520" s="12">
        <v>-0.1628</v>
      </c>
      <c r="F1520" s="12">
        <v>5.2699999999999997E-2</v>
      </c>
      <c r="G1520" s="12">
        <v>-0.13389999999999999</v>
      </c>
      <c r="H1520" s="12">
        <v>-7.17E-2</v>
      </c>
      <c r="I1520" s="12">
        <v>0.10680000000000001</v>
      </c>
      <c r="J1520" s="9" t="s">
        <v>412</v>
      </c>
      <c r="K1520" s="9" t="s">
        <v>604</v>
      </c>
    </row>
    <row r="1521" spans="1:11" ht="28.8">
      <c r="A1521" s="9" t="s">
        <v>661</v>
      </c>
      <c r="B1521" s="9" t="s">
        <v>688</v>
      </c>
      <c r="C1521" s="9" t="s">
        <v>667</v>
      </c>
      <c r="D1521" s="12">
        <v>5.3600000000000002E-2</v>
      </c>
      <c r="E1521" s="12">
        <v>6.8500000000000005E-2</v>
      </c>
      <c r="F1521" s="12">
        <v>0.19789999999999999</v>
      </c>
      <c r="G1521" s="12">
        <v>6.1050000000000007E-2</v>
      </c>
      <c r="H1521" s="12">
        <v>0.1067</v>
      </c>
      <c r="I1521" s="12">
        <v>0.1067</v>
      </c>
      <c r="J1521" s="9" t="s">
        <v>412</v>
      </c>
      <c r="K1521" s="9" t="s">
        <v>654</v>
      </c>
    </row>
    <row r="1522" spans="1:11" ht="28.8">
      <c r="A1522" s="9" t="s">
        <v>679</v>
      </c>
      <c r="B1522" s="9" t="s">
        <v>673</v>
      </c>
      <c r="C1522" s="9" t="s">
        <v>670</v>
      </c>
      <c r="D1522" s="12">
        <v>-9.5200000000000007E-2</v>
      </c>
      <c r="E1522" s="12">
        <v>-7.4499999999999997E-2</v>
      </c>
      <c r="F1522" s="12">
        <v>0.15040000000000001</v>
      </c>
      <c r="G1522" s="12">
        <v>-8.4850000000000009E-2</v>
      </c>
      <c r="H1522" s="12">
        <v>-6.4000000000000003E-3</v>
      </c>
      <c r="I1522" s="12">
        <v>0.1067</v>
      </c>
      <c r="J1522" s="9" t="s">
        <v>412</v>
      </c>
      <c r="K1522" s="9" t="s">
        <v>604</v>
      </c>
    </row>
    <row r="1523" spans="1:11">
      <c r="A1523" s="9" t="s">
        <v>662</v>
      </c>
      <c r="B1523" s="9" t="s">
        <v>669</v>
      </c>
      <c r="C1523" s="9" t="s">
        <v>667</v>
      </c>
      <c r="D1523" s="12">
        <v>0.12540000000000001</v>
      </c>
      <c r="E1523" s="12">
        <v>0.1298</v>
      </c>
      <c r="F1523" s="12">
        <v>6.4399999999999999E-2</v>
      </c>
      <c r="G1523" s="12">
        <v>0.12759999999999999</v>
      </c>
      <c r="H1523" s="12">
        <v>0.1066</v>
      </c>
      <c r="I1523" s="12">
        <v>0.1066</v>
      </c>
      <c r="J1523" s="9" t="s">
        <v>412</v>
      </c>
      <c r="K1523" s="9" t="s">
        <v>654</v>
      </c>
    </row>
    <row r="1524" spans="1:11" ht="28.8">
      <c r="A1524" s="9" t="s">
        <v>671</v>
      </c>
      <c r="B1524" s="9" t="s">
        <v>686</v>
      </c>
      <c r="C1524" s="9" t="s">
        <v>677</v>
      </c>
      <c r="D1524" s="12">
        <v>6.8900000000000003E-2</v>
      </c>
      <c r="E1524" s="12">
        <v>0.13</v>
      </c>
      <c r="F1524" s="12">
        <v>0.1203</v>
      </c>
      <c r="G1524" s="12">
        <v>9.9450000000000011E-2</v>
      </c>
      <c r="H1524" s="12">
        <v>0.10639999999999999</v>
      </c>
      <c r="I1524" s="12">
        <v>0.10639999999999999</v>
      </c>
      <c r="J1524" s="9" t="s">
        <v>412</v>
      </c>
      <c r="K1524" s="9" t="s">
        <v>654</v>
      </c>
    </row>
    <row r="1525" spans="1:11" ht="28.8">
      <c r="A1525" s="9" t="s">
        <v>679</v>
      </c>
      <c r="B1525" s="9" t="s">
        <v>613</v>
      </c>
      <c r="C1525" s="9" t="s">
        <v>674</v>
      </c>
      <c r="D1525" s="12">
        <v>0.11849999999999999</v>
      </c>
      <c r="E1525" s="12">
        <v>-0.1157</v>
      </c>
      <c r="F1525" s="12">
        <v>-8.48E-2</v>
      </c>
      <c r="G1525" s="12">
        <v>1.3999999999999985E-3</v>
      </c>
      <c r="H1525" s="12">
        <v>-2.7300000000000001E-2</v>
      </c>
      <c r="I1525" s="12">
        <v>0.10630000000000001</v>
      </c>
      <c r="J1525" s="9" t="s">
        <v>412</v>
      </c>
      <c r="K1525" s="9" t="s">
        <v>604</v>
      </c>
    </row>
    <row r="1526" spans="1:11" ht="28.8">
      <c r="A1526" s="9" t="s">
        <v>671</v>
      </c>
      <c r="B1526" s="9" t="s">
        <v>673</v>
      </c>
      <c r="C1526" s="9" t="s">
        <v>664</v>
      </c>
      <c r="D1526" s="12">
        <v>-9.0800000000000006E-2</v>
      </c>
      <c r="E1526" s="12">
        <v>-0.12470000000000001</v>
      </c>
      <c r="F1526" s="12">
        <v>-0.10340000000000001</v>
      </c>
      <c r="G1526" s="12">
        <v>-0.10775000000000001</v>
      </c>
      <c r="H1526" s="12">
        <v>-0.10630000000000001</v>
      </c>
      <c r="I1526" s="12">
        <v>0.10630000000000001</v>
      </c>
      <c r="J1526" s="9" t="s">
        <v>412</v>
      </c>
      <c r="K1526" s="9" t="s">
        <v>604</v>
      </c>
    </row>
    <row r="1527" spans="1:11" ht="28.8">
      <c r="A1527" s="9" t="s">
        <v>603</v>
      </c>
      <c r="B1527" s="9" t="s">
        <v>602</v>
      </c>
      <c r="C1527" s="9" t="s">
        <v>683</v>
      </c>
      <c r="D1527" s="12">
        <v>0.17660000000000001</v>
      </c>
      <c r="E1527" s="12">
        <v>3.5099999999999999E-2</v>
      </c>
      <c r="F1527" s="12">
        <v>0.107</v>
      </c>
      <c r="G1527" s="12">
        <v>0.10585</v>
      </c>
      <c r="H1527" s="12">
        <v>0.1062</v>
      </c>
      <c r="I1527" s="12">
        <v>0.1062</v>
      </c>
      <c r="J1527" s="9" t="s">
        <v>412</v>
      </c>
      <c r="K1527" s="9" t="s">
        <v>654</v>
      </c>
    </row>
    <row r="1528" spans="1:11" ht="28.8">
      <c r="A1528" s="9" t="s">
        <v>610</v>
      </c>
      <c r="B1528" s="9" t="s">
        <v>602</v>
      </c>
      <c r="C1528" s="9" t="s">
        <v>675</v>
      </c>
      <c r="D1528" s="12">
        <v>-2.1399999999999999E-2</v>
      </c>
      <c r="E1528" s="12">
        <v>-0.19400000000000001</v>
      </c>
      <c r="F1528" s="12">
        <v>0.1032</v>
      </c>
      <c r="G1528" s="12">
        <v>-0.1077</v>
      </c>
      <c r="H1528" s="12">
        <v>-3.7400000000000003E-2</v>
      </c>
      <c r="I1528" s="12">
        <v>0.1062</v>
      </c>
      <c r="J1528" s="9" t="s">
        <v>412</v>
      </c>
      <c r="K1528" s="9" t="s">
        <v>604</v>
      </c>
    </row>
    <row r="1529" spans="1:11" ht="28.8">
      <c r="A1529" s="9" t="s">
        <v>679</v>
      </c>
      <c r="B1529" s="9" t="s">
        <v>688</v>
      </c>
      <c r="C1529" s="9" t="s">
        <v>655</v>
      </c>
      <c r="D1529" s="12">
        <v>9.4500000000000001E-2</v>
      </c>
      <c r="E1529" s="12">
        <v>0.14299999999999999</v>
      </c>
      <c r="F1529" s="12">
        <v>8.09E-2</v>
      </c>
      <c r="G1529" s="12">
        <v>0.11874999999999999</v>
      </c>
      <c r="H1529" s="12">
        <v>0.1061</v>
      </c>
      <c r="I1529" s="12">
        <v>0.1061</v>
      </c>
      <c r="J1529" s="9" t="s">
        <v>412</v>
      </c>
      <c r="K1529" s="9" t="s">
        <v>654</v>
      </c>
    </row>
    <row r="1530" spans="1:11" ht="28.8">
      <c r="A1530" s="9" t="s">
        <v>610</v>
      </c>
      <c r="B1530" s="9" t="s">
        <v>688</v>
      </c>
      <c r="C1530" s="9" t="s">
        <v>601</v>
      </c>
      <c r="D1530" s="12">
        <v>8.48E-2</v>
      </c>
      <c r="E1530" s="12">
        <v>8.5699999999999998E-2</v>
      </c>
      <c r="F1530" s="12">
        <v>-0.1477</v>
      </c>
      <c r="G1530" s="12">
        <v>8.5249999999999992E-2</v>
      </c>
      <c r="H1530" s="12">
        <v>7.6E-3</v>
      </c>
      <c r="I1530" s="12">
        <v>0.1061</v>
      </c>
      <c r="J1530" s="9" t="s">
        <v>412</v>
      </c>
      <c r="K1530" s="9" t="s">
        <v>604</v>
      </c>
    </row>
    <row r="1531" spans="1:11" ht="28.8">
      <c r="A1531" s="9" t="s">
        <v>679</v>
      </c>
      <c r="B1531" s="9" t="s">
        <v>686</v>
      </c>
      <c r="C1531" s="9" t="s">
        <v>659</v>
      </c>
      <c r="D1531" s="12">
        <v>-6.4799999999999996E-2</v>
      </c>
      <c r="E1531" s="12">
        <v>0.2019</v>
      </c>
      <c r="F1531" s="12">
        <v>5.1200000000000002E-2</v>
      </c>
      <c r="G1531" s="12">
        <v>6.855E-2</v>
      </c>
      <c r="H1531" s="12">
        <v>6.2799999999999995E-2</v>
      </c>
      <c r="I1531" s="12">
        <v>0.106</v>
      </c>
      <c r="J1531" s="9" t="s">
        <v>412</v>
      </c>
      <c r="K1531" s="9" t="s">
        <v>604</v>
      </c>
    </row>
    <row r="1532" spans="1:11" ht="28.8">
      <c r="A1532" s="9" t="s">
        <v>661</v>
      </c>
      <c r="B1532" s="9" t="s">
        <v>688</v>
      </c>
      <c r="C1532" s="9" t="s">
        <v>663</v>
      </c>
      <c r="D1532" s="12">
        <v>8.8300000000000003E-2</v>
      </c>
      <c r="E1532" s="12">
        <v>6.8500000000000005E-2</v>
      </c>
      <c r="F1532" s="12">
        <v>0.16059999999999999</v>
      </c>
      <c r="G1532" s="12">
        <v>7.8399999999999997E-2</v>
      </c>
      <c r="H1532" s="12">
        <v>0.10580000000000001</v>
      </c>
      <c r="I1532" s="12">
        <v>0.10580000000000001</v>
      </c>
      <c r="J1532" s="9" t="s">
        <v>412</v>
      </c>
      <c r="K1532" s="9" t="s">
        <v>654</v>
      </c>
    </row>
    <row r="1533" spans="1:11" ht="28.8">
      <c r="A1533" s="9" t="s">
        <v>682</v>
      </c>
      <c r="B1533" s="9" t="s">
        <v>685</v>
      </c>
      <c r="C1533" s="9" t="s">
        <v>683</v>
      </c>
      <c r="D1533" s="12">
        <v>-8.5099999999999995E-2</v>
      </c>
      <c r="E1533" s="12">
        <v>0.12429999999999999</v>
      </c>
      <c r="F1533" s="12">
        <v>0.108</v>
      </c>
      <c r="G1533" s="12">
        <v>1.9599999999999999E-2</v>
      </c>
      <c r="H1533" s="12">
        <v>4.9099999999999998E-2</v>
      </c>
      <c r="I1533" s="12">
        <v>0.10580000000000001</v>
      </c>
      <c r="J1533" s="9" t="s">
        <v>412</v>
      </c>
      <c r="K1533" s="9" t="s">
        <v>604</v>
      </c>
    </row>
    <row r="1534" spans="1:11">
      <c r="A1534" s="9" t="s">
        <v>682</v>
      </c>
      <c r="B1534" s="9" t="s">
        <v>676</v>
      </c>
      <c r="C1534" s="9" t="s">
        <v>656</v>
      </c>
      <c r="D1534" s="12">
        <v>-1.9900000000000001E-2</v>
      </c>
      <c r="E1534" s="12">
        <v>0.1517</v>
      </c>
      <c r="F1534" s="12">
        <v>0.14560000000000001</v>
      </c>
      <c r="G1534" s="12">
        <v>6.59E-2</v>
      </c>
      <c r="H1534" s="12">
        <v>9.2399999999999996E-2</v>
      </c>
      <c r="I1534" s="12">
        <v>0.1057</v>
      </c>
      <c r="J1534" s="9" t="s">
        <v>412</v>
      </c>
      <c r="K1534" s="9" t="s">
        <v>604</v>
      </c>
    </row>
    <row r="1535" spans="1:11" ht="28.8">
      <c r="A1535" s="9" t="s">
        <v>609</v>
      </c>
      <c r="B1535" s="9" t="s">
        <v>684</v>
      </c>
      <c r="C1535" s="9" t="s">
        <v>677</v>
      </c>
      <c r="D1535" s="12">
        <v>-6.1400000000000003E-2</v>
      </c>
      <c r="E1535" s="12">
        <v>-0.19400000000000001</v>
      </c>
      <c r="F1535" s="12">
        <v>-6.13E-2</v>
      </c>
      <c r="G1535" s="12">
        <v>-0.12770000000000001</v>
      </c>
      <c r="H1535" s="12">
        <v>-0.1056</v>
      </c>
      <c r="I1535" s="12">
        <v>0.1056</v>
      </c>
      <c r="J1535" s="9" t="s">
        <v>412</v>
      </c>
      <c r="K1535" s="9" t="s">
        <v>604</v>
      </c>
    </row>
    <row r="1536" spans="1:11" ht="28.8">
      <c r="A1536" s="9" t="s">
        <v>603</v>
      </c>
      <c r="B1536" s="9" t="s">
        <v>686</v>
      </c>
      <c r="C1536" s="9" t="s">
        <v>674</v>
      </c>
      <c r="D1536" s="12">
        <v>-0.1212</v>
      </c>
      <c r="E1536" s="12">
        <v>-0.11899999999999999</v>
      </c>
      <c r="F1536" s="12">
        <v>7.6300000000000007E-2</v>
      </c>
      <c r="G1536" s="12">
        <v>-0.1201</v>
      </c>
      <c r="H1536" s="12">
        <v>-5.4699999999999999E-2</v>
      </c>
      <c r="I1536" s="12">
        <v>0.1055</v>
      </c>
      <c r="J1536" s="9" t="s">
        <v>412</v>
      </c>
      <c r="K1536" s="9" t="s">
        <v>604</v>
      </c>
    </row>
    <row r="1537" spans="1:11" ht="28.8">
      <c r="A1537" s="9" t="s">
        <v>671</v>
      </c>
      <c r="B1537" s="9" t="s">
        <v>691</v>
      </c>
      <c r="C1537" s="9" t="s">
        <v>667</v>
      </c>
      <c r="D1537" s="12">
        <v>0.14219999999999999</v>
      </c>
      <c r="E1537" s="12">
        <v>-0.1353</v>
      </c>
      <c r="F1537" s="12">
        <v>-3.8699999999999998E-2</v>
      </c>
      <c r="G1537" s="12">
        <v>3.4499999999999947E-3</v>
      </c>
      <c r="H1537" s="12">
        <v>-1.06E-2</v>
      </c>
      <c r="I1537" s="12">
        <v>0.10539999999999999</v>
      </c>
      <c r="J1537" s="9" t="s">
        <v>412</v>
      </c>
      <c r="K1537" s="9" t="s">
        <v>604</v>
      </c>
    </row>
    <row r="1538" spans="1:11" ht="28.8">
      <c r="A1538" s="9" t="s">
        <v>679</v>
      </c>
      <c r="B1538" s="9" t="s">
        <v>657</v>
      </c>
      <c r="C1538" s="9" t="s">
        <v>675</v>
      </c>
      <c r="D1538" s="12">
        <v>4.0599999999999997E-2</v>
      </c>
      <c r="E1538" s="12">
        <v>0.14180000000000001</v>
      </c>
      <c r="F1538" s="12">
        <v>-0.13370000000000001</v>
      </c>
      <c r="G1538" s="12">
        <v>9.1200000000000003E-2</v>
      </c>
      <c r="H1538" s="12">
        <v>1.6299999999999999E-2</v>
      </c>
      <c r="I1538" s="12">
        <v>0.10539999999999999</v>
      </c>
      <c r="J1538" s="9" t="s">
        <v>412</v>
      </c>
      <c r="K1538" s="9" t="s">
        <v>604</v>
      </c>
    </row>
    <row r="1539" spans="1:11" ht="28.8">
      <c r="A1539" s="9" t="s">
        <v>682</v>
      </c>
      <c r="B1539" s="9" t="s">
        <v>691</v>
      </c>
      <c r="C1539" s="9" t="s">
        <v>664</v>
      </c>
      <c r="D1539" s="12">
        <v>-0.08</v>
      </c>
      <c r="E1539" s="12">
        <v>-0.1062</v>
      </c>
      <c r="F1539" s="12">
        <v>0.13</v>
      </c>
      <c r="G1539" s="12">
        <v>-9.3100000000000002E-2</v>
      </c>
      <c r="H1539" s="12">
        <v>-1.8700000000000001E-2</v>
      </c>
      <c r="I1539" s="12">
        <v>0.10539999999999999</v>
      </c>
      <c r="J1539" s="9" t="s">
        <v>412</v>
      </c>
      <c r="K1539" s="9" t="s">
        <v>604</v>
      </c>
    </row>
    <row r="1540" spans="1:11" ht="28.8">
      <c r="A1540" s="9" t="s">
        <v>682</v>
      </c>
      <c r="B1540" s="9" t="s">
        <v>673</v>
      </c>
      <c r="C1540" s="9" t="s">
        <v>601</v>
      </c>
      <c r="D1540" s="12">
        <v>-3.2099999999999997E-2</v>
      </c>
      <c r="E1540" s="12">
        <v>-1.3899999999999999E-2</v>
      </c>
      <c r="F1540" s="12">
        <v>0.27029999999999998</v>
      </c>
      <c r="G1540" s="12">
        <v>-2.3E-2</v>
      </c>
      <c r="H1540" s="12">
        <v>7.4700000000000003E-2</v>
      </c>
      <c r="I1540" s="12">
        <v>0.10539999999999999</v>
      </c>
      <c r="J1540" s="9" t="s">
        <v>412</v>
      </c>
      <c r="K1540" s="9" t="s">
        <v>604</v>
      </c>
    </row>
    <row r="1541" spans="1:11" ht="28.8">
      <c r="A1541" s="9" t="s">
        <v>671</v>
      </c>
      <c r="B1541" s="9" t="s">
        <v>687</v>
      </c>
      <c r="C1541" s="9" t="s">
        <v>659</v>
      </c>
      <c r="D1541" s="12">
        <v>0.13159999999999999</v>
      </c>
      <c r="E1541" s="12">
        <v>0.13850000000000001</v>
      </c>
      <c r="F1541" s="12">
        <v>4.58E-2</v>
      </c>
      <c r="G1541" s="12">
        <v>0.13505</v>
      </c>
      <c r="H1541" s="12">
        <v>0.1053</v>
      </c>
      <c r="I1541" s="12">
        <v>0.1053</v>
      </c>
      <c r="J1541" s="9" t="s">
        <v>412</v>
      </c>
      <c r="K1541" s="9" t="s">
        <v>654</v>
      </c>
    </row>
    <row r="1542" spans="1:11" ht="28.8">
      <c r="A1542" s="9" t="s">
        <v>679</v>
      </c>
      <c r="B1542" s="9" t="s">
        <v>691</v>
      </c>
      <c r="C1542" s="9" t="s">
        <v>655</v>
      </c>
      <c r="D1542" s="12">
        <v>9.4500000000000001E-2</v>
      </c>
      <c r="E1542" s="12">
        <v>-0.1757</v>
      </c>
      <c r="F1542" s="12">
        <v>-4.5699999999999998E-2</v>
      </c>
      <c r="G1542" s="12">
        <v>-4.0599999999999997E-2</v>
      </c>
      <c r="H1542" s="12">
        <v>-4.2299999999999997E-2</v>
      </c>
      <c r="I1542" s="12">
        <v>0.1053</v>
      </c>
      <c r="J1542" s="9" t="s">
        <v>412</v>
      </c>
      <c r="K1542" s="9" t="s">
        <v>604</v>
      </c>
    </row>
    <row r="1543" spans="1:11" ht="28.8">
      <c r="A1543" s="9" t="s">
        <v>610</v>
      </c>
      <c r="B1543" s="9" t="s">
        <v>688</v>
      </c>
      <c r="C1543" s="9" t="s">
        <v>677</v>
      </c>
      <c r="D1543" s="12">
        <v>0.10100000000000001</v>
      </c>
      <c r="E1543" s="12">
        <v>8.5699999999999998E-2</v>
      </c>
      <c r="F1543" s="12">
        <v>0.1288</v>
      </c>
      <c r="G1543" s="12">
        <v>9.3350000000000002E-2</v>
      </c>
      <c r="H1543" s="12">
        <v>0.1052</v>
      </c>
      <c r="I1543" s="12">
        <v>0.1052</v>
      </c>
      <c r="J1543" s="9" t="s">
        <v>412</v>
      </c>
      <c r="K1543" s="9" t="s">
        <v>654</v>
      </c>
    </row>
    <row r="1544" spans="1:11" ht="28.8">
      <c r="A1544" s="9" t="s">
        <v>661</v>
      </c>
      <c r="B1544" s="9" t="s">
        <v>665</v>
      </c>
      <c r="C1544" s="9" t="s">
        <v>674</v>
      </c>
      <c r="D1544" s="12">
        <v>6.8199999999999997E-2</v>
      </c>
      <c r="E1544" s="12">
        <v>0.1731</v>
      </c>
      <c r="F1544" s="12">
        <v>7.4200000000000002E-2</v>
      </c>
      <c r="G1544" s="12">
        <v>0.12065000000000001</v>
      </c>
      <c r="H1544" s="12">
        <v>0.1052</v>
      </c>
      <c r="I1544" s="12">
        <v>0.1052</v>
      </c>
      <c r="J1544" s="9" t="s">
        <v>412</v>
      </c>
      <c r="K1544" s="9" t="s">
        <v>654</v>
      </c>
    </row>
    <row r="1545" spans="1:11" ht="28.8">
      <c r="A1545" s="9" t="s">
        <v>661</v>
      </c>
      <c r="B1545" s="9" t="s">
        <v>684</v>
      </c>
      <c r="C1545" s="9" t="s">
        <v>664</v>
      </c>
      <c r="D1545" s="12">
        <v>-2.4199999999999999E-2</v>
      </c>
      <c r="E1545" s="12">
        <v>0.1986</v>
      </c>
      <c r="F1545" s="12">
        <v>-9.2899999999999996E-2</v>
      </c>
      <c r="G1545" s="12">
        <v>8.72E-2</v>
      </c>
      <c r="H1545" s="12">
        <v>2.7199999999999998E-2</v>
      </c>
      <c r="I1545" s="12">
        <v>0.1052</v>
      </c>
      <c r="J1545" s="9" t="s">
        <v>412</v>
      </c>
      <c r="K1545" s="9" t="s">
        <v>604</v>
      </c>
    </row>
    <row r="1546" spans="1:11">
      <c r="A1546" s="9" t="s">
        <v>662</v>
      </c>
      <c r="B1546" s="9" t="s">
        <v>658</v>
      </c>
      <c r="C1546" s="9" t="s">
        <v>667</v>
      </c>
      <c r="D1546" s="12">
        <v>0.12540000000000001</v>
      </c>
      <c r="E1546" s="12">
        <v>0.11119999999999999</v>
      </c>
      <c r="F1546" s="12">
        <v>7.9000000000000001E-2</v>
      </c>
      <c r="G1546" s="12">
        <v>0.1183</v>
      </c>
      <c r="H1546" s="12">
        <v>0.1052</v>
      </c>
      <c r="I1546" s="12">
        <v>0.1052</v>
      </c>
      <c r="J1546" s="9" t="s">
        <v>412</v>
      </c>
      <c r="K1546" s="9" t="s">
        <v>654</v>
      </c>
    </row>
    <row r="1547" spans="1:11" ht="28.8">
      <c r="A1547" s="9" t="s">
        <v>679</v>
      </c>
      <c r="B1547" s="9" t="s">
        <v>685</v>
      </c>
      <c r="C1547" s="9" t="s">
        <v>656</v>
      </c>
      <c r="D1547" s="12">
        <v>-2.2700000000000001E-2</v>
      </c>
      <c r="E1547" s="12">
        <v>0.22770000000000001</v>
      </c>
      <c r="F1547" s="12">
        <v>6.5100000000000005E-2</v>
      </c>
      <c r="G1547" s="12">
        <v>0.10250000000000001</v>
      </c>
      <c r="H1547" s="12">
        <v>9.01E-2</v>
      </c>
      <c r="I1547" s="12">
        <v>0.1052</v>
      </c>
      <c r="J1547" s="9" t="s">
        <v>412</v>
      </c>
      <c r="K1547" s="9" t="s">
        <v>604</v>
      </c>
    </row>
    <row r="1548" spans="1:11" ht="28.8">
      <c r="A1548" s="9" t="s">
        <v>610</v>
      </c>
      <c r="B1548" s="9" t="s">
        <v>688</v>
      </c>
      <c r="C1548" s="9" t="s">
        <v>666</v>
      </c>
      <c r="D1548" s="12">
        <v>9.5000000000000001E-2</v>
      </c>
      <c r="E1548" s="12">
        <v>8.5699999999999998E-2</v>
      </c>
      <c r="F1548" s="12">
        <v>-0.13469999999999999</v>
      </c>
      <c r="G1548" s="12">
        <v>9.035E-2</v>
      </c>
      <c r="H1548" s="12">
        <v>1.5299999999999999E-2</v>
      </c>
      <c r="I1548" s="12">
        <v>0.1051</v>
      </c>
      <c r="J1548" s="9" t="s">
        <v>412</v>
      </c>
      <c r="K1548" s="9" t="s">
        <v>604</v>
      </c>
    </row>
    <row r="1549" spans="1:11" ht="28.8">
      <c r="A1549" s="9" t="s">
        <v>662</v>
      </c>
      <c r="B1549" s="9" t="s">
        <v>672</v>
      </c>
      <c r="C1549" s="9" t="s">
        <v>601</v>
      </c>
      <c r="D1549" s="12">
        <v>-0.1173</v>
      </c>
      <c r="E1549" s="12">
        <v>1.0999999999999999E-2</v>
      </c>
      <c r="F1549" s="12">
        <v>-0.187</v>
      </c>
      <c r="G1549" s="12">
        <v>-5.3150000000000003E-2</v>
      </c>
      <c r="H1549" s="12">
        <v>-9.7799999999999998E-2</v>
      </c>
      <c r="I1549" s="12">
        <v>0.1051</v>
      </c>
      <c r="J1549" s="9" t="s">
        <v>412</v>
      </c>
      <c r="K1549" s="9" t="s">
        <v>604</v>
      </c>
    </row>
    <row r="1550" spans="1:11">
      <c r="A1550" s="9" t="s">
        <v>662</v>
      </c>
      <c r="B1550" s="9" t="s">
        <v>668</v>
      </c>
      <c r="C1550" s="9" t="s">
        <v>659</v>
      </c>
      <c r="D1550" s="12">
        <v>-8.3599999999999994E-2</v>
      </c>
      <c r="E1550" s="12">
        <v>5.5599999999999997E-2</v>
      </c>
      <c r="F1550" s="12">
        <v>-0.17549999999999999</v>
      </c>
      <c r="G1550" s="12">
        <v>-1.3999999999999999E-2</v>
      </c>
      <c r="H1550" s="12">
        <v>-6.7900000000000002E-2</v>
      </c>
      <c r="I1550" s="12">
        <v>0.10489999999999999</v>
      </c>
      <c r="J1550" s="9" t="s">
        <v>412</v>
      </c>
      <c r="K1550" s="9" t="s">
        <v>604</v>
      </c>
    </row>
    <row r="1551" spans="1:11" ht="28.8">
      <c r="A1551" s="9" t="s">
        <v>679</v>
      </c>
      <c r="B1551" s="9" t="s">
        <v>658</v>
      </c>
      <c r="C1551" s="9" t="s">
        <v>674</v>
      </c>
      <c r="D1551" s="12">
        <v>0.11849999999999999</v>
      </c>
      <c r="E1551" s="12">
        <v>3.4000000000000002E-2</v>
      </c>
      <c r="F1551" s="12">
        <v>0.16159999999999999</v>
      </c>
      <c r="G1551" s="12">
        <v>7.6249999999999998E-2</v>
      </c>
      <c r="H1551" s="12">
        <v>0.1047</v>
      </c>
      <c r="I1551" s="12">
        <v>0.1047</v>
      </c>
      <c r="J1551" s="9" t="s">
        <v>412</v>
      </c>
      <c r="K1551" s="9" t="s">
        <v>654</v>
      </c>
    </row>
    <row r="1552" spans="1:11" ht="28.8">
      <c r="A1552" s="9" t="s">
        <v>671</v>
      </c>
      <c r="B1552" s="9" t="s">
        <v>689</v>
      </c>
      <c r="C1552" s="9" t="s">
        <v>655</v>
      </c>
      <c r="D1552" s="12">
        <v>0.1215</v>
      </c>
      <c r="E1552" s="12">
        <v>-0.12859999999999999</v>
      </c>
      <c r="F1552" s="12">
        <v>-6.4000000000000001E-2</v>
      </c>
      <c r="G1552" s="12">
        <v>-3.5499999999999976E-3</v>
      </c>
      <c r="H1552" s="12">
        <v>-2.3699999999999999E-2</v>
      </c>
      <c r="I1552" s="12">
        <v>0.1047</v>
      </c>
      <c r="J1552" s="9" t="s">
        <v>412</v>
      </c>
      <c r="K1552" s="9" t="s">
        <v>604</v>
      </c>
    </row>
    <row r="1553" spans="1:11">
      <c r="A1553" s="9" t="s">
        <v>610</v>
      </c>
      <c r="B1553" s="9" t="s">
        <v>665</v>
      </c>
      <c r="C1553" s="9" t="s">
        <v>656</v>
      </c>
      <c r="D1553" s="12">
        <v>6.5699999999999995E-2</v>
      </c>
      <c r="E1553" s="12">
        <v>7.4899999999999994E-2</v>
      </c>
      <c r="F1553" s="12">
        <v>0.17330000000000001</v>
      </c>
      <c r="G1553" s="12">
        <v>7.0300000000000001E-2</v>
      </c>
      <c r="H1553" s="12">
        <v>0.1047</v>
      </c>
      <c r="I1553" s="12">
        <v>0.1047</v>
      </c>
      <c r="J1553" s="9" t="s">
        <v>412</v>
      </c>
      <c r="K1553" s="9" t="s">
        <v>654</v>
      </c>
    </row>
    <row r="1554" spans="1:11" ht="28.8">
      <c r="A1554" s="9" t="s">
        <v>662</v>
      </c>
      <c r="B1554" s="9" t="s">
        <v>665</v>
      </c>
      <c r="C1554" s="9" t="s">
        <v>677</v>
      </c>
      <c r="D1554" s="12">
        <v>1.2200000000000001E-2</v>
      </c>
      <c r="E1554" s="12">
        <v>-0.1681</v>
      </c>
      <c r="F1554" s="12">
        <v>0.13339999999999999</v>
      </c>
      <c r="G1554" s="12">
        <v>-7.7950000000000005E-2</v>
      </c>
      <c r="H1554" s="12">
        <v>-7.4999999999999997E-3</v>
      </c>
      <c r="I1554" s="12">
        <v>0.1046</v>
      </c>
      <c r="J1554" s="9" t="s">
        <v>412</v>
      </c>
      <c r="K1554" s="9" t="s">
        <v>604</v>
      </c>
    </row>
    <row r="1555" spans="1:11" ht="28.8">
      <c r="A1555" s="9" t="s">
        <v>671</v>
      </c>
      <c r="B1555" s="9" t="s">
        <v>691</v>
      </c>
      <c r="C1555" s="9" t="s">
        <v>683</v>
      </c>
      <c r="D1555" s="12">
        <v>0.1066</v>
      </c>
      <c r="E1555" s="12">
        <v>-0.1353</v>
      </c>
      <c r="F1555" s="12">
        <v>7.1400000000000005E-2</v>
      </c>
      <c r="G1555" s="12">
        <v>-1.4350000000000002E-2</v>
      </c>
      <c r="H1555" s="12">
        <v>1.4200000000000001E-2</v>
      </c>
      <c r="I1555" s="12">
        <v>0.1045</v>
      </c>
      <c r="J1555" s="9" t="s">
        <v>412</v>
      </c>
      <c r="K1555" s="9" t="s">
        <v>604</v>
      </c>
    </row>
    <row r="1556" spans="1:11" ht="28.8">
      <c r="A1556" s="9" t="s">
        <v>661</v>
      </c>
      <c r="B1556" s="9" t="s">
        <v>684</v>
      </c>
      <c r="C1556" s="9" t="s">
        <v>683</v>
      </c>
      <c r="D1556" s="12">
        <v>-5.3400000000000003E-2</v>
      </c>
      <c r="E1556" s="12">
        <v>0.1986</v>
      </c>
      <c r="F1556" s="12">
        <v>-6.1499999999999999E-2</v>
      </c>
      <c r="G1556" s="12">
        <v>7.2599999999999998E-2</v>
      </c>
      <c r="H1556" s="12">
        <v>2.7900000000000001E-2</v>
      </c>
      <c r="I1556" s="12">
        <v>0.1045</v>
      </c>
      <c r="J1556" s="9" t="s">
        <v>412</v>
      </c>
      <c r="K1556" s="9" t="s">
        <v>604</v>
      </c>
    </row>
    <row r="1557" spans="1:11" ht="28.8">
      <c r="A1557" s="9" t="s">
        <v>682</v>
      </c>
      <c r="B1557" s="9" t="s">
        <v>685</v>
      </c>
      <c r="C1557" s="9" t="s">
        <v>601</v>
      </c>
      <c r="D1557" s="12">
        <v>-3.2099999999999997E-2</v>
      </c>
      <c r="E1557" s="12">
        <v>0.12429999999999999</v>
      </c>
      <c r="F1557" s="12">
        <v>-0.157</v>
      </c>
      <c r="G1557" s="12">
        <v>4.6100000000000002E-2</v>
      </c>
      <c r="H1557" s="12">
        <v>-2.1600000000000001E-2</v>
      </c>
      <c r="I1557" s="12">
        <v>0.1045</v>
      </c>
      <c r="J1557" s="9" t="s">
        <v>412</v>
      </c>
      <c r="K1557" s="9" t="s">
        <v>604</v>
      </c>
    </row>
    <row r="1558" spans="1:11" ht="28.8">
      <c r="A1558" s="9" t="s">
        <v>661</v>
      </c>
      <c r="B1558" s="9" t="s">
        <v>673</v>
      </c>
      <c r="C1558" s="9" t="s">
        <v>690</v>
      </c>
      <c r="D1558" s="12">
        <v>3.3700000000000001E-2</v>
      </c>
      <c r="E1558" s="12">
        <v>-0.12659999999999999</v>
      </c>
      <c r="F1558" s="12">
        <v>-0.15279999999999999</v>
      </c>
      <c r="G1558" s="12">
        <v>-4.6449999999999991E-2</v>
      </c>
      <c r="H1558" s="12">
        <v>-8.1900000000000001E-2</v>
      </c>
      <c r="I1558" s="12">
        <v>0.10440000000000001</v>
      </c>
      <c r="J1558" s="9" t="s">
        <v>412</v>
      </c>
      <c r="K1558" s="9" t="s">
        <v>604</v>
      </c>
    </row>
    <row r="1559" spans="1:11">
      <c r="A1559" s="9" t="s">
        <v>662</v>
      </c>
      <c r="B1559" s="9" t="s">
        <v>672</v>
      </c>
      <c r="C1559" s="9" t="s">
        <v>663</v>
      </c>
      <c r="D1559" s="12">
        <v>7.4700000000000003E-2</v>
      </c>
      <c r="E1559" s="12">
        <v>1.0999999999999999E-2</v>
      </c>
      <c r="F1559" s="12">
        <v>0.22750000000000001</v>
      </c>
      <c r="G1559" s="12">
        <v>4.2849999999999999E-2</v>
      </c>
      <c r="H1559" s="12">
        <v>0.10440000000000001</v>
      </c>
      <c r="I1559" s="12">
        <v>0.10440000000000001</v>
      </c>
      <c r="J1559" s="9" t="s">
        <v>412</v>
      </c>
      <c r="K1559" s="9" t="s">
        <v>654</v>
      </c>
    </row>
    <row r="1560" spans="1:11" ht="28.8">
      <c r="A1560" s="9" t="s">
        <v>671</v>
      </c>
      <c r="B1560" s="9" t="s">
        <v>613</v>
      </c>
      <c r="C1560" s="9" t="s">
        <v>664</v>
      </c>
      <c r="D1560" s="12">
        <v>-9.0800000000000006E-2</v>
      </c>
      <c r="E1560" s="12">
        <v>3.5900000000000001E-2</v>
      </c>
      <c r="F1560" s="12">
        <v>-0.18640000000000001</v>
      </c>
      <c r="G1560" s="12">
        <v>-2.7450000000000002E-2</v>
      </c>
      <c r="H1560" s="12">
        <v>-8.0399999999999999E-2</v>
      </c>
      <c r="I1560" s="12">
        <v>0.10440000000000001</v>
      </c>
      <c r="J1560" s="9" t="s">
        <v>412</v>
      </c>
      <c r="K1560" s="9" t="s">
        <v>604</v>
      </c>
    </row>
    <row r="1561" spans="1:11" ht="28.8">
      <c r="A1561" s="9" t="s">
        <v>679</v>
      </c>
      <c r="B1561" s="9" t="s">
        <v>673</v>
      </c>
      <c r="C1561" s="9" t="s">
        <v>664</v>
      </c>
      <c r="D1561" s="12">
        <v>0.1353</v>
      </c>
      <c r="E1561" s="12">
        <v>-7.4499999999999997E-2</v>
      </c>
      <c r="F1561" s="12">
        <v>-0.10340000000000001</v>
      </c>
      <c r="G1561" s="12">
        <v>3.0400000000000003E-2</v>
      </c>
      <c r="H1561" s="12">
        <v>-1.4200000000000001E-2</v>
      </c>
      <c r="I1561" s="12">
        <v>0.10440000000000001</v>
      </c>
      <c r="J1561" s="9" t="s">
        <v>412</v>
      </c>
      <c r="K1561" s="9" t="s">
        <v>604</v>
      </c>
    </row>
    <row r="1562" spans="1:11" ht="28.8">
      <c r="A1562" s="9" t="s">
        <v>671</v>
      </c>
      <c r="B1562" s="9" t="s">
        <v>686</v>
      </c>
      <c r="C1562" s="9" t="s">
        <v>659</v>
      </c>
      <c r="D1562" s="12">
        <v>0.13159999999999999</v>
      </c>
      <c r="E1562" s="12">
        <v>0.13</v>
      </c>
      <c r="F1562" s="12">
        <v>5.1200000000000002E-2</v>
      </c>
      <c r="G1562" s="12">
        <v>0.1308</v>
      </c>
      <c r="H1562" s="12">
        <v>0.1043</v>
      </c>
      <c r="I1562" s="12">
        <v>0.1043</v>
      </c>
      <c r="J1562" s="9" t="s">
        <v>412</v>
      </c>
      <c r="K1562" s="9" t="s">
        <v>654</v>
      </c>
    </row>
    <row r="1563" spans="1:11">
      <c r="A1563" s="9" t="s">
        <v>610</v>
      </c>
      <c r="B1563" s="9" t="s">
        <v>680</v>
      </c>
      <c r="C1563" s="9" t="s">
        <v>667</v>
      </c>
      <c r="D1563" s="12">
        <v>6.1800000000000001E-2</v>
      </c>
      <c r="E1563" s="12">
        <v>-0.1973</v>
      </c>
      <c r="F1563" s="12">
        <v>-5.3800000000000001E-2</v>
      </c>
      <c r="G1563" s="12">
        <v>-6.7750000000000005E-2</v>
      </c>
      <c r="H1563" s="12">
        <v>-6.3100000000000003E-2</v>
      </c>
      <c r="I1563" s="12">
        <v>0.1043</v>
      </c>
      <c r="J1563" s="9" t="s">
        <v>412</v>
      </c>
      <c r="K1563" s="9" t="s">
        <v>604</v>
      </c>
    </row>
    <row r="1564" spans="1:11">
      <c r="A1564" s="9" t="s">
        <v>610</v>
      </c>
      <c r="B1564" s="9" t="s">
        <v>613</v>
      </c>
      <c r="C1564" s="9" t="s">
        <v>663</v>
      </c>
      <c r="D1564" s="12">
        <v>-0.2303</v>
      </c>
      <c r="E1564" s="12">
        <v>8.9999999999999993E-3</v>
      </c>
      <c r="F1564" s="12">
        <v>-7.3700000000000002E-2</v>
      </c>
      <c r="G1564" s="12">
        <v>-0.11065</v>
      </c>
      <c r="H1564" s="12">
        <v>-9.8299999999999998E-2</v>
      </c>
      <c r="I1564" s="12">
        <v>0.1043</v>
      </c>
      <c r="J1564" s="9" t="s">
        <v>412</v>
      </c>
      <c r="K1564" s="9" t="s">
        <v>604</v>
      </c>
    </row>
    <row r="1565" spans="1:11" ht="28.8">
      <c r="A1565" s="9" t="s">
        <v>679</v>
      </c>
      <c r="B1565" s="9" t="s">
        <v>669</v>
      </c>
      <c r="C1565" s="9" t="s">
        <v>683</v>
      </c>
      <c r="D1565" s="12">
        <v>0.16389999999999999</v>
      </c>
      <c r="E1565" s="12">
        <v>8.3900000000000002E-2</v>
      </c>
      <c r="F1565" s="12">
        <v>6.4799999999999996E-2</v>
      </c>
      <c r="G1565" s="12">
        <v>0.1239</v>
      </c>
      <c r="H1565" s="12">
        <v>0.1042</v>
      </c>
      <c r="I1565" s="12">
        <v>0.1042</v>
      </c>
      <c r="J1565" s="9" t="s">
        <v>412</v>
      </c>
      <c r="K1565" s="9" t="s">
        <v>654</v>
      </c>
    </row>
    <row r="1566" spans="1:11" ht="28.8">
      <c r="A1566" s="9" t="s">
        <v>679</v>
      </c>
      <c r="B1566" s="9" t="s">
        <v>691</v>
      </c>
      <c r="C1566" s="9" t="s">
        <v>674</v>
      </c>
      <c r="D1566" s="12">
        <v>0.11849999999999999</v>
      </c>
      <c r="E1566" s="12">
        <v>-0.1757</v>
      </c>
      <c r="F1566" s="12">
        <v>-1.83E-2</v>
      </c>
      <c r="G1566" s="12">
        <v>-2.86E-2</v>
      </c>
      <c r="H1566" s="12">
        <v>-2.52E-2</v>
      </c>
      <c r="I1566" s="12">
        <v>0.1042</v>
      </c>
      <c r="J1566" s="9" t="s">
        <v>412</v>
      </c>
      <c r="K1566" s="9" t="s">
        <v>604</v>
      </c>
    </row>
    <row r="1567" spans="1:11">
      <c r="A1567" s="9" t="s">
        <v>609</v>
      </c>
      <c r="B1567" s="9" t="s">
        <v>686</v>
      </c>
      <c r="C1567" s="9" t="s">
        <v>656</v>
      </c>
      <c r="D1567" s="12">
        <v>0.22770000000000001</v>
      </c>
      <c r="E1567" s="12">
        <v>-8.5000000000000006E-3</v>
      </c>
      <c r="F1567" s="12">
        <v>7.6300000000000007E-2</v>
      </c>
      <c r="G1567" s="12">
        <v>0.1096</v>
      </c>
      <c r="H1567" s="12">
        <v>9.8500000000000004E-2</v>
      </c>
      <c r="I1567" s="12">
        <v>0.1041</v>
      </c>
      <c r="J1567" s="9" t="s">
        <v>412</v>
      </c>
      <c r="K1567" s="9" t="s">
        <v>604</v>
      </c>
    </row>
    <row r="1568" spans="1:11" ht="28.8">
      <c r="A1568" s="9" t="s">
        <v>661</v>
      </c>
      <c r="B1568" s="9" t="s">
        <v>673</v>
      </c>
      <c r="C1568" s="9" t="s">
        <v>674</v>
      </c>
      <c r="D1568" s="12">
        <v>6.8199999999999997E-2</v>
      </c>
      <c r="E1568" s="12">
        <v>-0.12659999999999999</v>
      </c>
      <c r="F1568" s="12">
        <v>-0.11700000000000001</v>
      </c>
      <c r="G1568" s="12">
        <v>-2.9199999999999997E-2</v>
      </c>
      <c r="H1568" s="12">
        <v>-5.8500000000000003E-2</v>
      </c>
      <c r="I1568" s="12">
        <v>0.104</v>
      </c>
      <c r="J1568" s="9" t="s">
        <v>412</v>
      </c>
      <c r="K1568" s="9" t="s">
        <v>604</v>
      </c>
    </row>
    <row r="1569" spans="1:11">
      <c r="A1569" s="9" t="s">
        <v>682</v>
      </c>
      <c r="B1569" s="9" t="s">
        <v>684</v>
      </c>
      <c r="C1569" s="9" t="s">
        <v>670</v>
      </c>
      <c r="D1569" s="12">
        <v>-0.19359999999999999</v>
      </c>
      <c r="E1569" s="12">
        <v>-0.1031</v>
      </c>
      <c r="F1569" s="12">
        <v>-1.49E-2</v>
      </c>
      <c r="G1569" s="12">
        <v>-0.14834999999999998</v>
      </c>
      <c r="H1569" s="12">
        <v>-0.10390000000000001</v>
      </c>
      <c r="I1569" s="12">
        <v>0.10390000000000001</v>
      </c>
      <c r="J1569" s="9" t="s">
        <v>412</v>
      </c>
      <c r="K1569" s="9" t="s">
        <v>604</v>
      </c>
    </row>
    <row r="1570" spans="1:11" ht="28.8">
      <c r="A1570" s="9" t="s">
        <v>662</v>
      </c>
      <c r="B1570" s="9" t="s">
        <v>680</v>
      </c>
      <c r="C1570" s="9" t="s">
        <v>675</v>
      </c>
      <c r="D1570" s="12">
        <v>0.14630000000000001</v>
      </c>
      <c r="E1570" s="12">
        <v>-1.8100000000000002E-2</v>
      </c>
      <c r="F1570" s="12">
        <v>0.14710000000000001</v>
      </c>
      <c r="G1570" s="12">
        <v>6.4100000000000004E-2</v>
      </c>
      <c r="H1570" s="12">
        <v>9.1800000000000007E-2</v>
      </c>
      <c r="I1570" s="12">
        <v>0.10390000000000001</v>
      </c>
      <c r="J1570" s="9" t="s">
        <v>412</v>
      </c>
      <c r="K1570" s="9" t="s">
        <v>604</v>
      </c>
    </row>
    <row r="1571" spans="1:11" ht="28.8">
      <c r="A1571" s="9" t="s">
        <v>661</v>
      </c>
      <c r="B1571" s="9" t="s">
        <v>687</v>
      </c>
      <c r="C1571" s="9" t="s">
        <v>655</v>
      </c>
      <c r="D1571" s="12">
        <v>0.17599999999999999</v>
      </c>
      <c r="E1571" s="12">
        <v>-8.9700000000000002E-2</v>
      </c>
      <c r="F1571" s="12">
        <v>4.6100000000000002E-2</v>
      </c>
      <c r="G1571" s="12">
        <v>4.3149999999999994E-2</v>
      </c>
      <c r="H1571" s="12">
        <v>4.41E-2</v>
      </c>
      <c r="I1571" s="12">
        <v>0.10390000000000001</v>
      </c>
      <c r="J1571" s="9" t="s">
        <v>412</v>
      </c>
      <c r="K1571" s="9" t="s">
        <v>604</v>
      </c>
    </row>
    <row r="1572" spans="1:11" ht="28.8">
      <c r="A1572" s="9" t="s">
        <v>671</v>
      </c>
      <c r="B1572" s="9" t="s">
        <v>676</v>
      </c>
      <c r="C1572" s="9" t="s">
        <v>664</v>
      </c>
      <c r="D1572" s="12">
        <v>-9.0800000000000006E-2</v>
      </c>
      <c r="E1572" s="12">
        <v>0.2205</v>
      </c>
      <c r="F1572" s="12">
        <v>-2.9999999999999997E-4</v>
      </c>
      <c r="G1572" s="12">
        <v>6.4849999999999991E-2</v>
      </c>
      <c r="H1572" s="12">
        <v>4.3200000000000002E-2</v>
      </c>
      <c r="I1572" s="12">
        <v>0.10390000000000001</v>
      </c>
      <c r="J1572" s="9" t="s">
        <v>412</v>
      </c>
      <c r="K1572" s="9" t="s">
        <v>604</v>
      </c>
    </row>
    <row r="1573" spans="1:11" ht="28.8">
      <c r="A1573" s="9" t="s">
        <v>671</v>
      </c>
      <c r="B1573" s="9" t="s">
        <v>681</v>
      </c>
      <c r="C1573" s="9" t="s">
        <v>683</v>
      </c>
      <c r="D1573" s="12">
        <v>0.1066</v>
      </c>
      <c r="E1573" s="12">
        <v>7.1800000000000003E-2</v>
      </c>
      <c r="F1573" s="12">
        <v>-0.13270000000000001</v>
      </c>
      <c r="G1573" s="12">
        <v>8.9200000000000002E-2</v>
      </c>
      <c r="H1573" s="12">
        <v>1.52E-2</v>
      </c>
      <c r="I1573" s="12">
        <v>0.1037</v>
      </c>
      <c r="J1573" s="9" t="s">
        <v>412</v>
      </c>
      <c r="K1573" s="9" t="s">
        <v>604</v>
      </c>
    </row>
    <row r="1574" spans="1:11">
      <c r="A1574" s="9" t="s">
        <v>682</v>
      </c>
      <c r="B1574" s="9" t="s">
        <v>685</v>
      </c>
      <c r="C1574" s="9" t="s">
        <v>663</v>
      </c>
      <c r="D1574" s="12">
        <v>-6.7400000000000002E-2</v>
      </c>
      <c r="E1574" s="12">
        <v>0.12429999999999999</v>
      </c>
      <c r="F1574" s="12">
        <v>0.1195</v>
      </c>
      <c r="G1574" s="12">
        <v>2.8449999999999996E-2</v>
      </c>
      <c r="H1574" s="12">
        <v>5.8799999999999998E-2</v>
      </c>
      <c r="I1574" s="12">
        <v>0.1037</v>
      </c>
      <c r="J1574" s="9" t="s">
        <v>412</v>
      </c>
      <c r="K1574" s="9" t="s">
        <v>604</v>
      </c>
    </row>
    <row r="1575" spans="1:11" ht="28.8">
      <c r="A1575" s="9" t="s">
        <v>609</v>
      </c>
      <c r="B1575" s="9" t="s">
        <v>678</v>
      </c>
      <c r="C1575" s="9" t="s">
        <v>666</v>
      </c>
      <c r="D1575" s="12">
        <v>-7.7700000000000005E-2</v>
      </c>
      <c r="E1575" s="12">
        <v>-0.10390000000000001</v>
      </c>
      <c r="F1575" s="12">
        <v>-0.12959999999999999</v>
      </c>
      <c r="G1575" s="12">
        <v>-9.0800000000000006E-2</v>
      </c>
      <c r="H1575" s="12">
        <v>-0.1037</v>
      </c>
      <c r="I1575" s="12">
        <v>0.1037</v>
      </c>
      <c r="J1575" s="9" t="s">
        <v>412</v>
      </c>
      <c r="K1575" s="9" t="s">
        <v>604</v>
      </c>
    </row>
    <row r="1576" spans="1:11">
      <c r="A1576" s="9" t="s">
        <v>610</v>
      </c>
      <c r="B1576" s="9" t="s">
        <v>658</v>
      </c>
      <c r="C1576" s="9" t="s">
        <v>659</v>
      </c>
      <c r="D1576" s="12">
        <v>0.1174</v>
      </c>
      <c r="E1576" s="12">
        <v>-0.1421</v>
      </c>
      <c r="F1576" s="12">
        <v>-5.1400000000000001E-2</v>
      </c>
      <c r="G1576" s="12">
        <v>-1.235E-2</v>
      </c>
      <c r="H1576" s="12">
        <v>-2.5399999999999999E-2</v>
      </c>
      <c r="I1576" s="12">
        <v>0.1036</v>
      </c>
      <c r="J1576" s="9" t="s">
        <v>412</v>
      </c>
      <c r="K1576" s="9" t="s">
        <v>604</v>
      </c>
    </row>
    <row r="1577" spans="1:11">
      <c r="A1577" s="9" t="s">
        <v>682</v>
      </c>
      <c r="B1577" s="9" t="s">
        <v>691</v>
      </c>
      <c r="C1577" s="9" t="s">
        <v>659</v>
      </c>
      <c r="D1577" s="12">
        <v>0.1188</v>
      </c>
      <c r="E1577" s="12">
        <v>-0.1062</v>
      </c>
      <c r="F1577" s="12">
        <v>-8.5900000000000004E-2</v>
      </c>
      <c r="G1577" s="12">
        <v>6.3E-3</v>
      </c>
      <c r="H1577" s="12">
        <v>-2.4400000000000002E-2</v>
      </c>
      <c r="I1577" s="12">
        <v>0.1036</v>
      </c>
      <c r="J1577" s="9" t="s">
        <v>412</v>
      </c>
      <c r="K1577" s="9" t="s">
        <v>604</v>
      </c>
    </row>
    <row r="1578" spans="1:11">
      <c r="A1578" s="9" t="s">
        <v>682</v>
      </c>
      <c r="B1578" s="9" t="s">
        <v>673</v>
      </c>
      <c r="C1578" s="9" t="s">
        <v>655</v>
      </c>
      <c r="D1578" s="12">
        <v>7.3099999999999998E-2</v>
      </c>
      <c r="E1578" s="12">
        <v>-1.3899999999999999E-2</v>
      </c>
      <c r="F1578" s="12">
        <v>-0.22339999999999999</v>
      </c>
      <c r="G1578" s="12">
        <v>2.9600000000000001E-2</v>
      </c>
      <c r="H1578" s="12">
        <v>-5.4699999999999999E-2</v>
      </c>
      <c r="I1578" s="12">
        <v>0.10349999999999999</v>
      </c>
      <c r="J1578" s="9" t="s">
        <v>412</v>
      </c>
      <c r="K1578" s="9" t="s">
        <v>604</v>
      </c>
    </row>
    <row r="1579" spans="1:11" ht="28.8">
      <c r="A1579" s="9" t="s">
        <v>679</v>
      </c>
      <c r="B1579" s="9" t="s">
        <v>685</v>
      </c>
      <c r="C1579" s="9" t="s">
        <v>659</v>
      </c>
      <c r="D1579" s="12">
        <v>-6.4799999999999996E-2</v>
      </c>
      <c r="E1579" s="12">
        <v>0.22770000000000001</v>
      </c>
      <c r="F1579" s="12">
        <v>-1.7899999999999999E-2</v>
      </c>
      <c r="G1579" s="12">
        <v>8.1450000000000009E-2</v>
      </c>
      <c r="H1579" s="12">
        <v>4.8399999999999999E-2</v>
      </c>
      <c r="I1579" s="12">
        <v>0.10349999999999999</v>
      </c>
      <c r="J1579" s="9" t="s">
        <v>412</v>
      </c>
      <c r="K1579" s="9" t="s">
        <v>604</v>
      </c>
    </row>
    <row r="1580" spans="1:11" ht="28.8">
      <c r="A1580" s="9" t="s">
        <v>603</v>
      </c>
      <c r="B1580" s="9" t="s">
        <v>684</v>
      </c>
      <c r="C1580" s="9" t="s">
        <v>677</v>
      </c>
      <c r="D1580" s="12">
        <v>0.14069999999999999</v>
      </c>
      <c r="E1580" s="12">
        <v>-0.10829999999999999</v>
      </c>
      <c r="F1580" s="12">
        <v>-6.13E-2</v>
      </c>
      <c r="G1580" s="12">
        <v>1.6199999999999999E-2</v>
      </c>
      <c r="H1580" s="12">
        <v>-9.5999999999999992E-3</v>
      </c>
      <c r="I1580" s="12">
        <v>0.10349999999999999</v>
      </c>
      <c r="J1580" s="9" t="s">
        <v>412</v>
      </c>
      <c r="K1580" s="9" t="s">
        <v>604</v>
      </c>
    </row>
    <row r="1581" spans="1:11" ht="28.8">
      <c r="A1581" s="9" t="s">
        <v>661</v>
      </c>
      <c r="B1581" s="9" t="s">
        <v>673</v>
      </c>
      <c r="C1581" s="9" t="s">
        <v>667</v>
      </c>
      <c r="D1581" s="12">
        <v>5.3600000000000002E-2</v>
      </c>
      <c r="E1581" s="12">
        <v>-0.12659999999999999</v>
      </c>
      <c r="F1581" s="12">
        <v>-0.1298</v>
      </c>
      <c r="G1581" s="12">
        <v>-3.6499999999999991E-2</v>
      </c>
      <c r="H1581" s="12">
        <v>-6.7599999999999993E-2</v>
      </c>
      <c r="I1581" s="12">
        <v>0.10340000000000001</v>
      </c>
      <c r="J1581" s="9" t="s">
        <v>412</v>
      </c>
      <c r="K1581" s="9" t="s">
        <v>604</v>
      </c>
    </row>
    <row r="1582" spans="1:11" ht="28.8">
      <c r="A1582" s="9" t="s">
        <v>679</v>
      </c>
      <c r="B1582" s="9" t="s">
        <v>673</v>
      </c>
      <c r="C1582" s="9" t="s">
        <v>674</v>
      </c>
      <c r="D1582" s="12">
        <v>0.11849999999999999</v>
      </c>
      <c r="E1582" s="12">
        <v>-7.4499999999999997E-2</v>
      </c>
      <c r="F1582" s="12">
        <v>-0.11700000000000001</v>
      </c>
      <c r="G1582" s="12">
        <v>2.1999999999999999E-2</v>
      </c>
      <c r="H1582" s="12">
        <v>-2.4299999999999999E-2</v>
      </c>
      <c r="I1582" s="12">
        <v>0.1033</v>
      </c>
      <c r="J1582" s="9" t="s">
        <v>412</v>
      </c>
      <c r="K1582" s="9" t="s">
        <v>604</v>
      </c>
    </row>
    <row r="1583" spans="1:11">
      <c r="A1583" s="9" t="s">
        <v>609</v>
      </c>
      <c r="B1583" s="9" t="s">
        <v>691</v>
      </c>
      <c r="C1583" s="9" t="s">
        <v>656</v>
      </c>
      <c r="D1583" s="12">
        <v>0.22770000000000001</v>
      </c>
      <c r="E1583" s="12">
        <v>4.9399999999999999E-2</v>
      </c>
      <c r="F1583" s="12">
        <v>-3.2500000000000001E-2</v>
      </c>
      <c r="G1583" s="12">
        <v>0.13855000000000001</v>
      </c>
      <c r="H1583" s="12">
        <v>8.1500000000000003E-2</v>
      </c>
      <c r="I1583" s="12">
        <v>0.1032</v>
      </c>
      <c r="J1583" s="9" t="s">
        <v>412</v>
      </c>
      <c r="K1583" s="9" t="s">
        <v>604</v>
      </c>
    </row>
    <row r="1584" spans="1:11" ht="28.8">
      <c r="A1584" s="9" t="s">
        <v>679</v>
      </c>
      <c r="B1584" s="9" t="s">
        <v>673</v>
      </c>
      <c r="C1584" s="9" t="s">
        <v>659</v>
      </c>
      <c r="D1584" s="12">
        <v>-6.4799999999999996E-2</v>
      </c>
      <c r="E1584" s="12">
        <v>-7.4499999999999997E-2</v>
      </c>
      <c r="F1584" s="12">
        <v>-0.17030000000000001</v>
      </c>
      <c r="G1584" s="12">
        <v>-6.964999999999999E-2</v>
      </c>
      <c r="H1584" s="12">
        <v>-0.1032</v>
      </c>
      <c r="I1584" s="12">
        <v>0.1032</v>
      </c>
      <c r="J1584" s="9" t="s">
        <v>412</v>
      </c>
      <c r="K1584" s="9" t="s">
        <v>604</v>
      </c>
    </row>
    <row r="1585" spans="1:11" ht="28.8">
      <c r="A1585" s="9" t="s">
        <v>610</v>
      </c>
      <c r="B1585" s="9" t="s">
        <v>665</v>
      </c>
      <c r="C1585" s="9" t="s">
        <v>677</v>
      </c>
      <c r="D1585" s="12">
        <v>0.10100000000000001</v>
      </c>
      <c r="E1585" s="12">
        <v>7.4899999999999994E-2</v>
      </c>
      <c r="F1585" s="12">
        <v>0.13339999999999999</v>
      </c>
      <c r="G1585" s="12">
        <v>8.795E-2</v>
      </c>
      <c r="H1585" s="12">
        <v>0.1031</v>
      </c>
      <c r="I1585" s="12">
        <v>0.1031</v>
      </c>
      <c r="J1585" s="9" t="s">
        <v>412</v>
      </c>
      <c r="K1585" s="9" t="s">
        <v>654</v>
      </c>
    </row>
    <row r="1586" spans="1:11" ht="28.8">
      <c r="A1586" s="9" t="s">
        <v>661</v>
      </c>
      <c r="B1586" s="9" t="s">
        <v>689</v>
      </c>
      <c r="C1586" s="9" t="s">
        <v>667</v>
      </c>
      <c r="D1586" s="12">
        <v>5.3600000000000002E-2</v>
      </c>
      <c r="E1586" s="12">
        <v>-0.1028</v>
      </c>
      <c r="F1586" s="12">
        <v>-0.15240000000000001</v>
      </c>
      <c r="G1586" s="12">
        <v>-2.46E-2</v>
      </c>
      <c r="H1586" s="12">
        <v>-6.7199999999999996E-2</v>
      </c>
      <c r="I1586" s="12">
        <v>0.10299999999999999</v>
      </c>
      <c r="J1586" s="9" t="s">
        <v>412</v>
      </c>
      <c r="K1586" s="9" t="s">
        <v>604</v>
      </c>
    </row>
    <row r="1587" spans="1:11" ht="28.8">
      <c r="A1587" s="9" t="s">
        <v>661</v>
      </c>
      <c r="B1587" s="9" t="s">
        <v>687</v>
      </c>
      <c r="C1587" s="9" t="s">
        <v>663</v>
      </c>
      <c r="D1587" s="12">
        <v>8.8300000000000003E-2</v>
      </c>
      <c r="E1587" s="12">
        <v>-8.9700000000000002E-2</v>
      </c>
      <c r="F1587" s="12">
        <v>0.13100000000000001</v>
      </c>
      <c r="G1587" s="12">
        <v>-6.9999999999999923E-4</v>
      </c>
      <c r="H1587" s="12">
        <v>4.3200000000000002E-2</v>
      </c>
      <c r="I1587" s="12">
        <v>0.10299999999999999</v>
      </c>
      <c r="J1587" s="9" t="s">
        <v>412</v>
      </c>
      <c r="K1587" s="9" t="s">
        <v>604</v>
      </c>
    </row>
    <row r="1588" spans="1:11">
      <c r="A1588" s="9" t="s">
        <v>682</v>
      </c>
      <c r="B1588" s="9" t="s">
        <v>684</v>
      </c>
      <c r="C1588" s="9" t="s">
        <v>663</v>
      </c>
      <c r="D1588" s="12">
        <v>-6.7400000000000002E-2</v>
      </c>
      <c r="E1588" s="12">
        <v>-0.1031</v>
      </c>
      <c r="F1588" s="12">
        <v>0.13800000000000001</v>
      </c>
      <c r="G1588" s="12">
        <v>-8.5249999999999992E-2</v>
      </c>
      <c r="H1588" s="12">
        <v>-1.0800000000000001E-2</v>
      </c>
      <c r="I1588" s="12">
        <v>0.1028</v>
      </c>
      <c r="J1588" s="9" t="s">
        <v>412</v>
      </c>
      <c r="K1588" s="9" t="s">
        <v>604</v>
      </c>
    </row>
    <row r="1589" spans="1:11">
      <c r="A1589" s="9" t="s">
        <v>662</v>
      </c>
      <c r="B1589" s="9" t="s">
        <v>680</v>
      </c>
      <c r="C1589" s="9" t="s">
        <v>655</v>
      </c>
      <c r="D1589" s="12">
        <v>5.6899999999999999E-2</v>
      </c>
      <c r="E1589" s="12">
        <v>-1.8100000000000002E-2</v>
      </c>
      <c r="F1589" s="12">
        <v>0.2334</v>
      </c>
      <c r="G1589" s="12">
        <v>1.9400000000000001E-2</v>
      </c>
      <c r="H1589" s="12">
        <v>9.0700000000000003E-2</v>
      </c>
      <c r="I1589" s="12">
        <v>0.1028</v>
      </c>
      <c r="J1589" s="9" t="s">
        <v>412</v>
      </c>
      <c r="K1589" s="9" t="s">
        <v>604</v>
      </c>
    </row>
    <row r="1590" spans="1:11" ht="28.8">
      <c r="A1590" s="9" t="s">
        <v>609</v>
      </c>
      <c r="B1590" s="9" t="s">
        <v>676</v>
      </c>
      <c r="C1590" s="9" t="s">
        <v>677</v>
      </c>
      <c r="D1590" s="12">
        <v>-6.1400000000000003E-2</v>
      </c>
      <c r="E1590" s="12">
        <v>-3.9E-2</v>
      </c>
      <c r="F1590" s="12">
        <v>0.2077</v>
      </c>
      <c r="G1590" s="12">
        <v>-5.0200000000000002E-2</v>
      </c>
      <c r="H1590" s="12">
        <v>3.5799999999999998E-2</v>
      </c>
      <c r="I1590" s="12">
        <v>0.1027</v>
      </c>
      <c r="J1590" s="9" t="s">
        <v>412</v>
      </c>
      <c r="K1590" s="9" t="s">
        <v>604</v>
      </c>
    </row>
    <row r="1591" spans="1:11" ht="28.8">
      <c r="A1591" s="9" t="s">
        <v>682</v>
      </c>
      <c r="B1591" s="9" t="s">
        <v>613</v>
      </c>
      <c r="C1591" s="9" t="s">
        <v>683</v>
      </c>
      <c r="D1591" s="12">
        <v>-8.5099999999999995E-2</v>
      </c>
      <c r="E1591" s="12">
        <v>-1.2999999999999999E-2</v>
      </c>
      <c r="F1591" s="12">
        <v>-0.21</v>
      </c>
      <c r="G1591" s="12">
        <v>-4.9049999999999996E-2</v>
      </c>
      <c r="H1591" s="12">
        <v>-0.1027</v>
      </c>
      <c r="I1591" s="12">
        <v>0.1027</v>
      </c>
      <c r="J1591" s="9" t="s">
        <v>412</v>
      </c>
      <c r="K1591" s="9" t="s">
        <v>604</v>
      </c>
    </row>
    <row r="1592" spans="1:11" ht="28.8">
      <c r="A1592" s="9" t="s">
        <v>682</v>
      </c>
      <c r="B1592" s="9" t="s">
        <v>687</v>
      </c>
      <c r="C1592" s="9" t="s">
        <v>674</v>
      </c>
      <c r="D1592" s="12">
        <v>4.1999999999999997E-3</v>
      </c>
      <c r="E1592" s="12">
        <v>0.13450000000000001</v>
      </c>
      <c r="F1592" s="12">
        <v>0.16930000000000001</v>
      </c>
      <c r="G1592" s="12">
        <v>6.9350000000000009E-2</v>
      </c>
      <c r="H1592" s="12">
        <v>0.1027</v>
      </c>
      <c r="I1592" s="12">
        <v>0.1027</v>
      </c>
      <c r="J1592" s="9" t="s">
        <v>412</v>
      </c>
      <c r="K1592" s="9" t="s">
        <v>654</v>
      </c>
    </row>
    <row r="1593" spans="1:11" ht="28.8">
      <c r="A1593" s="9" t="s">
        <v>609</v>
      </c>
      <c r="B1593" s="9" t="s">
        <v>665</v>
      </c>
      <c r="C1593" s="9" t="s">
        <v>677</v>
      </c>
      <c r="D1593" s="12">
        <v>-6.1400000000000003E-2</v>
      </c>
      <c r="E1593" s="12">
        <v>-0.11310000000000001</v>
      </c>
      <c r="F1593" s="12">
        <v>0.13339999999999999</v>
      </c>
      <c r="G1593" s="12">
        <v>-8.7250000000000008E-2</v>
      </c>
      <c r="H1593" s="12">
        <v>-1.37E-2</v>
      </c>
      <c r="I1593" s="12">
        <v>0.1026</v>
      </c>
      <c r="J1593" s="9" t="s">
        <v>412</v>
      </c>
      <c r="K1593" s="9" t="s">
        <v>604</v>
      </c>
    </row>
    <row r="1594" spans="1:11">
      <c r="A1594" s="9" t="s">
        <v>610</v>
      </c>
      <c r="B1594" s="9" t="s">
        <v>676</v>
      </c>
      <c r="C1594" s="9" t="s">
        <v>659</v>
      </c>
      <c r="D1594" s="12">
        <v>0.1174</v>
      </c>
      <c r="E1594" s="12">
        <v>8.2799999999999999E-2</v>
      </c>
      <c r="F1594" s="12">
        <v>0.1076</v>
      </c>
      <c r="G1594" s="12">
        <v>0.10009999999999999</v>
      </c>
      <c r="H1594" s="12">
        <v>0.1026</v>
      </c>
      <c r="I1594" s="12">
        <v>0.1026</v>
      </c>
      <c r="J1594" s="9" t="s">
        <v>412</v>
      </c>
      <c r="K1594" s="9" t="s">
        <v>654</v>
      </c>
    </row>
    <row r="1595" spans="1:11">
      <c r="A1595" s="9" t="s">
        <v>609</v>
      </c>
      <c r="B1595" s="9" t="s">
        <v>689</v>
      </c>
      <c r="C1595" s="9" t="s">
        <v>663</v>
      </c>
      <c r="D1595" s="12">
        <v>-0.12770000000000001</v>
      </c>
      <c r="E1595" s="12">
        <v>-4.6100000000000002E-2</v>
      </c>
      <c r="F1595" s="12">
        <v>0.13370000000000001</v>
      </c>
      <c r="G1595" s="12">
        <v>-8.6900000000000005E-2</v>
      </c>
      <c r="H1595" s="12">
        <v>-1.34E-2</v>
      </c>
      <c r="I1595" s="12">
        <v>0.10249999999999999</v>
      </c>
      <c r="J1595" s="9" t="s">
        <v>412</v>
      </c>
      <c r="K1595" s="9" t="s">
        <v>604</v>
      </c>
    </row>
    <row r="1596" spans="1:11" ht="28.8">
      <c r="A1596" s="9" t="s">
        <v>671</v>
      </c>
      <c r="B1596" s="9" t="s">
        <v>689</v>
      </c>
      <c r="C1596" s="9" t="s">
        <v>683</v>
      </c>
      <c r="D1596" s="12">
        <v>0.1066</v>
      </c>
      <c r="E1596" s="12">
        <v>-0.12859999999999999</v>
      </c>
      <c r="F1596" s="12">
        <v>-7.22E-2</v>
      </c>
      <c r="G1596" s="12">
        <v>-1.0999999999999996E-2</v>
      </c>
      <c r="H1596" s="12">
        <v>-3.1399999999999997E-2</v>
      </c>
      <c r="I1596" s="12">
        <v>0.10249999999999999</v>
      </c>
      <c r="J1596" s="9" t="s">
        <v>412</v>
      </c>
      <c r="K1596" s="9" t="s">
        <v>604</v>
      </c>
    </row>
    <row r="1597" spans="1:11" ht="28.8">
      <c r="A1597" s="9" t="s">
        <v>671</v>
      </c>
      <c r="B1597" s="9" t="s">
        <v>691</v>
      </c>
      <c r="C1597" s="9" t="s">
        <v>675</v>
      </c>
      <c r="D1597" s="12">
        <v>0.10780000000000001</v>
      </c>
      <c r="E1597" s="12">
        <v>-0.1353</v>
      </c>
      <c r="F1597" s="12">
        <v>-6.3600000000000004E-2</v>
      </c>
      <c r="G1597" s="12">
        <v>-1.3749999999999998E-2</v>
      </c>
      <c r="H1597" s="12">
        <v>-3.04E-2</v>
      </c>
      <c r="I1597" s="12">
        <v>0.1023</v>
      </c>
      <c r="J1597" s="9" t="s">
        <v>412</v>
      </c>
      <c r="K1597" s="9" t="s">
        <v>604</v>
      </c>
    </row>
    <row r="1598" spans="1:11" ht="28.8">
      <c r="A1598" s="9" t="s">
        <v>603</v>
      </c>
      <c r="B1598" s="9" t="s">
        <v>689</v>
      </c>
      <c r="C1598" s="9" t="s">
        <v>677</v>
      </c>
      <c r="D1598" s="12">
        <v>0.14069999999999999</v>
      </c>
      <c r="E1598" s="12">
        <v>2.1399999999999999E-2</v>
      </c>
      <c r="F1598" s="12">
        <v>-0.14460000000000001</v>
      </c>
      <c r="G1598" s="12">
        <v>8.1049999999999997E-2</v>
      </c>
      <c r="H1598" s="12">
        <v>5.7999999999999996E-3</v>
      </c>
      <c r="I1598" s="12">
        <v>0.1023</v>
      </c>
      <c r="J1598" s="9" t="s">
        <v>412</v>
      </c>
      <c r="K1598" s="9" t="s">
        <v>604</v>
      </c>
    </row>
    <row r="1599" spans="1:11" ht="28.8">
      <c r="A1599" s="9" t="s">
        <v>679</v>
      </c>
      <c r="B1599" s="9" t="s">
        <v>689</v>
      </c>
      <c r="C1599" s="9" t="s">
        <v>683</v>
      </c>
      <c r="D1599" s="12">
        <v>0.16389999999999999</v>
      </c>
      <c r="E1599" s="12">
        <v>-7.0900000000000005E-2</v>
      </c>
      <c r="F1599" s="12">
        <v>-7.22E-2</v>
      </c>
      <c r="G1599" s="12">
        <v>4.6499999999999993E-2</v>
      </c>
      <c r="H1599" s="12">
        <v>6.8999999999999999E-3</v>
      </c>
      <c r="I1599" s="12">
        <v>0.1023</v>
      </c>
      <c r="J1599" s="9" t="s">
        <v>412</v>
      </c>
      <c r="K1599" s="9" t="s">
        <v>604</v>
      </c>
    </row>
    <row r="1600" spans="1:11" ht="28.8">
      <c r="A1600" s="9" t="s">
        <v>661</v>
      </c>
      <c r="B1600" s="9" t="s">
        <v>613</v>
      </c>
      <c r="C1600" s="9" t="s">
        <v>666</v>
      </c>
      <c r="D1600" s="12">
        <v>0.2175</v>
      </c>
      <c r="E1600" s="12">
        <v>3.3000000000000002E-2</v>
      </c>
      <c r="F1600" s="12">
        <v>5.6399999999999999E-2</v>
      </c>
      <c r="G1600" s="12">
        <v>0.12525</v>
      </c>
      <c r="H1600" s="12">
        <v>0.1023</v>
      </c>
      <c r="I1600" s="12">
        <v>0.1023</v>
      </c>
      <c r="J1600" s="9" t="s">
        <v>412</v>
      </c>
      <c r="K1600" s="9" t="s">
        <v>654</v>
      </c>
    </row>
    <row r="1601" spans="1:11" ht="28.8">
      <c r="A1601" s="9" t="s">
        <v>662</v>
      </c>
      <c r="B1601" s="9" t="s">
        <v>691</v>
      </c>
      <c r="C1601" s="9" t="s">
        <v>666</v>
      </c>
      <c r="D1601" s="12">
        <v>-0.1094</v>
      </c>
      <c r="E1601" s="12">
        <v>7.0099999999999996E-2</v>
      </c>
      <c r="F1601" s="12">
        <v>0.12740000000000001</v>
      </c>
      <c r="G1601" s="12">
        <v>-1.9650000000000001E-2</v>
      </c>
      <c r="H1601" s="12">
        <v>2.9399999999999999E-2</v>
      </c>
      <c r="I1601" s="12">
        <v>0.1023</v>
      </c>
      <c r="J1601" s="9" t="s">
        <v>412</v>
      </c>
      <c r="K1601" s="9" t="s">
        <v>604</v>
      </c>
    </row>
    <row r="1602" spans="1:11" ht="28.8">
      <c r="A1602" s="9" t="s">
        <v>671</v>
      </c>
      <c r="B1602" s="9" t="s">
        <v>678</v>
      </c>
      <c r="C1602" s="9" t="s">
        <v>667</v>
      </c>
      <c r="D1602" s="12">
        <v>0.14219999999999999</v>
      </c>
      <c r="E1602" s="12">
        <v>-0.14360000000000001</v>
      </c>
      <c r="F1602" s="12">
        <v>-2.01E-2</v>
      </c>
      <c r="G1602" s="12">
        <v>-7.0000000000000617E-4</v>
      </c>
      <c r="H1602" s="12">
        <v>-7.1999999999999998E-3</v>
      </c>
      <c r="I1602" s="12">
        <v>0.10199999999999999</v>
      </c>
      <c r="J1602" s="9" t="s">
        <v>412</v>
      </c>
      <c r="K1602" s="9" t="s">
        <v>604</v>
      </c>
    </row>
    <row r="1603" spans="1:11" ht="28.8">
      <c r="A1603" s="9" t="s">
        <v>671</v>
      </c>
      <c r="B1603" s="9" t="s">
        <v>687</v>
      </c>
      <c r="C1603" s="9" t="s">
        <v>655</v>
      </c>
      <c r="D1603" s="12">
        <v>0.1215</v>
      </c>
      <c r="E1603" s="12">
        <v>0.13850000000000001</v>
      </c>
      <c r="F1603" s="12">
        <v>4.6100000000000002E-2</v>
      </c>
      <c r="G1603" s="12">
        <v>0.13</v>
      </c>
      <c r="H1603" s="12">
        <v>0.10199999999999999</v>
      </c>
      <c r="I1603" s="12">
        <v>0.10199999999999999</v>
      </c>
      <c r="J1603" s="9" t="s">
        <v>412</v>
      </c>
      <c r="K1603" s="9" t="s">
        <v>654</v>
      </c>
    </row>
    <row r="1604" spans="1:11">
      <c r="A1604" s="9" t="s">
        <v>609</v>
      </c>
      <c r="B1604" s="9" t="s">
        <v>688</v>
      </c>
      <c r="C1604" s="9" t="s">
        <v>656</v>
      </c>
      <c r="D1604" s="12">
        <v>0.22770000000000001</v>
      </c>
      <c r="E1604" s="12">
        <v>6.3E-3</v>
      </c>
      <c r="F1604" s="12">
        <v>7.1499999999999994E-2</v>
      </c>
      <c r="G1604" s="12">
        <v>0.11700000000000001</v>
      </c>
      <c r="H1604" s="12">
        <v>0.1019</v>
      </c>
      <c r="I1604" s="12">
        <v>0.1019</v>
      </c>
      <c r="J1604" s="9" t="s">
        <v>412</v>
      </c>
      <c r="K1604" s="9" t="s">
        <v>654</v>
      </c>
    </row>
    <row r="1605" spans="1:11" ht="28.8">
      <c r="A1605" s="9" t="s">
        <v>603</v>
      </c>
      <c r="B1605" s="9" t="s">
        <v>685</v>
      </c>
      <c r="C1605" s="9" t="s">
        <v>675</v>
      </c>
      <c r="D1605" s="12">
        <v>-0.18360000000000001</v>
      </c>
      <c r="E1605" s="12">
        <v>1.0699999999999999E-2</v>
      </c>
      <c r="F1605" s="12">
        <v>0.11119999999999999</v>
      </c>
      <c r="G1605" s="12">
        <v>-8.6450000000000013E-2</v>
      </c>
      <c r="H1605" s="12">
        <v>-2.06E-2</v>
      </c>
      <c r="I1605" s="12">
        <v>0.1018</v>
      </c>
      <c r="J1605" s="9" t="s">
        <v>412</v>
      </c>
      <c r="K1605" s="9" t="s">
        <v>604</v>
      </c>
    </row>
    <row r="1606" spans="1:11" ht="28.8">
      <c r="A1606" s="9" t="s">
        <v>609</v>
      </c>
      <c r="B1606" s="9" t="s">
        <v>678</v>
      </c>
      <c r="C1606" s="9" t="s">
        <v>683</v>
      </c>
      <c r="D1606" s="12">
        <v>-0.105</v>
      </c>
      <c r="E1606" s="12">
        <v>-0.10390000000000001</v>
      </c>
      <c r="F1606" s="12">
        <v>-9.6299999999999997E-2</v>
      </c>
      <c r="G1606" s="12">
        <v>-0.10445</v>
      </c>
      <c r="H1606" s="12">
        <v>-0.1017</v>
      </c>
      <c r="I1606" s="12">
        <v>0.1017</v>
      </c>
      <c r="J1606" s="9" t="s">
        <v>412</v>
      </c>
      <c r="K1606" s="9" t="s">
        <v>604</v>
      </c>
    </row>
    <row r="1607" spans="1:11">
      <c r="A1607" s="9" t="s">
        <v>610</v>
      </c>
      <c r="B1607" s="9" t="s">
        <v>685</v>
      </c>
      <c r="C1607" s="9" t="s">
        <v>655</v>
      </c>
      <c r="D1607" s="12">
        <v>-9.4E-2</v>
      </c>
      <c r="E1607" s="12">
        <v>4.0500000000000001E-2</v>
      </c>
      <c r="F1607" s="12">
        <v>0.17069999999999999</v>
      </c>
      <c r="G1607" s="12">
        <v>-2.6749999999999999E-2</v>
      </c>
      <c r="H1607" s="12">
        <v>3.9100000000000003E-2</v>
      </c>
      <c r="I1607" s="12">
        <v>0.1017</v>
      </c>
      <c r="J1607" s="9" t="s">
        <v>412</v>
      </c>
      <c r="K1607" s="9" t="s">
        <v>604</v>
      </c>
    </row>
    <row r="1608" spans="1:11" ht="28.8">
      <c r="A1608" s="9" t="s">
        <v>679</v>
      </c>
      <c r="B1608" s="9" t="s">
        <v>672</v>
      </c>
      <c r="C1608" s="9" t="s">
        <v>659</v>
      </c>
      <c r="D1608" s="12">
        <v>-6.4799999999999996E-2</v>
      </c>
      <c r="E1608" s="12">
        <v>0.13270000000000001</v>
      </c>
      <c r="F1608" s="12">
        <v>-0.10730000000000001</v>
      </c>
      <c r="G1608" s="12">
        <v>3.3950000000000008E-2</v>
      </c>
      <c r="H1608" s="12">
        <v>-1.32E-2</v>
      </c>
      <c r="I1608" s="12">
        <v>0.1016</v>
      </c>
      <c r="J1608" s="9" t="s">
        <v>412</v>
      </c>
      <c r="K1608" s="9" t="s">
        <v>604</v>
      </c>
    </row>
    <row r="1609" spans="1:11">
      <c r="A1609" s="9" t="s">
        <v>662</v>
      </c>
      <c r="B1609" s="9" t="s">
        <v>681</v>
      </c>
      <c r="C1609" s="9" t="s">
        <v>667</v>
      </c>
      <c r="D1609" s="12">
        <v>0.12540000000000001</v>
      </c>
      <c r="E1609" s="12">
        <v>0.1535</v>
      </c>
      <c r="F1609" s="12">
        <v>2.58E-2</v>
      </c>
      <c r="G1609" s="12">
        <v>0.13945000000000002</v>
      </c>
      <c r="H1609" s="12">
        <v>0.1016</v>
      </c>
      <c r="I1609" s="12">
        <v>0.1016</v>
      </c>
      <c r="J1609" s="9" t="s">
        <v>412</v>
      </c>
      <c r="K1609" s="9" t="s">
        <v>654</v>
      </c>
    </row>
    <row r="1610" spans="1:11" ht="28.8">
      <c r="A1610" s="9" t="s">
        <v>609</v>
      </c>
      <c r="B1610" s="9" t="s">
        <v>660</v>
      </c>
      <c r="C1610" s="9" t="s">
        <v>677</v>
      </c>
      <c r="D1610" s="12">
        <v>-6.1400000000000003E-2</v>
      </c>
      <c r="E1610" s="12">
        <v>2.5700000000000001E-2</v>
      </c>
      <c r="F1610" s="12">
        <v>0.21759999999999999</v>
      </c>
      <c r="G1610" s="12">
        <v>-1.7850000000000001E-2</v>
      </c>
      <c r="H1610" s="12">
        <v>6.0699999999999997E-2</v>
      </c>
      <c r="I1610" s="12">
        <v>0.1016</v>
      </c>
      <c r="J1610" s="9" t="s">
        <v>412</v>
      </c>
      <c r="K1610" s="9" t="s">
        <v>604</v>
      </c>
    </row>
    <row r="1611" spans="1:11" ht="28.8">
      <c r="A1611" s="9" t="s">
        <v>662</v>
      </c>
      <c r="B1611" s="9" t="s">
        <v>688</v>
      </c>
      <c r="C1611" s="9" t="s">
        <v>690</v>
      </c>
      <c r="D1611" s="12">
        <v>-3.1300000000000001E-2</v>
      </c>
      <c r="E1611" s="12">
        <v>0.1293</v>
      </c>
      <c r="F1611" s="12">
        <v>0.14399999999999999</v>
      </c>
      <c r="G1611" s="12">
        <v>4.9000000000000002E-2</v>
      </c>
      <c r="H1611" s="12">
        <v>8.0699999999999994E-2</v>
      </c>
      <c r="I1611" s="12">
        <v>0.10150000000000001</v>
      </c>
      <c r="J1611" s="9" t="s">
        <v>412</v>
      </c>
      <c r="K1611" s="9" t="s">
        <v>604</v>
      </c>
    </row>
    <row r="1612" spans="1:11" ht="28.8">
      <c r="A1612" s="9" t="s">
        <v>671</v>
      </c>
      <c r="B1612" s="9" t="s">
        <v>673</v>
      </c>
      <c r="C1612" s="9" t="s">
        <v>674</v>
      </c>
      <c r="D1612" s="12">
        <v>-6.2799999999999995E-2</v>
      </c>
      <c r="E1612" s="12">
        <v>-0.12470000000000001</v>
      </c>
      <c r="F1612" s="12">
        <v>-0.11700000000000001</v>
      </c>
      <c r="G1612" s="12">
        <v>-9.375E-2</v>
      </c>
      <c r="H1612" s="12">
        <v>-0.10150000000000001</v>
      </c>
      <c r="I1612" s="12">
        <v>0.10150000000000001</v>
      </c>
      <c r="J1612" s="9" t="s">
        <v>412</v>
      </c>
      <c r="K1612" s="9" t="s">
        <v>604</v>
      </c>
    </row>
    <row r="1613" spans="1:11" ht="28.8">
      <c r="A1613" s="9" t="s">
        <v>610</v>
      </c>
      <c r="B1613" s="9" t="s">
        <v>681</v>
      </c>
      <c r="C1613" s="9" t="s">
        <v>664</v>
      </c>
      <c r="D1613" s="12">
        <v>-9.1300000000000006E-2</v>
      </c>
      <c r="E1613" s="12">
        <v>0.13150000000000001</v>
      </c>
      <c r="F1613" s="12">
        <v>-8.14E-2</v>
      </c>
      <c r="G1613" s="12">
        <v>2.01E-2</v>
      </c>
      <c r="H1613" s="12">
        <v>-1.37E-2</v>
      </c>
      <c r="I1613" s="12">
        <v>0.1014</v>
      </c>
      <c r="J1613" s="9" t="s">
        <v>412</v>
      </c>
      <c r="K1613" s="9" t="s">
        <v>604</v>
      </c>
    </row>
    <row r="1614" spans="1:11">
      <c r="A1614" s="9" t="s">
        <v>609</v>
      </c>
      <c r="B1614" s="9" t="s">
        <v>687</v>
      </c>
      <c r="C1614" s="9" t="s">
        <v>663</v>
      </c>
      <c r="D1614" s="12">
        <v>-0.12770000000000001</v>
      </c>
      <c r="E1614" s="12">
        <v>-4.5400000000000003E-2</v>
      </c>
      <c r="F1614" s="12">
        <v>0.13100000000000001</v>
      </c>
      <c r="G1614" s="12">
        <v>-8.6550000000000002E-2</v>
      </c>
      <c r="H1614" s="12">
        <v>-1.4E-2</v>
      </c>
      <c r="I1614" s="12">
        <v>0.1014</v>
      </c>
      <c r="J1614" s="9" t="s">
        <v>412</v>
      </c>
      <c r="K1614" s="9" t="s">
        <v>604</v>
      </c>
    </row>
    <row r="1615" spans="1:11" ht="28.8">
      <c r="A1615" s="9" t="s">
        <v>661</v>
      </c>
      <c r="B1615" s="9" t="s">
        <v>685</v>
      </c>
      <c r="C1615" s="9" t="s">
        <v>690</v>
      </c>
      <c r="D1615" s="12">
        <v>3.3700000000000001E-2</v>
      </c>
      <c r="E1615" s="12">
        <v>0.18970000000000001</v>
      </c>
      <c r="F1615" s="12">
        <v>-8.0600000000000005E-2</v>
      </c>
      <c r="G1615" s="12">
        <v>0.11170000000000001</v>
      </c>
      <c r="H1615" s="12">
        <v>4.7600000000000003E-2</v>
      </c>
      <c r="I1615" s="12">
        <v>0.1013</v>
      </c>
      <c r="J1615" s="9" t="s">
        <v>412</v>
      </c>
      <c r="K1615" s="9" t="s">
        <v>604</v>
      </c>
    </row>
    <row r="1616" spans="1:11" ht="28.8">
      <c r="A1616" s="9" t="s">
        <v>661</v>
      </c>
      <c r="B1616" s="9" t="s">
        <v>681</v>
      </c>
      <c r="C1616" s="9" t="s">
        <v>666</v>
      </c>
      <c r="D1616" s="12">
        <v>0.2175</v>
      </c>
      <c r="E1616" s="12">
        <v>2.3900000000000001E-2</v>
      </c>
      <c r="F1616" s="12">
        <v>6.2399999999999997E-2</v>
      </c>
      <c r="G1616" s="12">
        <v>0.1207</v>
      </c>
      <c r="H1616" s="12">
        <v>0.1013</v>
      </c>
      <c r="I1616" s="12">
        <v>0.1013</v>
      </c>
      <c r="J1616" s="9" t="s">
        <v>412</v>
      </c>
      <c r="K1616" s="9" t="s">
        <v>654</v>
      </c>
    </row>
    <row r="1617" spans="1:11" ht="28.8">
      <c r="A1617" s="9" t="s">
        <v>679</v>
      </c>
      <c r="B1617" s="9" t="s">
        <v>687</v>
      </c>
      <c r="C1617" s="9" t="s">
        <v>667</v>
      </c>
      <c r="D1617" s="12">
        <v>-0.12280000000000001</v>
      </c>
      <c r="E1617" s="12">
        <v>0.10589999999999999</v>
      </c>
      <c r="F1617" s="12">
        <v>-7.4800000000000005E-2</v>
      </c>
      <c r="G1617" s="12">
        <v>-8.4500000000000061E-3</v>
      </c>
      <c r="H1617" s="12">
        <v>-3.0599999999999999E-2</v>
      </c>
      <c r="I1617" s="12">
        <v>0.1012</v>
      </c>
      <c r="J1617" s="9" t="s">
        <v>412</v>
      </c>
      <c r="K1617" s="9" t="s">
        <v>604</v>
      </c>
    </row>
    <row r="1618" spans="1:11" ht="28.8">
      <c r="A1618" s="9" t="s">
        <v>661</v>
      </c>
      <c r="B1618" s="9" t="s">
        <v>678</v>
      </c>
      <c r="C1618" s="9" t="s">
        <v>683</v>
      </c>
      <c r="D1618" s="12">
        <v>-5.3400000000000003E-2</v>
      </c>
      <c r="E1618" s="12">
        <v>-0.15379999999999999</v>
      </c>
      <c r="F1618" s="12">
        <v>-9.6299999999999997E-2</v>
      </c>
      <c r="G1618" s="12">
        <v>-0.1036</v>
      </c>
      <c r="H1618" s="12">
        <v>-0.1012</v>
      </c>
      <c r="I1618" s="12">
        <v>0.1012</v>
      </c>
      <c r="J1618" s="9" t="s">
        <v>412</v>
      </c>
      <c r="K1618" s="9" t="s">
        <v>604</v>
      </c>
    </row>
    <row r="1619" spans="1:11" ht="28.8">
      <c r="A1619" s="9" t="s">
        <v>679</v>
      </c>
      <c r="B1619" s="9" t="s">
        <v>672</v>
      </c>
      <c r="C1619" s="9" t="s">
        <v>674</v>
      </c>
      <c r="D1619" s="12">
        <v>0.11849999999999999</v>
      </c>
      <c r="E1619" s="12">
        <v>0.13270000000000001</v>
      </c>
      <c r="F1619" s="12">
        <v>5.2299999999999999E-2</v>
      </c>
      <c r="G1619" s="12">
        <v>0.12559999999999999</v>
      </c>
      <c r="H1619" s="12">
        <v>0.1012</v>
      </c>
      <c r="I1619" s="12">
        <v>0.1012</v>
      </c>
      <c r="J1619" s="9" t="s">
        <v>412</v>
      </c>
      <c r="K1619" s="9" t="s">
        <v>654</v>
      </c>
    </row>
    <row r="1620" spans="1:11" ht="28.8">
      <c r="A1620" s="9" t="s">
        <v>671</v>
      </c>
      <c r="B1620" s="9" t="s">
        <v>689</v>
      </c>
      <c r="C1620" s="9" t="s">
        <v>674</v>
      </c>
      <c r="D1620" s="12">
        <v>-6.2799999999999995E-2</v>
      </c>
      <c r="E1620" s="12">
        <v>-0.12859999999999999</v>
      </c>
      <c r="F1620" s="12">
        <v>0.112</v>
      </c>
      <c r="G1620" s="12">
        <v>-9.5699999999999993E-2</v>
      </c>
      <c r="H1620" s="12">
        <v>-2.6499999999999999E-2</v>
      </c>
      <c r="I1620" s="12">
        <v>0.1011</v>
      </c>
      <c r="J1620" s="9" t="s">
        <v>412</v>
      </c>
      <c r="K1620" s="9" t="s">
        <v>604</v>
      </c>
    </row>
    <row r="1621" spans="1:11" ht="28.8">
      <c r="A1621" s="9" t="s">
        <v>671</v>
      </c>
      <c r="B1621" s="9" t="s">
        <v>665</v>
      </c>
      <c r="C1621" s="9" t="s">
        <v>677</v>
      </c>
      <c r="D1621" s="12">
        <v>6.8900000000000003E-2</v>
      </c>
      <c r="E1621" s="12">
        <v>0.1009</v>
      </c>
      <c r="F1621" s="12">
        <v>0.13339999999999999</v>
      </c>
      <c r="G1621" s="12">
        <v>8.4900000000000003E-2</v>
      </c>
      <c r="H1621" s="12">
        <v>0.1011</v>
      </c>
      <c r="I1621" s="12">
        <v>0.1011</v>
      </c>
      <c r="J1621" s="9" t="s">
        <v>412</v>
      </c>
      <c r="K1621" s="9" t="s">
        <v>654</v>
      </c>
    </row>
    <row r="1622" spans="1:11">
      <c r="A1622" s="9" t="s">
        <v>682</v>
      </c>
      <c r="B1622" s="9" t="s">
        <v>673</v>
      </c>
      <c r="C1622" s="9" t="s">
        <v>659</v>
      </c>
      <c r="D1622" s="12">
        <v>0.1188</v>
      </c>
      <c r="E1622" s="12">
        <v>-1.3899999999999999E-2</v>
      </c>
      <c r="F1622" s="12">
        <v>-0.17030000000000001</v>
      </c>
      <c r="G1622" s="12">
        <v>5.2450000000000004E-2</v>
      </c>
      <c r="H1622" s="12">
        <v>-2.18E-2</v>
      </c>
      <c r="I1622" s="12">
        <v>0.10100000000000001</v>
      </c>
      <c r="J1622" s="9" t="s">
        <v>412</v>
      </c>
      <c r="K1622" s="9" t="s">
        <v>604</v>
      </c>
    </row>
    <row r="1623" spans="1:11" ht="28.8">
      <c r="A1623" s="9" t="s">
        <v>661</v>
      </c>
      <c r="B1623" s="9" t="s">
        <v>689</v>
      </c>
      <c r="C1623" s="9" t="s">
        <v>675</v>
      </c>
      <c r="D1623" s="12">
        <v>0.14380000000000001</v>
      </c>
      <c r="E1623" s="12">
        <v>-0.1028</v>
      </c>
      <c r="F1623" s="12">
        <v>5.6300000000000003E-2</v>
      </c>
      <c r="G1623" s="12">
        <v>2.0500000000000004E-2</v>
      </c>
      <c r="H1623" s="12">
        <v>3.2399999999999998E-2</v>
      </c>
      <c r="I1623" s="12">
        <v>0.10100000000000001</v>
      </c>
      <c r="J1623" s="9" t="s">
        <v>412</v>
      </c>
      <c r="K1623" s="9" t="s">
        <v>604</v>
      </c>
    </row>
    <row r="1624" spans="1:11" ht="28.8">
      <c r="A1624" s="9" t="s">
        <v>662</v>
      </c>
      <c r="B1624" s="9" t="s">
        <v>678</v>
      </c>
      <c r="C1624" s="9" t="s">
        <v>666</v>
      </c>
      <c r="D1624" s="12">
        <v>-0.1094</v>
      </c>
      <c r="E1624" s="12">
        <v>-6.4199999999999993E-2</v>
      </c>
      <c r="F1624" s="12">
        <v>-0.12959999999999999</v>
      </c>
      <c r="G1624" s="12">
        <v>-8.6799999999999988E-2</v>
      </c>
      <c r="H1624" s="12">
        <v>-0.10100000000000001</v>
      </c>
      <c r="I1624" s="12">
        <v>0.10100000000000001</v>
      </c>
      <c r="J1624" s="9" t="s">
        <v>412</v>
      </c>
      <c r="K1624" s="9" t="s">
        <v>604</v>
      </c>
    </row>
    <row r="1625" spans="1:11">
      <c r="A1625" s="9" t="s">
        <v>662</v>
      </c>
      <c r="B1625" s="9" t="s">
        <v>685</v>
      </c>
      <c r="C1625" s="9" t="s">
        <v>663</v>
      </c>
      <c r="D1625" s="12">
        <v>7.4700000000000003E-2</v>
      </c>
      <c r="E1625" s="12">
        <v>0.1087</v>
      </c>
      <c r="F1625" s="12">
        <v>0.1195</v>
      </c>
      <c r="G1625" s="12">
        <v>9.1700000000000004E-2</v>
      </c>
      <c r="H1625" s="12">
        <v>0.10100000000000001</v>
      </c>
      <c r="I1625" s="12">
        <v>0.10100000000000001</v>
      </c>
      <c r="J1625" s="9" t="s">
        <v>412</v>
      </c>
      <c r="K1625" s="9" t="s">
        <v>654</v>
      </c>
    </row>
    <row r="1626" spans="1:11" ht="28.8">
      <c r="A1626" s="9" t="s">
        <v>609</v>
      </c>
      <c r="B1626" s="9" t="s">
        <v>678</v>
      </c>
      <c r="C1626" s="9" t="s">
        <v>674</v>
      </c>
      <c r="D1626" s="12">
        <v>-8.6999999999999994E-3</v>
      </c>
      <c r="E1626" s="12">
        <v>-0.10390000000000001</v>
      </c>
      <c r="F1626" s="12">
        <v>-0.18970000000000001</v>
      </c>
      <c r="G1626" s="12">
        <v>-5.6300000000000003E-2</v>
      </c>
      <c r="H1626" s="12">
        <v>-0.1008</v>
      </c>
      <c r="I1626" s="12">
        <v>0.1008</v>
      </c>
      <c r="J1626" s="9" t="s">
        <v>412</v>
      </c>
      <c r="K1626" s="9" t="s">
        <v>604</v>
      </c>
    </row>
    <row r="1627" spans="1:11" ht="28.8">
      <c r="A1627" s="9" t="s">
        <v>671</v>
      </c>
      <c r="B1627" s="9" t="s">
        <v>691</v>
      </c>
      <c r="C1627" s="9" t="s">
        <v>655</v>
      </c>
      <c r="D1627" s="12">
        <v>0.1215</v>
      </c>
      <c r="E1627" s="12">
        <v>-0.1353</v>
      </c>
      <c r="F1627" s="12">
        <v>-4.5699999999999998E-2</v>
      </c>
      <c r="G1627" s="12">
        <v>-6.9000000000000034E-3</v>
      </c>
      <c r="H1627" s="12">
        <v>-1.9900000000000001E-2</v>
      </c>
      <c r="I1627" s="12">
        <v>0.1008</v>
      </c>
      <c r="J1627" s="9" t="s">
        <v>412</v>
      </c>
      <c r="K1627" s="9" t="s">
        <v>604</v>
      </c>
    </row>
    <row r="1628" spans="1:11" ht="28.8">
      <c r="A1628" s="9" t="s">
        <v>671</v>
      </c>
      <c r="B1628" s="9" t="s">
        <v>687</v>
      </c>
      <c r="C1628" s="9" t="s">
        <v>683</v>
      </c>
      <c r="D1628" s="12">
        <v>0.1066</v>
      </c>
      <c r="E1628" s="12">
        <v>0.13850000000000001</v>
      </c>
      <c r="F1628" s="12">
        <v>5.7099999999999998E-2</v>
      </c>
      <c r="G1628" s="12">
        <v>0.12255000000000001</v>
      </c>
      <c r="H1628" s="12">
        <v>0.1007</v>
      </c>
      <c r="I1628" s="12">
        <v>0.1007</v>
      </c>
      <c r="J1628" s="9" t="s">
        <v>412</v>
      </c>
      <c r="K1628" s="9" t="s">
        <v>654</v>
      </c>
    </row>
    <row r="1629" spans="1:11">
      <c r="A1629" s="9" t="s">
        <v>682</v>
      </c>
      <c r="B1629" s="9" t="s">
        <v>689</v>
      </c>
      <c r="C1629" s="9" t="s">
        <v>667</v>
      </c>
      <c r="D1629" s="12">
        <v>-0.02</v>
      </c>
      <c r="E1629" s="12">
        <v>0.1298</v>
      </c>
      <c r="F1629" s="12">
        <v>-0.15240000000000001</v>
      </c>
      <c r="G1629" s="12">
        <v>5.4899999999999997E-2</v>
      </c>
      <c r="H1629" s="12">
        <v>-1.4200000000000001E-2</v>
      </c>
      <c r="I1629" s="12">
        <v>0.1007</v>
      </c>
      <c r="J1629" s="9" t="s">
        <v>412</v>
      </c>
      <c r="K1629" s="9" t="s">
        <v>604</v>
      </c>
    </row>
    <row r="1630" spans="1:11" ht="28.8">
      <c r="A1630" s="9" t="s">
        <v>671</v>
      </c>
      <c r="B1630" s="9" t="s">
        <v>678</v>
      </c>
      <c r="C1630" s="9" t="s">
        <v>675</v>
      </c>
      <c r="D1630" s="12">
        <v>0.10780000000000001</v>
      </c>
      <c r="E1630" s="12">
        <v>-0.14360000000000001</v>
      </c>
      <c r="F1630" s="12">
        <v>-5.0299999999999997E-2</v>
      </c>
      <c r="G1630" s="12">
        <v>-1.7899999999999999E-2</v>
      </c>
      <c r="H1630" s="12">
        <v>-2.87E-2</v>
      </c>
      <c r="I1630" s="12">
        <v>0.10059999999999999</v>
      </c>
      <c r="J1630" s="9" t="s">
        <v>412</v>
      </c>
      <c r="K1630" s="9" t="s">
        <v>604</v>
      </c>
    </row>
    <row r="1631" spans="1:11" ht="28.8">
      <c r="A1631" s="9" t="s">
        <v>671</v>
      </c>
      <c r="B1631" s="9" t="s">
        <v>686</v>
      </c>
      <c r="C1631" s="9" t="s">
        <v>690</v>
      </c>
      <c r="D1631" s="12">
        <v>-7.0199999999999999E-2</v>
      </c>
      <c r="E1631" s="12">
        <v>0.13</v>
      </c>
      <c r="F1631" s="12">
        <v>-0.10150000000000001</v>
      </c>
      <c r="G1631" s="12">
        <v>2.9900000000000003E-2</v>
      </c>
      <c r="H1631" s="12">
        <v>-1.3899999999999999E-2</v>
      </c>
      <c r="I1631" s="12">
        <v>0.10059999999999999</v>
      </c>
      <c r="J1631" s="9" t="s">
        <v>412</v>
      </c>
      <c r="K1631" s="9" t="s">
        <v>604</v>
      </c>
    </row>
    <row r="1632" spans="1:11" ht="28.8">
      <c r="A1632" s="9" t="s">
        <v>671</v>
      </c>
      <c r="B1632" s="9" t="s">
        <v>686</v>
      </c>
      <c r="C1632" s="9" t="s">
        <v>663</v>
      </c>
      <c r="D1632" s="12">
        <v>9.4399999999999998E-2</v>
      </c>
      <c r="E1632" s="12">
        <v>0.13</v>
      </c>
      <c r="F1632" s="12">
        <v>7.7299999999999994E-2</v>
      </c>
      <c r="G1632" s="12">
        <v>0.11219999999999999</v>
      </c>
      <c r="H1632" s="12">
        <v>0.10059999999999999</v>
      </c>
      <c r="I1632" s="12">
        <v>0.10059999999999999</v>
      </c>
      <c r="J1632" s="9" t="s">
        <v>412</v>
      </c>
      <c r="K1632" s="9" t="s">
        <v>654</v>
      </c>
    </row>
    <row r="1633" spans="1:11">
      <c r="A1633" s="9" t="s">
        <v>682</v>
      </c>
      <c r="B1633" s="9" t="s">
        <v>668</v>
      </c>
      <c r="C1633" s="9" t="s">
        <v>659</v>
      </c>
      <c r="D1633" s="12">
        <v>0.1188</v>
      </c>
      <c r="E1633" s="12">
        <v>7.3000000000000001E-3</v>
      </c>
      <c r="F1633" s="12">
        <v>-0.17549999999999999</v>
      </c>
      <c r="G1633" s="12">
        <v>6.3049999999999995E-2</v>
      </c>
      <c r="H1633" s="12">
        <v>-1.6500000000000001E-2</v>
      </c>
      <c r="I1633" s="12">
        <v>0.10059999999999999</v>
      </c>
      <c r="J1633" s="9" t="s">
        <v>412</v>
      </c>
      <c r="K1633" s="9" t="s">
        <v>604</v>
      </c>
    </row>
    <row r="1634" spans="1:11" ht="28.8">
      <c r="A1634" s="9" t="s">
        <v>661</v>
      </c>
      <c r="B1634" s="9" t="s">
        <v>684</v>
      </c>
      <c r="C1634" s="9" t="s">
        <v>659</v>
      </c>
      <c r="D1634" s="12">
        <v>4.3499999999999997E-2</v>
      </c>
      <c r="E1634" s="12">
        <v>0.1986</v>
      </c>
      <c r="F1634" s="12">
        <v>-5.9499999999999997E-2</v>
      </c>
      <c r="G1634" s="12">
        <v>0.12104999999999999</v>
      </c>
      <c r="H1634" s="12">
        <v>6.0900000000000003E-2</v>
      </c>
      <c r="I1634" s="12">
        <v>0.10050000000000001</v>
      </c>
      <c r="J1634" s="9" t="s">
        <v>412</v>
      </c>
      <c r="K1634" s="9" t="s">
        <v>604</v>
      </c>
    </row>
    <row r="1635" spans="1:11" ht="28.8">
      <c r="A1635" s="9" t="s">
        <v>609</v>
      </c>
      <c r="B1635" s="9" t="s">
        <v>684</v>
      </c>
      <c r="C1635" s="9" t="s">
        <v>674</v>
      </c>
      <c r="D1635" s="12">
        <v>-8.6999999999999994E-3</v>
      </c>
      <c r="E1635" s="12">
        <v>-0.19400000000000001</v>
      </c>
      <c r="F1635" s="12">
        <v>9.8699999999999996E-2</v>
      </c>
      <c r="G1635" s="12">
        <v>-0.10135</v>
      </c>
      <c r="H1635" s="12">
        <v>-3.4700000000000002E-2</v>
      </c>
      <c r="I1635" s="12">
        <v>0.1004</v>
      </c>
      <c r="J1635" s="9" t="s">
        <v>412</v>
      </c>
      <c r="K1635" s="9" t="s">
        <v>604</v>
      </c>
    </row>
    <row r="1636" spans="1:11" ht="28.8">
      <c r="A1636" s="9" t="s">
        <v>679</v>
      </c>
      <c r="B1636" s="9" t="s">
        <v>689</v>
      </c>
      <c r="C1636" s="9" t="s">
        <v>674</v>
      </c>
      <c r="D1636" s="12">
        <v>0.11849999999999999</v>
      </c>
      <c r="E1636" s="12">
        <v>-7.0900000000000005E-2</v>
      </c>
      <c r="F1636" s="12">
        <v>0.112</v>
      </c>
      <c r="G1636" s="12">
        <v>2.3799999999999995E-2</v>
      </c>
      <c r="H1636" s="12">
        <v>5.3199999999999997E-2</v>
      </c>
      <c r="I1636" s="12">
        <v>0.1004</v>
      </c>
      <c r="J1636" s="9" t="s">
        <v>412</v>
      </c>
      <c r="K1636" s="9" t="s">
        <v>604</v>
      </c>
    </row>
    <row r="1637" spans="1:11" ht="28.8">
      <c r="A1637" s="9" t="s">
        <v>679</v>
      </c>
      <c r="B1637" s="9" t="s">
        <v>686</v>
      </c>
      <c r="C1637" s="9" t="s">
        <v>656</v>
      </c>
      <c r="D1637" s="12">
        <v>-2.2700000000000001E-2</v>
      </c>
      <c r="E1637" s="12">
        <v>0.2019</v>
      </c>
      <c r="F1637" s="12">
        <v>7.6300000000000007E-2</v>
      </c>
      <c r="G1637" s="12">
        <v>8.9599999999999999E-2</v>
      </c>
      <c r="H1637" s="12">
        <v>8.5199999999999998E-2</v>
      </c>
      <c r="I1637" s="12">
        <v>0.1003</v>
      </c>
      <c r="J1637" s="9" t="s">
        <v>412</v>
      </c>
      <c r="K1637" s="9" t="s">
        <v>604</v>
      </c>
    </row>
    <row r="1638" spans="1:11" ht="28.8">
      <c r="A1638" s="9" t="s">
        <v>679</v>
      </c>
      <c r="B1638" s="9" t="s">
        <v>684</v>
      </c>
      <c r="C1638" s="9" t="s">
        <v>664</v>
      </c>
      <c r="D1638" s="12">
        <v>0.1353</v>
      </c>
      <c r="E1638" s="12">
        <v>-7.2800000000000004E-2</v>
      </c>
      <c r="F1638" s="12">
        <v>-9.2899999999999996E-2</v>
      </c>
      <c r="G1638" s="12">
        <v>3.125E-2</v>
      </c>
      <c r="H1638" s="12">
        <v>-1.01E-2</v>
      </c>
      <c r="I1638" s="12">
        <v>0.1003</v>
      </c>
      <c r="J1638" s="9" t="s">
        <v>412</v>
      </c>
      <c r="K1638" s="9" t="s">
        <v>604</v>
      </c>
    </row>
    <row r="1639" spans="1:11" ht="28.8">
      <c r="A1639" s="9" t="s">
        <v>610</v>
      </c>
      <c r="B1639" s="9" t="s">
        <v>613</v>
      </c>
      <c r="C1639" s="9" t="s">
        <v>683</v>
      </c>
      <c r="D1639" s="12">
        <v>-8.1500000000000003E-2</v>
      </c>
      <c r="E1639" s="12">
        <v>8.9999999999999993E-3</v>
      </c>
      <c r="F1639" s="12">
        <v>-0.21</v>
      </c>
      <c r="G1639" s="12">
        <v>-3.6250000000000004E-2</v>
      </c>
      <c r="H1639" s="12">
        <v>-9.4100000000000003E-2</v>
      </c>
      <c r="I1639" s="12">
        <v>0.1002</v>
      </c>
      <c r="J1639" s="9" t="s">
        <v>412</v>
      </c>
      <c r="K1639" s="9" t="s">
        <v>604</v>
      </c>
    </row>
    <row r="1640" spans="1:11" ht="28.8">
      <c r="A1640" s="9" t="s">
        <v>661</v>
      </c>
      <c r="B1640" s="9" t="s">
        <v>665</v>
      </c>
      <c r="C1640" s="9" t="s">
        <v>690</v>
      </c>
      <c r="D1640" s="12">
        <v>3.3700000000000001E-2</v>
      </c>
      <c r="E1640" s="12">
        <v>0.1731</v>
      </c>
      <c r="F1640" s="12">
        <v>-9.3799999999999994E-2</v>
      </c>
      <c r="G1640" s="12">
        <v>0.10340000000000001</v>
      </c>
      <c r="H1640" s="12">
        <v>3.7699999999999997E-2</v>
      </c>
      <c r="I1640" s="12">
        <v>0.1002</v>
      </c>
      <c r="J1640" s="9" t="s">
        <v>412</v>
      </c>
      <c r="K1640" s="9" t="s">
        <v>604</v>
      </c>
    </row>
    <row r="1641" spans="1:11" ht="28.8">
      <c r="A1641" s="9" t="s">
        <v>661</v>
      </c>
      <c r="B1641" s="9" t="s">
        <v>691</v>
      </c>
      <c r="C1641" s="9" t="s">
        <v>601</v>
      </c>
      <c r="D1641" s="12">
        <v>-0.2266</v>
      </c>
      <c r="E1641" s="12">
        <v>4.9000000000000002E-2</v>
      </c>
      <c r="F1641" s="12">
        <v>2.4299999999999999E-2</v>
      </c>
      <c r="G1641" s="12">
        <v>-8.879999999999999E-2</v>
      </c>
      <c r="H1641" s="12">
        <v>-5.11E-2</v>
      </c>
      <c r="I1641" s="12">
        <v>0.1</v>
      </c>
      <c r="J1641" s="9" t="s">
        <v>412</v>
      </c>
      <c r="K1641" s="9" t="s">
        <v>604</v>
      </c>
    </row>
    <row r="1642" spans="1:11" ht="28.8">
      <c r="A1642" s="9" t="s">
        <v>671</v>
      </c>
      <c r="B1642" s="9" t="s">
        <v>602</v>
      </c>
      <c r="C1642" s="9" t="s">
        <v>683</v>
      </c>
      <c r="D1642" s="12">
        <v>0.1066</v>
      </c>
      <c r="E1642" s="12">
        <v>-8.6199999999999999E-2</v>
      </c>
      <c r="F1642" s="12">
        <v>0.107</v>
      </c>
      <c r="G1642" s="12">
        <v>1.0200000000000001E-2</v>
      </c>
      <c r="H1642" s="12">
        <v>4.2500000000000003E-2</v>
      </c>
      <c r="I1642" s="12">
        <v>9.9900000000000003E-2</v>
      </c>
      <c r="J1642" s="9" t="s">
        <v>412</v>
      </c>
      <c r="K1642" s="9" t="s">
        <v>604</v>
      </c>
    </row>
    <row r="1643" spans="1:11" ht="28.8">
      <c r="A1643" s="9" t="s">
        <v>661</v>
      </c>
      <c r="B1643" s="9" t="s">
        <v>660</v>
      </c>
      <c r="C1643" s="9" t="s">
        <v>683</v>
      </c>
      <c r="D1643" s="12">
        <v>-5.3400000000000003E-2</v>
      </c>
      <c r="E1643" s="12">
        <v>-0.21290000000000001</v>
      </c>
      <c r="F1643" s="12">
        <v>-3.3000000000000002E-2</v>
      </c>
      <c r="G1643" s="12">
        <v>-0.13314999999999999</v>
      </c>
      <c r="H1643" s="12">
        <v>-9.98E-2</v>
      </c>
      <c r="I1643" s="12">
        <v>9.98E-2</v>
      </c>
      <c r="J1643" s="9" t="s">
        <v>412</v>
      </c>
      <c r="K1643" s="9" t="s">
        <v>604</v>
      </c>
    </row>
    <row r="1644" spans="1:11" ht="28.8">
      <c r="A1644" s="9" t="s">
        <v>682</v>
      </c>
      <c r="B1644" s="9" t="s">
        <v>660</v>
      </c>
      <c r="C1644" s="9" t="s">
        <v>664</v>
      </c>
      <c r="D1644" s="12">
        <v>-0.08</v>
      </c>
      <c r="E1644" s="12">
        <v>-9.1399999999999995E-2</v>
      </c>
      <c r="F1644" s="12">
        <v>0.128</v>
      </c>
      <c r="G1644" s="12">
        <v>-8.5699999999999998E-2</v>
      </c>
      <c r="H1644" s="12">
        <v>-1.4500000000000001E-2</v>
      </c>
      <c r="I1644" s="12">
        <v>9.98E-2</v>
      </c>
      <c r="J1644" s="9" t="s">
        <v>412</v>
      </c>
      <c r="K1644" s="9" t="s">
        <v>604</v>
      </c>
    </row>
    <row r="1645" spans="1:11" ht="28.8">
      <c r="A1645" s="9" t="s">
        <v>682</v>
      </c>
      <c r="B1645" s="9" t="s">
        <v>657</v>
      </c>
      <c r="C1645" s="9" t="s">
        <v>675</v>
      </c>
      <c r="D1645" s="12">
        <v>0.06</v>
      </c>
      <c r="E1645" s="12">
        <v>-0.1056</v>
      </c>
      <c r="F1645" s="12">
        <v>-0.13370000000000001</v>
      </c>
      <c r="G1645" s="12">
        <v>-2.2800000000000001E-2</v>
      </c>
      <c r="H1645" s="12">
        <v>-5.9799999999999999E-2</v>
      </c>
      <c r="I1645" s="12">
        <v>9.9699999999999997E-2</v>
      </c>
      <c r="J1645" s="9" t="s">
        <v>412</v>
      </c>
      <c r="K1645" s="9" t="s">
        <v>604</v>
      </c>
    </row>
    <row r="1646" spans="1:11">
      <c r="A1646" s="9" t="s">
        <v>682</v>
      </c>
      <c r="B1646" s="9" t="s">
        <v>687</v>
      </c>
      <c r="C1646" s="9" t="s">
        <v>659</v>
      </c>
      <c r="D1646" s="12">
        <v>0.1188</v>
      </c>
      <c r="E1646" s="12">
        <v>0.13450000000000001</v>
      </c>
      <c r="F1646" s="12">
        <v>4.58E-2</v>
      </c>
      <c r="G1646" s="12">
        <v>0.12665000000000001</v>
      </c>
      <c r="H1646" s="12">
        <v>9.9699999999999997E-2</v>
      </c>
      <c r="I1646" s="12">
        <v>9.9699999999999997E-2</v>
      </c>
      <c r="J1646" s="9" t="s">
        <v>412</v>
      </c>
      <c r="K1646" s="9" t="s">
        <v>654</v>
      </c>
    </row>
    <row r="1647" spans="1:11" ht="28.8">
      <c r="A1647" s="9" t="s">
        <v>609</v>
      </c>
      <c r="B1647" s="9" t="s">
        <v>676</v>
      </c>
      <c r="C1647" s="9" t="s">
        <v>675</v>
      </c>
      <c r="D1647" s="12">
        <v>9.6600000000000005E-2</v>
      </c>
      <c r="E1647" s="12">
        <v>-3.9E-2</v>
      </c>
      <c r="F1647" s="12">
        <v>0.16320000000000001</v>
      </c>
      <c r="G1647" s="12">
        <v>2.8800000000000003E-2</v>
      </c>
      <c r="H1647" s="12">
        <v>7.3599999999999999E-2</v>
      </c>
      <c r="I1647" s="12">
        <v>9.9599999999999994E-2</v>
      </c>
      <c r="J1647" s="9" t="s">
        <v>412</v>
      </c>
      <c r="K1647" s="9" t="s">
        <v>604</v>
      </c>
    </row>
    <row r="1648" spans="1:11" ht="28.8">
      <c r="A1648" s="9" t="s">
        <v>682</v>
      </c>
      <c r="B1648" s="9" t="s">
        <v>678</v>
      </c>
      <c r="C1648" s="9" t="s">
        <v>690</v>
      </c>
      <c r="D1648" s="12">
        <v>-7.1099999999999997E-2</v>
      </c>
      <c r="E1648" s="12">
        <v>-0.16669999999999999</v>
      </c>
      <c r="F1648" s="12">
        <v>-6.08E-2</v>
      </c>
      <c r="G1648" s="12">
        <v>-0.11889999999999999</v>
      </c>
      <c r="H1648" s="12">
        <v>-9.9500000000000005E-2</v>
      </c>
      <c r="I1648" s="12">
        <v>9.9500000000000005E-2</v>
      </c>
      <c r="J1648" s="9" t="s">
        <v>412</v>
      </c>
      <c r="K1648" s="9" t="s">
        <v>604</v>
      </c>
    </row>
    <row r="1649" spans="1:11" ht="28.8">
      <c r="A1649" s="9" t="s">
        <v>682</v>
      </c>
      <c r="B1649" s="9" t="s">
        <v>676</v>
      </c>
      <c r="C1649" s="9" t="s">
        <v>674</v>
      </c>
      <c r="D1649" s="12">
        <v>4.1999999999999997E-3</v>
      </c>
      <c r="E1649" s="12">
        <v>0.1517</v>
      </c>
      <c r="F1649" s="12">
        <v>0.14230000000000001</v>
      </c>
      <c r="G1649" s="12">
        <v>7.7950000000000005E-2</v>
      </c>
      <c r="H1649" s="12">
        <v>9.9400000000000002E-2</v>
      </c>
      <c r="I1649" s="12">
        <v>9.9400000000000002E-2</v>
      </c>
      <c r="J1649" s="9" t="s">
        <v>412</v>
      </c>
      <c r="K1649" s="9" t="s">
        <v>654</v>
      </c>
    </row>
    <row r="1650" spans="1:11" ht="28.8">
      <c r="A1650" s="9" t="s">
        <v>610</v>
      </c>
      <c r="B1650" s="9" t="s">
        <v>658</v>
      </c>
      <c r="C1650" s="9" t="s">
        <v>683</v>
      </c>
      <c r="D1650" s="12">
        <v>-8.1500000000000003E-2</v>
      </c>
      <c r="E1650" s="12">
        <v>-0.1421</v>
      </c>
      <c r="F1650" s="12">
        <v>-7.4499999999999997E-2</v>
      </c>
      <c r="G1650" s="12">
        <v>-0.11180000000000001</v>
      </c>
      <c r="H1650" s="12">
        <v>-9.9400000000000002E-2</v>
      </c>
      <c r="I1650" s="12">
        <v>9.9400000000000002E-2</v>
      </c>
      <c r="J1650" s="9" t="s">
        <v>412</v>
      </c>
      <c r="K1650" s="9" t="s">
        <v>604</v>
      </c>
    </row>
    <row r="1651" spans="1:11">
      <c r="A1651" s="9" t="s">
        <v>662</v>
      </c>
      <c r="B1651" s="9" t="s">
        <v>673</v>
      </c>
      <c r="C1651" s="9" t="s">
        <v>667</v>
      </c>
      <c r="D1651" s="12">
        <v>0.12540000000000001</v>
      </c>
      <c r="E1651" s="12">
        <v>4.2999999999999997E-2</v>
      </c>
      <c r="F1651" s="12">
        <v>-0.1298</v>
      </c>
      <c r="G1651" s="12">
        <v>8.4199999999999997E-2</v>
      </c>
      <c r="H1651" s="12">
        <v>1.29E-2</v>
      </c>
      <c r="I1651" s="12">
        <v>9.9400000000000002E-2</v>
      </c>
      <c r="J1651" s="9" t="s">
        <v>412</v>
      </c>
      <c r="K1651" s="9" t="s">
        <v>604</v>
      </c>
    </row>
    <row r="1652" spans="1:11" ht="28.8">
      <c r="A1652" s="9" t="s">
        <v>671</v>
      </c>
      <c r="B1652" s="9" t="s">
        <v>684</v>
      </c>
      <c r="C1652" s="9" t="s">
        <v>666</v>
      </c>
      <c r="D1652" s="12">
        <v>1.34E-2</v>
      </c>
      <c r="E1652" s="12">
        <v>-3.3399999999999999E-2</v>
      </c>
      <c r="F1652" s="12">
        <v>0.25140000000000001</v>
      </c>
      <c r="G1652" s="12">
        <v>-9.9999999999999985E-3</v>
      </c>
      <c r="H1652" s="12">
        <v>7.7100000000000002E-2</v>
      </c>
      <c r="I1652" s="12">
        <v>9.9400000000000002E-2</v>
      </c>
      <c r="J1652" s="9" t="s">
        <v>412</v>
      </c>
      <c r="K1652" s="9" t="s">
        <v>604</v>
      </c>
    </row>
    <row r="1653" spans="1:11" ht="28.8">
      <c r="A1653" s="9" t="s">
        <v>679</v>
      </c>
      <c r="B1653" s="9" t="s">
        <v>684</v>
      </c>
      <c r="C1653" s="9" t="s">
        <v>683</v>
      </c>
      <c r="D1653" s="12">
        <v>0.16389999999999999</v>
      </c>
      <c r="E1653" s="12">
        <v>-7.2800000000000004E-2</v>
      </c>
      <c r="F1653" s="12">
        <v>-6.1499999999999999E-2</v>
      </c>
      <c r="G1653" s="12">
        <v>4.5549999999999993E-2</v>
      </c>
      <c r="H1653" s="12">
        <v>9.9000000000000008E-3</v>
      </c>
      <c r="I1653" s="12">
        <v>9.9400000000000002E-2</v>
      </c>
      <c r="J1653" s="9" t="s">
        <v>412</v>
      </c>
      <c r="K1653" s="9" t="s">
        <v>604</v>
      </c>
    </row>
    <row r="1654" spans="1:11" ht="28.8">
      <c r="A1654" s="9" t="s">
        <v>682</v>
      </c>
      <c r="B1654" s="9" t="s">
        <v>668</v>
      </c>
      <c r="C1654" s="9" t="s">
        <v>666</v>
      </c>
      <c r="D1654" s="12">
        <v>0.22600000000000001</v>
      </c>
      <c r="E1654" s="12">
        <v>7.3000000000000001E-3</v>
      </c>
      <c r="F1654" s="12">
        <v>-6.4299999999999996E-2</v>
      </c>
      <c r="G1654" s="12">
        <v>0.11665</v>
      </c>
      <c r="H1654" s="12">
        <v>5.6399999999999999E-2</v>
      </c>
      <c r="I1654" s="12">
        <v>9.9199999999999997E-2</v>
      </c>
      <c r="J1654" s="9" t="s">
        <v>412</v>
      </c>
      <c r="K1654" s="9" t="s">
        <v>604</v>
      </c>
    </row>
    <row r="1655" spans="1:11" ht="28.8">
      <c r="A1655" s="9" t="s">
        <v>682</v>
      </c>
      <c r="B1655" s="9" t="s">
        <v>676</v>
      </c>
      <c r="C1655" s="9" t="s">
        <v>690</v>
      </c>
      <c r="D1655" s="12">
        <v>-7.1099999999999997E-2</v>
      </c>
      <c r="E1655" s="12">
        <v>0.1517</v>
      </c>
      <c r="F1655" s="12">
        <v>-7.4399999999999994E-2</v>
      </c>
      <c r="G1655" s="12">
        <v>4.0300000000000002E-2</v>
      </c>
      <c r="H1655" s="12">
        <v>2.0999999999999999E-3</v>
      </c>
      <c r="I1655" s="12">
        <v>9.9099999999999994E-2</v>
      </c>
      <c r="J1655" s="9" t="s">
        <v>412</v>
      </c>
      <c r="K1655" s="9" t="s">
        <v>604</v>
      </c>
    </row>
    <row r="1656" spans="1:11" ht="28.8">
      <c r="A1656" s="9" t="s">
        <v>671</v>
      </c>
      <c r="B1656" s="9" t="s">
        <v>602</v>
      </c>
      <c r="C1656" s="9" t="s">
        <v>675</v>
      </c>
      <c r="D1656" s="12">
        <v>0.10780000000000001</v>
      </c>
      <c r="E1656" s="12">
        <v>-8.6199999999999999E-2</v>
      </c>
      <c r="F1656" s="12">
        <v>0.1032</v>
      </c>
      <c r="G1656" s="12">
        <v>1.0800000000000004E-2</v>
      </c>
      <c r="H1656" s="12">
        <v>4.1599999999999998E-2</v>
      </c>
      <c r="I1656" s="12">
        <v>9.9099999999999994E-2</v>
      </c>
      <c r="J1656" s="9" t="s">
        <v>412</v>
      </c>
      <c r="K1656" s="9" t="s">
        <v>604</v>
      </c>
    </row>
    <row r="1657" spans="1:11" ht="28.8">
      <c r="A1657" s="9" t="s">
        <v>679</v>
      </c>
      <c r="B1657" s="9" t="s">
        <v>669</v>
      </c>
      <c r="C1657" s="9" t="s">
        <v>656</v>
      </c>
      <c r="D1657" s="12">
        <v>-2.2700000000000001E-2</v>
      </c>
      <c r="E1657" s="12">
        <v>8.3900000000000002E-2</v>
      </c>
      <c r="F1657" s="12">
        <v>0.1903</v>
      </c>
      <c r="G1657" s="12">
        <v>3.0600000000000002E-2</v>
      </c>
      <c r="H1657" s="12">
        <v>8.3900000000000002E-2</v>
      </c>
      <c r="I1657" s="12">
        <v>9.9000000000000005E-2</v>
      </c>
      <c r="J1657" s="9" t="s">
        <v>412</v>
      </c>
      <c r="K1657" s="9" t="s">
        <v>604</v>
      </c>
    </row>
    <row r="1658" spans="1:11">
      <c r="A1658" s="9" t="s">
        <v>662</v>
      </c>
      <c r="B1658" s="9" t="s">
        <v>673</v>
      </c>
      <c r="C1658" s="9" t="s">
        <v>659</v>
      </c>
      <c r="D1658" s="12">
        <v>-8.3599999999999994E-2</v>
      </c>
      <c r="E1658" s="12">
        <v>4.2999999999999997E-2</v>
      </c>
      <c r="F1658" s="12">
        <v>-0.17030000000000001</v>
      </c>
      <c r="G1658" s="12">
        <v>-2.0299999999999999E-2</v>
      </c>
      <c r="H1658" s="12">
        <v>-7.0300000000000001E-2</v>
      </c>
      <c r="I1658" s="12">
        <v>9.9000000000000005E-2</v>
      </c>
      <c r="J1658" s="9" t="s">
        <v>412</v>
      </c>
      <c r="K1658" s="9" t="s">
        <v>604</v>
      </c>
    </row>
    <row r="1659" spans="1:11" ht="28.8">
      <c r="A1659" s="9" t="s">
        <v>671</v>
      </c>
      <c r="B1659" s="9" t="s">
        <v>688</v>
      </c>
      <c r="C1659" s="9" t="s">
        <v>659</v>
      </c>
      <c r="D1659" s="12">
        <v>0.13159999999999999</v>
      </c>
      <c r="E1659" s="12">
        <v>6.3E-3</v>
      </c>
      <c r="F1659" s="12">
        <v>-0.15909999999999999</v>
      </c>
      <c r="G1659" s="12">
        <v>6.8949999999999997E-2</v>
      </c>
      <c r="H1659" s="12">
        <v>-7.1000000000000004E-3</v>
      </c>
      <c r="I1659" s="12">
        <v>9.9000000000000005E-2</v>
      </c>
      <c r="J1659" s="9" t="s">
        <v>412</v>
      </c>
      <c r="K1659" s="9" t="s">
        <v>604</v>
      </c>
    </row>
    <row r="1660" spans="1:11" ht="28.8">
      <c r="A1660" s="9" t="s">
        <v>662</v>
      </c>
      <c r="B1660" s="9" t="s">
        <v>687</v>
      </c>
      <c r="C1660" s="9" t="s">
        <v>666</v>
      </c>
      <c r="D1660" s="12">
        <v>-0.1094</v>
      </c>
      <c r="E1660" s="12">
        <v>-5.4199999999999998E-2</v>
      </c>
      <c r="F1660" s="12">
        <v>0.1331</v>
      </c>
      <c r="G1660" s="12">
        <v>-8.1799999999999998E-2</v>
      </c>
      <c r="H1660" s="12">
        <v>-1.01E-2</v>
      </c>
      <c r="I1660" s="12">
        <v>9.8900000000000002E-2</v>
      </c>
      <c r="J1660" s="9" t="s">
        <v>412</v>
      </c>
      <c r="K1660" s="9" t="s">
        <v>604</v>
      </c>
    </row>
    <row r="1661" spans="1:11" ht="28.8">
      <c r="A1661" s="9" t="s">
        <v>679</v>
      </c>
      <c r="B1661" s="9" t="s">
        <v>660</v>
      </c>
      <c r="C1661" s="9" t="s">
        <v>667</v>
      </c>
      <c r="D1661" s="12">
        <v>-0.12280000000000001</v>
      </c>
      <c r="E1661" s="12">
        <v>-2.46E-2</v>
      </c>
      <c r="F1661" s="12">
        <v>-0.14899999999999999</v>
      </c>
      <c r="G1661" s="12">
        <v>-7.3700000000000002E-2</v>
      </c>
      <c r="H1661" s="12">
        <v>-9.8799999999999999E-2</v>
      </c>
      <c r="I1661" s="12">
        <v>9.8799999999999999E-2</v>
      </c>
      <c r="J1661" s="9" t="s">
        <v>412</v>
      </c>
      <c r="K1661" s="9" t="s">
        <v>604</v>
      </c>
    </row>
    <row r="1662" spans="1:11" ht="28.8">
      <c r="A1662" s="9" t="s">
        <v>661</v>
      </c>
      <c r="B1662" s="9" t="s">
        <v>613</v>
      </c>
      <c r="C1662" s="9" t="s">
        <v>683</v>
      </c>
      <c r="D1662" s="12">
        <v>-5.3400000000000003E-2</v>
      </c>
      <c r="E1662" s="12">
        <v>3.3000000000000002E-2</v>
      </c>
      <c r="F1662" s="12">
        <v>-0.21</v>
      </c>
      <c r="G1662" s="12">
        <v>-1.0200000000000001E-2</v>
      </c>
      <c r="H1662" s="12">
        <v>-7.6799999999999993E-2</v>
      </c>
      <c r="I1662" s="12">
        <v>9.8799999999999999E-2</v>
      </c>
      <c r="J1662" s="9" t="s">
        <v>412</v>
      </c>
      <c r="K1662" s="9" t="s">
        <v>604</v>
      </c>
    </row>
    <row r="1663" spans="1:11" ht="28.8">
      <c r="A1663" s="9" t="s">
        <v>671</v>
      </c>
      <c r="B1663" s="9" t="s">
        <v>668</v>
      </c>
      <c r="C1663" s="9" t="s">
        <v>675</v>
      </c>
      <c r="D1663" s="12">
        <v>0.10780000000000001</v>
      </c>
      <c r="E1663" s="12">
        <v>-3.2099999999999997E-2</v>
      </c>
      <c r="F1663" s="12">
        <v>-0.15609999999999999</v>
      </c>
      <c r="G1663" s="12">
        <v>3.7850000000000009E-2</v>
      </c>
      <c r="H1663" s="12">
        <v>-2.6800000000000001E-2</v>
      </c>
      <c r="I1663" s="12">
        <v>9.8699999999999996E-2</v>
      </c>
      <c r="J1663" s="9" t="s">
        <v>412</v>
      </c>
      <c r="K1663" s="9" t="s">
        <v>604</v>
      </c>
    </row>
    <row r="1664" spans="1:11">
      <c r="A1664" s="9" t="s">
        <v>610</v>
      </c>
      <c r="B1664" s="9" t="s">
        <v>672</v>
      </c>
      <c r="C1664" s="9" t="s">
        <v>659</v>
      </c>
      <c r="D1664" s="12">
        <v>0.1174</v>
      </c>
      <c r="E1664" s="12">
        <v>7.0999999999999994E-2</v>
      </c>
      <c r="F1664" s="12">
        <v>-0.10730000000000001</v>
      </c>
      <c r="G1664" s="12">
        <v>9.4200000000000006E-2</v>
      </c>
      <c r="H1664" s="12">
        <v>2.7E-2</v>
      </c>
      <c r="I1664" s="12">
        <v>9.8599999999999993E-2</v>
      </c>
      <c r="J1664" s="9" t="s">
        <v>412</v>
      </c>
      <c r="K1664" s="9" t="s">
        <v>604</v>
      </c>
    </row>
    <row r="1665" spans="1:11" ht="28.8">
      <c r="A1665" s="9" t="s">
        <v>610</v>
      </c>
      <c r="B1665" s="9" t="s">
        <v>686</v>
      </c>
      <c r="C1665" s="9" t="s">
        <v>674</v>
      </c>
      <c r="D1665" s="12">
        <v>-0.1986</v>
      </c>
      <c r="E1665" s="12">
        <v>2.07E-2</v>
      </c>
      <c r="F1665" s="12">
        <v>7.6300000000000007E-2</v>
      </c>
      <c r="G1665" s="12">
        <v>-8.8950000000000001E-2</v>
      </c>
      <c r="H1665" s="12">
        <v>-3.39E-2</v>
      </c>
      <c r="I1665" s="12">
        <v>9.8500000000000004E-2</v>
      </c>
      <c r="J1665" s="9" t="s">
        <v>412</v>
      </c>
      <c r="K1665" s="9" t="s">
        <v>604</v>
      </c>
    </row>
    <row r="1666" spans="1:11" ht="28.8">
      <c r="A1666" s="9" t="s">
        <v>682</v>
      </c>
      <c r="B1666" s="9" t="s">
        <v>684</v>
      </c>
      <c r="C1666" s="9" t="s">
        <v>690</v>
      </c>
      <c r="D1666" s="12">
        <v>-7.1099999999999997E-2</v>
      </c>
      <c r="E1666" s="12">
        <v>-0.1031</v>
      </c>
      <c r="F1666" s="12">
        <v>0.12130000000000001</v>
      </c>
      <c r="G1666" s="12">
        <v>-8.7099999999999997E-2</v>
      </c>
      <c r="H1666" s="12">
        <v>-1.7600000000000001E-2</v>
      </c>
      <c r="I1666" s="12">
        <v>9.8500000000000004E-2</v>
      </c>
      <c r="J1666" s="9" t="s">
        <v>412</v>
      </c>
      <c r="K1666" s="9" t="s">
        <v>604</v>
      </c>
    </row>
    <row r="1667" spans="1:11" ht="28.8">
      <c r="A1667" s="9" t="s">
        <v>682</v>
      </c>
      <c r="B1667" s="9" t="s">
        <v>685</v>
      </c>
      <c r="C1667" s="9" t="s">
        <v>675</v>
      </c>
      <c r="D1667" s="12">
        <v>0.06</v>
      </c>
      <c r="E1667" s="12">
        <v>0.12429999999999999</v>
      </c>
      <c r="F1667" s="12">
        <v>0.11119999999999999</v>
      </c>
      <c r="G1667" s="12">
        <v>9.2149999999999996E-2</v>
      </c>
      <c r="H1667" s="12">
        <v>9.8500000000000004E-2</v>
      </c>
      <c r="I1667" s="12">
        <v>9.8500000000000004E-2</v>
      </c>
      <c r="J1667" s="9" t="s">
        <v>412</v>
      </c>
      <c r="K1667" s="9" t="s">
        <v>654</v>
      </c>
    </row>
    <row r="1668" spans="1:11" ht="28.8">
      <c r="A1668" s="9" t="s">
        <v>609</v>
      </c>
      <c r="B1668" s="9" t="s">
        <v>676</v>
      </c>
      <c r="C1668" s="9" t="s">
        <v>666</v>
      </c>
      <c r="D1668" s="12">
        <v>-7.7700000000000005E-2</v>
      </c>
      <c r="E1668" s="12">
        <v>-3.9E-2</v>
      </c>
      <c r="F1668" s="12">
        <v>0.17879999999999999</v>
      </c>
      <c r="G1668" s="12">
        <v>-5.8349999999999999E-2</v>
      </c>
      <c r="H1668" s="12">
        <v>2.07E-2</v>
      </c>
      <c r="I1668" s="12">
        <v>9.8500000000000004E-2</v>
      </c>
      <c r="J1668" s="9" t="s">
        <v>412</v>
      </c>
      <c r="K1668" s="9" t="s">
        <v>604</v>
      </c>
    </row>
    <row r="1669" spans="1:11" ht="28.8">
      <c r="A1669" s="9" t="s">
        <v>682</v>
      </c>
      <c r="B1669" s="9" t="s">
        <v>613</v>
      </c>
      <c r="C1669" s="9" t="s">
        <v>666</v>
      </c>
      <c r="D1669" s="12">
        <v>0.22600000000000001</v>
      </c>
      <c r="E1669" s="12">
        <v>-1.2999999999999999E-2</v>
      </c>
      <c r="F1669" s="12">
        <v>5.6399999999999999E-2</v>
      </c>
      <c r="G1669" s="12">
        <v>0.1065</v>
      </c>
      <c r="H1669" s="12">
        <v>8.9800000000000005E-2</v>
      </c>
      <c r="I1669" s="12">
        <v>9.8500000000000004E-2</v>
      </c>
      <c r="J1669" s="9" t="s">
        <v>412</v>
      </c>
      <c r="K1669" s="9" t="s">
        <v>604</v>
      </c>
    </row>
    <row r="1670" spans="1:11" ht="28.8">
      <c r="A1670" s="9" t="s">
        <v>682</v>
      </c>
      <c r="B1670" s="9" t="s">
        <v>680</v>
      </c>
      <c r="C1670" s="9" t="s">
        <v>664</v>
      </c>
      <c r="D1670" s="12">
        <v>-0.08</v>
      </c>
      <c r="E1670" s="12">
        <v>6.7000000000000004E-2</v>
      </c>
      <c r="F1670" s="12">
        <v>0.14829999999999999</v>
      </c>
      <c r="G1670" s="12">
        <v>-6.4999999999999988E-3</v>
      </c>
      <c r="H1670" s="12">
        <v>4.5100000000000001E-2</v>
      </c>
      <c r="I1670" s="12">
        <v>9.8400000000000001E-2</v>
      </c>
      <c r="J1670" s="9" t="s">
        <v>412</v>
      </c>
      <c r="K1670" s="9" t="s">
        <v>604</v>
      </c>
    </row>
    <row r="1671" spans="1:11">
      <c r="A1671" s="9" t="s">
        <v>662</v>
      </c>
      <c r="B1671" s="9" t="s">
        <v>689</v>
      </c>
      <c r="C1671" s="9" t="s">
        <v>663</v>
      </c>
      <c r="D1671" s="12">
        <v>7.4700000000000003E-2</v>
      </c>
      <c r="E1671" s="12">
        <v>-8.6699999999999999E-2</v>
      </c>
      <c r="F1671" s="12">
        <v>0.13370000000000001</v>
      </c>
      <c r="G1671" s="12">
        <v>-5.9999999999999984E-3</v>
      </c>
      <c r="H1671" s="12">
        <v>4.0599999999999997E-2</v>
      </c>
      <c r="I1671" s="12">
        <v>9.8400000000000001E-2</v>
      </c>
      <c r="J1671" s="9" t="s">
        <v>412</v>
      </c>
      <c r="K1671" s="9" t="s">
        <v>604</v>
      </c>
    </row>
    <row r="1672" spans="1:11" ht="28.8">
      <c r="A1672" s="9" t="s">
        <v>603</v>
      </c>
      <c r="B1672" s="9" t="s">
        <v>685</v>
      </c>
      <c r="C1672" s="9" t="s">
        <v>683</v>
      </c>
      <c r="D1672" s="12">
        <v>0.17660000000000001</v>
      </c>
      <c r="E1672" s="12">
        <v>1.0699999999999999E-2</v>
      </c>
      <c r="F1672" s="12">
        <v>0.108</v>
      </c>
      <c r="G1672" s="12">
        <v>9.3649999999999997E-2</v>
      </c>
      <c r="H1672" s="12">
        <v>9.8400000000000001E-2</v>
      </c>
      <c r="I1672" s="12">
        <v>9.8400000000000001E-2</v>
      </c>
      <c r="J1672" s="9" t="s">
        <v>412</v>
      </c>
      <c r="K1672" s="9" t="s">
        <v>654</v>
      </c>
    </row>
    <row r="1673" spans="1:11">
      <c r="A1673" s="9" t="s">
        <v>609</v>
      </c>
      <c r="B1673" s="9" t="s">
        <v>688</v>
      </c>
      <c r="C1673" s="9" t="s">
        <v>663</v>
      </c>
      <c r="D1673" s="12">
        <v>-0.12770000000000001</v>
      </c>
      <c r="E1673" s="12">
        <v>6.3E-3</v>
      </c>
      <c r="F1673" s="12">
        <v>0.16059999999999999</v>
      </c>
      <c r="G1673" s="12">
        <v>-6.0700000000000004E-2</v>
      </c>
      <c r="H1673" s="12">
        <v>1.3100000000000001E-2</v>
      </c>
      <c r="I1673" s="12">
        <v>9.8199999999999996E-2</v>
      </c>
      <c r="J1673" s="9" t="s">
        <v>412</v>
      </c>
      <c r="K1673" s="9" t="s">
        <v>604</v>
      </c>
    </row>
    <row r="1674" spans="1:11">
      <c r="A1674" s="9" t="s">
        <v>662</v>
      </c>
      <c r="B1674" s="9" t="s">
        <v>680</v>
      </c>
      <c r="C1674" s="9" t="s">
        <v>670</v>
      </c>
      <c r="D1674" s="12">
        <v>-0.18790000000000001</v>
      </c>
      <c r="E1674" s="12">
        <v>-1.8100000000000002E-2</v>
      </c>
      <c r="F1674" s="12">
        <v>8.8499999999999995E-2</v>
      </c>
      <c r="G1674" s="12">
        <v>-0.10300000000000001</v>
      </c>
      <c r="H1674" s="12">
        <v>-3.9199999999999999E-2</v>
      </c>
      <c r="I1674" s="12">
        <v>9.8199999999999996E-2</v>
      </c>
      <c r="J1674" s="9" t="s">
        <v>412</v>
      </c>
      <c r="K1674" s="9" t="s">
        <v>604</v>
      </c>
    </row>
    <row r="1675" spans="1:11" ht="28.8">
      <c r="A1675" s="9" t="s">
        <v>679</v>
      </c>
      <c r="B1675" s="9" t="s">
        <v>673</v>
      </c>
      <c r="C1675" s="9" t="s">
        <v>690</v>
      </c>
      <c r="D1675" s="12">
        <v>-6.6900000000000001E-2</v>
      </c>
      <c r="E1675" s="12">
        <v>-7.4499999999999997E-2</v>
      </c>
      <c r="F1675" s="12">
        <v>-0.15279999999999999</v>
      </c>
      <c r="G1675" s="12">
        <v>-7.0699999999999999E-2</v>
      </c>
      <c r="H1675" s="12">
        <v>-9.8100000000000007E-2</v>
      </c>
      <c r="I1675" s="12">
        <v>9.8100000000000007E-2</v>
      </c>
      <c r="J1675" s="9" t="s">
        <v>412</v>
      </c>
      <c r="K1675" s="9" t="s">
        <v>604</v>
      </c>
    </row>
    <row r="1676" spans="1:11" ht="28.8">
      <c r="A1676" s="9" t="s">
        <v>679</v>
      </c>
      <c r="B1676" s="9" t="s">
        <v>602</v>
      </c>
      <c r="C1676" s="9" t="s">
        <v>683</v>
      </c>
      <c r="D1676" s="12">
        <v>0.16389999999999999</v>
      </c>
      <c r="E1676" s="12">
        <v>-2.3400000000000001E-2</v>
      </c>
      <c r="F1676" s="12">
        <v>0.107</v>
      </c>
      <c r="G1676" s="12">
        <v>7.0249999999999993E-2</v>
      </c>
      <c r="H1676" s="12">
        <v>8.2500000000000004E-2</v>
      </c>
      <c r="I1676" s="12">
        <v>9.8100000000000007E-2</v>
      </c>
      <c r="J1676" s="9" t="s">
        <v>412</v>
      </c>
      <c r="K1676" s="9" t="s">
        <v>604</v>
      </c>
    </row>
    <row r="1677" spans="1:11">
      <c r="A1677" s="9" t="s">
        <v>610</v>
      </c>
      <c r="B1677" s="9" t="s">
        <v>676</v>
      </c>
      <c r="C1677" s="9" t="s">
        <v>656</v>
      </c>
      <c r="D1677" s="12">
        <v>6.5699999999999995E-2</v>
      </c>
      <c r="E1677" s="12">
        <v>8.2799999999999999E-2</v>
      </c>
      <c r="F1677" s="12">
        <v>0.14560000000000001</v>
      </c>
      <c r="G1677" s="12">
        <v>7.4249999999999997E-2</v>
      </c>
      <c r="H1677" s="12">
        <v>9.8000000000000004E-2</v>
      </c>
      <c r="I1677" s="12">
        <v>9.8000000000000004E-2</v>
      </c>
      <c r="J1677" s="9" t="s">
        <v>412</v>
      </c>
      <c r="K1677" s="9" t="s">
        <v>654</v>
      </c>
    </row>
    <row r="1678" spans="1:11" ht="28.8">
      <c r="A1678" s="9" t="s">
        <v>671</v>
      </c>
      <c r="B1678" s="9" t="s">
        <v>686</v>
      </c>
      <c r="C1678" s="9" t="s">
        <v>683</v>
      </c>
      <c r="D1678" s="12">
        <v>0.1066</v>
      </c>
      <c r="E1678" s="12">
        <v>0.13</v>
      </c>
      <c r="F1678" s="12">
        <v>-5.6800000000000003E-2</v>
      </c>
      <c r="G1678" s="12">
        <v>0.1183</v>
      </c>
      <c r="H1678" s="12">
        <v>0.06</v>
      </c>
      <c r="I1678" s="12">
        <v>9.7799999999999998E-2</v>
      </c>
      <c r="J1678" s="9" t="s">
        <v>412</v>
      </c>
      <c r="K1678" s="9" t="s">
        <v>604</v>
      </c>
    </row>
    <row r="1679" spans="1:11" ht="28.8">
      <c r="A1679" s="9" t="s">
        <v>662</v>
      </c>
      <c r="B1679" s="9" t="s">
        <v>665</v>
      </c>
      <c r="C1679" s="9" t="s">
        <v>690</v>
      </c>
      <c r="D1679" s="12">
        <v>-3.1300000000000001E-2</v>
      </c>
      <c r="E1679" s="12">
        <v>-0.1681</v>
      </c>
      <c r="F1679" s="12">
        <v>-9.3799999999999994E-2</v>
      </c>
      <c r="G1679" s="12">
        <v>-9.9699999999999997E-2</v>
      </c>
      <c r="H1679" s="12">
        <v>-9.7699999999999995E-2</v>
      </c>
      <c r="I1679" s="12">
        <v>9.7699999999999995E-2</v>
      </c>
      <c r="J1679" s="9" t="s">
        <v>412</v>
      </c>
      <c r="K1679" s="9" t="s">
        <v>604</v>
      </c>
    </row>
    <row r="1680" spans="1:11">
      <c r="A1680" s="9" t="s">
        <v>682</v>
      </c>
      <c r="B1680" s="9" t="s">
        <v>680</v>
      </c>
      <c r="C1680" s="9" t="s">
        <v>659</v>
      </c>
      <c r="D1680" s="12">
        <v>0.1188</v>
      </c>
      <c r="E1680" s="12">
        <v>6.7000000000000004E-2</v>
      </c>
      <c r="F1680" s="12">
        <v>-0.1074</v>
      </c>
      <c r="G1680" s="12">
        <v>9.290000000000001E-2</v>
      </c>
      <c r="H1680" s="12">
        <v>2.6100000000000002E-2</v>
      </c>
      <c r="I1680" s="12">
        <v>9.7699999999999995E-2</v>
      </c>
      <c r="J1680" s="9" t="s">
        <v>412</v>
      </c>
      <c r="K1680" s="9" t="s">
        <v>604</v>
      </c>
    </row>
    <row r="1681" spans="1:11" ht="28.8">
      <c r="A1681" s="9" t="s">
        <v>610</v>
      </c>
      <c r="B1681" s="9" t="s">
        <v>673</v>
      </c>
      <c r="C1681" s="9" t="s">
        <v>690</v>
      </c>
      <c r="D1681" s="12">
        <v>-5.8599999999999999E-2</v>
      </c>
      <c r="E1681" s="12">
        <v>-8.14E-2</v>
      </c>
      <c r="F1681" s="12">
        <v>-0.15279999999999999</v>
      </c>
      <c r="G1681" s="12">
        <v>-7.0000000000000007E-2</v>
      </c>
      <c r="H1681" s="12">
        <v>-9.7600000000000006E-2</v>
      </c>
      <c r="I1681" s="12">
        <v>9.7600000000000006E-2</v>
      </c>
      <c r="J1681" s="9" t="s">
        <v>412</v>
      </c>
      <c r="K1681" s="9" t="s">
        <v>604</v>
      </c>
    </row>
    <row r="1682" spans="1:11" ht="28.8">
      <c r="A1682" s="9" t="s">
        <v>609</v>
      </c>
      <c r="B1682" s="9" t="s">
        <v>668</v>
      </c>
      <c r="C1682" s="9" t="s">
        <v>675</v>
      </c>
      <c r="D1682" s="12">
        <v>9.6600000000000005E-2</v>
      </c>
      <c r="E1682" s="12">
        <v>-4.02E-2</v>
      </c>
      <c r="F1682" s="12">
        <v>-0.15609999999999999</v>
      </c>
      <c r="G1682" s="12">
        <v>2.8200000000000003E-2</v>
      </c>
      <c r="H1682" s="12">
        <v>-3.32E-2</v>
      </c>
      <c r="I1682" s="12">
        <v>9.7600000000000006E-2</v>
      </c>
      <c r="J1682" s="9" t="s">
        <v>412</v>
      </c>
      <c r="K1682" s="9" t="s">
        <v>604</v>
      </c>
    </row>
    <row r="1683" spans="1:11" ht="28.8">
      <c r="A1683" s="9" t="s">
        <v>671</v>
      </c>
      <c r="B1683" s="9" t="s">
        <v>689</v>
      </c>
      <c r="C1683" s="9" t="s">
        <v>675</v>
      </c>
      <c r="D1683" s="12">
        <v>0.10780000000000001</v>
      </c>
      <c r="E1683" s="12">
        <v>-0.12859999999999999</v>
      </c>
      <c r="F1683" s="12">
        <v>5.6300000000000003E-2</v>
      </c>
      <c r="G1683" s="12">
        <v>-1.0399999999999993E-2</v>
      </c>
      <c r="H1683" s="12">
        <v>1.18E-2</v>
      </c>
      <c r="I1683" s="12">
        <v>9.7600000000000006E-2</v>
      </c>
      <c r="J1683" s="9" t="s">
        <v>412</v>
      </c>
      <c r="K1683" s="9" t="s">
        <v>604</v>
      </c>
    </row>
    <row r="1684" spans="1:11" ht="28.8">
      <c r="A1684" s="9" t="s">
        <v>671</v>
      </c>
      <c r="B1684" s="9" t="s">
        <v>665</v>
      </c>
      <c r="C1684" s="9" t="s">
        <v>667</v>
      </c>
      <c r="D1684" s="12">
        <v>0.14219999999999999</v>
      </c>
      <c r="E1684" s="12">
        <v>0.1009</v>
      </c>
      <c r="F1684" s="12">
        <v>-4.9799999999999997E-2</v>
      </c>
      <c r="G1684" s="12">
        <v>0.12154999999999999</v>
      </c>
      <c r="H1684" s="12">
        <v>6.4399999999999999E-2</v>
      </c>
      <c r="I1684" s="12">
        <v>9.7600000000000006E-2</v>
      </c>
      <c r="J1684" s="9" t="s">
        <v>412</v>
      </c>
      <c r="K1684" s="9" t="s">
        <v>604</v>
      </c>
    </row>
    <row r="1685" spans="1:11" ht="28.8">
      <c r="A1685" s="9" t="s">
        <v>671</v>
      </c>
      <c r="B1685" s="9" t="s">
        <v>689</v>
      </c>
      <c r="C1685" s="9" t="s">
        <v>601</v>
      </c>
      <c r="D1685" s="12">
        <v>-0.10879999999999999</v>
      </c>
      <c r="E1685" s="12">
        <v>-0.12859999999999999</v>
      </c>
      <c r="F1685" s="12">
        <v>5.5399999999999998E-2</v>
      </c>
      <c r="G1685" s="12">
        <v>-0.1187</v>
      </c>
      <c r="H1685" s="12">
        <v>-6.0699999999999997E-2</v>
      </c>
      <c r="I1685" s="12">
        <v>9.7600000000000006E-2</v>
      </c>
      <c r="J1685" s="9" t="s">
        <v>412</v>
      </c>
      <c r="K1685" s="9" t="s">
        <v>604</v>
      </c>
    </row>
    <row r="1686" spans="1:11" ht="28.8">
      <c r="A1686" s="9" t="s">
        <v>679</v>
      </c>
      <c r="B1686" s="9" t="s">
        <v>673</v>
      </c>
      <c r="C1686" s="9" t="s">
        <v>656</v>
      </c>
      <c r="D1686" s="12">
        <v>-2.2700000000000001E-2</v>
      </c>
      <c r="E1686" s="12">
        <v>-7.4499999999999997E-2</v>
      </c>
      <c r="F1686" s="12">
        <v>-0.19539999999999999</v>
      </c>
      <c r="G1686" s="12">
        <v>-4.8599999999999997E-2</v>
      </c>
      <c r="H1686" s="12">
        <v>-9.7500000000000003E-2</v>
      </c>
      <c r="I1686" s="12">
        <v>9.7500000000000003E-2</v>
      </c>
      <c r="J1686" s="9" t="s">
        <v>412</v>
      </c>
      <c r="K1686" s="9" t="s">
        <v>604</v>
      </c>
    </row>
    <row r="1687" spans="1:11" ht="28.8">
      <c r="A1687" s="9" t="s">
        <v>610</v>
      </c>
      <c r="B1687" s="9" t="s">
        <v>613</v>
      </c>
      <c r="C1687" s="9" t="s">
        <v>674</v>
      </c>
      <c r="D1687" s="12">
        <v>-0.1986</v>
      </c>
      <c r="E1687" s="12">
        <v>8.9999999999999993E-3</v>
      </c>
      <c r="F1687" s="12">
        <v>-8.48E-2</v>
      </c>
      <c r="G1687" s="12">
        <v>-9.4799999999999995E-2</v>
      </c>
      <c r="H1687" s="12">
        <v>-9.1399999999999995E-2</v>
      </c>
      <c r="I1687" s="12">
        <v>9.7500000000000003E-2</v>
      </c>
      <c r="J1687" s="9" t="s">
        <v>412</v>
      </c>
      <c r="K1687" s="9" t="s">
        <v>604</v>
      </c>
    </row>
    <row r="1688" spans="1:11" ht="28.8">
      <c r="A1688" s="9" t="s">
        <v>603</v>
      </c>
      <c r="B1688" s="9" t="s">
        <v>688</v>
      </c>
      <c r="C1688" s="9" t="s">
        <v>677</v>
      </c>
      <c r="D1688" s="12">
        <v>0.14069999999999999</v>
      </c>
      <c r="E1688" s="12">
        <v>-2.2200000000000001E-2</v>
      </c>
      <c r="F1688" s="12">
        <v>0.1288</v>
      </c>
      <c r="G1688" s="12">
        <v>5.9249999999999997E-2</v>
      </c>
      <c r="H1688" s="12">
        <v>8.2400000000000001E-2</v>
      </c>
      <c r="I1688" s="12">
        <v>9.7299999999999998E-2</v>
      </c>
      <c r="J1688" s="9" t="s">
        <v>412</v>
      </c>
      <c r="K1688" s="9" t="s">
        <v>604</v>
      </c>
    </row>
    <row r="1689" spans="1:11" ht="28.8">
      <c r="A1689" s="9" t="s">
        <v>679</v>
      </c>
      <c r="B1689" s="9" t="s">
        <v>665</v>
      </c>
      <c r="C1689" s="9" t="s">
        <v>659</v>
      </c>
      <c r="D1689" s="12">
        <v>-6.4799999999999996E-2</v>
      </c>
      <c r="E1689" s="12">
        <v>7.6399999999999996E-2</v>
      </c>
      <c r="F1689" s="12">
        <v>0.1502</v>
      </c>
      <c r="G1689" s="12">
        <v>5.7999999999999996E-3</v>
      </c>
      <c r="H1689" s="12">
        <v>5.3900000000000003E-2</v>
      </c>
      <c r="I1689" s="12">
        <v>9.7100000000000006E-2</v>
      </c>
      <c r="J1689" s="9" t="s">
        <v>412</v>
      </c>
      <c r="K1689" s="9" t="s">
        <v>604</v>
      </c>
    </row>
    <row r="1690" spans="1:11" ht="28.8">
      <c r="A1690" s="9" t="s">
        <v>679</v>
      </c>
      <c r="B1690" s="9" t="s">
        <v>660</v>
      </c>
      <c r="C1690" s="9" t="s">
        <v>675</v>
      </c>
      <c r="D1690" s="12">
        <v>4.0599999999999997E-2</v>
      </c>
      <c r="E1690" s="12">
        <v>-2.46E-2</v>
      </c>
      <c r="F1690" s="12">
        <v>-0.22600000000000001</v>
      </c>
      <c r="G1690" s="12">
        <v>7.9999999999999984E-3</v>
      </c>
      <c r="H1690" s="12">
        <v>-7.0000000000000007E-2</v>
      </c>
      <c r="I1690" s="12">
        <v>9.7100000000000006E-2</v>
      </c>
      <c r="J1690" s="9" t="s">
        <v>412</v>
      </c>
      <c r="K1690" s="9" t="s">
        <v>604</v>
      </c>
    </row>
    <row r="1691" spans="1:11" ht="28.8">
      <c r="A1691" s="9" t="s">
        <v>603</v>
      </c>
      <c r="B1691" s="9" t="s">
        <v>691</v>
      </c>
      <c r="C1691" s="9" t="s">
        <v>659</v>
      </c>
      <c r="D1691" s="12">
        <v>-0.17230000000000001</v>
      </c>
      <c r="E1691" s="12">
        <v>3.3000000000000002E-2</v>
      </c>
      <c r="F1691" s="12">
        <v>-8.5900000000000004E-2</v>
      </c>
      <c r="G1691" s="12">
        <v>-6.9650000000000004E-2</v>
      </c>
      <c r="H1691" s="12">
        <v>-7.4999999999999997E-2</v>
      </c>
      <c r="I1691" s="12">
        <v>9.7100000000000006E-2</v>
      </c>
      <c r="J1691" s="9" t="s">
        <v>412</v>
      </c>
      <c r="K1691" s="9" t="s">
        <v>604</v>
      </c>
    </row>
    <row r="1692" spans="1:11" ht="28.8">
      <c r="A1692" s="9" t="s">
        <v>671</v>
      </c>
      <c r="B1692" s="9" t="s">
        <v>681</v>
      </c>
      <c r="C1692" s="9" t="s">
        <v>656</v>
      </c>
      <c r="D1692" s="12">
        <v>6.54E-2</v>
      </c>
      <c r="E1692" s="12">
        <v>7.1800000000000003E-2</v>
      </c>
      <c r="F1692" s="12">
        <v>0.15409999999999999</v>
      </c>
      <c r="G1692" s="12">
        <v>6.8599999999999994E-2</v>
      </c>
      <c r="H1692" s="12">
        <v>9.7100000000000006E-2</v>
      </c>
      <c r="I1692" s="12">
        <v>9.7100000000000006E-2</v>
      </c>
      <c r="J1692" s="9" t="s">
        <v>412</v>
      </c>
      <c r="K1692" s="9" t="s">
        <v>654</v>
      </c>
    </row>
    <row r="1693" spans="1:11">
      <c r="A1693" s="9" t="s">
        <v>682</v>
      </c>
      <c r="B1693" s="9" t="s">
        <v>673</v>
      </c>
      <c r="C1693" s="9" t="s">
        <v>663</v>
      </c>
      <c r="D1693" s="12">
        <v>-6.7400000000000002E-2</v>
      </c>
      <c r="E1693" s="12">
        <v>-1.3899999999999999E-2</v>
      </c>
      <c r="F1693" s="12">
        <v>-0.20910000000000001</v>
      </c>
      <c r="G1693" s="12">
        <v>-4.0649999999999999E-2</v>
      </c>
      <c r="H1693" s="12">
        <v>-9.6799999999999997E-2</v>
      </c>
      <c r="I1693" s="12">
        <v>9.6799999999999997E-2</v>
      </c>
      <c r="J1693" s="9" t="s">
        <v>412</v>
      </c>
      <c r="K1693" s="9" t="s">
        <v>604</v>
      </c>
    </row>
    <row r="1694" spans="1:11" ht="28.8">
      <c r="A1694" s="9" t="s">
        <v>679</v>
      </c>
      <c r="B1694" s="9" t="s">
        <v>684</v>
      </c>
      <c r="C1694" s="9" t="s">
        <v>674</v>
      </c>
      <c r="D1694" s="12">
        <v>0.11849999999999999</v>
      </c>
      <c r="E1694" s="12">
        <v>-7.2800000000000004E-2</v>
      </c>
      <c r="F1694" s="12">
        <v>9.8699999999999996E-2</v>
      </c>
      <c r="G1694" s="12">
        <v>2.2849999999999995E-2</v>
      </c>
      <c r="H1694" s="12">
        <v>4.8099999999999997E-2</v>
      </c>
      <c r="I1694" s="12">
        <v>9.6699999999999994E-2</v>
      </c>
      <c r="J1694" s="9" t="s">
        <v>412</v>
      </c>
      <c r="K1694" s="9" t="s">
        <v>604</v>
      </c>
    </row>
    <row r="1695" spans="1:11" ht="28.8">
      <c r="A1695" s="9" t="s">
        <v>661</v>
      </c>
      <c r="B1695" s="9" t="s">
        <v>660</v>
      </c>
      <c r="C1695" s="9" t="s">
        <v>659</v>
      </c>
      <c r="D1695" s="12">
        <v>4.3499999999999997E-2</v>
      </c>
      <c r="E1695" s="12">
        <v>-0.21290000000000001</v>
      </c>
      <c r="F1695" s="12">
        <v>3.3799999999999997E-2</v>
      </c>
      <c r="G1695" s="12">
        <v>-8.4699999999999998E-2</v>
      </c>
      <c r="H1695" s="12">
        <v>-4.5199999999999997E-2</v>
      </c>
      <c r="I1695" s="12">
        <v>9.6699999999999994E-2</v>
      </c>
      <c r="J1695" s="9" t="s">
        <v>412</v>
      </c>
      <c r="K1695" s="9" t="s">
        <v>604</v>
      </c>
    </row>
    <row r="1696" spans="1:11" ht="28.8">
      <c r="A1696" s="9" t="s">
        <v>671</v>
      </c>
      <c r="B1696" s="9" t="s">
        <v>691</v>
      </c>
      <c r="C1696" s="9" t="s">
        <v>677</v>
      </c>
      <c r="D1696" s="12">
        <v>6.8900000000000003E-2</v>
      </c>
      <c r="E1696" s="12">
        <v>-0.1353</v>
      </c>
      <c r="F1696" s="12">
        <v>8.5900000000000004E-2</v>
      </c>
      <c r="G1696" s="12">
        <v>-3.32E-2</v>
      </c>
      <c r="H1696" s="12">
        <v>6.4999999999999997E-3</v>
      </c>
      <c r="I1696" s="12">
        <v>9.6699999999999994E-2</v>
      </c>
      <c r="J1696" s="9" t="s">
        <v>412</v>
      </c>
      <c r="K1696" s="9" t="s">
        <v>604</v>
      </c>
    </row>
    <row r="1697" spans="1:11" ht="28.8">
      <c r="A1697" s="9" t="s">
        <v>609</v>
      </c>
      <c r="B1697" s="9" t="s">
        <v>653</v>
      </c>
      <c r="C1697" s="9" t="s">
        <v>690</v>
      </c>
      <c r="D1697" s="12">
        <v>4.9799999999999997E-2</v>
      </c>
      <c r="E1697" s="12">
        <v>-0.2389</v>
      </c>
      <c r="F1697" s="12">
        <v>-1.1999999999999999E-3</v>
      </c>
      <c r="G1697" s="12">
        <v>-9.4549999999999995E-2</v>
      </c>
      <c r="H1697" s="12">
        <v>-6.3399999999999998E-2</v>
      </c>
      <c r="I1697" s="12">
        <v>9.6600000000000005E-2</v>
      </c>
      <c r="J1697" s="9" t="s">
        <v>412</v>
      </c>
      <c r="K1697" s="9" t="s">
        <v>604</v>
      </c>
    </row>
    <row r="1698" spans="1:11">
      <c r="A1698" s="9" t="s">
        <v>682</v>
      </c>
      <c r="B1698" s="9" t="s">
        <v>613</v>
      </c>
      <c r="C1698" s="9" t="s">
        <v>667</v>
      </c>
      <c r="D1698" s="12">
        <v>-0.02</v>
      </c>
      <c r="E1698" s="12">
        <v>-1.2999999999999999E-2</v>
      </c>
      <c r="F1698" s="12">
        <v>0.25679999999999997</v>
      </c>
      <c r="G1698" s="12">
        <v>-1.6500000000000001E-2</v>
      </c>
      <c r="H1698" s="12">
        <v>7.46E-2</v>
      </c>
      <c r="I1698" s="12">
        <v>9.6600000000000005E-2</v>
      </c>
      <c r="J1698" s="9" t="s">
        <v>412</v>
      </c>
      <c r="K1698" s="9" t="s">
        <v>604</v>
      </c>
    </row>
    <row r="1699" spans="1:11" ht="28.8">
      <c r="A1699" s="9" t="s">
        <v>679</v>
      </c>
      <c r="B1699" s="9" t="s">
        <v>668</v>
      </c>
      <c r="C1699" s="9" t="s">
        <v>670</v>
      </c>
      <c r="D1699" s="12">
        <v>-9.5200000000000007E-2</v>
      </c>
      <c r="E1699" s="12">
        <v>-3.3300000000000003E-2</v>
      </c>
      <c r="F1699" s="12">
        <v>0.16139999999999999</v>
      </c>
      <c r="G1699" s="12">
        <v>-6.4250000000000002E-2</v>
      </c>
      <c r="H1699" s="12">
        <v>1.0999999999999999E-2</v>
      </c>
      <c r="I1699" s="12">
        <v>9.6600000000000005E-2</v>
      </c>
      <c r="J1699" s="9" t="s">
        <v>412</v>
      </c>
      <c r="K1699" s="9" t="s">
        <v>604</v>
      </c>
    </row>
    <row r="1700" spans="1:11" ht="28.8">
      <c r="A1700" s="9" t="s">
        <v>662</v>
      </c>
      <c r="B1700" s="9" t="s">
        <v>689</v>
      </c>
      <c r="C1700" s="9" t="s">
        <v>675</v>
      </c>
      <c r="D1700" s="12">
        <v>0.14630000000000001</v>
      </c>
      <c r="E1700" s="12">
        <v>-8.6699999999999999E-2</v>
      </c>
      <c r="F1700" s="12">
        <v>5.6300000000000003E-2</v>
      </c>
      <c r="G1700" s="12">
        <v>2.9800000000000007E-2</v>
      </c>
      <c r="H1700" s="12">
        <v>3.8600000000000002E-2</v>
      </c>
      <c r="I1700" s="12">
        <v>9.64E-2</v>
      </c>
      <c r="J1700" s="9" t="s">
        <v>412</v>
      </c>
      <c r="K1700" s="9" t="s">
        <v>604</v>
      </c>
    </row>
    <row r="1701" spans="1:11">
      <c r="A1701" s="9" t="s">
        <v>609</v>
      </c>
      <c r="B1701" s="9" t="s">
        <v>676</v>
      </c>
      <c r="C1701" s="9" t="s">
        <v>663</v>
      </c>
      <c r="D1701" s="12">
        <v>-0.12770000000000001</v>
      </c>
      <c r="E1701" s="12">
        <v>-3.9E-2</v>
      </c>
      <c r="F1701" s="12">
        <v>0.1225</v>
      </c>
      <c r="G1701" s="12">
        <v>-8.3350000000000007E-2</v>
      </c>
      <c r="H1701" s="12">
        <v>-1.47E-2</v>
      </c>
      <c r="I1701" s="12">
        <v>9.64E-2</v>
      </c>
      <c r="J1701" s="9" t="s">
        <v>412</v>
      </c>
      <c r="K1701" s="9" t="s">
        <v>604</v>
      </c>
    </row>
    <row r="1702" spans="1:11" ht="28.8">
      <c r="A1702" s="9" t="s">
        <v>610</v>
      </c>
      <c r="B1702" s="9" t="s">
        <v>681</v>
      </c>
      <c r="C1702" s="9" t="s">
        <v>666</v>
      </c>
      <c r="D1702" s="12">
        <v>9.5000000000000001E-2</v>
      </c>
      <c r="E1702" s="12">
        <v>0.13150000000000001</v>
      </c>
      <c r="F1702" s="12">
        <v>6.2399999999999997E-2</v>
      </c>
      <c r="G1702" s="12">
        <v>0.11325</v>
      </c>
      <c r="H1702" s="12">
        <v>9.6299999999999997E-2</v>
      </c>
      <c r="I1702" s="12">
        <v>9.6299999999999997E-2</v>
      </c>
      <c r="J1702" s="9" t="s">
        <v>412</v>
      </c>
      <c r="K1702" s="9" t="s">
        <v>654</v>
      </c>
    </row>
    <row r="1703" spans="1:11" ht="28.8">
      <c r="A1703" s="9" t="s">
        <v>610</v>
      </c>
      <c r="B1703" s="9" t="s">
        <v>688</v>
      </c>
      <c r="C1703" s="9" t="s">
        <v>690</v>
      </c>
      <c r="D1703" s="12">
        <v>-5.8599999999999999E-2</v>
      </c>
      <c r="E1703" s="12">
        <v>8.5699999999999998E-2</v>
      </c>
      <c r="F1703" s="12">
        <v>0.14399999999999999</v>
      </c>
      <c r="G1703" s="12">
        <v>1.355E-2</v>
      </c>
      <c r="H1703" s="12">
        <v>5.7000000000000002E-2</v>
      </c>
      <c r="I1703" s="12">
        <v>9.6100000000000005E-2</v>
      </c>
      <c r="J1703" s="9" t="s">
        <v>412</v>
      </c>
      <c r="K1703" s="9" t="s">
        <v>604</v>
      </c>
    </row>
    <row r="1704" spans="1:11" ht="28.8">
      <c r="A1704" s="9" t="s">
        <v>609</v>
      </c>
      <c r="B1704" s="9" t="s">
        <v>681</v>
      </c>
      <c r="C1704" s="9" t="s">
        <v>675</v>
      </c>
      <c r="D1704" s="12">
        <v>9.6600000000000005E-2</v>
      </c>
      <c r="E1704" s="12">
        <v>-2E-3</v>
      </c>
      <c r="F1704" s="12">
        <v>0.1895</v>
      </c>
      <c r="G1704" s="12">
        <v>4.7300000000000002E-2</v>
      </c>
      <c r="H1704" s="12">
        <v>9.4700000000000006E-2</v>
      </c>
      <c r="I1704" s="12">
        <v>9.6000000000000002E-2</v>
      </c>
      <c r="J1704" s="9" t="s">
        <v>412</v>
      </c>
      <c r="K1704" s="9" t="s">
        <v>604</v>
      </c>
    </row>
    <row r="1705" spans="1:11" ht="28.8">
      <c r="A1705" s="9" t="s">
        <v>682</v>
      </c>
      <c r="B1705" s="9" t="s">
        <v>602</v>
      </c>
      <c r="C1705" s="9" t="s">
        <v>683</v>
      </c>
      <c r="D1705" s="12">
        <v>-8.5099999999999995E-2</v>
      </c>
      <c r="E1705" s="12">
        <v>9.5699999999999993E-2</v>
      </c>
      <c r="F1705" s="12">
        <v>0.107</v>
      </c>
      <c r="G1705" s="12">
        <v>5.2999999999999992E-3</v>
      </c>
      <c r="H1705" s="12">
        <v>3.9199999999999999E-2</v>
      </c>
      <c r="I1705" s="12">
        <v>9.6000000000000002E-2</v>
      </c>
      <c r="J1705" s="9" t="s">
        <v>412</v>
      </c>
      <c r="K1705" s="9" t="s">
        <v>604</v>
      </c>
    </row>
    <row r="1706" spans="1:11">
      <c r="A1706" s="9" t="s">
        <v>682</v>
      </c>
      <c r="B1706" s="9" t="s">
        <v>672</v>
      </c>
      <c r="C1706" s="9" t="s">
        <v>655</v>
      </c>
      <c r="D1706" s="12">
        <v>7.3099999999999998E-2</v>
      </c>
      <c r="E1706" s="12">
        <v>-2.86E-2</v>
      </c>
      <c r="F1706" s="12">
        <v>0.1862</v>
      </c>
      <c r="G1706" s="12">
        <v>2.2249999999999999E-2</v>
      </c>
      <c r="H1706" s="12">
        <v>7.6899999999999996E-2</v>
      </c>
      <c r="I1706" s="12">
        <v>9.6000000000000002E-2</v>
      </c>
      <c r="J1706" s="9" t="s">
        <v>412</v>
      </c>
      <c r="K1706" s="9" t="s">
        <v>604</v>
      </c>
    </row>
    <row r="1707" spans="1:11" ht="28.8">
      <c r="A1707" s="9" t="s">
        <v>610</v>
      </c>
      <c r="B1707" s="9" t="s">
        <v>657</v>
      </c>
      <c r="C1707" s="9" t="s">
        <v>683</v>
      </c>
      <c r="D1707" s="12">
        <v>-8.1500000000000003E-2</v>
      </c>
      <c r="E1707" s="12">
        <v>-0.1171</v>
      </c>
      <c r="F1707" s="12">
        <v>8.9399999999999993E-2</v>
      </c>
      <c r="G1707" s="12">
        <v>-9.9299999999999999E-2</v>
      </c>
      <c r="H1707" s="12">
        <v>-3.6400000000000002E-2</v>
      </c>
      <c r="I1707" s="12">
        <v>9.6000000000000002E-2</v>
      </c>
      <c r="J1707" s="9" t="s">
        <v>412</v>
      </c>
      <c r="K1707" s="9" t="s">
        <v>604</v>
      </c>
    </row>
    <row r="1708" spans="1:11" ht="28.8">
      <c r="A1708" s="9" t="s">
        <v>671</v>
      </c>
      <c r="B1708" s="9" t="s">
        <v>658</v>
      </c>
      <c r="C1708" s="9" t="s">
        <v>677</v>
      </c>
      <c r="D1708" s="12">
        <v>6.8900000000000003E-2</v>
      </c>
      <c r="E1708" s="12">
        <v>0.18609999999999999</v>
      </c>
      <c r="F1708" s="12">
        <v>-3.3099999999999997E-2</v>
      </c>
      <c r="G1708" s="12">
        <v>0.1275</v>
      </c>
      <c r="H1708" s="12">
        <v>7.3999999999999996E-2</v>
      </c>
      <c r="I1708" s="12">
        <v>9.6000000000000002E-2</v>
      </c>
      <c r="J1708" s="9" t="s">
        <v>412</v>
      </c>
      <c r="K1708" s="9" t="s">
        <v>604</v>
      </c>
    </row>
    <row r="1709" spans="1:11" ht="28.8">
      <c r="A1709" s="9" t="s">
        <v>679</v>
      </c>
      <c r="B1709" s="9" t="s">
        <v>660</v>
      </c>
      <c r="C1709" s="9" t="s">
        <v>664</v>
      </c>
      <c r="D1709" s="12">
        <v>0.1353</v>
      </c>
      <c r="E1709" s="12">
        <v>-2.46E-2</v>
      </c>
      <c r="F1709" s="12">
        <v>0.128</v>
      </c>
      <c r="G1709" s="12">
        <v>5.5350000000000003E-2</v>
      </c>
      <c r="H1709" s="12">
        <v>7.9600000000000004E-2</v>
      </c>
      <c r="I1709" s="12">
        <v>9.6000000000000002E-2</v>
      </c>
      <c r="J1709" s="9" t="s">
        <v>412</v>
      </c>
      <c r="K1709" s="9" t="s">
        <v>604</v>
      </c>
    </row>
    <row r="1710" spans="1:11" ht="28.8">
      <c r="A1710" s="9" t="s">
        <v>682</v>
      </c>
      <c r="B1710" s="9" t="s">
        <v>689</v>
      </c>
      <c r="C1710" s="9" t="s">
        <v>683</v>
      </c>
      <c r="D1710" s="12">
        <v>-8.5099999999999995E-2</v>
      </c>
      <c r="E1710" s="12">
        <v>0.1298</v>
      </c>
      <c r="F1710" s="12">
        <v>-7.22E-2</v>
      </c>
      <c r="G1710" s="12">
        <v>2.2350000000000002E-2</v>
      </c>
      <c r="H1710" s="12">
        <v>-9.1999999999999998E-3</v>
      </c>
      <c r="I1710" s="12">
        <v>9.5699999999999993E-2</v>
      </c>
      <c r="J1710" s="9" t="s">
        <v>412</v>
      </c>
      <c r="K1710" s="9" t="s">
        <v>604</v>
      </c>
    </row>
    <row r="1711" spans="1:11">
      <c r="A1711" s="9" t="s">
        <v>682</v>
      </c>
      <c r="B1711" s="9" t="s">
        <v>687</v>
      </c>
      <c r="C1711" s="9" t="s">
        <v>656</v>
      </c>
      <c r="D1711" s="12">
        <v>-1.9900000000000001E-2</v>
      </c>
      <c r="E1711" s="12">
        <v>0.13450000000000001</v>
      </c>
      <c r="F1711" s="12">
        <v>-0.13239999999999999</v>
      </c>
      <c r="G1711" s="12">
        <v>5.7300000000000004E-2</v>
      </c>
      <c r="H1711" s="12">
        <v>-5.8999999999999999E-3</v>
      </c>
      <c r="I1711" s="12">
        <v>9.5600000000000004E-2</v>
      </c>
      <c r="J1711" s="9" t="s">
        <v>412</v>
      </c>
      <c r="K1711" s="9" t="s">
        <v>604</v>
      </c>
    </row>
    <row r="1712" spans="1:11" ht="28.8">
      <c r="A1712" s="9" t="s">
        <v>682</v>
      </c>
      <c r="B1712" s="9" t="s">
        <v>689</v>
      </c>
      <c r="C1712" s="9" t="s">
        <v>677</v>
      </c>
      <c r="D1712" s="12">
        <v>1.23E-2</v>
      </c>
      <c r="E1712" s="12">
        <v>0.1298</v>
      </c>
      <c r="F1712" s="12">
        <v>-0.14460000000000001</v>
      </c>
      <c r="G1712" s="12">
        <v>7.1050000000000002E-2</v>
      </c>
      <c r="H1712" s="12">
        <v>-8.9999999999999998E-4</v>
      </c>
      <c r="I1712" s="12">
        <v>9.5600000000000004E-2</v>
      </c>
      <c r="J1712" s="9" t="s">
        <v>412</v>
      </c>
      <c r="K1712" s="9" t="s">
        <v>604</v>
      </c>
    </row>
    <row r="1713" spans="1:11" ht="28.8">
      <c r="A1713" s="9" t="s">
        <v>610</v>
      </c>
      <c r="B1713" s="9" t="s">
        <v>613</v>
      </c>
      <c r="C1713" s="9" t="s">
        <v>664</v>
      </c>
      <c r="D1713" s="12">
        <v>-9.1300000000000006E-2</v>
      </c>
      <c r="E1713" s="12">
        <v>8.9999999999999993E-3</v>
      </c>
      <c r="F1713" s="12">
        <v>-0.18640000000000001</v>
      </c>
      <c r="G1713" s="12">
        <v>-4.1150000000000006E-2</v>
      </c>
      <c r="H1713" s="12">
        <v>-8.9599999999999999E-2</v>
      </c>
      <c r="I1713" s="12">
        <v>9.5600000000000004E-2</v>
      </c>
      <c r="J1713" s="9" t="s">
        <v>412</v>
      </c>
      <c r="K1713" s="9" t="s">
        <v>604</v>
      </c>
    </row>
    <row r="1714" spans="1:11" ht="28.8">
      <c r="A1714" s="9" t="s">
        <v>671</v>
      </c>
      <c r="B1714" s="9" t="s">
        <v>678</v>
      </c>
      <c r="C1714" s="9" t="s">
        <v>666</v>
      </c>
      <c r="D1714" s="12">
        <v>1.34E-2</v>
      </c>
      <c r="E1714" s="12">
        <v>-0.14360000000000001</v>
      </c>
      <c r="F1714" s="12">
        <v>-0.12959999999999999</v>
      </c>
      <c r="G1714" s="12">
        <v>-6.5100000000000005E-2</v>
      </c>
      <c r="H1714" s="12">
        <v>-8.6599999999999996E-2</v>
      </c>
      <c r="I1714" s="12">
        <v>9.5500000000000002E-2</v>
      </c>
      <c r="J1714" s="9" t="s">
        <v>412</v>
      </c>
      <c r="K1714" s="9" t="s">
        <v>604</v>
      </c>
    </row>
    <row r="1715" spans="1:11">
      <c r="A1715" s="9" t="s">
        <v>662</v>
      </c>
      <c r="B1715" s="9" t="s">
        <v>657</v>
      </c>
      <c r="C1715" s="9" t="s">
        <v>663</v>
      </c>
      <c r="D1715" s="12">
        <v>7.4700000000000003E-2</v>
      </c>
      <c r="E1715" s="12">
        <v>4.3299999999999998E-2</v>
      </c>
      <c r="F1715" s="12">
        <v>-0.16819999999999999</v>
      </c>
      <c r="G1715" s="12">
        <v>5.8999999999999997E-2</v>
      </c>
      <c r="H1715" s="12">
        <v>-1.67E-2</v>
      </c>
      <c r="I1715" s="12">
        <v>9.5399999999999999E-2</v>
      </c>
      <c r="J1715" s="9" t="s">
        <v>412</v>
      </c>
      <c r="K1715" s="9" t="s">
        <v>604</v>
      </c>
    </row>
    <row r="1716" spans="1:11" ht="28.8">
      <c r="A1716" s="9" t="s">
        <v>662</v>
      </c>
      <c r="B1716" s="9" t="s">
        <v>613</v>
      </c>
      <c r="C1716" s="9" t="s">
        <v>675</v>
      </c>
      <c r="D1716" s="12">
        <v>0.14630000000000001</v>
      </c>
      <c r="E1716" s="12">
        <v>6.2399999999999997E-2</v>
      </c>
      <c r="F1716" s="12">
        <v>7.7100000000000002E-2</v>
      </c>
      <c r="G1716" s="12">
        <v>0.10435</v>
      </c>
      <c r="H1716" s="12">
        <v>9.5299999999999996E-2</v>
      </c>
      <c r="I1716" s="12">
        <v>9.5299999999999996E-2</v>
      </c>
      <c r="J1716" s="9" t="s">
        <v>412</v>
      </c>
      <c r="K1716" s="9" t="s">
        <v>654</v>
      </c>
    </row>
    <row r="1717" spans="1:11" ht="28.8">
      <c r="A1717" s="9" t="s">
        <v>661</v>
      </c>
      <c r="B1717" s="9" t="s">
        <v>684</v>
      </c>
      <c r="C1717" s="9" t="s">
        <v>677</v>
      </c>
      <c r="D1717" s="12">
        <v>2.5700000000000001E-2</v>
      </c>
      <c r="E1717" s="12">
        <v>0.1986</v>
      </c>
      <c r="F1717" s="12">
        <v>-6.13E-2</v>
      </c>
      <c r="G1717" s="12">
        <v>0.11215</v>
      </c>
      <c r="H1717" s="12">
        <v>5.4300000000000001E-2</v>
      </c>
      <c r="I1717" s="12">
        <v>9.5200000000000007E-2</v>
      </c>
      <c r="J1717" s="9" t="s">
        <v>412</v>
      </c>
      <c r="K1717" s="9" t="s">
        <v>604</v>
      </c>
    </row>
    <row r="1718" spans="1:11">
      <c r="A1718" s="9" t="s">
        <v>609</v>
      </c>
      <c r="B1718" s="9" t="s">
        <v>685</v>
      </c>
      <c r="C1718" s="9" t="s">
        <v>663</v>
      </c>
      <c r="D1718" s="12">
        <v>-0.12770000000000001</v>
      </c>
      <c r="E1718" s="12">
        <v>3.8399999999999997E-2</v>
      </c>
      <c r="F1718" s="12">
        <v>0.1195</v>
      </c>
      <c r="G1718" s="12">
        <v>-4.4650000000000009E-2</v>
      </c>
      <c r="H1718" s="12">
        <v>1.01E-2</v>
      </c>
      <c r="I1718" s="12">
        <v>9.5200000000000007E-2</v>
      </c>
      <c r="J1718" s="9" t="s">
        <v>412</v>
      </c>
      <c r="K1718" s="9" t="s">
        <v>604</v>
      </c>
    </row>
    <row r="1719" spans="1:11">
      <c r="A1719" s="9" t="s">
        <v>609</v>
      </c>
      <c r="B1719" s="9" t="s">
        <v>686</v>
      </c>
      <c r="C1719" s="9" t="s">
        <v>655</v>
      </c>
      <c r="D1719" s="12">
        <v>0.16819999999999999</v>
      </c>
      <c r="E1719" s="12">
        <v>-8.5000000000000006E-3</v>
      </c>
      <c r="F1719" s="12">
        <v>0.1085</v>
      </c>
      <c r="G1719" s="12">
        <v>7.984999999999999E-2</v>
      </c>
      <c r="H1719" s="12">
        <v>8.9399999999999993E-2</v>
      </c>
      <c r="I1719" s="12">
        <v>9.5100000000000004E-2</v>
      </c>
      <c r="J1719" s="9" t="s">
        <v>412</v>
      </c>
      <c r="K1719" s="9" t="s">
        <v>604</v>
      </c>
    </row>
    <row r="1720" spans="1:11" ht="28.8">
      <c r="A1720" s="9" t="s">
        <v>679</v>
      </c>
      <c r="B1720" s="9" t="s">
        <v>613</v>
      </c>
      <c r="C1720" s="9" t="s">
        <v>666</v>
      </c>
      <c r="D1720" s="12">
        <v>-0.113</v>
      </c>
      <c r="E1720" s="12">
        <v>-0.1157</v>
      </c>
      <c r="F1720" s="12">
        <v>5.6399999999999999E-2</v>
      </c>
      <c r="G1720" s="12">
        <v>-0.11435000000000001</v>
      </c>
      <c r="H1720" s="12">
        <v>-5.74E-2</v>
      </c>
      <c r="I1720" s="12">
        <v>9.5000000000000001E-2</v>
      </c>
      <c r="J1720" s="9" t="s">
        <v>412</v>
      </c>
      <c r="K1720" s="9" t="s">
        <v>604</v>
      </c>
    </row>
    <row r="1721" spans="1:11" ht="28.8">
      <c r="A1721" s="9" t="s">
        <v>671</v>
      </c>
      <c r="B1721" s="9" t="s">
        <v>687</v>
      </c>
      <c r="C1721" s="9" t="s">
        <v>666</v>
      </c>
      <c r="D1721" s="12">
        <v>1.34E-2</v>
      </c>
      <c r="E1721" s="12">
        <v>0.13850000000000001</v>
      </c>
      <c r="F1721" s="12">
        <v>0.1331</v>
      </c>
      <c r="G1721" s="12">
        <v>7.5950000000000004E-2</v>
      </c>
      <c r="H1721" s="12">
        <v>9.5000000000000001E-2</v>
      </c>
      <c r="I1721" s="12">
        <v>9.5000000000000001E-2</v>
      </c>
      <c r="J1721" s="9" t="s">
        <v>412</v>
      </c>
      <c r="K1721" s="9" t="s">
        <v>654</v>
      </c>
    </row>
    <row r="1722" spans="1:11" ht="28.8">
      <c r="A1722" s="9" t="s">
        <v>603</v>
      </c>
      <c r="B1722" s="9" t="s">
        <v>689</v>
      </c>
      <c r="C1722" s="9" t="s">
        <v>666</v>
      </c>
      <c r="D1722" s="12">
        <v>-0.26</v>
      </c>
      <c r="E1722" s="12">
        <v>2.1399999999999999E-2</v>
      </c>
      <c r="F1722" s="12">
        <v>3.5000000000000001E-3</v>
      </c>
      <c r="G1722" s="12">
        <v>-0.1193</v>
      </c>
      <c r="H1722" s="12">
        <v>-7.8399999999999997E-2</v>
      </c>
      <c r="I1722" s="12">
        <v>9.5000000000000001E-2</v>
      </c>
      <c r="J1722" s="9" t="s">
        <v>412</v>
      </c>
      <c r="K1722" s="9" t="s">
        <v>604</v>
      </c>
    </row>
    <row r="1723" spans="1:11">
      <c r="A1723" s="9" t="s">
        <v>682</v>
      </c>
      <c r="B1723" s="9" t="s">
        <v>688</v>
      </c>
      <c r="C1723" s="9" t="s">
        <v>663</v>
      </c>
      <c r="D1723" s="12">
        <v>-6.7400000000000002E-2</v>
      </c>
      <c r="E1723" s="12">
        <v>5.6800000000000003E-2</v>
      </c>
      <c r="F1723" s="12">
        <v>0.16059999999999999</v>
      </c>
      <c r="G1723" s="12">
        <v>-5.2999999999999992E-3</v>
      </c>
      <c r="H1723" s="12">
        <v>0.05</v>
      </c>
      <c r="I1723" s="12">
        <v>9.4899999999999998E-2</v>
      </c>
      <c r="J1723" s="9" t="s">
        <v>412</v>
      </c>
      <c r="K1723" s="9" t="s">
        <v>604</v>
      </c>
    </row>
    <row r="1724" spans="1:11" ht="28.8">
      <c r="A1724" s="9" t="s">
        <v>603</v>
      </c>
      <c r="B1724" s="9" t="s">
        <v>676</v>
      </c>
      <c r="C1724" s="9" t="s">
        <v>683</v>
      </c>
      <c r="D1724" s="12">
        <v>0.17660000000000001</v>
      </c>
      <c r="E1724" s="12">
        <v>-0.1002</v>
      </c>
      <c r="F1724" s="12">
        <v>-7.4999999999999997E-3</v>
      </c>
      <c r="G1724" s="12">
        <v>3.8200000000000005E-2</v>
      </c>
      <c r="H1724" s="12">
        <v>2.29E-2</v>
      </c>
      <c r="I1724" s="12">
        <v>9.4799999999999995E-2</v>
      </c>
      <c r="J1724" s="9" t="s">
        <v>412</v>
      </c>
      <c r="K1724" s="9" t="s">
        <v>604</v>
      </c>
    </row>
    <row r="1725" spans="1:11" ht="28.8">
      <c r="A1725" s="9" t="s">
        <v>679</v>
      </c>
      <c r="B1725" s="9" t="s">
        <v>691</v>
      </c>
      <c r="C1725" s="9" t="s">
        <v>601</v>
      </c>
      <c r="D1725" s="12">
        <v>-8.3900000000000002E-2</v>
      </c>
      <c r="E1725" s="12">
        <v>-0.1757</v>
      </c>
      <c r="F1725" s="12">
        <v>2.4299999999999999E-2</v>
      </c>
      <c r="G1725" s="12">
        <v>-0.1298</v>
      </c>
      <c r="H1725" s="12">
        <v>-7.8399999999999997E-2</v>
      </c>
      <c r="I1725" s="12">
        <v>9.4600000000000004E-2</v>
      </c>
      <c r="J1725" s="9" t="s">
        <v>412</v>
      </c>
      <c r="K1725" s="9" t="s">
        <v>604</v>
      </c>
    </row>
    <row r="1726" spans="1:11" ht="28.8">
      <c r="A1726" s="9" t="s">
        <v>603</v>
      </c>
      <c r="B1726" s="9" t="s">
        <v>687</v>
      </c>
      <c r="C1726" s="9" t="s">
        <v>667</v>
      </c>
      <c r="D1726" s="12">
        <v>-6.3299999999999995E-2</v>
      </c>
      <c r="E1726" s="12">
        <v>-0.1457</v>
      </c>
      <c r="F1726" s="12">
        <v>-7.4800000000000005E-2</v>
      </c>
      <c r="G1726" s="12">
        <v>-0.1045</v>
      </c>
      <c r="H1726" s="12">
        <v>-9.4600000000000004E-2</v>
      </c>
      <c r="I1726" s="12">
        <v>9.4600000000000004E-2</v>
      </c>
      <c r="J1726" s="9" t="s">
        <v>412</v>
      </c>
      <c r="K1726" s="9" t="s">
        <v>604</v>
      </c>
    </row>
    <row r="1727" spans="1:11" ht="28.8">
      <c r="A1727" s="9" t="s">
        <v>682</v>
      </c>
      <c r="B1727" s="9" t="s">
        <v>672</v>
      </c>
      <c r="C1727" s="9" t="s">
        <v>683</v>
      </c>
      <c r="D1727" s="12">
        <v>-8.5099999999999995E-2</v>
      </c>
      <c r="E1727" s="12">
        <v>-2.86E-2</v>
      </c>
      <c r="F1727" s="12">
        <v>0.17019999999999999</v>
      </c>
      <c r="G1727" s="12">
        <v>-5.6849999999999998E-2</v>
      </c>
      <c r="H1727" s="12">
        <v>1.8800000000000001E-2</v>
      </c>
      <c r="I1727" s="12">
        <v>9.4600000000000004E-2</v>
      </c>
      <c r="J1727" s="9" t="s">
        <v>412</v>
      </c>
      <c r="K1727" s="9" t="s">
        <v>604</v>
      </c>
    </row>
    <row r="1728" spans="1:11" ht="28.8">
      <c r="A1728" s="9" t="s">
        <v>603</v>
      </c>
      <c r="B1728" s="9" t="s">
        <v>688</v>
      </c>
      <c r="C1728" s="9" t="s">
        <v>667</v>
      </c>
      <c r="D1728" s="12">
        <v>-6.3299999999999995E-2</v>
      </c>
      <c r="E1728" s="12">
        <v>-2.2200000000000001E-2</v>
      </c>
      <c r="F1728" s="12">
        <v>0.19789999999999999</v>
      </c>
      <c r="G1728" s="12">
        <v>-4.2749999999999996E-2</v>
      </c>
      <c r="H1728" s="12">
        <v>3.7499999999999999E-2</v>
      </c>
      <c r="I1728" s="12">
        <v>9.4500000000000001E-2</v>
      </c>
      <c r="J1728" s="9" t="s">
        <v>412</v>
      </c>
      <c r="K1728" s="9" t="s">
        <v>604</v>
      </c>
    </row>
    <row r="1729" spans="1:11" ht="28.8">
      <c r="A1729" s="9" t="s">
        <v>679</v>
      </c>
      <c r="B1729" s="9" t="s">
        <v>678</v>
      </c>
      <c r="C1729" s="9" t="s">
        <v>677</v>
      </c>
      <c r="D1729" s="12">
        <v>0.13189999999999999</v>
      </c>
      <c r="E1729" s="12">
        <v>-9.2299999999999993E-2</v>
      </c>
      <c r="F1729" s="12">
        <v>5.8999999999999997E-2</v>
      </c>
      <c r="G1729" s="12">
        <v>1.9799999999999998E-2</v>
      </c>
      <c r="H1729" s="12">
        <v>3.2899999999999999E-2</v>
      </c>
      <c r="I1729" s="12">
        <v>9.4399999999999998E-2</v>
      </c>
      <c r="J1729" s="9" t="s">
        <v>412</v>
      </c>
      <c r="K1729" s="9" t="s">
        <v>604</v>
      </c>
    </row>
    <row r="1730" spans="1:11">
      <c r="A1730" s="9" t="s">
        <v>662</v>
      </c>
      <c r="B1730" s="9" t="s">
        <v>672</v>
      </c>
      <c r="C1730" s="9" t="s">
        <v>667</v>
      </c>
      <c r="D1730" s="12">
        <v>0.12540000000000001</v>
      </c>
      <c r="E1730" s="12">
        <v>1.0999999999999999E-2</v>
      </c>
      <c r="F1730" s="12">
        <v>0.1469</v>
      </c>
      <c r="G1730" s="12">
        <v>6.8200000000000011E-2</v>
      </c>
      <c r="H1730" s="12">
        <v>9.4399999999999998E-2</v>
      </c>
      <c r="I1730" s="12">
        <v>9.4399999999999998E-2</v>
      </c>
      <c r="J1730" s="9" t="s">
        <v>412</v>
      </c>
      <c r="K1730" s="9" t="s">
        <v>654</v>
      </c>
    </row>
    <row r="1731" spans="1:11" ht="28.8">
      <c r="A1731" s="9" t="s">
        <v>661</v>
      </c>
      <c r="B1731" s="9" t="s">
        <v>689</v>
      </c>
      <c r="C1731" s="9" t="s">
        <v>674</v>
      </c>
      <c r="D1731" s="12">
        <v>6.8199999999999997E-2</v>
      </c>
      <c r="E1731" s="12">
        <v>-0.1028</v>
      </c>
      <c r="F1731" s="12">
        <v>0.112</v>
      </c>
      <c r="G1731" s="12">
        <v>-1.7300000000000003E-2</v>
      </c>
      <c r="H1731" s="12">
        <v>2.58E-2</v>
      </c>
      <c r="I1731" s="12">
        <v>9.4299999999999995E-2</v>
      </c>
      <c r="J1731" s="9" t="s">
        <v>412</v>
      </c>
      <c r="K1731" s="9" t="s">
        <v>604</v>
      </c>
    </row>
    <row r="1732" spans="1:11">
      <c r="A1732" s="9" t="s">
        <v>610</v>
      </c>
      <c r="B1732" s="9" t="s">
        <v>658</v>
      </c>
      <c r="C1732" s="9" t="s">
        <v>667</v>
      </c>
      <c r="D1732" s="12">
        <v>6.1800000000000001E-2</v>
      </c>
      <c r="E1732" s="12">
        <v>-0.1421</v>
      </c>
      <c r="F1732" s="12">
        <v>7.9000000000000001E-2</v>
      </c>
      <c r="G1732" s="12">
        <v>-4.0150000000000005E-2</v>
      </c>
      <c r="H1732" s="12">
        <v>-4.0000000000000002E-4</v>
      </c>
      <c r="I1732" s="12">
        <v>9.4299999999999995E-2</v>
      </c>
      <c r="J1732" s="9" t="s">
        <v>412</v>
      </c>
      <c r="K1732" s="9" t="s">
        <v>604</v>
      </c>
    </row>
    <row r="1733" spans="1:11" ht="28.8">
      <c r="A1733" s="9" t="s">
        <v>603</v>
      </c>
      <c r="B1733" s="9" t="s">
        <v>685</v>
      </c>
      <c r="C1733" s="9" t="s">
        <v>666</v>
      </c>
      <c r="D1733" s="12">
        <v>-0.26</v>
      </c>
      <c r="E1733" s="12">
        <v>1.0699999999999999E-2</v>
      </c>
      <c r="F1733" s="12">
        <v>-1.17E-2</v>
      </c>
      <c r="G1733" s="12">
        <v>-0.12465000000000001</v>
      </c>
      <c r="H1733" s="12">
        <v>-8.6999999999999994E-2</v>
      </c>
      <c r="I1733" s="12">
        <v>9.4100000000000003E-2</v>
      </c>
      <c r="J1733" s="9" t="s">
        <v>412</v>
      </c>
      <c r="K1733" s="9" t="s">
        <v>604</v>
      </c>
    </row>
    <row r="1734" spans="1:11" ht="28.8">
      <c r="A1734" s="9" t="s">
        <v>610</v>
      </c>
      <c r="B1734" s="9" t="s">
        <v>685</v>
      </c>
      <c r="C1734" s="9" t="s">
        <v>601</v>
      </c>
      <c r="D1734" s="12">
        <v>8.48E-2</v>
      </c>
      <c r="E1734" s="12">
        <v>4.0500000000000001E-2</v>
      </c>
      <c r="F1734" s="12">
        <v>-0.157</v>
      </c>
      <c r="G1734" s="12">
        <v>6.2649999999999997E-2</v>
      </c>
      <c r="H1734" s="12">
        <v>-1.06E-2</v>
      </c>
      <c r="I1734" s="12">
        <v>9.4100000000000003E-2</v>
      </c>
      <c r="J1734" s="9" t="s">
        <v>412</v>
      </c>
      <c r="K1734" s="9" t="s">
        <v>604</v>
      </c>
    </row>
    <row r="1735" spans="1:11" ht="28.8">
      <c r="A1735" s="9" t="s">
        <v>679</v>
      </c>
      <c r="B1735" s="9" t="s">
        <v>689</v>
      </c>
      <c r="C1735" s="9" t="s">
        <v>656</v>
      </c>
      <c r="D1735" s="12">
        <v>-2.2700000000000001E-2</v>
      </c>
      <c r="E1735" s="12">
        <v>-7.0900000000000005E-2</v>
      </c>
      <c r="F1735" s="12">
        <v>-0.1888</v>
      </c>
      <c r="G1735" s="12">
        <v>-4.6800000000000001E-2</v>
      </c>
      <c r="H1735" s="12">
        <v>-9.4100000000000003E-2</v>
      </c>
      <c r="I1735" s="12">
        <v>9.4100000000000003E-2</v>
      </c>
      <c r="J1735" s="9" t="s">
        <v>412</v>
      </c>
      <c r="K1735" s="9" t="s">
        <v>604</v>
      </c>
    </row>
    <row r="1736" spans="1:11" ht="28.8">
      <c r="A1736" s="9" t="s">
        <v>661</v>
      </c>
      <c r="B1736" s="9" t="s">
        <v>681</v>
      </c>
      <c r="C1736" s="9" t="s">
        <v>674</v>
      </c>
      <c r="D1736" s="12">
        <v>6.8199999999999997E-2</v>
      </c>
      <c r="E1736" s="12">
        <v>2.3900000000000001E-2</v>
      </c>
      <c r="F1736" s="12">
        <v>0.19020000000000001</v>
      </c>
      <c r="G1736" s="12">
        <v>4.6050000000000001E-2</v>
      </c>
      <c r="H1736" s="12">
        <v>9.4100000000000003E-2</v>
      </c>
      <c r="I1736" s="12">
        <v>9.4100000000000003E-2</v>
      </c>
      <c r="J1736" s="9" t="s">
        <v>412</v>
      </c>
      <c r="K1736" s="9" t="s">
        <v>654</v>
      </c>
    </row>
    <row r="1737" spans="1:11">
      <c r="A1737" s="9" t="s">
        <v>682</v>
      </c>
      <c r="B1737" s="9" t="s">
        <v>676</v>
      </c>
      <c r="C1737" s="9" t="s">
        <v>667</v>
      </c>
      <c r="D1737" s="12">
        <v>-0.02</v>
      </c>
      <c r="E1737" s="12">
        <v>0.1517</v>
      </c>
      <c r="F1737" s="12">
        <v>0.1105</v>
      </c>
      <c r="G1737" s="12">
        <v>6.5850000000000006E-2</v>
      </c>
      <c r="H1737" s="12">
        <v>8.0699999999999994E-2</v>
      </c>
      <c r="I1737" s="12">
        <v>9.4E-2</v>
      </c>
      <c r="J1737" s="9" t="s">
        <v>412</v>
      </c>
      <c r="K1737" s="9" t="s">
        <v>604</v>
      </c>
    </row>
    <row r="1738" spans="1:11" ht="28.8">
      <c r="A1738" s="9" t="s">
        <v>610</v>
      </c>
      <c r="B1738" s="9" t="s">
        <v>613</v>
      </c>
      <c r="C1738" s="9" t="s">
        <v>677</v>
      </c>
      <c r="D1738" s="12">
        <v>0.10100000000000001</v>
      </c>
      <c r="E1738" s="12">
        <v>8.9999999999999993E-3</v>
      </c>
      <c r="F1738" s="12">
        <v>-0.1721</v>
      </c>
      <c r="G1738" s="12">
        <v>5.5E-2</v>
      </c>
      <c r="H1738" s="12">
        <v>-2.07E-2</v>
      </c>
      <c r="I1738" s="12">
        <v>9.4E-2</v>
      </c>
      <c r="J1738" s="9" t="s">
        <v>412</v>
      </c>
      <c r="K1738" s="9" t="s">
        <v>604</v>
      </c>
    </row>
    <row r="1739" spans="1:11" ht="28.8">
      <c r="A1739" s="9" t="s">
        <v>662</v>
      </c>
      <c r="B1739" s="9" t="s">
        <v>676</v>
      </c>
      <c r="C1739" s="9" t="s">
        <v>690</v>
      </c>
      <c r="D1739" s="12">
        <v>-3.1300000000000001E-2</v>
      </c>
      <c r="E1739" s="12">
        <v>0.17610000000000001</v>
      </c>
      <c r="F1739" s="12">
        <v>-7.4399999999999994E-2</v>
      </c>
      <c r="G1739" s="12">
        <v>7.2400000000000006E-2</v>
      </c>
      <c r="H1739" s="12">
        <v>2.3400000000000001E-2</v>
      </c>
      <c r="I1739" s="12">
        <v>9.3899999999999997E-2</v>
      </c>
      <c r="J1739" s="9" t="s">
        <v>412</v>
      </c>
      <c r="K1739" s="9" t="s">
        <v>604</v>
      </c>
    </row>
    <row r="1740" spans="1:11">
      <c r="A1740" s="9" t="s">
        <v>682</v>
      </c>
      <c r="B1740" s="9" t="s">
        <v>684</v>
      </c>
      <c r="C1740" s="9" t="s">
        <v>659</v>
      </c>
      <c r="D1740" s="12">
        <v>0.1188</v>
      </c>
      <c r="E1740" s="12">
        <v>-0.1031</v>
      </c>
      <c r="F1740" s="12">
        <v>-5.9499999999999997E-2</v>
      </c>
      <c r="G1740" s="12">
        <v>7.8500000000000028E-3</v>
      </c>
      <c r="H1740" s="12">
        <v>-1.46E-2</v>
      </c>
      <c r="I1740" s="12">
        <v>9.3799999999999994E-2</v>
      </c>
      <c r="J1740" s="9" t="s">
        <v>412</v>
      </c>
      <c r="K1740" s="9" t="s">
        <v>604</v>
      </c>
    </row>
    <row r="1741" spans="1:11" ht="28.8">
      <c r="A1741" s="9" t="s">
        <v>603</v>
      </c>
      <c r="B1741" s="9" t="s">
        <v>691</v>
      </c>
      <c r="C1741" s="9" t="s">
        <v>683</v>
      </c>
      <c r="D1741" s="12">
        <v>0.17660000000000001</v>
      </c>
      <c r="E1741" s="12">
        <v>3.3000000000000002E-2</v>
      </c>
      <c r="F1741" s="12">
        <v>7.1400000000000005E-2</v>
      </c>
      <c r="G1741" s="12">
        <v>0.1048</v>
      </c>
      <c r="H1741" s="12">
        <v>9.3700000000000006E-2</v>
      </c>
      <c r="I1741" s="12">
        <v>9.3700000000000006E-2</v>
      </c>
      <c r="J1741" s="9" t="s">
        <v>412</v>
      </c>
      <c r="K1741" s="9" t="s">
        <v>654</v>
      </c>
    </row>
    <row r="1742" spans="1:11" ht="28.8">
      <c r="A1742" s="9" t="s">
        <v>671</v>
      </c>
      <c r="B1742" s="9" t="s">
        <v>689</v>
      </c>
      <c r="C1742" s="9" t="s">
        <v>659</v>
      </c>
      <c r="D1742" s="12">
        <v>0.13159999999999999</v>
      </c>
      <c r="E1742" s="12">
        <v>-0.12859999999999999</v>
      </c>
      <c r="F1742" s="12">
        <v>-1.9900000000000001E-2</v>
      </c>
      <c r="G1742" s="12">
        <v>1.5000000000000013E-3</v>
      </c>
      <c r="H1742" s="12">
        <v>-5.5999999999999999E-3</v>
      </c>
      <c r="I1742" s="12">
        <v>9.3399999999999997E-2</v>
      </c>
      <c r="J1742" s="9" t="s">
        <v>412</v>
      </c>
      <c r="K1742" s="9" t="s">
        <v>604</v>
      </c>
    </row>
    <row r="1743" spans="1:11" ht="28.8">
      <c r="A1743" s="9" t="s">
        <v>603</v>
      </c>
      <c r="B1743" s="9" t="s">
        <v>691</v>
      </c>
      <c r="C1743" s="9" t="s">
        <v>675</v>
      </c>
      <c r="D1743" s="12">
        <v>-0.18360000000000001</v>
      </c>
      <c r="E1743" s="12">
        <v>3.3000000000000002E-2</v>
      </c>
      <c r="F1743" s="12">
        <v>-6.3600000000000004E-2</v>
      </c>
      <c r="G1743" s="12">
        <v>-7.5300000000000006E-2</v>
      </c>
      <c r="H1743" s="12">
        <v>-7.1400000000000005E-2</v>
      </c>
      <c r="I1743" s="12">
        <v>9.3399999999999997E-2</v>
      </c>
      <c r="J1743" s="9" t="s">
        <v>412</v>
      </c>
      <c r="K1743" s="9" t="s">
        <v>604</v>
      </c>
    </row>
    <row r="1744" spans="1:11" ht="28.8">
      <c r="A1744" s="9" t="s">
        <v>662</v>
      </c>
      <c r="B1744" s="9" t="s">
        <v>657</v>
      </c>
      <c r="C1744" s="9" t="s">
        <v>677</v>
      </c>
      <c r="D1744" s="12">
        <v>1.2200000000000001E-2</v>
      </c>
      <c r="E1744" s="12">
        <v>4.3299999999999998E-2</v>
      </c>
      <c r="F1744" s="12">
        <v>0.2248</v>
      </c>
      <c r="G1744" s="12">
        <v>2.775E-2</v>
      </c>
      <c r="H1744" s="12">
        <v>9.3399999999999997E-2</v>
      </c>
      <c r="I1744" s="12">
        <v>9.3399999999999997E-2</v>
      </c>
      <c r="J1744" s="9" t="s">
        <v>412</v>
      </c>
      <c r="K1744" s="9" t="s">
        <v>654</v>
      </c>
    </row>
    <row r="1745" spans="1:11" ht="28.8">
      <c r="A1745" s="9" t="s">
        <v>682</v>
      </c>
      <c r="B1745" s="9" t="s">
        <v>657</v>
      </c>
      <c r="C1745" s="9" t="s">
        <v>683</v>
      </c>
      <c r="D1745" s="12">
        <v>-8.5099999999999995E-2</v>
      </c>
      <c r="E1745" s="12">
        <v>-0.1056</v>
      </c>
      <c r="F1745" s="12">
        <v>8.9399999999999993E-2</v>
      </c>
      <c r="G1745" s="12">
        <v>-9.534999999999999E-2</v>
      </c>
      <c r="H1745" s="12">
        <v>-3.3700000000000001E-2</v>
      </c>
      <c r="I1745" s="12">
        <v>9.3399999999999997E-2</v>
      </c>
      <c r="J1745" s="9" t="s">
        <v>412</v>
      </c>
      <c r="K1745" s="9" t="s">
        <v>604</v>
      </c>
    </row>
    <row r="1746" spans="1:11" ht="28.8">
      <c r="A1746" s="9" t="s">
        <v>662</v>
      </c>
      <c r="B1746" s="9" t="s">
        <v>691</v>
      </c>
      <c r="C1746" s="9" t="s">
        <v>675</v>
      </c>
      <c r="D1746" s="12">
        <v>0.14630000000000001</v>
      </c>
      <c r="E1746" s="12">
        <v>7.0099999999999996E-2</v>
      </c>
      <c r="F1746" s="12">
        <v>-6.3600000000000004E-2</v>
      </c>
      <c r="G1746" s="12">
        <v>0.1082</v>
      </c>
      <c r="H1746" s="12">
        <v>5.0900000000000001E-2</v>
      </c>
      <c r="I1746" s="12">
        <v>9.3299999999999994E-2</v>
      </c>
      <c r="J1746" s="9" t="s">
        <v>412</v>
      </c>
      <c r="K1746" s="9" t="s">
        <v>604</v>
      </c>
    </row>
    <row r="1747" spans="1:11" ht="28.8">
      <c r="A1747" s="9" t="s">
        <v>610</v>
      </c>
      <c r="B1747" s="9" t="s">
        <v>660</v>
      </c>
      <c r="C1747" s="9" t="s">
        <v>675</v>
      </c>
      <c r="D1747" s="12">
        <v>-2.1399999999999999E-2</v>
      </c>
      <c r="E1747" s="12">
        <v>-3.2599999999999997E-2</v>
      </c>
      <c r="F1747" s="12">
        <v>-0.22600000000000001</v>
      </c>
      <c r="G1747" s="12">
        <v>-2.6999999999999996E-2</v>
      </c>
      <c r="H1747" s="12">
        <v>-9.3299999999999994E-2</v>
      </c>
      <c r="I1747" s="12">
        <v>9.3299999999999994E-2</v>
      </c>
      <c r="J1747" s="9" t="s">
        <v>412</v>
      </c>
      <c r="K1747" s="9" t="s">
        <v>604</v>
      </c>
    </row>
    <row r="1748" spans="1:11" ht="28.8">
      <c r="A1748" s="9" t="s">
        <v>679</v>
      </c>
      <c r="B1748" s="9" t="s">
        <v>691</v>
      </c>
      <c r="C1748" s="9" t="s">
        <v>675</v>
      </c>
      <c r="D1748" s="12">
        <v>4.0599999999999997E-2</v>
      </c>
      <c r="E1748" s="12">
        <v>-0.1757</v>
      </c>
      <c r="F1748" s="12">
        <v>-6.3600000000000004E-2</v>
      </c>
      <c r="G1748" s="12">
        <v>-6.7549999999999999E-2</v>
      </c>
      <c r="H1748" s="12">
        <v>-6.6199999999999995E-2</v>
      </c>
      <c r="I1748" s="12">
        <v>9.3299999999999994E-2</v>
      </c>
      <c r="J1748" s="9" t="s">
        <v>412</v>
      </c>
      <c r="K1748" s="9" t="s">
        <v>604</v>
      </c>
    </row>
    <row r="1749" spans="1:11">
      <c r="A1749" s="9" t="s">
        <v>610</v>
      </c>
      <c r="B1749" s="9" t="s">
        <v>672</v>
      </c>
      <c r="C1749" s="9" t="s">
        <v>667</v>
      </c>
      <c r="D1749" s="12">
        <v>6.1800000000000001E-2</v>
      </c>
      <c r="E1749" s="12">
        <v>7.0999999999999994E-2</v>
      </c>
      <c r="F1749" s="12">
        <v>0.1469</v>
      </c>
      <c r="G1749" s="12">
        <v>6.6400000000000001E-2</v>
      </c>
      <c r="H1749" s="12">
        <v>9.3200000000000005E-2</v>
      </c>
      <c r="I1749" s="12">
        <v>9.3200000000000005E-2</v>
      </c>
      <c r="J1749" s="9" t="s">
        <v>412</v>
      </c>
      <c r="K1749" s="9" t="s">
        <v>654</v>
      </c>
    </row>
    <row r="1750" spans="1:11" ht="28.8">
      <c r="A1750" s="9" t="s">
        <v>682</v>
      </c>
      <c r="B1750" s="9" t="s">
        <v>613</v>
      </c>
      <c r="C1750" s="9" t="s">
        <v>664</v>
      </c>
      <c r="D1750" s="12">
        <v>-0.08</v>
      </c>
      <c r="E1750" s="12">
        <v>-1.2999999999999999E-2</v>
      </c>
      <c r="F1750" s="12">
        <v>-0.18640000000000001</v>
      </c>
      <c r="G1750" s="12">
        <v>-4.65E-2</v>
      </c>
      <c r="H1750" s="12">
        <v>-9.3200000000000005E-2</v>
      </c>
      <c r="I1750" s="12">
        <v>9.3200000000000005E-2</v>
      </c>
      <c r="J1750" s="9" t="s">
        <v>412</v>
      </c>
      <c r="K1750" s="9" t="s">
        <v>604</v>
      </c>
    </row>
    <row r="1751" spans="1:11" ht="28.8">
      <c r="A1751" s="9" t="s">
        <v>679</v>
      </c>
      <c r="B1751" s="9" t="s">
        <v>687</v>
      </c>
      <c r="C1751" s="9" t="s">
        <v>664</v>
      </c>
      <c r="D1751" s="12">
        <v>0.1353</v>
      </c>
      <c r="E1751" s="12">
        <v>0.10589999999999999</v>
      </c>
      <c r="F1751" s="12">
        <v>-3.8100000000000002E-2</v>
      </c>
      <c r="G1751" s="12">
        <v>0.1206</v>
      </c>
      <c r="H1751" s="12">
        <v>6.7699999999999996E-2</v>
      </c>
      <c r="I1751" s="12">
        <v>9.3100000000000002E-2</v>
      </c>
      <c r="J1751" s="9" t="s">
        <v>412</v>
      </c>
      <c r="K1751" s="9" t="s">
        <v>604</v>
      </c>
    </row>
    <row r="1752" spans="1:11" ht="28.8">
      <c r="A1752" s="9" t="s">
        <v>603</v>
      </c>
      <c r="B1752" s="9" t="s">
        <v>681</v>
      </c>
      <c r="C1752" s="9" t="s">
        <v>667</v>
      </c>
      <c r="D1752" s="12">
        <v>-6.3299999999999995E-2</v>
      </c>
      <c r="E1752" s="12">
        <v>-0.19009999999999999</v>
      </c>
      <c r="F1752" s="12">
        <v>2.58E-2</v>
      </c>
      <c r="G1752" s="12">
        <v>-0.12669999999999998</v>
      </c>
      <c r="H1752" s="12">
        <v>-7.5899999999999995E-2</v>
      </c>
      <c r="I1752" s="12">
        <v>9.3100000000000002E-2</v>
      </c>
      <c r="J1752" s="9" t="s">
        <v>412</v>
      </c>
      <c r="K1752" s="9" t="s">
        <v>604</v>
      </c>
    </row>
    <row r="1753" spans="1:11" ht="28.8">
      <c r="A1753" s="9" t="s">
        <v>603</v>
      </c>
      <c r="B1753" s="9" t="s">
        <v>688</v>
      </c>
      <c r="C1753" s="9" t="s">
        <v>674</v>
      </c>
      <c r="D1753" s="12">
        <v>-0.1212</v>
      </c>
      <c r="E1753" s="12">
        <v>-2.2200000000000001E-2</v>
      </c>
      <c r="F1753" s="12">
        <v>0.13539999999999999</v>
      </c>
      <c r="G1753" s="12">
        <v>-7.17E-2</v>
      </c>
      <c r="H1753" s="12">
        <v>-2.7000000000000001E-3</v>
      </c>
      <c r="I1753" s="12">
        <v>9.2999999999999999E-2</v>
      </c>
      <c r="J1753" s="9" t="s">
        <v>412</v>
      </c>
      <c r="K1753" s="9" t="s">
        <v>604</v>
      </c>
    </row>
    <row r="1754" spans="1:11" ht="28.8">
      <c r="A1754" s="9" t="s">
        <v>671</v>
      </c>
      <c r="B1754" s="9" t="s">
        <v>602</v>
      </c>
      <c r="C1754" s="9" t="s">
        <v>663</v>
      </c>
      <c r="D1754" s="12">
        <v>9.4399999999999998E-2</v>
      </c>
      <c r="E1754" s="12">
        <v>-8.6199999999999999E-2</v>
      </c>
      <c r="F1754" s="12">
        <v>9.8400000000000001E-2</v>
      </c>
      <c r="G1754" s="12">
        <v>4.0999999999999995E-3</v>
      </c>
      <c r="H1754" s="12">
        <v>3.5499999999999997E-2</v>
      </c>
      <c r="I1754" s="12">
        <v>9.2999999999999999E-2</v>
      </c>
      <c r="J1754" s="9" t="s">
        <v>412</v>
      </c>
      <c r="K1754" s="9" t="s">
        <v>604</v>
      </c>
    </row>
    <row r="1755" spans="1:11" ht="28.8">
      <c r="A1755" s="9" t="s">
        <v>661</v>
      </c>
      <c r="B1755" s="9" t="s">
        <v>686</v>
      </c>
      <c r="C1755" s="9" t="s">
        <v>675</v>
      </c>
      <c r="D1755" s="12">
        <v>0.14380000000000001</v>
      </c>
      <c r="E1755" s="12">
        <v>0.111</v>
      </c>
      <c r="F1755" s="12">
        <v>-2.41E-2</v>
      </c>
      <c r="G1755" s="12">
        <v>0.12740000000000001</v>
      </c>
      <c r="H1755" s="12">
        <v>7.6899999999999996E-2</v>
      </c>
      <c r="I1755" s="12">
        <v>9.2999999999999999E-2</v>
      </c>
      <c r="J1755" s="9" t="s">
        <v>412</v>
      </c>
      <c r="K1755" s="9" t="s">
        <v>604</v>
      </c>
    </row>
    <row r="1756" spans="1:11">
      <c r="A1756" s="9" t="s">
        <v>609</v>
      </c>
      <c r="B1756" s="9" t="s">
        <v>689</v>
      </c>
      <c r="C1756" s="9" t="s">
        <v>655</v>
      </c>
      <c r="D1756" s="12">
        <v>0.16819999999999999</v>
      </c>
      <c r="E1756" s="12">
        <v>-4.6100000000000002E-2</v>
      </c>
      <c r="F1756" s="12">
        <v>-6.4000000000000001E-2</v>
      </c>
      <c r="G1756" s="12">
        <v>6.1049999999999993E-2</v>
      </c>
      <c r="H1756" s="12">
        <v>1.9400000000000001E-2</v>
      </c>
      <c r="I1756" s="12">
        <v>9.2799999999999994E-2</v>
      </c>
      <c r="J1756" s="9" t="s">
        <v>412</v>
      </c>
      <c r="K1756" s="9" t="s">
        <v>604</v>
      </c>
    </row>
    <row r="1757" spans="1:11" ht="28.8">
      <c r="A1757" s="9" t="s">
        <v>682</v>
      </c>
      <c r="B1757" s="9" t="s">
        <v>678</v>
      </c>
      <c r="C1757" s="9" t="s">
        <v>664</v>
      </c>
      <c r="D1757" s="12">
        <v>-0.08</v>
      </c>
      <c r="E1757" s="12">
        <v>-0.16669999999999999</v>
      </c>
      <c r="F1757" s="12">
        <v>3.1E-2</v>
      </c>
      <c r="G1757" s="12">
        <v>-0.12334999999999999</v>
      </c>
      <c r="H1757" s="12">
        <v>-7.1900000000000006E-2</v>
      </c>
      <c r="I1757" s="12">
        <v>9.2600000000000002E-2</v>
      </c>
      <c r="J1757" s="9" t="s">
        <v>412</v>
      </c>
      <c r="K1757" s="9" t="s">
        <v>604</v>
      </c>
    </row>
    <row r="1758" spans="1:11" ht="28.8">
      <c r="A1758" s="9" t="s">
        <v>662</v>
      </c>
      <c r="B1758" s="9" t="s">
        <v>613</v>
      </c>
      <c r="C1758" s="9" t="s">
        <v>664</v>
      </c>
      <c r="D1758" s="12">
        <v>-2.87E-2</v>
      </c>
      <c r="E1758" s="12">
        <v>6.2399999999999997E-2</v>
      </c>
      <c r="F1758" s="12">
        <v>-0.18640000000000001</v>
      </c>
      <c r="G1758" s="12">
        <v>1.6849999999999997E-2</v>
      </c>
      <c r="H1758" s="12">
        <v>-5.0900000000000001E-2</v>
      </c>
      <c r="I1758" s="12">
        <v>9.2499999999999999E-2</v>
      </c>
      <c r="J1758" s="9" t="s">
        <v>412</v>
      </c>
      <c r="K1758" s="9" t="s">
        <v>604</v>
      </c>
    </row>
    <row r="1759" spans="1:11" ht="28.8">
      <c r="A1759" s="9" t="s">
        <v>671</v>
      </c>
      <c r="B1759" s="9" t="s">
        <v>687</v>
      </c>
      <c r="C1759" s="9" t="s">
        <v>601</v>
      </c>
      <c r="D1759" s="12">
        <v>-0.10879999999999999</v>
      </c>
      <c r="E1759" s="12">
        <v>0.13850000000000001</v>
      </c>
      <c r="F1759" s="12">
        <v>-3.04E-2</v>
      </c>
      <c r="G1759" s="12">
        <v>1.4850000000000009E-2</v>
      </c>
      <c r="H1759" s="12">
        <v>-2.0000000000000001E-4</v>
      </c>
      <c r="I1759" s="12">
        <v>9.2499999999999999E-2</v>
      </c>
      <c r="J1759" s="9" t="s">
        <v>412</v>
      </c>
      <c r="K1759" s="9" t="s">
        <v>604</v>
      </c>
    </row>
    <row r="1760" spans="1:11" ht="28.8">
      <c r="A1760" s="9" t="s">
        <v>671</v>
      </c>
      <c r="B1760" s="9" t="s">
        <v>681</v>
      </c>
      <c r="C1760" s="9" t="s">
        <v>690</v>
      </c>
      <c r="D1760" s="12">
        <v>-7.0199999999999999E-2</v>
      </c>
      <c r="E1760" s="12">
        <v>7.1800000000000003E-2</v>
      </c>
      <c r="F1760" s="12">
        <v>-0.1356</v>
      </c>
      <c r="G1760" s="12">
        <v>8.000000000000021E-4</v>
      </c>
      <c r="H1760" s="12">
        <v>-4.4699999999999997E-2</v>
      </c>
      <c r="I1760" s="12">
        <v>9.2499999999999999E-2</v>
      </c>
      <c r="J1760" s="9" t="s">
        <v>412</v>
      </c>
      <c r="K1760" s="9" t="s">
        <v>604</v>
      </c>
    </row>
    <row r="1761" spans="1:11" ht="28.8">
      <c r="A1761" s="9" t="s">
        <v>603</v>
      </c>
      <c r="B1761" s="9" t="s">
        <v>678</v>
      </c>
      <c r="C1761" s="9" t="s">
        <v>690</v>
      </c>
      <c r="D1761" s="12">
        <v>4.1099999999999998E-2</v>
      </c>
      <c r="E1761" s="12">
        <v>0.17549999999999999</v>
      </c>
      <c r="F1761" s="12">
        <v>-6.08E-2</v>
      </c>
      <c r="G1761" s="12">
        <v>0.10829999999999999</v>
      </c>
      <c r="H1761" s="12">
        <v>5.1900000000000002E-2</v>
      </c>
      <c r="I1761" s="12">
        <v>9.2499999999999999E-2</v>
      </c>
      <c r="J1761" s="9" t="s">
        <v>412</v>
      </c>
      <c r="K1761" s="9" t="s">
        <v>604</v>
      </c>
    </row>
    <row r="1762" spans="1:11" ht="28.8">
      <c r="A1762" s="9" t="s">
        <v>661</v>
      </c>
      <c r="B1762" s="9" t="s">
        <v>657</v>
      </c>
      <c r="C1762" s="9" t="s">
        <v>690</v>
      </c>
      <c r="D1762" s="12">
        <v>3.3700000000000001E-2</v>
      </c>
      <c r="E1762" s="12">
        <v>-0.2077</v>
      </c>
      <c r="F1762" s="12">
        <v>3.61E-2</v>
      </c>
      <c r="G1762" s="12">
        <v>-8.6999999999999994E-2</v>
      </c>
      <c r="H1762" s="12">
        <v>-4.5900000000000003E-2</v>
      </c>
      <c r="I1762" s="12">
        <v>9.2499999999999999E-2</v>
      </c>
      <c r="J1762" s="9" t="s">
        <v>412</v>
      </c>
      <c r="K1762" s="9" t="s">
        <v>604</v>
      </c>
    </row>
    <row r="1763" spans="1:11" ht="28.8">
      <c r="A1763" s="9" t="s">
        <v>610</v>
      </c>
      <c r="B1763" s="9" t="s">
        <v>672</v>
      </c>
      <c r="C1763" s="9" t="s">
        <v>675</v>
      </c>
      <c r="D1763" s="12">
        <v>-2.1399999999999999E-2</v>
      </c>
      <c r="E1763" s="12">
        <v>7.0999999999999994E-2</v>
      </c>
      <c r="F1763" s="12">
        <v>0.185</v>
      </c>
      <c r="G1763" s="12">
        <v>2.4799999999999996E-2</v>
      </c>
      <c r="H1763" s="12">
        <v>7.8200000000000006E-2</v>
      </c>
      <c r="I1763" s="12">
        <v>9.2399999999999996E-2</v>
      </c>
      <c r="J1763" s="9" t="s">
        <v>412</v>
      </c>
      <c r="K1763" s="9" t="s">
        <v>604</v>
      </c>
    </row>
    <row r="1764" spans="1:11" ht="28.8">
      <c r="A1764" s="9" t="s">
        <v>671</v>
      </c>
      <c r="B1764" s="9" t="s">
        <v>680</v>
      </c>
      <c r="C1764" s="9" t="s">
        <v>666</v>
      </c>
      <c r="D1764" s="12">
        <v>1.34E-2</v>
      </c>
      <c r="E1764" s="12">
        <v>-1.24E-2</v>
      </c>
      <c r="F1764" s="12">
        <v>0.25119999999999998</v>
      </c>
      <c r="G1764" s="12">
        <v>5.0000000000000044E-4</v>
      </c>
      <c r="H1764" s="12">
        <v>8.4099999999999994E-2</v>
      </c>
      <c r="I1764" s="12">
        <v>9.2299999999999993E-2</v>
      </c>
      <c r="J1764" s="9" t="s">
        <v>412</v>
      </c>
      <c r="K1764" s="9" t="s">
        <v>604</v>
      </c>
    </row>
    <row r="1765" spans="1:11" ht="28.8">
      <c r="A1765" s="9" t="s">
        <v>661</v>
      </c>
      <c r="B1765" s="9" t="s">
        <v>673</v>
      </c>
      <c r="C1765" s="9" t="s">
        <v>683</v>
      </c>
      <c r="D1765" s="12">
        <v>-5.3400000000000003E-2</v>
      </c>
      <c r="E1765" s="12">
        <v>-0.12659999999999999</v>
      </c>
      <c r="F1765" s="12">
        <v>-9.69E-2</v>
      </c>
      <c r="G1765" s="12">
        <v>-0.09</v>
      </c>
      <c r="H1765" s="12">
        <v>-9.2299999999999993E-2</v>
      </c>
      <c r="I1765" s="12">
        <v>9.2299999999999993E-2</v>
      </c>
      <c r="J1765" s="9" t="s">
        <v>412</v>
      </c>
      <c r="K1765" s="9" t="s">
        <v>604</v>
      </c>
    </row>
    <row r="1766" spans="1:11" ht="28.8">
      <c r="A1766" s="9" t="s">
        <v>682</v>
      </c>
      <c r="B1766" s="9" t="s">
        <v>678</v>
      </c>
      <c r="C1766" s="9" t="s">
        <v>675</v>
      </c>
      <c r="D1766" s="12">
        <v>0.06</v>
      </c>
      <c r="E1766" s="12">
        <v>-0.16669999999999999</v>
      </c>
      <c r="F1766" s="12">
        <v>-5.0299999999999997E-2</v>
      </c>
      <c r="G1766" s="12">
        <v>-5.3349999999999995E-2</v>
      </c>
      <c r="H1766" s="12">
        <v>-5.2299999999999999E-2</v>
      </c>
      <c r="I1766" s="12">
        <v>9.2299999999999993E-2</v>
      </c>
      <c r="J1766" s="9" t="s">
        <v>412</v>
      </c>
      <c r="K1766" s="9" t="s">
        <v>604</v>
      </c>
    </row>
    <row r="1767" spans="1:11" ht="28.8">
      <c r="A1767" s="9" t="s">
        <v>682</v>
      </c>
      <c r="B1767" s="9" t="s">
        <v>687</v>
      </c>
      <c r="C1767" s="9" t="s">
        <v>683</v>
      </c>
      <c r="D1767" s="12">
        <v>-8.5099999999999995E-2</v>
      </c>
      <c r="E1767" s="12">
        <v>0.13450000000000001</v>
      </c>
      <c r="F1767" s="12">
        <v>5.7099999999999998E-2</v>
      </c>
      <c r="G1767" s="12">
        <v>2.4700000000000007E-2</v>
      </c>
      <c r="H1767" s="12">
        <v>3.5499999999999997E-2</v>
      </c>
      <c r="I1767" s="12">
        <v>9.2299999999999993E-2</v>
      </c>
      <c r="J1767" s="9" t="s">
        <v>412</v>
      </c>
      <c r="K1767" s="9" t="s">
        <v>604</v>
      </c>
    </row>
    <row r="1768" spans="1:11" ht="28.8">
      <c r="A1768" s="9" t="s">
        <v>671</v>
      </c>
      <c r="B1768" s="9" t="s">
        <v>613</v>
      </c>
      <c r="C1768" s="9" t="s">
        <v>677</v>
      </c>
      <c r="D1768" s="12">
        <v>6.8900000000000003E-2</v>
      </c>
      <c r="E1768" s="12">
        <v>3.5900000000000001E-2</v>
      </c>
      <c r="F1768" s="12">
        <v>-0.1721</v>
      </c>
      <c r="G1768" s="12">
        <v>5.2400000000000002E-2</v>
      </c>
      <c r="H1768" s="12">
        <v>-2.24E-2</v>
      </c>
      <c r="I1768" s="12">
        <v>9.2299999999999993E-2</v>
      </c>
      <c r="J1768" s="9" t="s">
        <v>412</v>
      </c>
      <c r="K1768" s="9" t="s">
        <v>604</v>
      </c>
    </row>
    <row r="1769" spans="1:11" ht="28.8">
      <c r="A1769" s="9" t="s">
        <v>662</v>
      </c>
      <c r="B1769" s="9" t="s">
        <v>685</v>
      </c>
      <c r="C1769" s="9" t="s">
        <v>683</v>
      </c>
      <c r="D1769" s="12">
        <v>-6.0100000000000001E-2</v>
      </c>
      <c r="E1769" s="12">
        <v>0.1087</v>
      </c>
      <c r="F1769" s="12">
        <v>0.108</v>
      </c>
      <c r="G1769" s="12">
        <v>2.4300000000000002E-2</v>
      </c>
      <c r="H1769" s="12">
        <v>5.2200000000000003E-2</v>
      </c>
      <c r="I1769" s="12">
        <v>9.2299999999999993E-2</v>
      </c>
      <c r="J1769" s="9" t="s">
        <v>412</v>
      </c>
      <c r="K1769" s="9" t="s">
        <v>604</v>
      </c>
    </row>
    <row r="1770" spans="1:11" ht="28.8">
      <c r="A1770" s="9" t="s">
        <v>661</v>
      </c>
      <c r="B1770" s="9" t="s">
        <v>665</v>
      </c>
      <c r="C1770" s="9" t="s">
        <v>667</v>
      </c>
      <c r="D1770" s="12">
        <v>5.3600000000000002E-2</v>
      </c>
      <c r="E1770" s="12">
        <v>0.1731</v>
      </c>
      <c r="F1770" s="12">
        <v>-4.9799999999999997E-2</v>
      </c>
      <c r="G1770" s="12">
        <v>0.11335000000000001</v>
      </c>
      <c r="H1770" s="12">
        <v>5.8999999999999997E-2</v>
      </c>
      <c r="I1770" s="12">
        <v>9.2200000000000004E-2</v>
      </c>
      <c r="J1770" s="9" t="s">
        <v>412</v>
      </c>
      <c r="K1770" s="9" t="s">
        <v>604</v>
      </c>
    </row>
    <row r="1771" spans="1:11" ht="28.8">
      <c r="A1771" s="9" t="s">
        <v>661</v>
      </c>
      <c r="B1771" s="9" t="s">
        <v>686</v>
      </c>
      <c r="C1771" s="9" t="s">
        <v>663</v>
      </c>
      <c r="D1771" s="12">
        <v>8.8300000000000003E-2</v>
      </c>
      <c r="E1771" s="12">
        <v>0.111</v>
      </c>
      <c r="F1771" s="12">
        <v>7.7299999999999994E-2</v>
      </c>
      <c r="G1771" s="12">
        <v>9.9650000000000002E-2</v>
      </c>
      <c r="H1771" s="12">
        <v>9.2200000000000004E-2</v>
      </c>
      <c r="I1771" s="12">
        <v>9.2200000000000004E-2</v>
      </c>
      <c r="J1771" s="9" t="s">
        <v>412</v>
      </c>
      <c r="K1771" s="9" t="s">
        <v>654</v>
      </c>
    </row>
    <row r="1772" spans="1:11" ht="28.8">
      <c r="A1772" s="9" t="s">
        <v>610</v>
      </c>
      <c r="B1772" s="9" t="s">
        <v>658</v>
      </c>
      <c r="C1772" s="9" t="s">
        <v>677</v>
      </c>
      <c r="D1772" s="12">
        <v>0.10100000000000001</v>
      </c>
      <c r="E1772" s="12">
        <v>-0.1421</v>
      </c>
      <c r="F1772" s="12">
        <v>-3.3099999999999997E-2</v>
      </c>
      <c r="G1772" s="12">
        <v>-2.0549999999999999E-2</v>
      </c>
      <c r="H1772" s="12">
        <v>-2.47E-2</v>
      </c>
      <c r="I1772" s="12">
        <v>9.2100000000000001E-2</v>
      </c>
      <c r="J1772" s="9" t="s">
        <v>412</v>
      </c>
      <c r="K1772" s="9" t="s">
        <v>604</v>
      </c>
    </row>
    <row r="1773" spans="1:11" ht="28.8">
      <c r="A1773" s="9" t="s">
        <v>682</v>
      </c>
      <c r="B1773" s="9" t="s">
        <v>686</v>
      </c>
      <c r="C1773" s="9" t="s">
        <v>666</v>
      </c>
      <c r="D1773" s="12">
        <v>0.22600000000000001</v>
      </c>
      <c r="E1773" s="12">
        <v>-1.6400000000000001E-2</v>
      </c>
      <c r="F1773" s="12">
        <v>3.3500000000000002E-2</v>
      </c>
      <c r="G1773" s="12">
        <v>0.1048</v>
      </c>
      <c r="H1773" s="12">
        <v>8.1000000000000003E-2</v>
      </c>
      <c r="I1773" s="12">
        <v>9.1999999999999998E-2</v>
      </c>
      <c r="J1773" s="9" t="s">
        <v>412</v>
      </c>
      <c r="K1773" s="9" t="s">
        <v>604</v>
      </c>
    </row>
    <row r="1774" spans="1:11" ht="28.8">
      <c r="A1774" s="9" t="s">
        <v>682</v>
      </c>
      <c r="B1774" s="9" t="s">
        <v>685</v>
      </c>
      <c r="C1774" s="9" t="s">
        <v>690</v>
      </c>
      <c r="D1774" s="12">
        <v>-7.1099999999999997E-2</v>
      </c>
      <c r="E1774" s="12">
        <v>0.12429999999999999</v>
      </c>
      <c r="F1774" s="12">
        <v>-8.0600000000000005E-2</v>
      </c>
      <c r="G1774" s="12">
        <v>2.6599999999999999E-2</v>
      </c>
      <c r="H1774" s="12">
        <v>-9.1000000000000004E-3</v>
      </c>
      <c r="I1774" s="12">
        <v>9.1999999999999998E-2</v>
      </c>
      <c r="J1774" s="9" t="s">
        <v>412</v>
      </c>
      <c r="K1774" s="9" t="s">
        <v>604</v>
      </c>
    </row>
    <row r="1775" spans="1:11" ht="28.8">
      <c r="A1775" s="9" t="s">
        <v>671</v>
      </c>
      <c r="B1775" s="9" t="s">
        <v>691</v>
      </c>
      <c r="C1775" s="9" t="s">
        <v>666</v>
      </c>
      <c r="D1775" s="12">
        <v>1.34E-2</v>
      </c>
      <c r="E1775" s="12">
        <v>-0.1353</v>
      </c>
      <c r="F1775" s="12">
        <v>0.12740000000000001</v>
      </c>
      <c r="G1775" s="12">
        <v>-6.0950000000000004E-2</v>
      </c>
      <c r="H1775" s="12">
        <v>1.8E-3</v>
      </c>
      <c r="I1775" s="12">
        <v>9.1999999999999998E-2</v>
      </c>
      <c r="J1775" s="9" t="s">
        <v>412</v>
      </c>
      <c r="K1775" s="9" t="s">
        <v>604</v>
      </c>
    </row>
    <row r="1776" spans="1:11" ht="28.8">
      <c r="A1776" s="9" t="s">
        <v>610</v>
      </c>
      <c r="B1776" s="9" t="s">
        <v>673</v>
      </c>
      <c r="C1776" s="9" t="s">
        <v>664</v>
      </c>
      <c r="D1776" s="12">
        <v>-9.1300000000000006E-2</v>
      </c>
      <c r="E1776" s="12">
        <v>-8.14E-2</v>
      </c>
      <c r="F1776" s="12">
        <v>-0.10340000000000001</v>
      </c>
      <c r="G1776" s="12">
        <v>-8.635000000000001E-2</v>
      </c>
      <c r="H1776" s="12">
        <v>-9.1999999999999998E-2</v>
      </c>
      <c r="I1776" s="12">
        <v>9.1999999999999998E-2</v>
      </c>
      <c r="J1776" s="9" t="s">
        <v>412</v>
      </c>
      <c r="K1776" s="9" t="s">
        <v>604</v>
      </c>
    </row>
    <row r="1777" spans="1:11" ht="28.8">
      <c r="A1777" s="9" t="s">
        <v>682</v>
      </c>
      <c r="B1777" s="9" t="s">
        <v>684</v>
      </c>
      <c r="C1777" s="9" t="s">
        <v>664</v>
      </c>
      <c r="D1777" s="12">
        <v>-0.08</v>
      </c>
      <c r="E1777" s="12">
        <v>-0.1031</v>
      </c>
      <c r="F1777" s="12">
        <v>-9.2899999999999996E-2</v>
      </c>
      <c r="G1777" s="12">
        <v>-9.1549999999999992E-2</v>
      </c>
      <c r="H1777" s="12">
        <v>-9.1999999999999998E-2</v>
      </c>
      <c r="I1777" s="12">
        <v>9.1999999999999998E-2</v>
      </c>
      <c r="J1777" s="9" t="s">
        <v>412</v>
      </c>
      <c r="K1777" s="9" t="s">
        <v>604</v>
      </c>
    </row>
    <row r="1778" spans="1:11" ht="28.8">
      <c r="A1778" s="9" t="s">
        <v>662</v>
      </c>
      <c r="B1778" s="9" t="s">
        <v>660</v>
      </c>
      <c r="C1778" s="9" t="s">
        <v>664</v>
      </c>
      <c r="D1778" s="12">
        <v>-2.87E-2</v>
      </c>
      <c r="E1778" s="12">
        <v>-0.1187</v>
      </c>
      <c r="F1778" s="12">
        <v>0.128</v>
      </c>
      <c r="G1778" s="12">
        <v>-7.3700000000000002E-2</v>
      </c>
      <c r="H1778" s="12">
        <v>-6.4999999999999997E-3</v>
      </c>
      <c r="I1778" s="12">
        <v>9.1800000000000007E-2</v>
      </c>
      <c r="J1778" s="9" t="s">
        <v>412</v>
      </c>
      <c r="K1778" s="9" t="s">
        <v>604</v>
      </c>
    </row>
    <row r="1779" spans="1:11">
      <c r="A1779" s="9" t="s">
        <v>682</v>
      </c>
      <c r="B1779" s="9" t="s">
        <v>688</v>
      </c>
      <c r="C1779" s="9" t="s">
        <v>667</v>
      </c>
      <c r="D1779" s="12">
        <v>-0.02</v>
      </c>
      <c r="E1779" s="12">
        <v>5.6800000000000003E-2</v>
      </c>
      <c r="F1779" s="12">
        <v>0.19789999999999999</v>
      </c>
      <c r="G1779" s="12">
        <v>1.84E-2</v>
      </c>
      <c r="H1779" s="12">
        <v>7.8200000000000006E-2</v>
      </c>
      <c r="I1779" s="12">
        <v>9.1600000000000001E-2</v>
      </c>
      <c r="J1779" s="9" t="s">
        <v>412</v>
      </c>
      <c r="K1779" s="9" t="s">
        <v>604</v>
      </c>
    </row>
    <row r="1780" spans="1:11" ht="28.8">
      <c r="A1780" s="9" t="s">
        <v>671</v>
      </c>
      <c r="B1780" s="9" t="s">
        <v>678</v>
      </c>
      <c r="C1780" s="9" t="s">
        <v>690</v>
      </c>
      <c r="D1780" s="12">
        <v>-7.0199999999999999E-2</v>
      </c>
      <c r="E1780" s="12">
        <v>-0.14360000000000001</v>
      </c>
      <c r="F1780" s="12">
        <v>-6.08E-2</v>
      </c>
      <c r="G1780" s="12">
        <v>-0.1069</v>
      </c>
      <c r="H1780" s="12">
        <v>-9.1499999999999998E-2</v>
      </c>
      <c r="I1780" s="12">
        <v>9.1499999999999998E-2</v>
      </c>
      <c r="J1780" s="9" t="s">
        <v>412</v>
      </c>
      <c r="K1780" s="9" t="s">
        <v>604</v>
      </c>
    </row>
    <row r="1781" spans="1:11" ht="28.8">
      <c r="A1781" s="9" t="s">
        <v>661</v>
      </c>
      <c r="B1781" s="9" t="s">
        <v>685</v>
      </c>
      <c r="C1781" s="9" t="s">
        <v>664</v>
      </c>
      <c r="D1781" s="12">
        <v>-2.4199999999999999E-2</v>
      </c>
      <c r="E1781" s="12">
        <v>0.18970000000000001</v>
      </c>
      <c r="F1781" s="12">
        <v>6.0699999999999997E-2</v>
      </c>
      <c r="G1781" s="12">
        <v>8.2750000000000004E-2</v>
      </c>
      <c r="H1781" s="12">
        <v>7.5399999999999995E-2</v>
      </c>
      <c r="I1781" s="12">
        <v>9.1499999999999998E-2</v>
      </c>
      <c r="J1781" s="9" t="s">
        <v>412</v>
      </c>
      <c r="K1781" s="9" t="s">
        <v>604</v>
      </c>
    </row>
    <row r="1782" spans="1:11" ht="28.8">
      <c r="A1782" s="9" t="s">
        <v>671</v>
      </c>
      <c r="B1782" s="9" t="s">
        <v>658</v>
      </c>
      <c r="C1782" s="9" t="s">
        <v>690</v>
      </c>
      <c r="D1782" s="12">
        <v>-7.0199999999999999E-2</v>
      </c>
      <c r="E1782" s="12">
        <v>0.18609999999999999</v>
      </c>
      <c r="F1782" s="12">
        <v>-1.78E-2</v>
      </c>
      <c r="G1782" s="12">
        <v>5.7949999999999995E-2</v>
      </c>
      <c r="H1782" s="12">
        <v>3.27E-2</v>
      </c>
      <c r="I1782" s="12">
        <v>9.1399999999999995E-2</v>
      </c>
      <c r="J1782" s="9" t="s">
        <v>412</v>
      </c>
      <c r="K1782" s="9" t="s">
        <v>604</v>
      </c>
    </row>
    <row r="1783" spans="1:11" ht="28.8">
      <c r="A1783" s="9" t="s">
        <v>682</v>
      </c>
      <c r="B1783" s="9" t="s">
        <v>680</v>
      </c>
      <c r="C1783" s="9" t="s">
        <v>675</v>
      </c>
      <c r="D1783" s="12">
        <v>0.06</v>
      </c>
      <c r="E1783" s="12">
        <v>6.7000000000000004E-2</v>
      </c>
      <c r="F1783" s="12">
        <v>0.14710000000000001</v>
      </c>
      <c r="G1783" s="12">
        <v>6.3500000000000001E-2</v>
      </c>
      <c r="H1783" s="12">
        <v>9.1399999999999995E-2</v>
      </c>
      <c r="I1783" s="12">
        <v>9.1399999999999995E-2</v>
      </c>
      <c r="J1783" s="9" t="s">
        <v>412</v>
      </c>
      <c r="K1783" s="9" t="s">
        <v>654</v>
      </c>
    </row>
    <row r="1784" spans="1:11" ht="28.8">
      <c r="A1784" s="9" t="s">
        <v>609</v>
      </c>
      <c r="B1784" s="9" t="s">
        <v>673</v>
      </c>
      <c r="C1784" s="9" t="s">
        <v>690</v>
      </c>
      <c r="D1784" s="12">
        <v>4.9799999999999997E-2</v>
      </c>
      <c r="E1784" s="12">
        <v>-7.1300000000000002E-2</v>
      </c>
      <c r="F1784" s="12">
        <v>-0.15279999999999999</v>
      </c>
      <c r="G1784" s="12">
        <v>-1.0750000000000003E-2</v>
      </c>
      <c r="H1784" s="12">
        <v>-5.8099999999999999E-2</v>
      </c>
      <c r="I1784" s="12">
        <v>9.1300000000000006E-2</v>
      </c>
      <c r="J1784" s="9" t="s">
        <v>412</v>
      </c>
      <c r="K1784" s="9" t="s">
        <v>604</v>
      </c>
    </row>
    <row r="1785" spans="1:11" ht="28.8">
      <c r="A1785" s="9" t="s">
        <v>610</v>
      </c>
      <c r="B1785" s="9" t="s">
        <v>668</v>
      </c>
      <c r="C1785" s="9" t="s">
        <v>675</v>
      </c>
      <c r="D1785" s="12">
        <v>-2.1399999999999999E-2</v>
      </c>
      <c r="E1785" s="12">
        <v>-9.64E-2</v>
      </c>
      <c r="F1785" s="12">
        <v>-0.15609999999999999</v>
      </c>
      <c r="G1785" s="12">
        <v>-5.8900000000000001E-2</v>
      </c>
      <c r="H1785" s="12">
        <v>-9.1300000000000006E-2</v>
      </c>
      <c r="I1785" s="12">
        <v>9.1300000000000006E-2</v>
      </c>
      <c r="J1785" s="9" t="s">
        <v>412</v>
      </c>
      <c r="K1785" s="9" t="s">
        <v>604</v>
      </c>
    </row>
    <row r="1786" spans="1:11" ht="28.8">
      <c r="A1786" s="9" t="s">
        <v>603</v>
      </c>
      <c r="B1786" s="9" t="s">
        <v>676</v>
      </c>
      <c r="C1786" s="9" t="s">
        <v>667</v>
      </c>
      <c r="D1786" s="12">
        <v>-6.3299999999999995E-2</v>
      </c>
      <c r="E1786" s="12">
        <v>-0.1002</v>
      </c>
      <c r="F1786" s="12">
        <v>0.1105</v>
      </c>
      <c r="G1786" s="12">
        <v>-8.1749999999999989E-2</v>
      </c>
      <c r="H1786" s="12">
        <v>-1.77E-2</v>
      </c>
      <c r="I1786" s="12">
        <v>9.1300000000000006E-2</v>
      </c>
      <c r="J1786" s="9" t="s">
        <v>412</v>
      </c>
      <c r="K1786" s="9" t="s">
        <v>604</v>
      </c>
    </row>
    <row r="1787" spans="1:11" ht="28.8">
      <c r="A1787" s="9" t="s">
        <v>609</v>
      </c>
      <c r="B1787" s="9" t="s">
        <v>672</v>
      </c>
      <c r="C1787" s="9" t="s">
        <v>664</v>
      </c>
      <c r="D1787" s="12">
        <v>-6.5699999999999995E-2</v>
      </c>
      <c r="E1787" s="12">
        <v>-0.1148</v>
      </c>
      <c r="F1787" s="12">
        <v>-9.2899999999999996E-2</v>
      </c>
      <c r="G1787" s="12">
        <v>-9.0249999999999997E-2</v>
      </c>
      <c r="H1787" s="12">
        <v>-9.1200000000000003E-2</v>
      </c>
      <c r="I1787" s="12">
        <v>9.1200000000000003E-2</v>
      </c>
      <c r="J1787" s="9" t="s">
        <v>412</v>
      </c>
      <c r="K1787" s="9" t="s">
        <v>604</v>
      </c>
    </row>
    <row r="1788" spans="1:11" ht="28.8">
      <c r="A1788" s="9" t="s">
        <v>682</v>
      </c>
      <c r="B1788" s="9" t="s">
        <v>672</v>
      </c>
      <c r="C1788" s="9" t="s">
        <v>675</v>
      </c>
      <c r="D1788" s="12">
        <v>0.06</v>
      </c>
      <c r="E1788" s="12">
        <v>-2.86E-2</v>
      </c>
      <c r="F1788" s="12">
        <v>0.185</v>
      </c>
      <c r="G1788" s="12">
        <v>1.5699999999999999E-2</v>
      </c>
      <c r="H1788" s="12">
        <v>7.2099999999999997E-2</v>
      </c>
      <c r="I1788" s="12">
        <v>9.1200000000000003E-2</v>
      </c>
      <c r="J1788" s="9" t="s">
        <v>412</v>
      </c>
      <c r="K1788" s="9" t="s">
        <v>604</v>
      </c>
    </row>
    <row r="1789" spans="1:11" ht="28.8">
      <c r="A1789" s="9" t="s">
        <v>679</v>
      </c>
      <c r="B1789" s="9" t="s">
        <v>668</v>
      </c>
      <c r="C1789" s="9" t="s">
        <v>659</v>
      </c>
      <c r="D1789" s="12">
        <v>-6.4799999999999996E-2</v>
      </c>
      <c r="E1789" s="12">
        <v>-3.3300000000000003E-2</v>
      </c>
      <c r="F1789" s="12">
        <v>-0.17549999999999999</v>
      </c>
      <c r="G1789" s="12">
        <v>-4.9049999999999996E-2</v>
      </c>
      <c r="H1789" s="12">
        <v>-9.1200000000000003E-2</v>
      </c>
      <c r="I1789" s="12">
        <v>9.1200000000000003E-2</v>
      </c>
      <c r="J1789" s="9" t="s">
        <v>412</v>
      </c>
      <c r="K1789" s="9" t="s">
        <v>604</v>
      </c>
    </row>
    <row r="1790" spans="1:11" ht="28.8">
      <c r="A1790" s="9" t="s">
        <v>609</v>
      </c>
      <c r="B1790" s="9" t="s">
        <v>673</v>
      </c>
      <c r="C1790" s="9" t="s">
        <v>683</v>
      </c>
      <c r="D1790" s="12">
        <v>-0.105</v>
      </c>
      <c r="E1790" s="12">
        <v>-7.1300000000000002E-2</v>
      </c>
      <c r="F1790" s="12">
        <v>-9.69E-2</v>
      </c>
      <c r="G1790" s="12">
        <v>-8.8150000000000006E-2</v>
      </c>
      <c r="H1790" s="12">
        <v>-9.11E-2</v>
      </c>
      <c r="I1790" s="12">
        <v>9.11E-2</v>
      </c>
      <c r="J1790" s="9" t="s">
        <v>412</v>
      </c>
      <c r="K1790" s="9" t="s">
        <v>604</v>
      </c>
    </row>
    <row r="1791" spans="1:11" ht="28.8">
      <c r="A1791" s="9" t="s">
        <v>661</v>
      </c>
      <c r="B1791" s="9" t="s">
        <v>689</v>
      </c>
      <c r="C1791" s="9" t="s">
        <v>677</v>
      </c>
      <c r="D1791" s="12">
        <v>2.5700000000000001E-2</v>
      </c>
      <c r="E1791" s="12">
        <v>-0.1028</v>
      </c>
      <c r="F1791" s="12">
        <v>-0.14460000000000001</v>
      </c>
      <c r="G1791" s="12">
        <v>-3.8550000000000001E-2</v>
      </c>
      <c r="H1791" s="12">
        <v>-7.3899999999999993E-2</v>
      </c>
      <c r="I1791" s="12">
        <v>9.11E-2</v>
      </c>
      <c r="J1791" s="9" t="s">
        <v>412</v>
      </c>
      <c r="K1791" s="9" t="s">
        <v>604</v>
      </c>
    </row>
    <row r="1792" spans="1:11">
      <c r="A1792" s="9" t="s">
        <v>610</v>
      </c>
      <c r="B1792" s="9" t="s">
        <v>673</v>
      </c>
      <c r="C1792" s="9" t="s">
        <v>667</v>
      </c>
      <c r="D1792" s="12">
        <v>6.1800000000000001E-2</v>
      </c>
      <c r="E1792" s="12">
        <v>-8.14E-2</v>
      </c>
      <c r="F1792" s="12">
        <v>-0.1298</v>
      </c>
      <c r="G1792" s="12">
        <v>-9.7999999999999997E-3</v>
      </c>
      <c r="H1792" s="12">
        <v>-4.9799999999999997E-2</v>
      </c>
      <c r="I1792" s="12">
        <v>9.0999999999999998E-2</v>
      </c>
      <c r="J1792" s="9" t="s">
        <v>412</v>
      </c>
      <c r="K1792" s="9" t="s">
        <v>604</v>
      </c>
    </row>
    <row r="1793" spans="1:11" ht="28.8">
      <c r="A1793" s="9" t="s">
        <v>662</v>
      </c>
      <c r="B1793" s="9" t="s">
        <v>669</v>
      </c>
      <c r="C1793" s="9" t="s">
        <v>690</v>
      </c>
      <c r="D1793" s="12">
        <v>-3.1300000000000001E-2</v>
      </c>
      <c r="E1793" s="12">
        <v>0.1298</v>
      </c>
      <c r="F1793" s="12">
        <v>-0.11119999999999999</v>
      </c>
      <c r="G1793" s="12">
        <v>4.9250000000000002E-2</v>
      </c>
      <c r="H1793" s="12">
        <v>-4.1999999999999997E-3</v>
      </c>
      <c r="I1793" s="12">
        <v>9.0800000000000006E-2</v>
      </c>
      <c r="J1793" s="9" t="s">
        <v>412</v>
      </c>
      <c r="K1793" s="9" t="s">
        <v>604</v>
      </c>
    </row>
    <row r="1794" spans="1:11" ht="28.8">
      <c r="A1794" s="9" t="s">
        <v>679</v>
      </c>
      <c r="B1794" s="9" t="s">
        <v>665</v>
      </c>
      <c r="C1794" s="9" t="s">
        <v>656</v>
      </c>
      <c r="D1794" s="12">
        <v>-2.2700000000000001E-2</v>
      </c>
      <c r="E1794" s="12">
        <v>7.6399999999999996E-2</v>
      </c>
      <c r="F1794" s="12">
        <v>0.17330000000000001</v>
      </c>
      <c r="G1794" s="12">
        <v>2.6849999999999999E-2</v>
      </c>
      <c r="H1794" s="12">
        <v>7.5700000000000003E-2</v>
      </c>
      <c r="I1794" s="12">
        <v>9.0800000000000006E-2</v>
      </c>
      <c r="J1794" s="9" t="s">
        <v>412</v>
      </c>
      <c r="K1794" s="9" t="s">
        <v>604</v>
      </c>
    </row>
    <row r="1795" spans="1:11" ht="28.8">
      <c r="A1795" s="9" t="s">
        <v>662</v>
      </c>
      <c r="B1795" s="9" t="s">
        <v>669</v>
      </c>
      <c r="C1795" s="9" t="s">
        <v>664</v>
      </c>
      <c r="D1795" s="12">
        <v>-2.87E-2</v>
      </c>
      <c r="E1795" s="12">
        <v>0.1298</v>
      </c>
      <c r="F1795" s="12">
        <v>-0.1138</v>
      </c>
      <c r="G1795" s="12">
        <v>5.0549999999999998E-2</v>
      </c>
      <c r="H1795" s="12">
        <v>-4.1999999999999997E-3</v>
      </c>
      <c r="I1795" s="12">
        <v>9.0800000000000006E-2</v>
      </c>
      <c r="J1795" s="9" t="s">
        <v>412</v>
      </c>
      <c r="K1795" s="9" t="s">
        <v>604</v>
      </c>
    </row>
    <row r="1796" spans="1:11" ht="28.8">
      <c r="A1796" s="9" t="s">
        <v>679</v>
      </c>
      <c r="B1796" s="9" t="s">
        <v>687</v>
      </c>
      <c r="C1796" s="9" t="s">
        <v>677</v>
      </c>
      <c r="D1796" s="12">
        <v>0.13189999999999999</v>
      </c>
      <c r="E1796" s="12">
        <v>0.10589999999999999</v>
      </c>
      <c r="F1796" s="12">
        <v>3.4500000000000003E-2</v>
      </c>
      <c r="G1796" s="12">
        <v>0.11889999999999999</v>
      </c>
      <c r="H1796" s="12">
        <v>9.0800000000000006E-2</v>
      </c>
      <c r="I1796" s="12">
        <v>9.0800000000000006E-2</v>
      </c>
      <c r="J1796" s="9" t="s">
        <v>412</v>
      </c>
      <c r="K1796" s="9" t="s">
        <v>654</v>
      </c>
    </row>
    <row r="1797" spans="1:11" ht="28.8">
      <c r="A1797" s="9" t="s">
        <v>679</v>
      </c>
      <c r="B1797" s="9" t="s">
        <v>658</v>
      </c>
      <c r="C1797" s="9" t="s">
        <v>683</v>
      </c>
      <c r="D1797" s="12">
        <v>0.16389999999999999</v>
      </c>
      <c r="E1797" s="12">
        <v>3.4000000000000002E-2</v>
      </c>
      <c r="F1797" s="12">
        <v>-7.4499999999999997E-2</v>
      </c>
      <c r="G1797" s="12">
        <v>9.8949999999999996E-2</v>
      </c>
      <c r="H1797" s="12">
        <v>4.1099999999999998E-2</v>
      </c>
      <c r="I1797" s="12">
        <v>9.0800000000000006E-2</v>
      </c>
      <c r="J1797" s="9" t="s">
        <v>412</v>
      </c>
      <c r="K1797" s="9" t="s">
        <v>604</v>
      </c>
    </row>
    <row r="1798" spans="1:11" ht="28.8">
      <c r="A1798" s="9" t="s">
        <v>610</v>
      </c>
      <c r="B1798" s="9" t="s">
        <v>657</v>
      </c>
      <c r="C1798" s="9" t="s">
        <v>675</v>
      </c>
      <c r="D1798" s="12">
        <v>-2.1399999999999999E-2</v>
      </c>
      <c r="E1798" s="12">
        <v>-0.1171</v>
      </c>
      <c r="F1798" s="12">
        <v>-0.13370000000000001</v>
      </c>
      <c r="G1798" s="12">
        <v>-6.9249999999999992E-2</v>
      </c>
      <c r="H1798" s="12">
        <v>-9.0700000000000003E-2</v>
      </c>
      <c r="I1798" s="12">
        <v>9.0700000000000003E-2</v>
      </c>
      <c r="J1798" s="9" t="s">
        <v>412</v>
      </c>
      <c r="K1798" s="9" t="s">
        <v>604</v>
      </c>
    </row>
    <row r="1799" spans="1:11" ht="28.8">
      <c r="A1799" s="9" t="s">
        <v>661</v>
      </c>
      <c r="B1799" s="9" t="s">
        <v>668</v>
      </c>
      <c r="C1799" s="9" t="s">
        <v>663</v>
      </c>
      <c r="D1799" s="12">
        <v>8.8300000000000003E-2</v>
      </c>
      <c r="E1799" s="12">
        <v>-0.13339999999999999</v>
      </c>
      <c r="F1799" s="12">
        <v>-5.04E-2</v>
      </c>
      <c r="G1799" s="12">
        <v>-2.2549999999999994E-2</v>
      </c>
      <c r="H1799" s="12">
        <v>-3.1800000000000002E-2</v>
      </c>
      <c r="I1799" s="12">
        <v>9.0700000000000003E-2</v>
      </c>
      <c r="J1799" s="9" t="s">
        <v>412</v>
      </c>
      <c r="K1799" s="9" t="s">
        <v>604</v>
      </c>
    </row>
    <row r="1800" spans="1:11" ht="28.8">
      <c r="A1800" s="9" t="s">
        <v>661</v>
      </c>
      <c r="B1800" s="9" t="s">
        <v>688</v>
      </c>
      <c r="C1800" s="9" t="s">
        <v>674</v>
      </c>
      <c r="D1800" s="12">
        <v>6.8199999999999997E-2</v>
      </c>
      <c r="E1800" s="12">
        <v>6.8500000000000005E-2</v>
      </c>
      <c r="F1800" s="12">
        <v>0.13539999999999999</v>
      </c>
      <c r="G1800" s="12">
        <v>6.8349999999999994E-2</v>
      </c>
      <c r="H1800" s="12">
        <v>9.0700000000000003E-2</v>
      </c>
      <c r="I1800" s="12">
        <v>9.0700000000000003E-2</v>
      </c>
      <c r="J1800" s="9" t="s">
        <v>412</v>
      </c>
      <c r="K1800" s="9" t="s">
        <v>654</v>
      </c>
    </row>
    <row r="1801" spans="1:11" ht="28.8">
      <c r="A1801" s="9" t="s">
        <v>682</v>
      </c>
      <c r="B1801" s="9" t="s">
        <v>688</v>
      </c>
      <c r="C1801" s="9" t="s">
        <v>690</v>
      </c>
      <c r="D1801" s="12">
        <v>-7.1099999999999997E-2</v>
      </c>
      <c r="E1801" s="12">
        <v>5.6800000000000003E-2</v>
      </c>
      <c r="F1801" s="12">
        <v>0.14399999999999999</v>
      </c>
      <c r="G1801" s="12">
        <v>-7.1499999999999966E-3</v>
      </c>
      <c r="H1801" s="12">
        <v>4.3299999999999998E-2</v>
      </c>
      <c r="I1801" s="12">
        <v>9.06E-2</v>
      </c>
      <c r="J1801" s="9" t="s">
        <v>412</v>
      </c>
      <c r="K1801" s="9" t="s">
        <v>604</v>
      </c>
    </row>
    <row r="1802" spans="1:11" ht="28.8">
      <c r="A1802" s="9" t="s">
        <v>682</v>
      </c>
      <c r="B1802" s="9" t="s">
        <v>653</v>
      </c>
      <c r="C1802" s="9" t="s">
        <v>664</v>
      </c>
      <c r="D1802" s="12">
        <v>-0.08</v>
      </c>
      <c r="E1802" s="12">
        <v>-4.8099999999999997E-2</v>
      </c>
      <c r="F1802" s="12">
        <v>0.14360000000000001</v>
      </c>
      <c r="G1802" s="12">
        <v>-6.4049999999999996E-2</v>
      </c>
      <c r="H1802" s="12">
        <v>5.1999999999999998E-3</v>
      </c>
      <c r="I1802" s="12">
        <v>9.06E-2</v>
      </c>
      <c r="J1802" s="9" t="s">
        <v>412</v>
      </c>
      <c r="K1802" s="9" t="s">
        <v>604</v>
      </c>
    </row>
    <row r="1803" spans="1:11" ht="28.8">
      <c r="A1803" s="9" t="s">
        <v>671</v>
      </c>
      <c r="B1803" s="9" t="s">
        <v>686</v>
      </c>
      <c r="C1803" s="9" t="s">
        <v>656</v>
      </c>
      <c r="D1803" s="12">
        <v>6.54E-2</v>
      </c>
      <c r="E1803" s="12">
        <v>0.13</v>
      </c>
      <c r="F1803" s="12">
        <v>7.6300000000000007E-2</v>
      </c>
      <c r="G1803" s="12">
        <v>9.7700000000000009E-2</v>
      </c>
      <c r="H1803" s="12">
        <v>9.06E-2</v>
      </c>
      <c r="I1803" s="12">
        <v>9.06E-2</v>
      </c>
      <c r="J1803" s="9" t="s">
        <v>412</v>
      </c>
      <c r="K1803" s="9" t="s">
        <v>654</v>
      </c>
    </row>
    <row r="1804" spans="1:11" ht="28.8">
      <c r="A1804" s="9" t="s">
        <v>671</v>
      </c>
      <c r="B1804" s="9" t="s">
        <v>678</v>
      </c>
      <c r="C1804" s="9" t="s">
        <v>677</v>
      </c>
      <c r="D1804" s="12">
        <v>6.8900000000000003E-2</v>
      </c>
      <c r="E1804" s="12">
        <v>-0.14360000000000001</v>
      </c>
      <c r="F1804" s="12">
        <v>5.8999999999999997E-2</v>
      </c>
      <c r="G1804" s="12">
        <v>-3.7350000000000001E-2</v>
      </c>
      <c r="H1804" s="12">
        <v>-5.1999999999999998E-3</v>
      </c>
      <c r="I1804" s="12">
        <v>9.0499999999999997E-2</v>
      </c>
      <c r="J1804" s="9" t="s">
        <v>412</v>
      </c>
      <c r="K1804" s="9" t="s">
        <v>604</v>
      </c>
    </row>
    <row r="1805" spans="1:11" ht="28.8">
      <c r="A1805" s="9" t="s">
        <v>603</v>
      </c>
      <c r="B1805" s="9" t="s">
        <v>680</v>
      </c>
      <c r="C1805" s="9" t="s">
        <v>683</v>
      </c>
      <c r="D1805" s="12">
        <v>0.17660000000000001</v>
      </c>
      <c r="E1805" s="12">
        <v>-4.2000000000000003E-2</v>
      </c>
      <c r="F1805" s="12">
        <v>5.2699999999999997E-2</v>
      </c>
      <c r="G1805" s="12">
        <v>6.7299999999999999E-2</v>
      </c>
      <c r="H1805" s="12">
        <v>6.2399999999999997E-2</v>
      </c>
      <c r="I1805" s="12">
        <v>9.0399999999999994E-2</v>
      </c>
      <c r="J1805" s="9" t="s">
        <v>412</v>
      </c>
      <c r="K1805" s="9" t="s">
        <v>604</v>
      </c>
    </row>
    <row r="1806" spans="1:11" ht="28.8">
      <c r="A1806" s="9" t="s">
        <v>671</v>
      </c>
      <c r="B1806" s="9" t="s">
        <v>691</v>
      </c>
      <c r="C1806" s="9" t="s">
        <v>663</v>
      </c>
      <c r="D1806" s="12">
        <v>9.4399999999999998E-2</v>
      </c>
      <c r="E1806" s="12">
        <v>-0.1353</v>
      </c>
      <c r="F1806" s="12">
        <v>4.1599999999999998E-2</v>
      </c>
      <c r="G1806" s="12">
        <v>-2.0450000000000003E-2</v>
      </c>
      <c r="H1806" s="12">
        <v>2.0000000000000001E-4</v>
      </c>
      <c r="I1806" s="12">
        <v>9.0399999999999994E-2</v>
      </c>
      <c r="J1806" s="9" t="s">
        <v>412</v>
      </c>
      <c r="K1806" s="9" t="s">
        <v>604</v>
      </c>
    </row>
    <row r="1807" spans="1:11" ht="28.8">
      <c r="A1807" s="9" t="s">
        <v>679</v>
      </c>
      <c r="B1807" s="9" t="s">
        <v>669</v>
      </c>
      <c r="C1807" s="9" t="s">
        <v>667</v>
      </c>
      <c r="D1807" s="12">
        <v>-0.12280000000000001</v>
      </c>
      <c r="E1807" s="12">
        <v>8.3900000000000002E-2</v>
      </c>
      <c r="F1807" s="12">
        <v>6.4399999999999999E-2</v>
      </c>
      <c r="G1807" s="12">
        <v>-1.9450000000000002E-2</v>
      </c>
      <c r="H1807" s="12">
        <v>8.5000000000000006E-3</v>
      </c>
      <c r="I1807" s="12">
        <v>9.0399999999999994E-2</v>
      </c>
      <c r="J1807" s="9" t="s">
        <v>412</v>
      </c>
      <c r="K1807" s="9" t="s">
        <v>604</v>
      </c>
    </row>
    <row r="1808" spans="1:11" ht="28.8">
      <c r="A1808" s="9" t="s">
        <v>661</v>
      </c>
      <c r="B1808" s="9" t="s">
        <v>688</v>
      </c>
      <c r="C1808" s="9" t="s">
        <v>659</v>
      </c>
      <c r="D1808" s="12">
        <v>4.3499999999999997E-2</v>
      </c>
      <c r="E1808" s="12">
        <v>6.8500000000000005E-2</v>
      </c>
      <c r="F1808" s="12">
        <v>-0.15909999999999999</v>
      </c>
      <c r="G1808" s="12">
        <v>5.6000000000000001E-2</v>
      </c>
      <c r="H1808" s="12">
        <v>-1.5699999999999999E-2</v>
      </c>
      <c r="I1808" s="12">
        <v>9.0399999999999994E-2</v>
      </c>
      <c r="J1808" s="9" t="s">
        <v>412</v>
      </c>
      <c r="K1808" s="9" t="s">
        <v>604</v>
      </c>
    </row>
    <row r="1809" spans="1:11" ht="28.8">
      <c r="A1809" s="9" t="s">
        <v>609</v>
      </c>
      <c r="B1809" s="9" t="s">
        <v>686</v>
      </c>
      <c r="C1809" s="9" t="s">
        <v>601</v>
      </c>
      <c r="D1809" s="12">
        <v>-0.1671</v>
      </c>
      <c r="E1809" s="12">
        <v>-8.5000000000000006E-3</v>
      </c>
      <c r="F1809" s="12">
        <v>-9.5100000000000004E-2</v>
      </c>
      <c r="G1809" s="12">
        <v>-8.7800000000000003E-2</v>
      </c>
      <c r="H1809" s="12">
        <v>-9.0200000000000002E-2</v>
      </c>
      <c r="I1809" s="12">
        <v>9.0200000000000002E-2</v>
      </c>
      <c r="J1809" s="9" t="s">
        <v>412</v>
      </c>
      <c r="K1809" s="9" t="s">
        <v>604</v>
      </c>
    </row>
    <row r="1810" spans="1:11" ht="28.8">
      <c r="A1810" s="9" t="s">
        <v>603</v>
      </c>
      <c r="B1810" s="9" t="s">
        <v>684</v>
      </c>
      <c r="C1810" s="9" t="s">
        <v>690</v>
      </c>
      <c r="D1810" s="12">
        <v>4.1099999999999998E-2</v>
      </c>
      <c r="E1810" s="12">
        <v>-0.10829999999999999</v>
      </c>
      <c r="F1810" s="12">
        <v>0.12130000000000001</v>
      </c>
      <c r="G1810" s="12">
        <v>-3.3599999999999998E-2</v>
      </c>
      <c r="H1810" s="12">
        <v>1.7999999999999999E-2</v>
      </c>
      <c r="I1810" s="12">
        <v>9.0200000000000002E-2</v>
      </c>
      <c r="J1810" s="9" t="s">
        <v>412</v>
      </c>
      <c r="K1810" s="9" t="s">
        <v>604</v>
      </c>
    </row>
    <row r="1811" spans="1:11" ht="28.8">
      <c r="A1811" s="9" t="s">
        <v>661</v>
      </c>
      <c r="B1811" s="9" t="s">
        <v>691</v>
      </c>
      <c r="C1811" s="9" t="s">
        <v>655</v>
      </c>
      <c r="D1811" s="12">
        <v>0.17599999999999999</v>
      </c>
      <c r="E1811" s="12">
        <v>4.9000000000000002E-2</v>
      </c>
      <c r="F1811" s="12">
        <v>-4.5699999999999998E-2</v>
      </c>
      <c r="G1811" s="12">
        <v>0.11249999999999999</v>
      </c>
      <c r="H1811" s="12">
        <v>5.9700000000000003E-2</v>
      </c>
      <c r="I1811" s="12">
        <v>9.0200000000000002E-2</v>
      </c>
      <c r="J1811" s="9" t="s">
        <v>412</v>
      </c>
      <c r="K1811" s="9" t="s">
        <v>604</v>
      </c>
    </row>
    <row r="1812" spans="1:11" ht="28.8">
      <c r="A1812" s="9" t="s">
        <v>603</v>
      </c>
      <c r="B1812" s="9" t="s">
        <v>689</v>
      </c>
      <c r="C1812" s="9" t="s">
        <v>683</v>
      </c>
      <c r="D1812" s="12">
        <v>0.17660000000000001</v>
      </c>
      <c r="E1812" s="12">
        <v>2.1399999999999999E-2</v>
      </c>
      <c r="F1812" s="12">
        <v>-7.22E-2</v>
      </c>
      <c r="G1812" s="12">
        <v>9.9000000000000005E-2</v>
      </c>
      <c r="H1812" s="12">
        <v>4.19E-2</v>
      </c>
      <c r="I1812" s="12">
        <v>9.01E-2</v>
      </c>
      <c r="J1812" s="9" t="s">
        <v>412</v>
      </c>
      <c r="K1812" s="9" t="s">
        <v>604</v>
      </c>
    </row>
    <row r="1813" spans="1:11" ht="28.8">
      <c r="A1813" s="9" t="s">
        <v>662</v>
      </c>
      <c r="B1813" s="9" t="s">
        <v>688</v>
      </c>
      <c r="C1813" s="9" t="s">
        <v>677</v>
      </c>
      <c r="D1813" s="12">
        <v>1.2200000000000001E-2</v>
      </c>
      <c r="E1813" s="12">
        <v>0.1293</v>
      </c>
      <c r="F1813" s="12">
        <v>0.1288</v>
      </c>
      <c r="G1813" s="12">
        <v>7.0749999999999993E-2</v>
      </c>
      <c r="H1813" s="12">
        <v>9.01E-2</v>
      </c>
      <c r="I1813" s="12">
        <v>9.01E-2</v>
      </c>
      <c r="J1813" s="9" t="s">
        <v>412</v>
      </c>
      <c r="K1813" s="9" t="s">
        <v>654</v>
      </c>
    </row>
    <row r="1814" spans="1:11">
      <c r="A1814" s="9" t="s">
        <v>682</v>
      </c>
      <c r="B1814" s="9" t="s">
        <v>665</v>
      </c>
      <c r="C1814" s="9" t="s">
        <v>659</v>
      </c>
      <c r="D1814" s="12">
        <v>0.1188</v>
      </c>
      <c r="E1814" s="12">
        <v>1.1000000000000001E-3</v>
      </c>
      <c r="F1814" s="12">
        <v>0.1502</v>
      </c>
      <c r="G1814" s="12">
        <v>5.9950000000000003E-2</v>
      </c>
      <c r="H1814" s="12">
        <v>0.09</v>
      </c>
      <c r="I1814" s="12">
        <v>0.09</v>
      </c>
      <c r="J1814" s="9" t="s">
        <v>412</v>
      </c>
      <c r="K1814" s="9" t="s">
        <v>654</v>
      </c>
    </row>
    <row r="1815" spans="1:11" ht="28.8">
      <c r="A1815" s="9" t="s">
        <v>609</v>
      </c>
      <c r="B1815" s="9" t="s">
        <v>660</v>
      </c>
      <c r="C1815" s="9" t="s">
        <v>674</v>
      </c>
      <c r="D1815" s="12">
        <v>-8.6999999999999994E-3</v>
      </c>
      <c r="E1815" s="12">
        <v>2.5700000000000001E-2</v>
      </c>
      <c r="F1815" s="12">
        <v>-0.2349</v>
      </c>
      <c r="G1815" s="12">
        <v>8.5000000000000006E-3</v>
      </c>
      <c r="H1815" s="12">
        <v>-7.2599999999999998E-2</v>
      </c>
      <c r="I1815" s="12">
        <v>8.9800000000000005E-2</v>
      </c>
      <c r="J1815" s="9" t="s">
        <v>412</v>
      </c>
      <c r="K1815" s="9" t="s">
        <v>604</v>
      </c>
    </row>
    <row r="1816" spans="1:11" ht="28.8">
      <c r="A1816" s="9" t="s">
        <v>661</v>
      </c>
      <c r="B1816" s="9" t="s">
        <v>602</v>
      </c>
      <c r="C1816" s="9" t="s">
        <v>677</v>
      </c>
      <c r="D1816" s="12">
        <v>2.5700000000000001E-2</v>
      </c>
      <c r="E1816" s="12">
        <v>2.06E-2</v>
      </c>
      <c r="F1816" s="12">
        <v>-0.223</v>
      </c>
      <c r="G1816" s="12">
        <v>2.315E-2</v>
      </c>
      <c r="H1816" s="12">
        <v>-5.8900000000000001E-2</v>
      </c>
      <c r="I1816" s="12">
        <v>8.9800000000000005E-2</v>
      </c>
      <c r="J1816" s="9" t="s">
        <v>412</v>
      </c>
      <c r="K1816" s="9" t="s">
        <v>604</v>
      </c>
    </row>
    <row r="1817" spans="1:11" ht="28.8">
      <c r="A1817" s="9" t="s">
        <v>679</v>
      </c>
      <c r="B1817" s="9" t="s">
        <v>665</v>
      </c>
      <c r="C1817" s="9" t="s">
        <v>674</v>
      </c>
      <c r="D1817" s="12">
        <v>0.11849999999999999</v>
      </c>
      <c r="E1817" s="12">
        <v>7.6399999999999996E-2</v>
      </c>
      <c r="F1817" s="12">
        <v>7.4200000000000002E-2</v>
      </c>
      <c r="G1817" s="12">
        <v>9.7449999999999995E-2</v>
      </c>
      <c r="H1817" s="12">
        <v>8.9700000000000002E-2</v>
      </c>
      <c r="I1817" s="12">
        <v>8.9700000000000002E-2</v>
      </c>
      <c r="J1817" s="9" t="s">
        <v>412</v>
      </c>
      <c r="K1817" s="9" t="s">
        <v>654</v>
      </c>
    </row>
    <row r="1818" spans="1:11" ht="28.8">
      <c r="A1818" s="9" t="s">
        <v>671</v>
      </c>
      <c r="B1818" s="9" t="s">
        <v>686</v>
      </c>
      <c r="C1818" s="9" t="s">
        <v>674</v>
      </c>
      <c r="D1818" s="12">
        <v>-6.2799999999999995E-2</v>
      </c>
      <c r="E1818" s="12">
        <v>0.13</v>
      </c>
      <c r="F1818" s="12">
        <v>7.6300000000000007E-2</v>
      </c>
      <c r="G1818" s="12">
        <v>3.3600000000000005E-2</v>
      </c>
      <c r="H1818" s="12">
        <v>4.7800000000000002E-2</v>
      </c>
      <c r="I1818" s="12">
        <v>8.9700000000000002E-2</v>
      </c>
      <c r="J1818" s="9" t="s">
        <v>412</v>
      </c>
      <c r="K1818" s="9" t="s">
        <v>604</v>
      </c>
    </row>
    <row r="1819" spans="1:11" ht="28.8">
      <c r="A1819" s="9" t="s">
        <v>671</v>
      </c>
      <c r="B1819" s="9" t="s">
        <v>660</v>
      </c>
      <c r="C1819" s="9" t="s">
        <v>659</v>
      </c>
      <c r="D1819" s="12">
        <v>0.13159999999999999</v>
      </c>
      <c r="E1819" s="12">
        <v>-0.1037</v>
      </c>
      <c r="F1819" s="12">
        <v>3.3799999999999997E-2</v>
      </c>
      <c r="G1819" s="12">
        <v>1.3949999999999997E-2</v>
      </c>
      <c r="H1819" s="12">
        <v>2.06E-2</v>
      </c>
      <c r="I1819" s="12">
        <v>8.9700000000000002E-2</v>
      </c>
      <c r="J1819" s="9" t="s">
        <v>412</v>
      </c>
      <c r="K1819" s="9" t="s">
        <v>604</v>
      </c>
    </row>
    <row r="1820" spans="1:11" ht="28.8">
      <c r="A1820" s="9" t="s">
        <v>609</v>
      </c>
      <c r="B1820" s="9" t="s">
        <v>689</v>
      </c>
      <c r="C1820" s="9" t="s">
        <v>601</v>
      </c>
      <c r="D1820" s="12">
        <v>-0.1671</v>
      </c>
      <c r="E1820" s="12">
        <v>-4.6100000000000002E-2</v>
      </c>
      <c r="F1820" s="12">
        <v>5.5399999999999998E-2</v>
      </c>
      <c r="G1820" s="12">
        <v>-0.1066</v>
      </c>
      <c r="H1820" s="12">
        <v>-5.2600000000000001E-2</v>
      </c>
      <c r="I1820" s="12">
        <v>8.9499999999999996E-2</v>
      </c>
      <c r="J1820" s="9" t="s">
        <v>412</v>
      </c>
      <c r="K1820" s="9" t="s">
        <v>604</v>
      </c>
    </row>
    <row r="1821" spans="1:11" ht="28.8">
      <c r="A1821" s="9" t="s">
        <v>671</v>
      </c>
      <c r="B1821" s="9" t="s">
        <v>691</v>
      </c>
      <c r="C1821" s="9" t="s">
        <v>601</v>
      </c>
      <c r="D1821" s="12">
        <v>-0.10879999999999999</v>
      </c>
      <c r="E1821" s="12">
        <v>-0.1353</v>
      </c>
      <c r="F1821" s="12">
        <v>2.4299999999999999E-2</v>
      </c>
      <c r="G1821" s="12">
        <v>-0.12204999999999999</v>
      </c>
      <c r="H1821" s="12">
        <v>-7.3300000000000004E-2</v>
      </c>
      <c r="I1821" s="12">
        <v>8.9499999999999996E-2</v>
      </c>
      <c r="J1821" s="9" t="s">
        <v>412</v>
      </c>
      <c r="K1821" s="9" t="s">
        <v>604</v>
      </c>
    </row>
    <row r="1822" spans="1:11" ht="28.8">
      <c r="A1822" s="9" t="s">
        <v>609</v>
      </c>
      <c r="B1822" s="9" t="s">
        <v>672</v>
      </c>
      <c r="C1822" s="9" t="s">
        <v>677</v>
      </c>
      <c r="D1822" s="12">
        <v>-6.1400000000000003E-2</v>
      </c>
      <c r="E1822" s="12">
        <v>-0.1148</v>
      </c>
      <c r="F1822" s="12">
        <v>9.2299999999999993E-2</v>
      </c>
      <c r="G1822" s="12">
        <v>-8.8099999999999998E-2</v>
      </c>
      <c r="H1822" s="12">
        <v>-2.8000000000000001E-2</v>
      </c>
      <c r="I1822" s="12">
        <v>8.9499999999999996E-2</v>
      </c>
      <c r="J1822" s="9" t="s">
        <v>412</v>
      </c>
      <c r="K1822" s="9" t="s">
        <v>604</v>
      </c>
    </row>
    <row r="1823" spans="1:11">
      <c r="A1823" s="9" t="s">
        <v>682</v>
      </c>
      <c r="B1823" s="9" t="s">
        <v>689</v>
      </c>
      <c r="C1823" s="9" t="s">
        <v>659</v>
      </c>
      <c r="D1823" s="12">
        <v>0.1188</v>
      </c>
      <c r="E1823" s="12">
        <v>0.1298</v>
      </c>
      <c r="F1823" s="12">
        <v>-1.9900000000000001E-2</v>
      </c>
      <c r="G1823" s="12">
        <v>0.12429999999999999</v>
      </c>
      <c r="H1823" s="12">
        <v>7.6200000000000004E-2</v>
      </c>
      <c r="I1823" s="12">
        <v>8.9499999999999996E-2</v>
      </c>
      <c r="J1823" s="9" t="s">
        <v>412</v>
      </c>
      <c r="K1823" s="9" t="s">
        <v>604</v>
      </c>
    </row>
    <row r="1824" spans="1:11" ht="28.8">
      <c r="A1824" s="9" t="s">
        <v>661</v>
      </c>
      <c r="B1824" s="9" t="s">
        <v>602</v>
      </c>
      <c r="C1824" s="9" t="s">
        <v>675</v>
      </c>
      <c r="D1824" s="12">
        <v>0.14380000000000001</v>
      </c>
      <c r="E1824" s="12">
        <v>2.06E-2</v>
      </c>
      <c r="F1824" s="12">
        <v>0.1032</v>
      </c>
      <c r="G1824" s="12">
        <v>8.2200000000000009E-2</v>
      </c>
      <c r="H1824" s="12">
        <v>8.9200000000000002E-2</v>
      </c>
      <c r="I1824" s="12">
        <v>8.9200000000000002E-2</v>
      </c>
      <c r="J1824" s="9" t="s">
        <v>412</v>
      </c>
      <c r="K1824" s="9" t="s">
        <v>654</v>
      </c>
    </row>
    <row r="1825" spans="1:11">
      <c r="A1825" s="9" t="s">
        <v>662</v>
      </c>
      <c r="B1825" s="9" t="s">
        <v>687</v>
      </c>
      <c r="C1825" s="9" t="s">
        <v>670</v>
      </c>
      <c r="D1825" s="12">
        <v>-0.18790000000000001</v>
      </c>
      <c r="E1825" s="12">
        <v>-5.4199999999999998E-2</v>
      </c>
      <c r="F1825" s="12">
        <v>2.5499999999999998E-2</v>
      </c>
      <c r="G1825" s="12">
        <v>-0.12105</v>
      </c>
      <c r="H1825" s="12">
        <v>-7.22E-2</v>
      </c>
      <c r="I1825" s="12">
        <v>8.9200000000000002E-2</v>
      </c>
      <c r="J1825" s="9" t="s">
        <v>412</v>
      </c>
      <c r="K1825" s="9" t="s">
        <v>604</v>
      </c>
    </row>
    <row r="1826" spans="1:11" ht="28.8">
      <c r="A1826" s="9" t="s">
        <v>671</v>
      </c>
      <c r="B1826" s="9" t="s">
        <v>685</v>
      </c>
      <c r="C1826" s="9" t="s">
        <v>677</v>
      </c>
      <c r="D1826" s="12">
        <v>6.8900000000000003E-2</v>
      </c>
      <c r="E1826" s="12">
        <v>0.19439999999999999</v>
      </c>
      <c r="F1826" s="12">
        <v>4.1999999999999997E-3</v>
      </c>
      <c r="G1826" s="12">
        <v>0.13164999999999999</v>
      </c>
      <c r="H1826" s="12">
        <v>8.9200000000000002E-2</v>
      </c>
      <c r="I1826" s="12">
        <v>8.9200000000000002E-2</v>
      </c>
      <c r="J1826" s="9" t="s">
        <v>412</v>
      </c>
      <c r="K1826" s="9" t="s">
        <v>654</v>
      </c>
    </row>
    <row r="1827" spans="1:11" ht="28.8">
      <c r="A1827" s="9" t="s">
        <v>610</v>
      </c>
      <c r="B1827" s="9" t="s">
        <v>676</v>
      </c>
      <c r="C1827" s="9" t="s">
        <v>675</v>
      </c>
      <c r="D1827" s="12">
        <v>-2.1399999999999999E-2</v>
      </c>
      <c r="E1827" s="12">
        <v>8.2799999999999999E-2</v>
      </c>
      <c r="F1827" s="12">
        <v>0.16320000000000001</v>
      </c>
      <c r="G1827" s="12">
        <v>3.0699999999999998E-2</v>
      </c>
      <c r="H1827" s="12">
        <v>7.4899999999999994E-2</v>
      </c>
      <c r="I1827" s="12">
        <v>8.9099999999999999E-2</v>
      </c>
      <c r="J1827" s="9" t="s">
        <v>412</v>
      </c>
      <c r="K1827" s="9" t="s">
        <v>604</v>
      </c>
    </row>
    <row r="1828" spans="1:11" ht="28.8">
      <c r="A1828" s="9" t="s">
        <v>671</v>
      </c>
      <c r="B1828" s="9" t="s">
        <v>687</v>
      </c>
      <c r="C1828" s="9" t="s">
        <v>664</v>
      </c>
      <c r="D1828" s="12">
        <v>-9.0800000000000006E-2</v>
      </c>
      <c r="E1828" s="12">
        <v>0.13850000000000001</v>
      </c>
      <c r="F1828" s="12">
        <v>-3.8100000000000002E-2</v>
      </c>
      <c r="G1828" s="12">
        <v>2.3850000000000003E-2</v>
      </c>
      <c r="H1828" s="12">
        <v>3.2000000000000002E-3</v>
      </c>
      <c r="I1828" s="12">
        <v>8.9099999999999999E-2</v>
      </c>
      <c r="J1828" s="9" t="s">
        <v>412</v>
      </c>
      <c r="K1828" s="9" t="s">
        <v>604</v>
      </c>
    </row>
    <row r="1829" spans="1:11" ht="28.8">
      <c r="A1829" s="9" t="s">
        <v>671</v>
      </c>
      <c r="B1829" s="9" t="s">
        <v>680</v>
      </c>
      <c r="C1829" s="9" t="s">
        <v>675</v>
      </c>
      <c r="D1829" s="12">
        <v>0.10780000000000001</v>
      </c>
      <c r="E1829" s="12">
        <v>-1.24E-2</v>
      </c>
      <c r="F1829" s="12">
        <v>0.14710000000000001</v>
      </c>
      <c r="G1829" s="12">
        <v>4.7700000000000006E-2</v>
      </c>
      <c r="H1829" s="12">
        <v>8.0799999999999997E-2</v>
      </c>
      <c r="I1829" s="12">
        <v>8.9099999999999999E-2</v>
      </c>
      <c r="J1829" s="9" t="s">
        <v>412</v>
      </c>
      <c r="K1829" s="9" t="s">
        <v>604</v>
      </c>
    </row>
    <row r="1830" spans="1:11">
      <c r="A1830" s="9" t="s">
        <v>662</v>
      </c>
      <c r="B1830" s="9" t="s">
        <v>688</v>
      </c>
      <c r="C1830" s="9" t="s">
        <v>655</v>
      </c>
      <c r="D1830" s="12">
        <v>5.6899999999999999E-2</v>
      </c>
      <c r="E1830" s="12">
        <v>0.1293</v>
      </c>
      <c r="F1830" s="12">
        <v>8.09E-2</v>
      </c>
      <c r="G1830" s="12">
        <v>9.3100000000000002E-2</v>
      </c>
      <c r="H1830" s="12">
        <v>8.8999999999999996E-2</v>
      </c>
      <c r="I1830" s="12">
        <v>8.8999999999999996E-2</v>
      </c>
      <c r="J1830" s="9" t="s">
        <v>412</v>
      </c>
      <c r="K1830" s="9" t="s">
        <v>654</v>
      </c>
    </row>
    <row r="1831" spans="1:11">
      <c r="A1831" s="9" t="s">
        <v>682</v>
      </c>
      <c r="B1831" s="9" t="s">
        <v>689</v>
      </c>
      <c r="C1831" s="9" t="s">
        <v>655</v>
      </c>
      <c r="D1831" s="12">
        <v>7.3099999999999998E-2</v>
      </c>
      <c r="E1831" s="12">
        <v>0.1298</v>
      </c>
      <c r="F1831" s="12">
        <v>-6.4000000000000001E-2</v>
      </c>
      <c r="G1831" s="12">
        <v>0.10145</v>
      </c>
      <c r="H1831" s="12">
        <v>4.6300000000000001E-2</v>
      </c>
      <c r="I1831" s="12">
        <v>8.8999999999999996E-2</v>
      </c>
      <c r="J1831" s="9" t="s">
        <v>412</v>
      </c>
      <c r="K1831" s="9" t="s">
        <v>604</v>
      </c>
    </row>
    <row r="1832" spans="1:11">
      <c r="A1832" s="9" t="s">
        <v>662</v>
      </c>
      <c r="B1832" s="9" t="s">
        <v>602</v>
      </c>
      <c r="C1832" s="9" t="s">
        <v>663</v>
      </c>
      <c r="D1832" s="12">
        <v>7.4700000000000003E-2</v>
      </c>
      <c r="E1832" s="12">
        <v>9.3799999999999994E-2</v>
      </c>
      <c r="F1832" s="12">
        <v>9.8400000000000001E-2</v>
      </c>
      <c r="G1832" s="12">
        <v>8.4249999999999992E-2</v>
      </c>
      <c r="H1832" s="12">
        <v>8.8999999999999996E-2</v>
      </c>
      <c r="I1832" s="12">
        <v>8.8999999999999996E-2</v>
      </c>
      <c r="J1832" s="9" t="s">
        <v>412</v>
      </c>
      <c r="K1832" s="9" t="s">
        <v>654</v>
      </c>
    </row>
    <row r="1833" spans="1:11">
      <c r="A1833" s="9" t="s">
        <v>610</v>
      </c>
      <c r="B1833" s="9" t="s">
        <v>689</v>
      </c>
      <c r="C1833" s="9" t="s">
        <v>656</v>
      </c>
      <c r="D1833" s="12">
        <v>6.5699999999999995E-2</v>
      </c>
      <c r="E1833" s="12">
        <v>-1.21E-2</v>
      </c>
      <c r="F1833" s="12">
        <v>-0.1888</v>
      </c>
      <c r="G1833" s="12">
        <v>2.6799999999999997E-2</v>
      </c>
      <c r="H1833" s="12">
        <v>-4.4999999999999998E-2</v>
      </c>
      <c r="I1833" s="12">
        <v>8.8900000000000007E-2</v>
      </c>
      <c r="J1833" s="9" t="s">
        <v>412</v>
      </c>
      <c r="K1833" s="9" t="s">
        <v>604</v>
      </c>
    </row>
    <row r="1834" spans="1:11" ht="28.8">
      <c r="A1834" s="9" t="s">
        <v>679</v>
      </c>
      <c r="B1834" s="9" t="s">
        <v>686</v>
      </c>
      <c r="C1834" s="9" t="s">
        <v>675</v>
      </c>
      <c r="D1834" s="12">
        <v>4.0599999999999997E-2</v>
      </c>
      <c r="E1834" s="12">
        <v>0.2019</v>
      </c>
      <c r="F1834" s="12">
        <v>-2.41E-2</v>
      </c>
      <c r="G1834" s="12">
        <v>0.12125</v>
      </c>
      <c r="H1834" s="12">
        <v>7.2800000000000004E-2</v>
      </c>
      <c r="I1834" s="12">
        <v>8.8900000000000007E-2</v>
      </c>
      <c r="J1834" s="9" t="s">
        <v>412</v>
      </c>
      <c r="K1834" s="9" t="s">
        <v>604</v>
      </c>
    </row>
    <row r="1835" spans="1:11" ht="28.8">
      <c r="A1835" s="9" t="s">
        <v>682</v>
      </c>
      <c r="B1835" s="9" t="s">
        <v>681</v>
      </c>
      <c r="C1835" s="9" t="s">
        <v>677</v>
      </c>
      <c r="D1835" s="12">
        <v>1.23E-2</v>
      </c>
      <c r="E1835" s="12">
        <v>0.15890000000000001</v>
      </c>
      <c r="F1835" s="12">
        <v>-9.5399999999999999E-2</v>
      </c>
      <c r="G1835" s="12">
        <v>8.5600000000000009E-2</v>
      </c>
      <c r="H1835" s="12">
        <v>2.53E-2</v>
      </c>
      <c r="I1835" s="12">
        <v>8.8900000000000007E-2</v>
      </c>
      <c r="J1835" s="9" t="s">
        <v>412</v>
      </c>
      <c r="K1835" s="9" t="s">
        <v>604</v>
      </c>
    </row>
    <row r="1836" spans="1:11" ht="28.8">
      <c r="A1836" s="9" t="s">
        <v>662</v>
      </c>
      <c r="B1836" s="9" t="s">
        <v>668</v>
      </c>
      <c r="C1836" s="9" t="s">
        <v>674</v>
      </c>
      <c r="D1836" s="12">
        <v>0.17680000000000001</v>
      </c>
      <c r="E1836" s="12">
        <v>5.5599999999999997E-2</v>
      </c>
      <c r="F1836" s="12">
        <v>3.4000000000000002E-2</v>
      </c>
      <c r="G1836" s="12">
        <v>0.1162</v>
      </c>
      <c r="H1836" s="12">
        <v>8.8800000000000004E-2</v>
      </c>
      <c r="I1836" s="12">
        <v>8.8800000000000004E-2</v>
      </c>
      <c r="J1836" s="9" t="s">
        <v>412</v>
      </c>
      <c r="K1836" s="9" t="s">
        <v>654</v>
      </c>
    </row>
    <row r="1837" spans="1:11" ht="28.8">
      <c r="A1837" s="9" t="s">
        <v>603</v>
      </c>
      <c r="B1837" s="9" t="s">
        <v>686</v>
      </c>
      <c r="C1837" s="9" t="s">
        <v>667</v>
      </c>
      <c r="D1837" s="12">
        <v>-6.3299999999999995E-2</v>
      </c>
      <c r="E1837" s="12">
        <v>-0.11899999999999999</v>
      </c>
      <c r="F1837" s="12">
        <v>8.4000000000000005E-2</v>
      </c>
      <c r="G1837" s="12">
        <v>-9.1149999999999995E-2</v>
      </c>
      <c r="H1837" s="12">
        <v>-3.27E-2</v>
      </c>
      <c r="I1837" s="12">
        <v>8.8800000000000004E-2</v>
      </c>
      <c r="J1837" s="9" t="s">
        <v>412</v>
      </c>
      <c r="K1837" s="9" t="s">
        <v>604</v>
      </c>
    </row>
    <row r="1838" spans="1:11" ht="28.8">
      <c r="A1838" s="9" t="s">
        <v>679</v>
      </c>
      <c r="B1838" s="9" t="s">
        <v>684</v>
      </c>
      <c r="C1838" s="9" t="s">
        <v>677</v>
      </c>
      <c r="D1838" s="12">
        <v>0.13189999999999999</v>
      </c>
      <c r="E1838" s="12">
        <v>-7.2800000000000004E-2</v>
      </c>
      <c r="F1838" s="12">
        <v>-6.13E-2</v>
      </c>
      <c r="G1838" s="12">
        <v>2.9549999999999993E-2</v>
      </c>
      <c r="H1838" s="12">
        <v>-6.9999999999999999E-4</v>
      </c>
      <c r="I1838" s="12">
        <v>8.8700000000000001E-2</v>
      </c>
      <c r="J1838" s="9" t="s">
        <v>412</v>
      </c>
      <c r="K1838" s="9" t="s">
        <v>604</v>
      </c>
    </row>
    <row r="1839" spans="1:11" ht="28.8">
      <c r="A1839" s="9" t="s">
        <v>671</v>
      </c>
      <c r="B1839" s="9" t="s">
        <v>684</v>
      </c>
      <c r="C1839" s="9" t="s">
        <v>663</v>
      </c>
      <c r="D1839" s="12">
        <v>9.4399999999999998E-2</v>
      </c>
      <c r="E1839" s="12">
        <v>-3.3399999999999999E-2</v>
      </c>
      <c r="F1839" s="12">
        <v>0.13800000000000001</v>
      </c>
      <c r="G1839" s="12">
        <v>3.0499999999999999E-2</v>
      </c>
      <c r="H1839" s="12">
        <v>6.6299999999999998E-2</v>
      </c>
      <c r="I1839" s="12">
        <v>8.8599999999999998E-2</v>
      </c>
      <c r="J1839" s="9" t="s">
        <v>412</v>
      </c>
      <c r="K1839" s="9" t="s">
        <v>604</v>
      </c>
    </row>
    <row r="1840" spans="1:11" ht="28.8">
      <c r="A1840" s="9" t="s">
        <v>671</v>
      </c>
      <c r="B1840" s="9" t="s">
        <v>678</v>
      </c>
      <c r="C1840" s="9" t="s">
        <v>664</v>
      </c>
      <c r="D1840" s="12">
        <v>-9.0800000000000006E-2</v>
      </c>
      <c r="E1840" s="12">
        <v>-0.14360000000000001</v>
      </c>
      <c r="F1840" s="12">
        <v>3.1E-2</v>
      </c>
      <c r="G1840" s="12">
        <v>-0.1172</v>
      </c>
      <c r="H1840" s="12">
        <v>-6.7799999999999999E-2</v>
      </c>
      <c r="I1840" s="12">
        <v>8.8499999999999995E-2</v>
      </c>
      <c r="J1840" s="9" t="s">
        <v>412</v>
      </c>
      <c r="K1840" s="9" t="s">
        <v>604</v>
      </c>
    </row>
    <row r="1841" spans="1:11" ht="28.8">
      <c r="A1841" s="9" t="s">
        <v>609</v>
      </c>
      <c r="B1841" s="9" t="s">
        <v>665</v>
      </c>
      <c r="C1841" s="9" t="s">
        <v>675</v>
      </c>
      <c r="D1841" s="12">
        <v>9.6600000000000005E-2</v>
      </c>
      <c r="E1841" s="12">
        <v>-0.11310000000000001</v>
      </c>
      <c r="F1841" s="12">
        <v>5.5599999999999997E-2</v>
      </c>
      <c r="G1841" s="12">
        <v>-8.2500000000000004E-3</v>
      </c>
      <c r="H1841" s="12">
        <v>1.3100000000000001E-2</v>
      </c>
      <c r="I1841" s="12">
        <v>8.8499999999999995E-2</v>
      </c>
      <c r="J1841" s="9" t="s">
        <v>412</v>
      </c>
      <c r="K1841" s="9" t="s">
        <v>604</v>
      </c>
    </row>
    <row r="1842" spans="1:11" ht="28.8">
      <c r="A1842" s="9" t="s">
        <v>662</v>
      </c>
      <c r="B1842" s="9" t="s">
        <v>691</v>
      </c>
      <c r="C1842" s="9" t="s">
        <v>674</v>
      </c>
      <c r="D1842" s="12">
        <v>0.17680000000000001</v>
      </c>
      <c r="E1842" s="12">
        <v>7.0099999999999996E-2</v>
      </c>
      <c r="F1842" s="12">
        <v>-1.83E-2</v>
      </c>
      <c r="G1842" s="12">
        <v>0.12345</v>
      </c>
      <c r="H1842" s="12">
        <v>7.6200000000000004E-2</v>
      </c>
      <c r="I1842" s="12">
        <v>8.8400000000000006E-2</v>
      </c>
      <c r="J1842" s="9" t="s">
        <v>412</v>
      </c>
      <c r="K1842" s="9" t="s">
        <v>604</v>
      </c>
    </row>
    <row r="1843" spans="1:11" ht="28.8">
      <c r="A1843" s="9" t="s">
        <v>671</v>
      </c>
      <c r="B1843" s="9" t="s">
        <v>665</v>
      </c>
      <c r="C1843" s="9" t="s">
        <v>690</v>
      </c>
      <c r="D1843" s="12">
        <v>-7.0199999999999999E-2</v>
      </c>
      <c r="E1843" s="12">
        <v>0.1009</v>
      </c>
      <c r="F1843" s="12">
        <v>-9.3799999999999994E-2</v>
      </c>
      <c r="G1843" s="12">
        <v>1.5350000000000003E-2</v>
      </c>
      <c r="H1843" s="12">
        <v>-2.1000000000000001E-2</v>
      </c>
      <c r="I1843" s="12">
        <v>8.8300000000000003E-2</v>
      </c>
      <c r="J1843" s="9" t="s">
        <v>412</v>
      </c>
      <c r="K1843" s="9" t="s">
        <v>604</v>
      </c>
    </row>
    <row r="1844" spans="1:11" ht="28.8">
      <c r="A1844" s="9" t="s">
        <v>682</v>
      </c>
      <c r="B1844" s="9" t="s">
        <v>685</v>
      </c>
      <c r="C1844" s="9" t="s">
        <v>664</v>
      </c>
      <c r="D1844" s="12">
        <v>-0.08</v>
      </c>
      <c r="E1844" s="12">
        <v>0.12429999999999999</v>
      </c>
      <c r="F1844" s="12">
        <v>6.0699999999999997E-2</v>
      </c>
      <c r="G1844" s="12">
        <v>2.2149999999999996E-2</v>
      </c>
      <c r="H1844" s="12">
        <v>3.5000000000000003E-2</v>
      </c>
      <c r="I1844" s="12">
        <v>8.8300000000000003E-2</v>
      </c>
      <c r="J1844" s="9" t="s">
        <v>412</v>
      </c>
      <c r="K1844" s="9" t="s">
        <v>604</v>
      </c>
    </row>
    <row r="1845" spans="1:11" ht="28.8">
      <c r="A1845" s="9" t="s">
        <v>603</v>
      </c>
      <c r="B1845" s="9" t="s">
        <v>672</v>
      </c>
      <c r="C1845" s="9" t="s">
        <v>690</v>
      </c>
      <c r="D1845" s="12">
        <v>4.1099999999999998E-2</v>
      </c>
      <c r="E1845" s="12">
        <v>-0.21229999999999999</v>
      </c>
      <c r="F1845" s="12">
        <v>1.11E-2</v>
      </c>
      <c r="G1845" s="12">
        <v>-8.5599999999999996E-2</v>
      </c>
      <c r="H1845" s="12">
        <v>-5.3400000000000003E-2</v>
      </c>
      <c r="I1845" s="12">
        <v>8.8200000000000001E-2</v>
      </c>
      <c r="J1845" s="9" t="s">
        <v>412</v>
      </c>
      <c r="K1845" s="9" t="s">
        <v>604</v>
      </c>
    </row>
    <row r="1846" spans="1:11" ht="28.8">
      <c r="A1846" s="9" t="s">
        <v>610</v>
      </c>
      <c r="B1846" s="9" t="s">
        <v>672</v>
      </c>
      <c r="C1846" s="9" t="s">
        <v>677</v>
      </c>
      <c r="D1846" s="12">
        <v>0.10100000000000001</v>
      </c>
      <c r="E1846" s="12">
        <v>7.0999999999999994E-2</v>
      </c>
      <c r="F1846" s="12">
        <v>9.2299999999999993E-2</v>
      </c>
      <c r="G1846" s="12">
        <v>8.5999999999999993E-2</v>
      </c>
      <c r="H1846" s="12">
        <v>8.8099999999999998E-2</v>
      </c>
      <c r="I1846" s="12">
        <v>8.8099999999999998E-2</v>
      </c>
      <c r="J1846" s="9" t="s">
        <v>412</v>
      </c>
      <c r="K1846" s="9" t="s">
        <v>654</v>
      </c>
    </row>
    <row r="1847" spans="1:11" ht="28.8">
      <c r="A1847" s="9" t="s">
        <v>671</v>
      </c>
      <c r="B1847" s="9" t="s">
        <v>665</v>
      </c>
      <c r="C1847" s="9" t="s">
        <v>675</v>
      </c>
      <c r="D1847" s="12">
        <v>0.10780000000000001</v>
      </c>
      <c r="E1847" s="12">
        <v>0.1009</v>
      </c>
      <c r="F1847" s="12">
        <v>5.5599999999999997E-2</v>
      </c>
      <c r="G1847" s="12">
        <v>0.10435</v>
      </c>
      <c r="H1847" s="12">
        <v>8.8099999999999998E-2</v>
      </c>
      <c r="I1847" s="12">
        <v>8.8099999999999998E-2</v>
      </c>
      <c r="J1847" s="9" t="s">
        <v>412</v>
      </c>
      <c r="K1847" s="9" t="s">
        <v>654</v>
      </c>
    </row>
    <row r="1848" spans="1:11" ht="28.8">
      <c r="A1848" s="9" t="s">
        <v>662</v>
      </c>
      <c r="B1848" s="9" t="s">
        <v>681</v>
      </c>
      <c r="C1848" s="9" t="s">
        <v>664</v>
      </c>
      <c r="D1848" s="12">
        <v>-2.87E-2</v>
      </c>
      <c r="E1848" s="12">
        <v>0.1535</v>
      </c>
      <c r="F1848" s="12">
        <v>-8.14E-2</v>
      </c>
      <c r="G1848" s="12">
        <v>6.2399999999999997E-2</v>
      </c>
      <c r="H1848" s="12">
        <v>1.4500000000000001E-2</v>
      </c>
      <c r="I1848" s="12">
        <v>8.7900000000000006E-2</v>
      </c>
      <c r="J1848" s="9" t="s">
        <v>412</v>
      </c>
      <c r="K1848" s="9" t="s">
        <v>604</v>
      </c>
    </row>
    <row r="1849" spans="1:11" ht="28.8">
      <c r="A1849" s="9" t="s">
        <v>679</v>
      </c>
      <c r="B1849" s="9" t="s">
        <v>680</v>
      </c>
      <c r="C1849" s="9" t="s">
        <v>656</v>
      </c>
      <c r="D1849" s="12">
        <v>-2.2700000000000001E-2</v>
      </c>
      <c r="E1849" s="12">
        <v>0.1643</v>
      </c>
      <c r="F1849" s="12">
        <v>7.6399999999999996E-2</v>
      </c>
      <c r="G1849" s="12">
        <v>7.0800000000000002E-2</v>
      </c>
      <c r="H1849" s="12">
        <v>7.2700000000000001E-2</v>
      </c>
      <c r="I1849" s="12">
        <v>8.7800000000000003E-2</v>
      </c>
      <c r="J1849" s="9" t="s">
        <v>412</v>
      </c>
      <c r="K1849" s="9" t="s">
        <v>604</v>
      </c>
    </row>
    <row r="1850" spans="1:11">
      <c r="A1850" s="9" t="s">
        <v>609</v>
      </c>
      <c r="B1850" s="9" t="s">
        <v>691</v>
      </c>
      <c r="C1850" s="9" t="s">
        <v>655</v>
      </c>
      <c r="D1850" s="12">
        <v>0.16819999999999999</v>
      </c>
      <c r="E1850" s="12">
        <v>4.9399999999999999E-2</v>
      </c>
      <c r="F1850" s="12">
        <v>-4.5699999999999998E-2</v>
      </c>
      <c r="G1850" s="12">
        <v>0.10879999999999999</v>
      </c>
      <c r="H1850" s="12">
        <v>5.7299999999999997E-2</v>
      </c>
      <c r="I1850" s="12">
        <v>8.7800000000000003E-2</v>
      </c>
      <c r="J1850" s="9" t="s">
        <v>412</v>
      </c>
      <c r="K1850" s="9" t="s">
        <v>604</v>
      </c>
    </row>
    <row r="1851" spans="1:11" ht="28.8">
      <c r="A1851" s="9" t="s">
        <v>679</v>
      </c>
      <c r="B1851" s="9" t="s">
        <v>613</v>
      </c>
      <c r="C1851" s="9" t="s">
        <v>690</v>
      </c>
      <c r="D1851" s="12">
        <v>-6.6900000000000001E-2</v>
      </c>
      <c r="E1851" s="12">
        <v>-0.1157</v>
      </c>
      <c r="F1851" s="12">
        <v>-8.0600000000000005E-2</v>
      </c>
      <c r="G1851" s="12">
        <v>-9.1299999999999992E-2</v>
      </c>
      <c r="H1851" s="12">
        <v>-8.7800000000000003E-2</v>
      </c>
      <c r="I1851" s="12">
        <v>8.7800000000000003E-2</v>
      </c>
      <c r="J1851" s="9" t="s">
        <v>412</v>
      </c>
      <c r="K1851" s="9" t="s">
        <v>604</v>
      </c>
    </row>
    <row r="1852" spans="1:11" ht="28.8">
      <c r="A1852" s="9" t="s">
        <v>671</v>
      </c>
      <c r="B1852" s="9" t="s">
        <v>688</v>
      </c>
      <c r="C1852" s="9" t="s">
        <v>601</v>
      </c>
      <c r="D1852" s="12">
        <v>-0.10879999999999999</v>
      </c>
      <c r="E1852" s="12">
        <v>6.3E-3</v>
      </c>
      <c r="F1852" s="12">
        <v>-0.1477</v>
      </c>
      <c r="G1852" s="12">
        <v>-5.1249999999999997E-2</v>
      </c>
      <c r="H1852" s="12">
        <v>-8.3400000000000002E-2</v>
      </c>
      <c r="I1852" s="12">
        <v>8.7599999999999997E-2</v>
      </c>
      <c r="J1852" s="9" t="s">
        <v>412</v>
      </c>
      <c r="K1852" s="9" t="s">
        <v>604</v>
      </c>
    </row>
    <row r="1853" spans="1:11" ht="28.8">
      <c r="A1853" s="9" t="s">
        <v>682</v>
      </c>
      <c r="B1853" s="9" t="s">
        <v>665</v>
      </c>
      <c r="C1853" s="9" t="s">
        <v>664</v>
      </c>
      <c r="D1853" s="12">
        <v>-0.08</v>
      </c>
      <c r="E1853" s="12">
        <v>1.1000000000000001E-3</v>
      </c>
      <c r="F1853" s="12">
        <v>-0.1817</v>
      </c>
      <c r="G1853" s="12">
        <v>-3.9449999999999999E-2</v>
      </c>
      <c r="H1853" s="12">
        <v>-8.6900000000000005E-2</v>
      </c>
      <c r="I1853" s="12">
        <v>8.7599999999999997E-2</v>
      </c>
      <c r="J1853" s="9" t="s">
        <v>412</v>
      </c>
      <c r="K1853" s="9" t="s">
        <v>604</v>
      </c>
    </row>
    <row r="1854" spans="1:11" ht="28.8">
      <c r="A1854" s="9" t="s">
        <v>682</v>
      </c>
      <c r="B1854" s="9" t="s">
        <v>691</v>
      </c>
      <c r="C1854" s="9" t="s">
        <v>683</v>
      </c>
      <c r="D1854" s="12">
        <v>-8.5099999999999995E-2</v>
      </c>
      <c r="E1854" s="12">
        <v>-0.1062</v>
      </c>
      <c r="F1854" s="12">
        <v>7.1400000000000005E-2</v>
      </c>
      <c r="G1854" s="12">
        <v>-9.5649999999999999E-2</v>
      </c>
      <c r="H1854" s="12">
        <v>-0.04</v>
      </c>
      <c r="I1854" s="12">
        <v>8.7599999999999997E-2</v>
      </c>
      <c r="J1854" s="9" t="s">
        <v>412</v>
      </c>
      <c r="K1854" s="9" t="s">
        <v>604</v>
      </c>
    </row>
    <row r="1855" spans="1:11" ht="28.8">
      <c r="A1855" s="9" t="s">
        <v>671</v>
      </c>
      <c r="B1855" s="9" t="s">
        <v>660</v>
      </c>
      <c r="C1855" s="9" t="s">
        <v>690</v>
      </c>
      <c r="D1855" s="12">
        <v>-7.0199999999999999E-2</v>
      </c>
      <c r="E1855" s="12">
        <v>-0.1037</v>
      </c>
      <c r="F1855" s="12">
        <v>-8.8499999999999995E-2</v>
      </c>
      <c r="G1855" s="12">
        <v>-8.695E-2</v>
      </c>
      <c r="H1855" s="12">
        <v>-8.7499999999999994E-2</v>
      </c>
      <c r="I1855" s="12">
        <v>8.7499999999999994E-2</v>
      </c>
      <c r="J1855" s="9" t="s">
        <v>412</v>
      </c>
      <c r="K1855" s="9" t="s">
        <v>604</v>
      </c>
    </row>
    <row r="1856" spans="1:11" ht="28.8">
      <c r="A1856" s="9" t="s">
        <v>679</v>
      </c>
      <c r="B1856" s="9" t="s">
        <v>669</v>
      </c>
      <c r="C1856" s="9" t="s">
        <v>690</v>
      </c>
      <c r="D1856" s="12">
        <v>-6.6900000000000001E-2</v>
      </c>
      <c r="E1856" s="12">
        <v>8.3900000000000002E-2</v>
      </c>
      <c r="F1856" s="12">
        <v>-0.11119999999999999</v>
      </c>
      <c r="G1856" s="12">
        <v>8.5000000000000006E-3</v>
      </c>
      <c r="H1856" s="12">
        <v>-3.1399999999999997E-2</v>
      </c>
      <c r="I1856" s="12">
        <v>8.7300000000000003E-2</v>
      </c>
      <c r="J1856" s="9" t="s">
        <v>412</v>
      </c>
      <c r="K1856" s="9" t="s">
        <v>604</v>
      </c>
    </row>
    <row r="1857" spans="1:11" ht="28.8">
      <c r="A1857" s="9" t="s">
        <v>671</v>
      </c>
      <c r="B1857" s="9" t="s">
        <v>686</v>
      </c>
      <c r="C1857" s="9" t="s">
        <v>675</v>
      </c>
      <c r="D1857" s="12">
        <v>0.10780000000000001</v>
      </c>
      <c r="E1857" s="12">
        <v>0.13</v>
      </c>
      <c r="F1857" s="12">
        <v>-2.41E-2</v>
      </c>
      <c r="G1857" s="12">
        <v>0.11890000000000001</v>
      </c>
      <c r="H1857" s="12">
        <v>7.1199999999999999E-2</v>
      </c>
      <c r="I1857" s="12">
        <v>8.7300000000000003E-2</v>
      </c>
      <c r="J1857" s="9" t="s">
        <v>412</v>
      </c>
      <c r="K1857" s="9" t="s">
        <v>604</v>
      </c>
    </row>
    <row r="1858" spans="1:11" ht="28.8">
      <c r="A1858" s="9" t="s">
        <v>603</v>
      </c>
      <c r="B1858" s="9" t="s">
        <v>686</v>
      </c>
      <c r="C1858" s="9" t="s">
        <v>690</v>
      </c>
      <c r="D1858" s="12">
        <v>4.1099999999999998E-2</v>
      </c>
      <c r="E1858" s="12">
        <v>-0.11899999999999999</v>
      </c>
      <c r="F1858" s="12">
        <v>-0.10150000000000001</v>
      </c>
      <c r="G1858" s="12">
        <v>-3.8949999999999999E-2</v>
      </c>
      <c r="H1858" s="12">
        <v>-5.9799999999999999E-2</v>
      </c>
      <c r="I1858" s="12">
        <v>8.72E-2</v>
      </c>
      <c r="J1858" s="9" t="s">
        <v>412</v>
      </c>
      <c r="K1858" s="9" t="s">
        <v>604</v>
      </c>
    </row>
    <row r="1859" spans="1:11">
      <c r="A1859" s="9" t="s">
        <v>682</v>
      </c>
      <c r="B1859" s="9" t="s">
        <v>602</v>
      </c>
      <c r="C1859" s="9" t="s">
        <v>663</v>
      </c>
      <c r="D1859" s="12">
        <v>-6.7400000000000002E-2</v>
      </c>
      <c r="E1859" s="12">
        <v>9.5699999999999993E-2</v>
      </c>
      <c r="F1859" s="12">
        <v>9.8400000000000001E-2</v>
      </c>
      <c r="G1859" s="12">
        <v>1.4149999999999996E-2</v>
      </c>
      <c r="H1859" s="12">
        <v>4.2200000000000001E-2</v>
      </c>
      <c r="I1859" s="12">
        <v>8.72E-2</v>
      </c>
      <c r="J1859" s="9" t="s">
        <v>412</v>
      </c>
      <c r="K1859" s="9" t="s">
        <v>604</v>
      </c>
    </row>
    <row r="1860" spans="1:11" ht="28.8">
      <c r="A1860" s="9" t="s">
        <v>671</v>
      </c>
      <c r="B1860" s="9" t="s">
        <v>688</v>
      </c>
      <c r="C1860" s="9" t="s">
        <v>663</v>
      </c>
      <c r="D1860" s="12">
        <v>9.4399999999999998E-2</v>
      </c>
      <c r="E1860" s="12">
        <v>6.3E-3</v>
      </c>
      <c r="F1860" s="12">
        <v>0.16059999999999999</v>
      </c>
      <c r="G1860" s="12">
        <v>5.0349999999999999E-2</v>
      </c>
      <c r="H1860" s="12">
        <v>8.7099999999999997E-2</v>
      </c>
      <c r="I1860" s="12">
        <v>8.7099999999999997E-2</v>
      </c>
      <c r="J1860" s="9" t="s">
        <v>412</v>
      </c>
      <c r="K1860" s="9" t="s">
        <v>654</v>
      </c>
    </row>
    <row r="1861" spans="1:11" ht="28.8">
      <c r="A1861" s="9" t="s">
        <v>603</v>
      </c>
      <c r="B1861" s="9" t="s">
        <v>689</v>
      </c>
      <c r="C1861" s="9" t="s">
        <v>675</v>
      </c>
      <c r="D1861" s="12">
        <v>-0.18360000000000001</v>
      </c>
      <c r="E1861" s="12">
        <v>2.1399999999999999E-2</v>
      </c>
      <c r="F1861" s="12">
        <v>5.6300000000000003E-2</v>
      </c>
      <c r="G1861" s="12">
        <v>-8.1100000000000005E-2</v>
      </c>
      <c r="H1861" s="12">
        <v>-3.5299999999999998E-2</v>
      </c>
      <c r="I1861" s="12">
        <v>8.7099999999999997E-2</v>
      </c>
      <c r="J1861" s="9" t="s">
        <v>412</v>
      </c>
      <c r="K1861" s="9" t="s">
        <v>604</v>
      </c>
    </row>
    <row r="1862" spans="1:11" ht="28.8">
      <c r="A1862" s="9" t="s">
        <v>679</v>
      </c>
      <c r="B1862" s="9" t="s">
        <v>687</v>
      </c>
      <c r="C1862" s="9" t="s">
        <v>656</v>
      </c>
      <c r="D1862" s="12">
        <v>-2.2700000000000001E-2</v>
      </c>
      <c r="E1862" s="12">
        <v>0.10589999999999999</v>
      </c>
      <c r="F1862" s="12">
        <v>-0.13239999999999999</v>
      </c>
      <c r="G1862" s="12">
        <v>4.1599999999999998E-2</v>
      </c>
      <c r="H1862" s="12">
        <v>-1.6400000000000001E-2</v>
      </c>
      <c r="I1862" s="12">
        <v>8.6999999999999994E-2</v>
      </c>
      <c r="J1862" s="9" t="s">
        <v>412</v>
      </c>
      <c r="K1862" s="9" t="s">
        <v>604</v>
      </c>
    </row>
    <row r="1863" spans="1:11" ht="28.8">
      <c r="A1863" s="9" t="s">
        <v>679</v>
      </c>
      <c r="B1863" s="9" t="s">
        <v>684</v>
      </c>
      <c r="C1863" s="9" t="s">
        <v>690</v>
      </c>
      <c r="D1863" s="12">
        <v>-6.6900000000000001E-2</v>
      </c>
      <c r="E1863" s="12">
        <v>-7.2800000000000004E-2</v>
      </c>
      <c r="F1863" s="12">
        <v>0.12130000000000001</v>
      </c>
      <c r="G1863" s="12">
        <v>-6.9849999999999995E-2</v>
      </c>
      <c r="H1863" s="12">
        <v>-6.1999999999999998E-3</v>
      </c>
      <c r="I1863" s="12">
        <v>8.6999999999999994E-2</v>
      </c>
      <c r="J1863" s="9" t="s">
        <v>412</v>
      </c>
      <c r="K1863" s="9" t="s">
        <v>604</v>
      </c>
    </row>
    <row r="1864" spans="1:11" ht="28.8">
      <c r="A1864" s="9" t="s">
        <v>662</v>
      </c>
      <c r="B1864" s="9" t="s">
        <v>602</v>
      </c>
      <c r="C1864" s="9" t="s">
        <v>683</v>
      </c>
      <c r="D1864" s="12">
        <v>-6.0100000000000001E-2</v>
      </c>
      <c r="E1864" s="12">
        <v>9.3799999999999994E-2</v>
      </c>
      <c r="F1864" s="12">
        <v>0.107</v>
      </c>
      <c r="G1864" s="12">
        <v>1.6849999999999997E-2</v>
      </c>
      <c r="H1864" s="12">
        <v>4.6899999999999997E-2</v>
      </c>
      <c r="I1864" s="12">
        <v>8.6999999999999994E-2</v>
      </c>
      <c r="J1864" s="9" t="s">
        <v>412</v>
      </c>
      <c r="K1864" s="9" t="s">
        <v>604</v>
      </c>
    </row>
    <row r="1865" spans="1:11">
      <c r="A1865" s="9" t="s">
        <v>682</v>
      </c>
      <c r="B1865" s="9" t="s">
        <v>685</v>
      </c>
      <c r="C1865" s="9" t="s">
        <v>659</v>
      </c>
      <c r="D1865" s="12">
        <v>0.1188</v>
      </c>
      <c r="E1865" s="12">
        <v>0.12429999999999999</v>
      </c>
      <c r="F1865" s="12">
        <v>-1.7899999999999999E-2</v>
      </c>
      <c r="G1865" s="12">
        <v>0.12154999999999999</v>
      </c>
      <c r="H1865" s="12">
        <v>7.51E-2</v>
      </c>
      <c r="I1865" s="12">
        <v>8.6999999999999994E-2</v>
      </c>
      <c r="J1865" s="9" t="s">
        <v>412</v>
      </c>
      <c r="K1865" s="9" t="s">
        <v>604</v>
      </c>
    </row>
    <row r="1866" spans="1:11" ht="28.8">
      <c r="A1866" s="9" t="s">
        <v>662</v>
      </c>
      <c r="B1866" s="9" t="s">
        <v>681</v>
      </c>
      <c r="C1866" s="9" t="s">
        <v>677</v>
      </c>
      <c r="D1866" s="12">
        <v>1.2200000000000001E-2</v>
      </c>
      <c r="E1866" s="12">
        <v>0.1535</v>
      </c>
      <c r="F1866" s="12">
        <v>-9.5399999999999999E-2</v>
      </c>
      <c r="G1866" s="12">
        <v>8.2849999999999993E-2</v>
      </c>
      <c r="H1866" s="12">
        <v>2.35E-2</v>
      </c>
      <c r="I1866" s="12">
        <v>8.6999999999999994E-2</v>
      </c>
      <c r="J1866" s="9" t="s">
        <v>412</v>
      </c>
      <c r="K1866" s="9" t="s">
        <v>604</v>
      </c>
    </row>
    <row r="1867" spans="1:11" ht="28.8">
      <c r="A1867" s="9" t="s">
        <v>662</v>
      </c>
      <c r="B1867" s="9" t="s">
        <v>669</v>
      </c>
      <c r="C1867" s="9" t="s">
        <v>677</v>
      </c>
      <c r="D1867" s="12">
        <v>1.2200000000000001E-2</v>
      </c>
      <c r="E1867" s="12">
        <v>0.1298</v>
      </c>
      <c r="F1867" s="12">
        <v>-0.1188</v>
      </c>
      <c r="G1867" s="12">
        <v>7.0999999999999994E-2</v>
      </c>
      <c r="H1867" s="12">
        <v>7.7999999999999996E-3</v>
      </c>
      <c r="I1867" s="12">
        <v>8.6900000000000005E-2</v>
      </c>
      <c r="J1867" s="9" t="s">
        <v>412</v>
      </c>
      <c r="K1867" s="9" t="s">
        <v>604</v>
      </c>
    </row>
    <row r="1868" spans="1:11" ht="28.8">
      <c r="A1868" s="9" t="s">
        <v>609</v>
      </c>
      <c r="B1868" s="9" t="s">
        <v>602</v>
      </c>
      <c r="C1868" s="9" t="s">
        <v>690</v>
      </c>
      <c r="D1868" s="12">
        <v>4.9799999999999997E-2</v>
      </c>
      <c r="E1868" s="12">
        <v>-0.2089</v>
      </c>
      <c r="F1868" s="12">
        <v>1.9E-3</v>
      </c>
      <c r="G1868" s="12">
        <v>-7.955000000000001E-2</v>
      </c>
      <c r="H1868" s="12">
        <v>-5.2400000000000002E-2</v>
      </c>
      <c r="I1868" s="12">
        <v>8.6900000000000005E-2</v>
      </c>
      <c r="J1868" s="9" t="s">
        <v>412</v>
      </c>
      <c r="K1868" s="9" t="s">
        <v>604</v>
      </c>
    </row>
    <row r="1869" spans="1:11" ht="28.8">
      <c r="A1869" s="9" t="s">
        <v>662</v>
      </c>
      <c r="B1869" s="9" t="s">
        <v>678</v>
      </c>
      <c r="C1869" s="9" t="s">
        <v>675</v>
      </c>
      <c r="D1869" s="12">
        <v>0.14630000000000001</v>
      </c>
      <c r="E1869" s="12">
        <v>-6.4199999999999993E-2</v>
      </c>
      <c r="F1869" s="12">
        <v>-5.0299999999999997E-2</v>
      </c>
      <c r="G1869" s="12">
        <v>4.105000000000001E-2</v>
      </c>
      <c r="H1869" s="12">
        <v>1.06E-2</v>
      </c>
      <c r="I1869" s="12">
        <v>8.6900000000000005E-2</v>
      </c>
      <c r="J1869" s="9" t="s">
        <v>412</v>
      </c>
      <c r="K1869" s="9" t="s">
        <v>604</v>
      </c>
    </row>
    <row r="1870" spans="1:11">
      <c r="A1870" s="9" t="s">
        <v>610</v>
      </c>
      <c r="B1870" s="9" t="s">
        <v>688</v>
      </c>
      <c r="C1870" s="9" t="s">
        <v>655</v>
      </c>
      <c r="D1870" s="12">
        <v>-9.4E-2</v>
      </c>
      <c r="E1870" s="12">
        <v>8.5699999999999998E-2</v>
      </c>
      <c r="F1870" s="12">
        <v>8.09E-2</v>
      </c>
      <c r="G1870" s="12">
        <v>-4.1500000000000009E-3</v>
      </c>
      <c r="H1870" s="12">
        <v>2.4199999999999999E-2</v>
      </c>
      <c r="I1870" s="12">
        <v>8.6900000000000005E-2</v>
      </c>
      <c r="J1870" s="9" t="s">
        <v>412</v>
      </c>
      <c r="K1870" s="9" t="s">
        <v>604</v>
      </c>
    </row>
    <row r="1871" spans="1:11">
      <c r="A1871" s="9" t="s">
        <v>682</v>
      </c>
      <c r="B1871" s="9" t="s">
        <v>660</v>
      </c>
      <c r="C1871" s="9" t="s">
        <v>667</v>
      </c>
      <c r="D1871" s="12">
        <v>-0.02</v>
      </c>
      <c r="E1871" s="12">
        <v>-9.1399999999999995E-2</v>
      </c>
      <c r="F1871" s="12">
        <v>-0.14899999999999999</v>
      </c>
      <c r="G1871" s="12">
        <v>-5.57E-2</v>
      </c>
      <c r="H1871" s="12">
        <v>-8.6800000000000002E-2</v>
      </c>
      <c r="I1871" s="12">
        <v>8.6800000000000002E-2</v>
      </c>
      <c r="J1871" s="9" t="s">
        <v>412</v>
      </c>
      <c r="K1871" s="9" t="s">
        <v>604</v>
      </c>
    </row>
    <row r="1872" spans="1:11" ht="28.8">
      <c r="A1872" s="9" t="s">
        <v>610</v>
      </c>
      <c r="B1872" s="9" t="s">
        <v>673</v>
      </c>
      <c r="C1872" s="9" t="s">
        <v>683</v>
      </c>
      <c r="D1872" s="12">
        <v>-8.1500000000000003E-2</v>
      </c>
      <c r="E1872" s="12">
        <v>-8.14E-2</v>
      </c>
      <c r="F1872" s="12">
        <v>-9.69E-2</v>
      </c>
      <c r="G1872" s="12">
        <v>-8.1449999999999995E-2</v>
      </c>
      <c r="H1872" s="12">
        <v>-8.6599999999999996E-2</v>
      </c>
      <c r="I1872" s="12">
        <v>8.6599999999999996E-2</v>
      </c>
      <c r="J1872" s="9" t="s">
        <v>412</v>
      </c>
      <c r="K1872" s="9" t="s">
        <v>604</v>
      </c>
    </row>
    <row r="1873" spans="1:11">
      <c r="A1873" s="9" t="s">
        <v>662</v>
      </c>
      <c r="B1873" s="9" t="s">
        <v>687</v>
      </c>
      <c r="C1873" s="9" t="s">
        <v>663</v>
      </c>
      <c r="D1873" s="12">
        <v>7.4700000000000003E-2</v>
      </c>
      <c r="E1873" s="12">
        <v>-5.4199999999999998E-2</v>
      </c>
      <c r="F1873" s="12">
        <v>0.13100000000000001</v>
      </c>
      <c r="G1873" s="12">
        <v>1.0250000000000002E-2</v>
      </c>
      <c r="H1873" s="12">
        <v>5.0500000000000003E-2</v>
      </c>
      <c r="I1873" s="12">
        <v>8.6599999999999996E-2</v>
      </c>
      <c r="J1873" s="9" t="s">
        <v>412</v>
      </c>
      <c r="K1873" s="9" t="s">
        <v>604</v>
      </c>
    </row>
    <row r="1874" spans="1:11" ht="28.8">
      <c r="A1874" s="9" t="s">
        <v>662</v>
      </c>
      <c r="B1874" s="9" t="s">
        <v>686</v>
      </c>
      <c r="C1874" s="9" t="s">
        <v>674</v>
      </c>
      <c r="D1874" s="12">
        <v>0.17680000000000001</v>
      </c>
      <c r="E1874" s="12">
        <v>6.7000000000000002E-3</v>
      </c>
      <c r="F1874" s="12">
        <v>7.6300000000000007E-2</v>
      </c>
      <c r="G1874" s="12">
        <v>9.1750000000000012E-2</v>
      </c>
      <c r="H1874" s="12">
        <v>8.6599999999999996E-2</v>
      </c>
      <c r="I1874" s="12">
        <v>8.6599999999999996E-2</v>
      </c>
      <c r="J1874" s="9" t="s">
        <v>412</v>
      </c>
      <c r="K1874" s="9" t="s">
        <v>654</v>
      </c>
    </row>
    <row r="1875" spans="1:11" ht="28.8">
      <c r="A1875" s="9" t="s">
        <v>679</v>
      </c>
      <c r="B1875" s="9" t="s">
        <v>602</v>
      </c>
      <c r="C1875" s="9" t="s">
        <v>666</v>
      </c>
      <c r="D1875" s="12">
        <v>-0.113</v>
      </c>
      <c r="E1875" s="12">
        <v>-2.3400000000000001E-2</v>
      </c>
      <c r="F1875" s="12">
        <v>0.12330000000000001</v>
      </c>
      <c r="G1875" s="12">
        <v>-6.8199999999999997E-2</v>
      </c>
      <c r="H1875" s="12">
        <v>-4.3E-3</v>
      </c>
      <c r="I1875" s="12">
        <v>8.6599999999999996E-2</v>
      </c>
      <c r="J1875" s="9" t="s">
        <v>412</v>
      </c>
      <c r="K1875" s="9" t="s">
        <v>604</v>
      </c>
    </row>
    <row r="1876" spans="1:11">
      <c r="A1876" s="9" t="s">
        <v>609</v>
      </c>
      <c r="B1876" s="9" t="s">
        <v>687</v>
      </c>
      <c r="C1876" s="9" t="s">
        <v>655</v>
      </c>
      <c r="D1876" s="12">
        <v>0.16819999999999999</v>
      </c>
      <c r="E1876" s="12">
        <v>-4.5400000000000003E-2</v>
      </c>
      <c r="F1876" s="12">
        <v>4.6100000000000002E-2</v>
      </c>
      <c r="G1876" s="12">
        <v>6.1399999999999996E-2</v>
      </c>
      <c r="H1876" s="12">
        <v>5.6300000000000003E-2</v>
      </c>
      <c r="I1876" s="12">
        <v>8.6599999999999996E-2</v>
      </c>
      <c r="J1876" s="9" t="s">
        <v>412</v>
      </c>
      <c r="K1876" s="9" t="s">
        <v>604</v>
      </c>
    </row>
    <row r="1877" spans="1:11" ht="28.8">
      <c r="A1877" s="9" t="s">
        <v>682</v>
      </c>
      <c r="B1877" s="9" t="s">
        <v>653</v>
      </c>
      <c r="C1877" s="9" t="s">
        <v>683</v>
      </c>
      <c r="D1877" s="12">
        <v>-8.5099999999999995E-2</v>
      </c>
      <c r="E1877" s="12">
        <v>-4.8099999999999997E-2</v>
      </c>
      <c r="F1877" s="12">
        <v>0.12620000000000001</v>
      </c>
      <c r="G1877" s="12">
        <v>-6.6599999999999993E-2</v>
      </c>
      <c r="H1877" s="12">
        <v>-2.3E-3</v>
      </c>
      <c r="I1877" s="12">
        <v>8.6499999999999994E-2</v>
      </c>
      <c r="J1877" s="9" t="s">
        <v>412</v>
      </c>
      <c r="K1877" s="9" t="s">
        <v>604</v>
      </c>
    </row>
    <row r="1878" spans="1:11" ht="28.8">
      <c r="A1878" s="9" t="s">
        <v>662</v>
      </c>
      <c r="B1878" s="9" t="s">
        <v>689</v>
      </c>
      <c r="C1878" s="9" t="s">
        <v>601</v>
      </c>
      <c r="D1878" s="12">
        <v>-0.1173</v>
      </c>
      <c r="E1878" s="12">
        <v>-8.6699999999999999E-2</v>
      </c>
      <c r="F1878" s="12">
        <v>5.5399999999999998E-2</v>
      </c>
      <c r="G1878" s="12">
        <v>-0.10200000000000001</v>
      </c>
      <c r="H1878" s="12">
        <v>-4.9599999999999998E-2</v>
      </c>
      <c r="I1878" s="12">
        <v>8.6499999999999994E-2</v>
      </c>
      <c r="J1878" s="9" t="s">
        <v>412</v>
      </c>
      <c r="K1878" s="9" t="s">
        <v>604</v>
      </c>
    </row>
    <row r="1879" spans="1:11" ht="28.8">
      <c r="A1879" s="9" t="s">
        <v>603</v>
      </c>
      <c r="B1879" s="9" t="s">
        <v>691</v>
      </c>
      <c r="C1879" s="9" t="s">
        <v>677</v>
      </c>
      <c r="D1879" s="12">
        <v>0.14069999999999999</v>
      </c>
      <c r="E1879" s="12">
        <v>3.3000000000000002E-2</v>
      </c>
      <c r="F1879" s="12">
        <v>8.5900000000000004E-2</v>
      </c>
      <c r="G1879" s="12">
        <v>8.6849999999999997E-2</v>
      </c>
      <c r="H1879" s="12">
        <v>8.6499999999999994E-2</v>
      </c>
      <c r="I1879" s="12">
        <v>8.6499999999999994E-2</v>
      </c>
      <c r="J1879" s="9" t="s">
        <v>412</v>
      </c>
      <c r="K1879" s="9" t="s">
        <v>654</v>
      </c>
    </row>
    <row r="1880" spans="1:11" ht="28.8">
      <c r="A1880" s="9" t="s">
        <v>682</v>
      </c>
      <c r="B1880" s="9" t="s">
        <v>680</v>
      </c>
      <c r="C1880" s="9" t="s">
        <v>690</v>
      </c>
      <c r="D1880" s="12">
        <v>-7.1099999999999997E-2</v>
      </c>
      <c r="E1880" s="12">
        <v>6.7000000000000004E-2</v>
      </c>
      <c r="F1880" s="12">
        <v>-0.12130000000000001</v>
      </c>
      <c r="G1880" s="12">
        <v>-2.0499999999999963E-3</v>
      </c>
      <c r="H1880" s="12">
        <v>-4.1799999999999997E-2</v>
      </c>
      <c r="I1880" s="12">
        <v>8.6400000000000005E-2</v>
      </c>
      <c r="J1880" s="9" t="s">
        <v>412</v>
      </c>
      <c r="K1880" s="9" t="s">
        <v>604</v>
      </c>
    </row>
    <row r="1881" spans="1:11" ht="28.8">
      <c r="A1881" s="9" t="s">
        <v>603</v>
      </c>
      <c r="B1881" s="9" t="s">
        <v>678</v>
      </c>
      <c r="C1881" s="9" t="s">
        <v>667</v>
      </c>
      <c r="D1881" s="12">
        <v>-6.3299999999999995E-2</v>
      </c>
      <c r="E1881" s="12">
        <v>0.17549999999999999</v>
      </c>
      <c r="F1881" s="12">
        <v>-2.01E-2</v>
      </c>
      <c r="G1881" s="12">
        <v>5.6099999999999997E-2</v>
      </c>
      <c r="H1881" s="12">
        <v>3.0700000000000002E-2</v>
      </c>
      <c r="I1881" s="12">
        <v>8.6300000000000002E-2</v>
      </c>
      <c r="J1881" s="9" t="s">
        <v>412</v>
      </c>
      <c r="K1881" s="9" t="s">
        <v>604</v>
      </c>
    </row>
    <row r="1882" spans="1:11" ht="28.8">
      <c r="A1882" s="9" t="s">
        <v>682</v>
      </c>
      <c r="B1882" s="9" t="s">
        <v>602</v>
      </c>
      <c r="C1882" s="9" t="s">
        <v>675</v>
      </c>
      <c r="D1882" s="12">
        <v>0.06</v>
      </c>
      <c r="E1882" s="12">
        <v>9.5699999999999993E-2</v>
      </c>
      <c r="F1882" s="12">
        <v>0.1032</v>
      </c>
      <c r="G1882" s="12">
        <v>7.7850000000000003E-2</v>
      </c>
      <c r="H1882" s="12">
        <v>8.6300000000000002E-2</v>
      </c>
      <c r="I1882" s="12">
        <v>8.6300000000000002E-2</v>
      </c>
      <c r="J1882" s="9" t="s">
        <v>412</v>
      </c>
      <c r="K1882" s="9" t="s">
        <v>654</v>
      </c>
    </row>
    <row r="1883" spans="1:11" ht="28.8">
      <c r="A1883" s="9" t="s">
        <v>610</v>
      </c>
      <c r="B1883" s="9" t="s">
        <v>678</v>
      </c>
      <c r="C1883" s="9" t="s">
        <v>666</v>
      </c>
      <c r="D1883" s="12">
        <v>9.5000000000000001E-2</v>
      </c>
      <c r="E1883" s="12">
        <v>3.4000000000000002E-2</v>
      </c>
      <c r="F1883" s="12">
        <v>-0.12959999999999999</v>
      </c>
      <c r="G1883" s="12">
        <v>6.4500000000000002E-2</v>
      </c>
      <c r="H1883" s="12">
        <v>-2.0000000000000001E-4</v>
      </c>
      <c r="I1883" s="12">
        <v>8.6199999999999999E-2</v>
      </c>
      <c r="J1883" s="9" t="s">
        <v>412</v>
      </c>
      <c r="K1883" s="9" t="s">
        <v>604</v>
      </c>
    </row>
    <row r="1884" spans="1:11" ht="28.8">
      <c r="A1884" s="9" t="s">
        <v>679</v>
      </c>
      <c r="B1884" s="9" t="s">
        <v>678</v>
      </c>
      <c r="C1884" s="9" t="s">
        <v>664</v>
      </c>
      <c r="D1884" s="12">
        <v>0.1353</v>
      </c>
      <c r="E1884" s="12">
        <v>-9.2299999999999993E-2</v>
      </c>
      <c r="F1884" s="12">
        <v>3.1E-2</v>
      </c>
      <c r="G1884" s="12">
        <v>2.1500000000000005E-2</v>
      </c>
      <c r="H1884" s="12">
        <v>2.47E-2</v>
      </c>
      <c r="I1884" s="12">
        <v>8.6199999999999999E-2</v>
      </c>
      <c r="J1884" s="9" t="s">
        <v>412</v>
      </c>
      <c r="K1884" s="9" t="s">
        <v>604</v>
      </c>
    </row>
    <row r="1885" spans="1:11" ht="28.8">
      <c r="A1885" s="9" t="s">
        <v>610</v>
      </c>
      <c r="B1885" s="9" t="s">
        <v>689</v>
      </c>
      <c r="C1885" s="9" t="s">
        <v>677</v>
      </c>
      <c r="D1885" s="12">
        <v>0.10100000000000001</v>
      </c>
      <c r="E1885" s="12">
        <v>-1.21E-2</v>
      </c>
      <c r="F1885" s="12">
        <v>-0.14460000000000001</v>
      </c>
      <c r="G1885" s="12">
        <v>4.4450000000000003E-2</v>
      </c>
      <c r="H1885" s="12">
        <v>-1.8599999999999998E-2</v>
      </c>
      <c r="I1885" s="12">
        <v>8.5900000000000004E-2</v>
      </c>
      <c r="J1885" s="9" t="s">
        <v>412</v>
      </c>
      <c r="K1885" s="9" t="s">
        <v>604</v>
      </c>
    </row>
    <row r="1886" spans="1:11" ht="28.8">
      <c r="A1886" s="9" t="s">
        <v>661</v>
      </c>
      <c r="B1886" s="9" t="s">
        <v>686</v>
      </c>
      <c r="C1886" s="9" t="s">
        <v>677</v>
      </c>
      <c r="D1886" s="12">
        <v>2.5700000000000001E-2</v>
      </c>
      <c r="E1886" s="12">
        <v>0.111</v>
      </c>
      <c r="F1886" s="12">
        <v>0.1203</v>
      </c>
      <c r="G1886" s="12">
        <v>6.8349999999999994E-2</v>
      </c>
      <c r="H1886" s="12">
        <v>8.5699999999999998E-2</v>
      </c>
      <c r="I1886" s="12">
        <v>8.5699999999999998E-2</v>
      </c>
      <c r="J1886" s="9" t="s">
        <v>412</v>
      </c>
      <c r="K1886" s="9" t="s">
        <v>654</v>
      </c>
    </row>
    <row r="1887" spans="1:11">
      <c r="A1887" s="9" t="s">
        <v>682</v>
      </c>
      <c r="B1887" s="9" t="s">
        <v>684</v>
      </c>
      <c r="C1887" s="9" t="s">
        <v>655</v>
      </c>
      <c r="D1887" s="12">
        <v>7.3099999999999998E-2</v>
      </c>
      <c r="E1887" s="12">
        <v>-0.1031</v>
      </c>
      <c r="F1887" s="12">
        <v>8.1100000000000005E-2</v>
      </c>
      <c r="G1887" s="12">
        <v>-1.4999999999999999E-2</v>
      </c>
      <c r="H1887" s="12">
        <v>1.7000000000000001E-2</v>
      </c>
      <c r="I1887" s="12">
        <v>8.5699999999999998E-2</v>
      </c>
      <c r="J1887" s="9" t="s">
        <v>412</v>
      </c>
      <c r="K1887" s="9" t="s">
        <v>604</v>
      </c>
    </row>
    <row r="1888" spans="1:11" ht="28.8">
      <c r="A1888" s="9" t="s">
        <v>609</v>
      </c>
      <c r="B1888" s="9" t="s">
        <v>665</v>
      </c>
      <c r="C1888" s="9" t="s">
        <v>690</v>
      </c>
      <c r="D1888" s="12">
        <v>4.9799999999999997E-2</v>
      </c>
      <c r="E1888" s="12">
        <v>-0.11310000000000001</v>
      </c>
      <c r="F1888" s="12">
        <v>-9.3799999999999994E-2</v>
      </c>
      <c r="G1888" s="12">
        <v>-3.1650000000000005E-2</v>
      </c>
      <c r="H1888" s="12">
        <v>-5.2400000000000002E-2</v>
      </c>
      <c r="I1888" s="12">
        <v>8.5599999999999996E-2</v>
      </c>
      <c r="J1888" s="9" t="s">
        <v>412</v>
      </c>
      <c r="K1888" s="9" t="s">
        <v>604</v>
      </c>
    </row>
    <row r="1889" spans="1:11" ht="28.8">
      <c r="A1889" s="9" t="s">
        <v>661</v>
      </c>
      <c r="B1889" s="9" t="s">
        <v>691</v>
      </c>
      <c r="C1889" s="9" t="s">
        <v>675</v>
      </c>
      <c r="D1889" s="12">
        <v>0.14380000000000001</v>
      </c>
      <c r="E1889" s="12">
        <v>4.9000000000000002E-2</v>
      </c>
      <c r="F1889" s="12">
        <v>-6.3600000000000004E-2</v>
      </c>
      <c r="G1889" s="12">
        <v>9.6400000000000013E-2</v>
      </c>
      <c r="H1889" s="12">
        <v>4.2999999999999997E-2</v>
      </c>
      <c r="I1889" s="12">
        <v>8.5500000000000007E-2</v>
      </c>
      <c r="J1889" s="9" t="s">
        <v>412</v>
      </c>
      <c r="K1889" s="9" t="s">
        <v>604</v>
      </c>
    </row>
    <row r="1890" spans="1:11" ht="28.8">
      <c r="A1890" s="9" t="s">
        <v>679</v>
      </c>
      <c r="B1890" s="9" t="s">
        <v>602</v>
      </c>
      <c r="C1890" s="9" t="s">
        <v>663</v>
      </c>
      <c r="D1890" s="12">
        <v>0.13450000000000001</v>
      </c>
      <c r="E1890" s="12">
        <v>-2.3400000000000001E-2</v>
      </c>
      <c r="F1890" s="12">
        <v>9.8400000000000001E-2</v>
      </c>
      <c r="G1890" s="12">
        <v>5.5550000000000002E-2</v>
      </c>
      <c r="H1890" s="12">
        <v>6.9800000000000001E-2</v>
      </c>
      <c r="I1890" s="12">
        <v>8.5400000000000004E-2</v>
      </c>
      <c r="J1890" s="9" t="s">
        <v>412</v>
      </c>
      <c r="K1890" s="9" t="s">
        <v>604</v>
      </c>
    </row>
    <row r="1891" spans="1:11" ht="28.8">
      <c r="A1891" s="9" t="s">
        <v>609</v>
      </c>
      <c r="B1891" s="9" t="s">
        <v>687</v>
      </c>
      <c r="C1891" s="9" t="s">
        <v>666</v>
      </c>
      <c r="D1891" s="12">
        <v>-7.7700000000000005E-2</v>
      </c>
      <c r="E1891" s="12">
        <v>-4.5400000000000003E-2</v>
      </c>
      <c r="F1891" s="12">
        <v>0.1331</v>
      </c>
      <c r="G1891" s="12">
        <v>-6.1550000000000007E-2</v>
      </c>
      <c r="H1891" s="12">
        <v>3.3E-3</v>
      </c>
      <c r="I1891" s="12">
        <v>8.5400000000000004E-2</v>
      </c>
      <c r="J1891" s="9" t="s">
        <v>412</v>
      </c>
      <c r="K1891" s="9" t="s">
        <v>604</v>
      </c>
    </row>
    <row r="1892" spans="1:11" ht="28.8">
      <c r="A1892" s="9" t="s">
        <v>610</v>
      </c>
      <c r="B1892" s="9" t="s">
        <v>668</v>
      </c>
      <c r="C1892" s="9" t="s">
        <v>666</v>
      </c>
      <c r="D1892" s="12">
        <v>9.5000000000000001E-2</v>
      </c>
      <c r="E1892" s="12">
        <v>-9.64E-2</v>
      </c>
      <c r="F1892" s="12">
        <v>-6.4299999999999996E-2</v>
      </c>
      <c r="G1892" s="12">
        <v>-6.9999999999999923E-4</v>
      </c>
      <c r="H1892" s="12">
        <v>-2.1899999999999999E-2</v>
      </c>
      <c r="I1892" s="12">
        <v>8.5199999999999998E-2</v>
      </c>
      <c r="J1892" s="9" t="s">
        <v>412</v>
      </c>
      <c r="K1892" s="9" t="s">
        <v>604</v>
      </c>
    </row>
    <row r="1893" spans="1:11" ht="28.8">
      <c r="A1893" s="9" t="s">
        <v>661</v>
      </c>
      <c r="B1893" s="9" t="s">
        <v>686</v>
      </c>
      <c r="C1893" s="9" t="s">
        <v>674</v>
      </c>
      <c r="D1893" s="12">
        <v>6.8199999999999997E-2</v>
      </c>
      <c r="E1893" s="12">
        <v>0.111</v>
      </c>
      <c r="F1893" s="12">
        <v>7.6300000000000007E-2</v>
      </c>
      <c r="G1893" s="12">
        <v>8.9599999999999999E-2</v>
      </c>
      <c r="H1893" s="12">
        <v>8.5199999999999998E-2</v>
      </c>
      <c r="I1893" s="12">
        <v>8.5199999999999998E-2</v>
      </c>
      <c r="J1893" s="9" t="s">
        <v>412</v>
      </c>
      <c r="K1893" s="9" t="s">
        <v>654</v>
      </c>
    </row>
    <row r="1894" spans="1:11">
      <c r="A1894" s="9" t="s">
        <v>609</v>
      </c>
      <c r="B1894" s="9" t="s">
        <v>688</v>
      </c>
      <c r="C1894" s="9" t="s">
        <v>655</v>
      </c>
      <c r="D1894" s="12">
        <v>0.16819999999999999</v>
      </c>
      <c r="E1894" s="12">
        <v>6.3E-3</v>
      </c>
      <c r="F1894" s="12">
        <v>8.09E-2</v>
      </c>
      <c r="G1894" s="12">
        <v>8.7249999999999994E-2</v>
      </c>
      <c r="H1894" s="12">
        <v>8.5099999999999995E-2</v>
      </c>
      <c r="I1894" s="12">
        <v>8.5099999999999995E-2</v>
      </c>
      <c r="J1894" s="9" t="s">
        <v>412</v>
      </c>
      <c r="K1894" s="9" t="s">
        <v>654</v>
      </c>
    </row>
    <row r="1895" spans="1:11" ht="28.8">
      <c r="A1895" s="9" t="s">
        <v>610</v>
      </c>
      <c r="B1895" s="9" t="s">
        <v>672</v>
      </c>
      <c r="C1895" s="9" t="s">
        <v>664</v>
      </c>
      <c r="D1895" s="12">
        <v>-9.1300000000000006E-2</v>
      </c>
      <c r="E1895" s="12">
        <v>7.0999999999999994E-2</v>
      </c>
      <c r="F1895" s="12">
        <v>-9.2899999999999996E-2</v>
      </c>
      <c r="G1895" s="12">
        <v>-1.0150000000000006E-2</v>
      </c>
      <c r="H1895" s="12">
        <v>-3.7699999999999997E-2</v>
      </c>
      <c r="I1895" s="12">
        <v>8.5099999999999995E-2</v>
      </c>
      <c r="J1895" s="9" t="s">
        <v>412</v>
      </c>
      <c r="K1895" s="9" t="s">
        <v>604</v>
      </c>
    </row>
    <row r="1896" spans="1:11" ht="28.8">
      <c r="A1896" s="9" t="s">
        <v>610</v>
      </c>
      <c r="B1896" s="9" t="s">
        <v>668</v>
      </c>
      <c r="C1896" s="9" t="s">
        <v>664</v>
      </c>
      <c r="D1896" s="12">
        <v>-9.1300000000000006E-2</v>
      </c>
      <c r="E1896" s="12">
        <v>-9.64E-2</v>
      </c>
      <c r="F1896" s="12">
        <v>6.7799999999999999E-2</v>
      </c>
      <c r="G1896" s="12">
        <v>-9.3850000000000003E-2</v>
      </c>
      <c r="H1896" s="12">
        <v>-0.04</v>
      </c>
      <c r="I1896" s="12">
        <v>8.5099999999999995E-2</v>
      </c>
      <c r="J1896" s="9" t="s">
        <v>412</v>
      </c>
      <c r="K1896" s="9" t="s">
        <v>604</v>
      </c>
    </row>
    <row r="1897" spans="1:11">
      <c r="A1897" s="9" t="s">
        <v>610</v>
      </c>
      <c r="B1897" s="9" t="s">
        <v>676</v>
      </c>
      <c r="C1897" s="9" t="s">
        <v>667</v>
      </c>
      <c r="D1897" s="12">
        <v>6.1800000000000001E-2</v>
      </c>
      <c r="E1897" s="12">
        <v>8.2799999999999999E-2</v>
      </c>
      <c r="F1897" s="12">
        <v>0.1105</v>
      </c>
      <c r="G1897" s="12">
        <v>7.2300000000000003E-2</v>
      </c>
      <c r="H1897" s="12">
        <v>8.5000000000000006E-2</v>
      </c>
      <c r="I1897" s="12">
        <v>8.5000000000000006E-2</v>
      </c>
      <c r="J1897" s="9" t="s">
        <v>412</v>
      </c>
      <c r="K1897" s="9" t="s">
        <v>654</v>
      </c>
    </row>
    <row r="1898" spans="1:11" ht="28.8">
      <c r="A1898" s="9" t="s">
        <v>603</v>
      </c>
      <c r="B1898" s="9" t="s">
        <v>689</v>
      </c>
      <c r="C1898" s="9" t="s">
        <v>674</v>
      </c>
      <c r="D1898" s="12">
        <v>-0.1212</v>
      </c>
      <c r="E1898" s="12">
        <v>2.1399999999999999E-2</v>
      </c>
      <c r="F1898" s="12">
        <v>0.112</v>
      </c>
      <c r="G1898" s="12">
        <v>-4.99E-2</v>
      </c>
      <c r="H1898" s="12">
        <v>4.1000000000000003E-3</v>
      </c>
      <c r="I1898" s="12">
        <v>8.4900000000000003E-2</v>
      </c>
      <c r="J1898" s="9" t="s">
        <v>412</v>
      </c>
      <c r="K1898" s="9" t="s">
        <v>604</v>
      </c>
    </row>
    <row r="1899" spans="1:11">
      <c r="A1899" s="9" t="s">
        <v>682</v>
      </c>
      <c r="B1899" s="9" t="s">
        <v>672</v>
      </c>
      <c r="C1899" s="9" t="s">
        <v>659</v>
      </c>
      <c r="D1899" s="12">
        <v>0.1188</v>
      </c>
      <c r="E1899" s="12">
        <v>-2.86E-2</v>
      </c>
      <c r="F1899" s="12">
        <v>-0.10730000000000001</v>
      </c>
      <c r="G1899" s="12">
        <v>4.5100000000000001E-2</v>
      </c>
      <c r="H1899" s="12">
        <v>-5.7000000000000002E-3</v>
      </c>
      <c r="I1899" s="12">
        <v>8.4900000000000003E-2</v>
      </c>
      <c r="J1899" s="9" t="s">
        <v>412</v>
      </c>
      <c r="K1899" s="9" t="s">
        <v>604</v>
      </c>
    </row>
    <row r="1900" spans="1:11" ht="28.8">
      <c r="A1900" s="9" t="s">
        <v>662</v>
      </c>
      <c r="B1900" s="9" t="s">
        <v>669</v>
      </c>
      <c r="C1900" s="9" t="s">
        <v>683</v>
      </c>
      <c r="D1900" s="12">
        <v>-6.0100000000000001E-2</v>
      </c>
      <c r="E1900" s="12">
        <v>0.1298</v>
      </c>
      <c r="F1900" s="12">
        <v>6.4799999999999996E-2</v>
      </c>
      <c r="G1900" s="12">
        <v>3.4849999999999999E-2</v>
      </c>
      <c r="H1900" s="12">
        <v>4.48E-2</v>
      </c>
      <c r="I1900" s="12">
        <v>8.4900000000000003E-2</v>
      </c>
      <c r="J1900" s="9" t="s">
        <v>412</v>
      </c>
      <c r="K1900" s="9" t="s">
        <v>604</v>
      </c>
    </row>
    <row r="1901" spans="1:11" ht="28.8">
      <c r="A1901" s="9" t="s">
        <v>610</v>
      </c>
      <c r="B1901" s="9" t="s">
        <v>653</v>
      </c>
      <c r="C1901" s="9" t="s">
        <v>664</v>
      </c>
      <c r="D1901" s="12">
        <v>-9.1300000000000006E-2</v>
      </c>
      <c r="E1901" s="12">
        <v>-1.9800000000000002E-2</v>
      </c>
      <c r="F1901" s="12">
        <v>0.14360000000000001</v>
      </c>
      <c r="G1901" s="12">
        <v>-5.5550000000000002E-2</v>
      </c>
      <c r="H1901" s="12">
        <v>1.09E-2</v>
      </c>
      <c r="I1901" s="12">
        <v>8.4900000000000003E-2</v>
      </c>
      <c r="J1901" s="9" t="s">
        <v>412</v>
      </c>
      <c r="K1901" s="9" t="s">
        <v>604</v>
      </c>
    </row>
    <row r="1902" spans="1:11" ht="28.8">
      <c r="A1902" s="9" t="s">
        <v>610</v>
      </c>
      <c r="B1902" s="9" t="s">
        <v>602</v>
      </c>
      <c r="C1902" s="9" t="s">
        <v>690</v>
      </c>
      <c r="D1902" s="12">
        <v>-5.8599999999999999E-2</v>
      </c>
      <c r="E1902" s="12">
        <v>-0.19400000000000001</v>
      </c>
      <c r="F1902" s="12">
        <v>1.9E-3</v>
      </c>
      <c r="G1902" s="12">
        <v>-0.1263</v>
      </c>
      <c r="H1902" s="12">
        <v>-8.3599999999999994E-2</v>
      </c>
      <c r="I1902" s="12">
        <v>8.48E-2</v>
      </c>
      <c r="J1902" s="9" t="s">
        <v>412</v>
      </c>
      <c r="K1902" s="9" t="s">
        <v>604</v>
      </c>
    </row>
    <row r="1903" spans="1:11">
      <c r="A1903" s="9" t="s">
        <v>662</v>
      </c>
      <c r="B1903" s="9" t="s">
        <v>687</v>
      </c>
      <c r="C1903" s="9" t="s">
        <v>667</v>
      </c>
      <c r="D1903" s="12">
        <v>0.12540000000000001</v>
      </c>
      <c r="E1903" s="12">
        <v>-5.4199999999999998E-2</v>
      </c>
      <c r="F1903" s="12">
        <v>-7.4800000000000005E-2</v>
      </c>
      <c r="G1903" s="12">
        <v>3.5600000000000007E-2</v>
      </c>
      <c r="H1903" s="12">
        <v>-1.1999999999999999E-3</v>
      </c>
      <c r="I1903" s="12">
        <v>8.48E-2</v>
      </c>
      <c r="J1903" s="9" t="s">
        <v>412</v>
      </c>
      <c r="K1903" s="9" t="s">
        <v>604</v>
      </c>
    </row>
    <row r="1904" spans="1:11" ht="28.8">
      <c r="A1904" s="9" t="s">
        <v>609</v>
      </c>
      <c r="B1904" s="9" t="s">
        <v>691</v>
      </c>
      <c r="C1904" s="9" t="s">
        <v>666</v>
      </c>
      <c r="D1904" s="12">
        <v>-7.7700000000000005E-2</v>
      </c>
      <c r="E1904" s="12">
        <v>4.9399999999999999E-2</v>
      </c>
      <c r="F1904" s="12">
        <v>0.12740000000000001</v>
      </c>
      <c r="G1904" s="12">
        <v>-1.4150000000000003E-2</v>
      </c>
      <c r="H1904" s="12">
        <v>3.3000000000000002E-2</v>
      </c>
      <c r="I1904" s="12">
        <v>8.48E-2</v>
      </c>
      <c r="J1904" s="9" t="s">
        <v>412</v>
      </c>
      <c r="K1904" s="9" t="s">
        <v>604</v>
      </c>
    </row>
    <row r="1905" spans="1:11" ht="28.8">
      <c r="A1905" s="9" t="s">
        <v>661</v>
      </c>
      <c r="B1905" s="9" t="s">
        <v>673</v>
      </c>
      <c r="C1905" s="9" t="s">
        <v>664</v>
      </c>
      <c r="D1905" s="12">
        <v>-2.4199999999999999E-2</v>
      </c>
      <c r="E1905" s="12">
        <v>-0.12659999999999999</v>
      </c>
      <c r="F1905" s="12">
        <v>-0.10340000000000001</v>
      </c>
      <c r="G1905" s="12">
        <v>-7.5399999999999995E-2</v>
      </c>
      <c r="H1905" s="12">
        <v>-8.4699999999999998E-2</v>
      </c>
      <c r="I1905" s="12">
        <v>8.4699999999999998E-2</v>
      </c>
      <c r="J1905" s="9" t="s">
        <v>412</v>
      </c>
      <c r="K1905" s="9" t="s">
        <v>604</v>
      </c>
    </row>
    <row r="1906" spans="1:11">
      <c r="A1906" s="9" t="s">
        <v>662</v>
      </c>
      <c r="B1906" s="9" t="s">
        <v>672</v>
      </c>
      <c r="C1906" s="9" t="s">
        <v>655</v>
      </c>
      <c r="D1906" s="12">
        <v>5.6899999999999999E-2</v>
      </c>
      <c r="E1906" s="12">
        <v>1.0999999999999999E-2</v>
      </c>
      <c r="F1906" s="12">
        <v>0.1862</v>
      </c>
      <c r="G1906" s="12">
        <v>3.3950000000000001E-2</v>
      </c>
      <c r="H1906" s="12">
        <v>8.4699999999999998E-2</v>
      </c>
      <c r="I1906" s="12">
        <v>8.4699999999999998E-2</v>
      </c>
      <c r="J1906" s="9" t="s">
        <v>412</v>
      </c>
      <c r="K1906" s="9" t="s">
        <v>654</v>
      </c>
    </row>
    <row r="1907" spans="1:11" ht="28.8">
      <c r="A1907" s="9" t="s">
        <v>661</v>
      </c>
      <c r="B1907" s="9" t="s">
        <v>613</v>
      </c>
      <c r="C1907" s="9" t="s">
        <v>675</v>
      </c>
      <c r="D1907" s="12">
        <v>0.14380000000000001</v>
      </c>
      <c r="E1907" s="12">
        <v>3.3000000000000002E-2</v>
      </c>
      <c r="F1907" s="12">
        <v>7.7100000000000002E-2</v>
      </c>
      <c r="G1907" s="12">
        <v>8.8400000000000006E-2</v>
      </c>
      <c r="H1907" s="12">
        <v>8.4599999999999995E-2</v>
      </c>
      <c r="I1907" s="12">
        <v>8.4599999999999995E-2</v>
      </c>
      <c r="J1907" s="9" t="s">
        <v>412</v>
      </c>
      <c r="K1907" s="9" t="s">
        <v>654</v>
      </c>
    </row>
    <row r="1908" spans="1:11">
      <c r="A1908" s="9" t="s">
        <v>682</v>
      </c>
      <c r="B1908" s="9" t="s">
        <v>687</v>
      </c>
      <c r="C1908" s="9" t="s">
        <v>655</v>
      </c>
      <c r="D1908" s="12">
        <v>7.3099999999999998E-2</v>
      </c>
      <c r="E1908" s="12">
        <v>0.13450000000000001</v>
      </c>
      <c r="F1908" s="12">
        <v>4.6100000000000002E-2</v>
      </c>
      <c r="G1908" s="12">
        <v>0.1038</v>
      </c>
      <c r="H1908" s="12">
        <v>8.4599999999999995E-2</v>
      </c>
      <c r="I1908" s="12">
        <v>8.4599999999999995E-2</v>
      </c>
      <c r="J1908" s="9" t="s">
        <v>412</v>
      </c>
      <c r="K1908" s="9" t="s">
        <v>654</v>
      </c>
    </row>
    <row r="1909" spans="1:11" ht="28.8">
      <c r="A1909" s="9" t="s">
        <v>679</v>
      </c>
      <c r="B1909" s="9" t="s">
        <v>691</v>
      </c>
      <c r="C1909" s="9" t="s">
        <v>690</v>
      </c>
      <c r="D1909" s="12">
        <v>-6.6900000000000001E-2</v>
      </c>
      <c r="E1909" s="12">
        <v>-0.1757</v>
      </c>
      <c r="F1909" s="12">
        <v>1.0800000000000001E-2</v>
      </c>
      <c r="G1909" s="12">
        <v>-0.12129999999999999</v>
      </c>
      <c r="H1909" s="12">
        <v>-7.7299999999999994E-2</v>
      </c>
      <c r="I1909" s="12">
        <v>8.4500000000000006E-2</v>
      </c>
      <c r="J1909" s="9" t="s">
        <v>412</v>
      </c>
      <c r="K1909" s="9" t="s">
        <v>604</v>
      </c>
    </row>
    <row r="1910" spans="1:11">
      <c r="A1910" s="9" t="s">
        <v>662</v>
      </c>
      <c r="B1910" s="9" t="s">
        <v>678</v>
      </c>
      <c r="C1910" s="9" t="s">
        <v>663</v>
      </c>
      <c r="D1910" s="12">
        <v>7.4700000000000003E-2</v>
      </c>
      <c r="E1910" s="12">
        <v>-6.4199999999999993E-2</v>
      </c>
      <c r="F1910" s="12">
        <v>-0.1142</v>
      </c>
      <c r="G1910" s="12">
        <v>5.2500000000000047E-3</v>
      </c>
      <c r="H1910" s="12">
        <v>-3.4500000000000003E-2</v>
      </c>
      <c r="I1910" s="12">
        <v>8.4400000000000003E-2</v>
      </c>
      <c r="J1910" s="9" t="s">
        <v>412</v>
      </c>
      <c r="K1910" s="9" t="s">
        <v>604</v>
      </c>
    </row>
    <row r="1911" spans="1:11" ht="28.8">
      <c r="A1911" s="9" t="s">
        <v>682</v>
      </c>
      <c r="B1911" s="9" t="s">
        <v>687</v>
      </c>
      <c r="C1911" s="9" t="s">
        <v>664</v>
      </c>
      <c r="D1911" s="12">
        <v>-0.08</v>
      </c>
      <c r="E1911" s="12">
        <v>0.13450000000000001</v>
      </c>
      <c r="F1911" s="12">
        <v>-3.8100000000000002E-2</v>
      </c>
      <c r="G1911" s="12">
        <v>2.7250000000000003E-2</v>
      </c>
      <c r="H1911" s="12">
        <v>5.4999999999999997E-3</v>
      </c>
      <c r="I1911" s="12">
        <v>8.4199999999999997E-2</v>
      </c>
      <c r="J1911" s="9" t="s">
        <v>412</v>
      </c>
      <c r="K1911" s="9" t="s">
        <v>604</v>
      </c>
    </row>
    <row r="1912" spans="1:11" ht="28.8">
      <c r="A1912" s="9" t="s">
        <v>609</v>
      </c>
      <c r="B1912" s="9" t="s">
        <v>689</v>
      </c>
      <c r="C1912" s="9" t="s">
        <v>677</v>
      </c>
      <c r="D1912" s="12">
        <v>-6.1400000000000003E-2</v>
      </c>
      <c r="E1912" s="12">
        <v>-4.6100000000000002E-2</v>
      </c>
      <c r="F1912" s="12">
        <v>-0.14460000000000001</v>
      </c>
      <c r="G1912" s="12">
        <v>-5.3750000000000006E-2</v>
      </c>
      <c r="H1912" s="12">
        <v>-8.4000000000000005E-2</v>
      </c>
      <c r="I1912" s="12">
        <v>8.4000000000000005E-2</v>
      </c>
      <c r="J1912" s="9" t="s">
        <v>412</v>
      </c>
      <c r="K1912" s="9" t="s">
        <v>604</v>
      </c>
    </row>
    <row r="1913" spans="1:11" ht="28.8">
      <c r="A1913" s="9" t="s">
        <v>610</v>
      </c>
      <c r="B1913" s="9" t="s">
        <v>660</v>
      </c>
      <c r="C1913" s="9" t="s">
        <v>664</v>
      </c>
      <c r="D1913" s="12">
        <v>-9.1300000000000006E-2</v>
      </c>
      <c r="E1913" s="12">
        <v>-3.2599999999999997E-2</v>
      </c>
      <c r="F1913" s="12">
        <v>0.128</v>
      </c>
      <c r="G1913" s="12">
        <v>-6.1950000000000005E-2</v>
      </c>
      <c r="H1913" s="12">
        <v>1.4E-3</v>
      </c>
      <c r="I1913" s="12">
        <v>8.3900000000000002E-2</v>
      </c>
      <c r="J1913" s="9" t="s">
        <v>412</v>
      </c>
      <c r="K1913" s="9" t="s">
        <v>604</v>
      </c>
    </row>
    <row r="1914" spans="1:11" ht="28.8">
      <c r="A1914" s="9" t="s">
        <v>671</v>
      </c>
      <c r="B1914" s="9" t="s">
        <v>680</v>
      </c>
      <c r="C1914" s="9" t="s">
        <v>664</v>
      </c>
      <c r="D1914" s="12">
        <v>-9.0800000000000006E-2</v>
      </c>
      <c r="E1914" s="12">
        <v>-1.24E-2</v>
      </c>
      <c r="F1914" s="12">
        <v>0.14829999999999999</v>
      </c>
      <c r="G1914" s="12">
        <v>-5.16E-2</v>
      </c>
      <c r="H1914" s="12">
        <v>1.4999999999999999E-2</v>
      </c>
      <c r="I1914" s="12">
        <v>8.3799999999999999E-2</v>
      </c>
      <c r="J1914" s="9" t="s">
        <v>412</v>
      </c>
      <c r="K1914" s="9" t="s">
        <v>604</v>
      </c>
    </row>
    <row r="1915" spans="1:11" ht="28.8">
      <c r="A1915" s="9" t="s">
        <v>671</v>
      </c>
      <c r="B1915" s="9" t="s">
        <v>680</v>
      </c>
      <c r="C1915" s="9" t="s">
        <v>659</v>
      </c>
      <c r="D1915" s="12">
        <v>0.13159999999999999</v>
      </c>
      <c r="E1915" s="12">
        <v>-1.24E-2</v>
      </c>
      <c r="F1915" s="12">
        <v>-0.1074</v>
      </c>
      <c r="G1915" s="12">
        <v>5.96E-2</v>
      </c>
      <c r="H1915" s="12">
        <v>3.8999999999999998E-3</v>
      </c>
      <c r="I1915" s="12">
        <v>8.3799999999999999E-2</v>
      </c>
      <c r="J1915" s="9" t="s">
        <v>412</v>
      </c>
      <c r="K1915" s="9" t="s">
        <v>604</v>
      </c>
    </row>
    <row r="1916" spans="1:11" ht="28.8">
      <c r="A1916" s="9" t="s">
        <v>609</v>
      </c>
      <c r="B1916" s="9" t="s">
        <v>685</v>
      </c>
      <c r="C1916" s="9" t="s">
        <v>683</v>
      </c>
      <c r="D1916" s="12">
        <v>-0.105</v>
      </c>
      <c r="E1916" s="12">
        <v>3.8399999999999997E-2</v>
      </c>
      <c r="F1916" s="12">
        <v>0.108</v>
      </c>
      <c r="G1916" s="12">
        <v>-3.3299999999999996E-2</v>
      </c>
      <c r="H1916" s="12">
        <v>1.38E-2</v>
      </c>
      <c r="I1916" s="12">
        <v>8.3799999999999999E-2</v>
      </c>
      <c r="J1916" s="9" t="s">
        <v>412</v>
      </c>
      <c r="K1916" s="9" t="s">
        <v>604</v>
      </c>
    </row>
    <row r="1917" spans="1:11" ht="28.8">
      <c r="A1917" s="9" t="s">
        <v>671</v>
      </c>
      <c r="B1917" s="9" t="s">
        <v>689</v>
      </c>
      <c r="C1917" s="9" t="s">
        <v>664</v>
      </c>
      <c r="D1917" s="12">
        <v>-9.0800000000000006E-2</v>
      </c>
      <c r="E1917" s="12">
        <v>-0.12859999999999999</v>
      </c>
      <c r="F1917" s="12">
        <v>3.1800000000000002E-2</v>
      </c>
      <c r="G1917" s="12">
        <v>-0.10969999999999999</v>
      </c>
      <c r="H1917" s="12">
        <v>-6.25E-2</v>
      </c>
      <c r="I1917" s="12">
        <v>8.3699999999999997E-2</v>
      </c>
      <c r="J1917" s="9" t="s">
        <v>412</v>
      </c>
      <c r="K1917" s="9" t="s">
        <v>604</v>
      </c>
    </row>
    <row r="1918" spans="1:11" ht="28.8">
      <c r="A1918" s="9" t="s">
        <v>661</v>
      </c>
      <c r="B1918" s="9" t="s">
        <v>685</v>
      </c>
      <c r="C1918" s="9" t="s">
        <v>659</v>
      </c>
      <c r="D1918" s="12">
        <v>4.3499999999999997E-2</v>
      </c>
      <c r="E1918" s="12">
        <v>0.18970000000000001</v>
      </c>
      <c r="F1918" s="12">
        <v>-1.7899999999999999E-2</v>
      </c>
      <c r="G1918" s="12">
        <v>0.11660000000000001</v>
      </c>
      <c r="H1918" s="12">
        <v>7.1800000000000003E-2</v>
      </c>
      <c r="I1918" s="12">
        <v>8.3699999999999997E-2</v>
      </c>
      <c r="J1918" s="9" t="s">
        <v>412</v>
      </c>
      <c r="K1918" s="9" t="s">
        <v>604</v>
      </c>
    </row>
    <row r="1919" spans="1:11" ht="28.8">
      <c r="A1919" s="9" t="s">
        <v>682</v>
      </c>
      <c r="B1919" s="9" t="s">
        <v>660</v>
      </c>
      <c r="C1919" s="9" t="s">
        <v>690</v>
      </c>
      <c r="D1919" s="12">
        <v>-7.1099999999999997E-2</v>
      </c>
      <c r="E1919" s="12">
        <v>-9.1399999999999995E-2</v>
      </c>
      <c r="F1919" s="12">
        <v>-8.8499999999999995E-2</v>
      </c>
      <c r="G1919" s="12">
        <v>-8.1249999999999989E-2</v>
      </c>
      <c r="H1919" s="12">
        <v>-8.3599999999999994E-2</v>
      </c>
      <c r="I1919" s="12">
        <v>8.3599999999999994E-2</v>
      </c>
      <c r="J1919" s="9" t="s">
        <v>412</v>
      </c>
      <c r="K1919" s="9" t="s">
        <v>604</v>
      </c>
    </row>
    <row r="1920" spans="1:11" ht="28.8">
      <c r="A1920" s="9" t="s">
        <v>609</v>
      </c>
      <c r="B1920" s="9" t="s">
        <v>678</v>
      </c>
      <c r="C1920" s="9" t="s">
        <v>675</v>
      </c>
      <c r="D1920" s="12">
        <v>9.6600000000000005E-2</v>
      </c>
      <c r="E1920" s="12">
        <v>-0.10390000000000001</v>
      </c>
      <c r="F1920" s="12">
        <v>-5.0299999999999997E-2</v>
      </c>
      <c r="G1920" s="12">
        <v>-3.6500000000000005E-3</v>
      </c>
      <c r="H1920" s="12">
        <v>-1.9199999999999998E-2</v>
      </c>
      <c r="I1920" s="12">
        <v>8.3599999999999994E-2</v>
      </c>
      <c r="J1920" s="9" t="s">
        <v>412</v>
      </c>
      <c r="K1920" s="9" t="s">
        <v>604</v>
      </c>
    </row>
    <row r="1921" spans="1:11" ht="28.8">
      <c r="A1921" s="9" t="s">
        <v>679</v>
      </c>
      <c r="B1921" s="9" t="s">
        <v>665</v>
      </c>
      <c r="C1921" s="9" t="s">
        <v>683</v>
      </c>
      <c r="D1921" s="12">
        <v>0.16389999999999999</v>
      </c>
      <c r="E1921" s="12">
        <v>7.6399999999999996E-2</v>
      </c>
      <c r="F1921" s="12">
        <v>1.03E-2</v>
      </c>
      <c r="G1921" s="12">
        <v>0.12014999999999999</v>
      </c>
      <c r="H1921" s="12">
        <v>8.3500000000000005E-2</v>
      </c>
      <c r="I1921" s="12">
        <v>8.3500000000000005E-2</v>
      </c>
      <c r="J1921" s="9" t="s">
        <v>412</v>
      </c>
      <c r="K1921" s="9" t="s">
        <v>654</v>
      </c>
    </row>
    <row r="1922" spans="1:11" ht="28.8">
      <c r="A1922" s="9" t="s">
        <v>682</v>
      </c>
      <c r="B1922" s="9" t="s">
        <v>684</v>
      </c>
      <c r="C1922" s="9" t="s">
        <v>683</v>
      </c>
      <c r="D1922" s="12">
        <v>-8.5099999999999995E-2</v>
      </c>
      <c r="E1922" s="12">
        <v>-0.1031</v>
      </c>
      <c r="F1922" s="12">
        <v>-6.1499999999999999E-2</v>
      </c>
      <c r="G1922" s="12">
        <v>-9.4099999999999989E-2</v>
      </c>
      <c r="H1922" s="12">
        <v>-8.3199999999999996E-2</v>
      </c>
      <c r="I1922" s="12">
        <v>8.3199999999999996E-2</v>
      </c>
      <c r="J1922" s="9" t="s">
        <v>412</v>
      </c>
      <c r="K1922" s="9" t="s">
        <v>604</v>
      </c>
    </row>
    <row r="1923" spans="1:11" ht="28.8">
      <c r="A1923" s="9" t="s">
        <v>679</v>
      </c>
      <c r="B1923" s="9" t="s">
        <v>665</v>
      </c>
      <c r="C1923" s="9" t="s">
        <v>667</v>
      </c>
      <c r="D1923" s="12">
        <v>-0.12280000000000001</v>
      </c>
      <c r="E1923" s="12">
        <v>7.6399999999999996E-2</v>
      </c>
      <c r="F1923" s="12">
        <v>-4.9799999999999997E-2</v>
      </c>
      <c r="G1923" s="12">
        <v>-2.3200000000000005E-2</v>
      </c>
      <c r="H1923" s="12">
        <v>-3.2099999999999997E-2</v>
      </c>
      <c r="I1923" s="12">
        <v>8.3000000000000004E-2</v>
      </c>
      <c r="J1923" s="9" t="s">
        <v>412</v>
      </c>
      <c r="K1923" s="9" t="s">
        <v>604</v>
      </c>
    </row>
    <row r="1924" spans="1:11" ht="28.8">
      <c r="A1924" s="9" t="s">
        <v>661</v>
      </c>
      <c r="B1924" s="9" t="s">
        <v>686</v>
      </c>
      <c r="C1924" s="9" t="s">
        <v>667</v>
      </c>
      <c r="D1924" s="12">
        <v>5.3600000000000002E-2</v>
      </c>
      <c r="E1924" s="12">
        <v>0.111</v>
      </c>
      <c r="F1924" s="12">
        <v>8.4000000000000005E-2</v>
      </c>
      <c r="G1924" s="12">
        <v>8.2299999999999998E-2</v>
      </c>
      <c r="H1924" s="12">
        <v>8.2900000000000001E-2</v>
      </c>
      <c r="I1924" s="12">
        <v>8.2900000000000001E-2</v>
      </c>
      <c r="J1924" s="9" t="s">
        <v>412</v>
      </c>
      <c r="K1924" s="9" t="s">
        <v>654</v>
      </c>
    </row>
    <row r="1925" spans="1:11" ht="28.8">
      <c r="A1925" s="9" t="s">
        <v>671</v>
      </c>
      <c r="B1925" s="9" t="s">
        <v>678</v>
      </c>
      <c r="C1925" s="9" t="s">
        <v>656</v>
      </c>
      <c r="D1925" s="12">
        <v>6.54E-2</v>
      </c>
      <c r="E1925" s="12">
        <v>-0.14360000000000001</v>
      </c>
      <c r="F1925" s="12">
        <v>-3.9800000000000002E-2</v>
      </c>
      <c r="G1925" s="12">
        <v>-3.9100000000000003E-2</v>
      </c>
      <c r="H1925" s="12">
        <v>-3.9300000000000002E-2</v>
      </c>
      <c r="I1925" s="12">
        <v>8.2900000000000001E-2</v>
      </c>
      <c r="J1925" s="9" t="s">
        <v>412</v>
      </c>
      <c r="K1925" s="9" t="s">
        <v>604</v>
      </c>
    </row>
    <row r="1926" spans="1:11" ht="28.8">
      <c r="A1926" s="9" t="s">
        <v>661</v>
      </c>
      <c r="B1926" s="9" t="s">
        <v>678</v>
      </c>
      <c r="C1926" s="9" t="s">
        <v>690</v>
      </c>
      <c r="D1926" s="12">
        <v>3.3700000000000001E-2</v>
      </c>
      <c r="E1926" s="12">
        <v>-0.15379999999999999</v>
      </c>
      <c r="F1926" s="12">
        <v>-6.08E-2</v>
      </c>
      <c r="G1926" s="12">
        <v>-6.0049999999999992E-2</v>
      </c>
      <c r="H1926" s="12">
        <v>-6.0299999999999999E-2</v>
      </c>
      <c r="I1926" s="12">
        <v>8.2799999999999999E-2</v>
      </c>
      <c r="J1926" s="9" t="s">
        <v>412</v>
      </c>
      <c r="K1926" s="9" t="s">
        <v>604</v>
      </c>
    </row>
    <row r="1927" spans="1:11" ht="28.8">
      <c r="A1927" s="9" t="s">
        <v>679</v>
      </c>
      <c r="B1927" s="9" t="s">
        <v>684</v>
      </c>
      <c r="C1927" s="9" t="s">
        <v>655</v>
      </c>
      <c r="D1927" s="12">
        <v>9.4500000000000001E-2</v>
      </c>
      <c r="E1927" s="12">
        <v>-7.2800000000000004E-2</v>
      </c>
      <c r="F1927" s="12">
        <v>8.1100000000000005E-2</v>
      </c>
      <c r="G1927" s="12">
        <v>1.0849999999999999E-2</v>
      </c>
      <c r="H1927" s="12">
        <v>3.4299999999999997E-2</v>
      </c>
      <c r="I1927" s="12">
        <v>8.2799999999999999E-2</v>
      </c>
      <c r="J1927" s="9" t="s">
        <v>412</v>
      </c>
      <c r="K1927" s="9" t="s">
        <v>604</v>
      </c>
    </row>
    <row r="1928" spans="1:11" ht="28.8">
      <c r="A1928" s="9" t="s">
        <v>609</v>
      </c>
      <c r="B1928" s="9" t="s">
        <v>680</v>
      </c>
      <c r="C1928" s="9" t="s">
        <v>677</v>
      </c>
      <c r="D1928" s="12">
        <v>-6.1400000000000003E-2</v>
      </c>
      <c r="E1928" s="12">
        <v>-0.1628</v>
      </c>
      <c r="F1928" s="12">
        <v>2.41E-2</v>
      </c>
      <c r="G1928" s="12">
        <v>-0.11210000000000001</v>
      </c>
      <c r="H1928" s="12">
        <v>-6.6699999999999995E-2</v>
      </c>
      <c r="I1928" s="12">
        <v>8.2799999999999999E-2</v>
      </c>
      <c r="J1928" s="9" t="s">
        <v>412</v>
      </c>
      <c r="K1928" s="9" t="s">
        <v>604</v>
      </c>
    </row>
    <row r="1929" spans="1:11" ht="28.8">
      <c r="A1929" s="9" t="s">
        <v>682</v>
      </c>
      <c r="B1929" s="9" t="s">
        <v>672</v>
      </c>
      <c r="C1929" s="9" t="s">
        <v>601</v>
      </c>
      <c r="D1929" s="12">
        <v>-3.2099999999999997E-2</v>
      </c>
      <c r="E1929" s="12">
        <v>-2.86E-2</v>
      </c>
      <c r="F1929" s="12">
        <v>-0.187</v>
      </c>
      <c r="G1929" s="12">
        <v>-3.0349999999999999E-2</v>
      </c>
      <c r="H1929" s="12">
        <v>-8.2500000000000004E-2</v>
      </c>
      <c r="I1929" s="12">
        <v>8.2500000000000004E-2</v>
      </c>
      <c r="J1929" s="9" t="s">
        <v>412</v>
      </c>
      <c r="K1929" s="9" t="s">
        <v>604</v>
      </c>
    </row>
    <row r="1930" spans="1:11" ht="28.8">
      <c r="A1930" s="9" t="s">
        <v>679</v>
      </c>
      <c r="B1930" s="9" t="s">
        <v>687</v>
      </c>
      <c r="C1930" s="9" t="s">
        <v>655</v>
      </c>
      <c r="D1930" s="12">
        <v>9.4500000000000001E-2</v>
      </c>
      <c r="E1930" s="12">
        <v>0.10589999999999999</v>
      </c>
      <c r="F1930" s="12">
        <v>4.6100000000000002E-2</v>
      </c>
      <c r="G1930" s="12">
        <v>0.1002</v>
      </c>
      <c r="H1930" s="12">
        <v>8.2199999999999995E-2</v>
      </c>
      <c r="I1930" s="12">
        <v>8.2199999999999995E-2</v>
      </c>
      <c r="J1930" s="9" t="s">
        <v>412</v>
      </c>
      <c r="K1930" s="9" t="s">
        <v>654</v>
      </c>
    </row>
    <row r="1931" spans="1:11" ht="28.8">
      <c r="A1931" s="9" t="s">
        <v>662</v>
      </c>
      <c r="B1931" s="9" t="s">
        <v>613</v>
      </c>
      <c r="C1931" s="9" t="s">
        <v>677</v>
      </c>
      <c r="D1931" s="12">
        <v>1.2200000000000001E-2</v>
      </c>
      <c r="E1931" s="12">
        <v>6.2399999999999997E-2</v>
      </c>
      <c r="F1931" s="12">
        <v>-0.1721</v>
      </c>
      <c r="G1931" s="12">
        <v>3.73E-2</v>
      </c>
      <c r="H1931" s="12">
        <v>-3.2500000000000001E-2</v>
      </c>
      <c r="I1931" s="12">
        <v>8.2199999999999995E-2</v>
      </c>
      <c r="J1931" s="9" t="s">
        <v>412</v>
      </c>
      <c r="K1931" s="9" t="s">
        <v>604</v>
      </c>
    </row>
    <row r="1932" spans="1:11" ht="28.8">
      <c r="A1932" s="9" t="s">
        <v>661</v>
      </c>
      <c r="B1932" s="9" t="s">
        <v>686</v>
      </c>
      <c r="C1932" s="9" t="s">
        <v>690</v>
      </c>
      <c r="D1932" s="12">
        <v>3.3700000000000001E-2</v>
      </c>
      <c r="E1932" s="12">
        <v>0.111</v>
      </c>
      <c r="F1932" s="12">
        <v>-0.10150000000000001</v>
      </c>
      <c r="G1932" s="12">
        <v>7.2349999999999998E-2</v>
      </c>
      <c r="H1932" s="12">
        <v>1.44E-2</v>
      </c>
      <c r="I1932" s="12">
        <v>8.2100000000000006E-2</v>
      </c>
      <c r="J1932" s="9" t="s">
        <v>412</v>
      </c>
      <c r="K1932" s="9" t="s">
        <v>604</v>
      </c>
    </row>
    <row r="1933" spans="1:11" ht="28.8">
      <c r="A1933" s="9" t="s">
        <v>609</v>
      </c>
      <c r="B1933" s="9" t="s">
        <v>685</v>
      </c>
      <c r="C1933" s="9" t="s">
        <v>675</v>
      </c>
      <c r="D1933" s="12">
        <v>9.6600000000000005E-2</v>
      </c>
      <c r="E1933" s="12">
        <v>3.8399999999999997E-2</v>
      </c>
      <c r="F1933" s="12">
        <v>0.11119999999999999</v>
      </c>
      <c r="G1933" s="12">
        <v>6.7500000000000004E-2</v>
      </c>
      <c r="H1933" s="12">
        <v>8.2100000000000006E-2</v>
      </c>
      <c r="I1933" s="12">
        <v>8.2100000000000006E-2</v>
      </c>
      <c r="J1933" s="9" t="s">
        <v>412</v>
      </c>
      <c r="K1933" s="9" t="s">
        <v>654</v>
      </c>
    </row>
    <row r="1934" spans="1:11" ht="28.8">
      <c r="A1934" s="9" t="s">
        <v>661</v>
      </c>
      <c r="B1934" s="9" t="s">
        <v>688</v>
      </c>
      <c r="C1934" s="9" t="s">
        <v>690</v>
      </c>
      <c r="D1934" s="12">
        <v>3.3700000000000001E-2</v>
      </c>
      <c r="E1934" s="12">
        <v>6.8500000000000005E-2</v>
      </c>
      <c r="F1934" s="12">
        <v>0.14399999999999999</v>
      </c>
      <c r="G1934" s="12">
        <v>5.1100000000000007E-2</v>
      </c>
      <c r="H1934" s="12">
        <v>8.2100000000000006E-2</v>
      </c>
      <c r="I1934" s="12">
        <v>8.2100000000000006E-2</v>
      </c>
      <c r="J1934" s="9" t="s">
        <v>412</v>
      </c>
      <c r="K1934" s="9" t="s">
        <v>654</v>
      </c>
    </row>
    <row r="1935" spans="1:11">
      <c r="A1935" s="9" t="s">
        <v>662</v>
      </c>
      <c r="B1935" s="9" t="s">
        <v>658</v>
      </c>
      <c r="C1935" s="9" t="s">
        <v>659</v>
      </c>
      <c r="D1935" s="12">
        <v>-8.3599999999999994E-2</v>
      </c>
      <c r="E1935" s="12">
        <v>0.11119999999999999</v>
      </c>
      <c r="F1935" s="12">
        <v>-5.1400000000000001E-2</v>
      </c>
      <c r="G1935" s="12">
        <v>1.38E-2</v>
      </c>
      <c r="H1935" s="12">
        <v>-7.9000000000000008E-3</v>
      </c>
      <c r="I1935" s="12">
        <v>8.2100000000000006E-2</v>
      </c>
      <c r="J1935" s="9" t="s">
        <v>412</v>
      </c>
      <c r="K1935" s="9" t="s">
        <v>604</v>
      </c>
    </row>
    <row r="1936" spans="1:11" ht="28.8">
      <c r="A1936" s="9" t="s">
        <v>682</v>
      </c>
      <c r="B1936" s="9" t="s">
        <v>689</v>
      </c>
      <c r="C1936" s="9" t="s">
        <v>674</v>
      </c>
      <c r="D1936" s="12">
        <v>4.1999999999999997E-3</v>
      </c>
      <c r="E1936" s="12">
        <v>0.1298</v>
      </c>
      <c r="F1936" s="12">
        <v>0.112</v>
      </c>
      <c r="G1936" s="12">
        <v>6.7000000000000004E-2</v>
      </c>
      <c r="H1936" s="12">
        <v>8.2000000000000003E-2</v>
      </c>
      <c r="I1936" s="12">
        <v>8.2000000000000003E-2</v>
      </c>
      <c r="J1936" s="9" t="s">
        <v>412</v>
      </c>
      <c r="K1936" s="9" t="s">
        <v>654</v>
      </c>
    </row>
    <row r="1937" spans="1:11" ht="28.8">
      <c r="A1937" s="9" t="s">
        <v>682</v>
      </c>
      <c r="B1937" s="9" t="s">
        <v>689</v>
      </c>
      <c r="C1937" s="9" t="s">
        <v>675</v>
      </c>
      <c r="D1937" s="12">
        <v>0.06</v>
      </c>
      <c r="E1937" s="12">
        <v>0.1298</v>
      </c>
      <c r="F1937" s="12">
        <v>5.6300000000000003E-2</v>
      </c>
      <c r="G1937" s="12">
        <v>9.4899999999999998E-2</v>
      </c>
      <c r="H1937" s="12">
        <v>8.2000000000000003E-2</v>
      </c>
      <c r="I1937" s="12">
        <v>8.2000000000000003E-2</v>
      </c>
      <c r="J1937" s="9" t="s">
        <v>412</v>
      </c>
      <c r="K1937" s="9" t="s">
        <v>654</v>
      </c>
    </row>
    <row r="1938" spans="1:11" ht="28.8">
      <c r="A1938" s="9" t="s">
        <v>662</v>
      </c>
      <c r="B1938" s="9" t="s">
        <v>658</v>
      </c>
      <c r="C1938" s="9" t="s">
        <v>683</v>
      </c>
      <c r="D1938" s="12">
        <v>-6.0100000000000001E-2</v>
      </c>
      <c r="E1938" s="12">
        <v>0.11119999999999999</v>
      </c>
      <c r="F1938" s="12">
        <v>-7.4499999999999997E-2</v>
      </c>
      <c r="G1938" s="12">
        <v>2.5549999999999996E-2</v>
      </c>
      <c r="H1938" s="12">
        <v>-7.7999999999999996E-3</v>
      </c>
      <c r="I1938" s="12">
        <v>8.1900000000000001E-2</v>
      </c>
      <c r="J1938" s="9" t="s">
        <v>412</v>
      </c>
      <c r="K1938" s="9" t="s">
        <v>604</v>
      </c>
    </row>
    <row r="1939" spans="1:11" ht="28.8">
      <c r="A1939" s="9" t="s">
        <v>603</v>
      </c>
      <c r="B1939" s="9" t="s">
        <v>685</v>
      </c>
      <c r="C1939" s="9" t="s">
        <v>674</v>
      </c>
      <c r="D1939" s="12">
        <v>-0.1212</v>
      </c>
      <c r="E1939" s="12">
        <v>1.0699999999999999E-2</v>
      </c>
      <c r="F1939" s="12">
        <v>0.1139</v>
      </c>
      <c r="G1939" s="12">
        <v>-5.525E-2</v>
      </c>
      <c r="H1939" s="12">
        <v>1.1000000000000001E-3</v>
      </c>
      <c r="I1939" s="12">
        <v>8.1900000000000001E-2</v>
      </c>
      <c r="J1939" s="9" t="s">
        <v>412</v>
      </c>
      <c r="K1939" s="9" t="s">
        <v>604</v>
      </c>
    </row>
    <row r="1940" spans="1:11">
      <c r="A1940" s="9" t="s">
        <v>662</v>
      </c>
      <c r="B1940" s="9" t="s">
        <v>669</v>
      </c>
      <c r="C1940" s="9" t="s">
        <v>659</v>
      </c>
      <c r="D1940" s="12">
        <v>-8.3599999999999994E-2</v>
      </c>
      <c r="E1940" s="12">
        <v>0.1298</v>
      </c>
      <c r="F1940" s="12">
        <v>3.1899999999999998E-2</v>
      </c>
      <c r="G1940" s="12">
        <v>2.3100000000000002E-2</v>
      </c>
      <c r="H1940" s="12">
        <v>2.5999999999999999E-2</v>
      </c>
      <c r="I1940" s="12">
        <v>8.1799999999999998E-2</v>
      </c>
      <c r="J1940" s="9" t="s">
        <v>412</v>
      </c>
      <c r="K1940" s="9" t="s">
        <v>604</v>
      </c>
    </row>
    <row r="1941" spans="1:11" ht="28.8">
      <c r="A1941" s="9" t="s">
        <v>609</v>
      </c>
      <c r="B1941" s="9" t="s">
        <v>691</v>
      </c>
      <c r="C1941" s="9" t="s">
        <v>664</v>
      </c>
      <c r="D1941" s="12">
        <v>-6.5699999999999995E-2</v>
      </c>
      <c r="E1941" s="12">
        <v>4.9399999999999999E-2</v>
      </c>
      <c r="F1941" s="12">
        <v>0.13</v>
      </c>
      <c r="G1941" s="12">
        <v>-8.1499999999999975E-3</v>
      </c>
      <c r="H1941" s="12">
        <v>3.7900000000000003E-2</v>
      </c>
      <c r="I1941" s="12">
        <v>8.1699999999999995E-2</v>
      </c>
      <c r="J1941" s="9" t="s">
        <v>412</v>
      </c>
      <c r="K1941" s="9" t="s">
        <v>604</v>
      </c>
    </row>
    <row r="1942" spans="1:11" ht="28.8">
      <c r="A1942" s="9" t="s">
        <v>661</v>
      </c>
      <c r="B1942" s="9" t="s">
        <v>653</v>
      </c>
      <c r="C1942" s="9" t="s">
        <v>690</v>
      </c>
      <c r="D1942" s="12">
        <v>3.3700000000000001E-2</v>
      </c>
      <c r="E1942" s="12">
        <v>-0.21010000000000001</v>
      </c>
      <c r="F1942" s="12">
        <v>-1.1999999999999999E-3</v>
      </c>
      <c r="G1942" s="12">
        <v>-8.8200000000000001E-2</v>
      </c>
      <c r="H1942" s="12">
        <v>-5.9200000000000003E-2</v>
      </c>
      <c r="I1942" s="12">
        <v>8.1699999999999995E-2</v>
      </c>
      <c r="J1942" s="9" t="s">
        <v>412</v>
      </c>
      <c r="K1942" s="9" t="s">
        <v>604</v>
      </c>
    </row>
    <row r="1943" spans="1:11" ht="28.8">
      <c r="A1943" s="9" t="s">
        <v>679</v>
      </c>
      <c r="B1943" s="9" t="s">
        <v>657</v>
      </c>
      <c r="C1943" s="9" t="s">
        <v>690</v>
      </c>
      <c r="D1943" s="12">
        <v>-6.6900000000000001E-2</v>
      </c>
      <c r="E1943" s="12">
        <v>0.14180000000000001</v>
      </c>
      <c r="F1943" s="12">
        <v>3.61E-2</v>
      </c>
      <c r="G1943" s="12">
        <v>3.7450000000000004E-2</v>
      </c>
      <c r="H1943" s="12">
        <v>3.6999999999999998E-2</v>
      </c>
      <c r="I1943" s="12">
        <v>8.1600000000000006E-2</v>
      </c>
      <c r="J1943" s="9" t="s">
        <v>412</v>
      </c>
      <c r="K1943" s="9" t="s">
        <v>604</v>
      </c>
    </row>
    <row r="1944" spans="1:11" ht="28.8">
      <c r="A1944" s="9" t="s">
        <v>682</v>
      </c>
      <c r="B1944" s="9" t="s">
        <v>676</v>
      </c>
      <c r="C1944" s="9" t="s">
        <v>683</v>
      </c>
      <c r="D1944" s="12">
        <v>-8.5099999999999995E-2</v>
      </c>
      <c r="E1944" s="12">
        <v>0.1517</v>
      </c>
      <c r="F1944" s="12">
        <v>-7.4999999999999997E-3</v>
      </c>
      <c r="G1944" s="12">
        <v>3.3300000000000003E-2</v>
      </c>
      <c r="H1944" s="12">
        <v>1.9699999999999999E-2</v>
      </c>
      <c r="I1944" s="12">
        <v>8.14E-2</v>
      </c>
      <c r="J1944" s="9" t="s">
        <v>412</v>
      </c>
      <c r="K1944" s="9" t="s">
        <v>604</v>
      </c>
    </row>
    <row r="1945" spans="1:11" ht="28.8">
      <c r="A1945" s="9" t="s">
        <v>671</v>
      </c>
      <c r="B1945" s="9" t="s">
        <v>602</v>
      </c>
      <c r="C1945" s="9" t="s">
        <v>659</v>
      </c>
      <c r="D1945" s="12">
        <v>0.13159999999999999</v>
      </c>
      <c r="E1945" s="12">
        <v>-8.6199999999999999E-2</v>
      </c>
      <c r="F1945" s="12">
        <v>-2.64E-2</v>
      </c>
      <c r="G1945" s="12">
        <v>2.2699999999999998E-2</v>
      </c>
      <c r="H1945" s="12">
        <v>6.4000000000000003E-3</v>
      </c>
      <c r="I1945" s="12">
        <v>8.14E-2</v>
      </c>
      <c r="J1945" s="9" t="s">
        <v>412</v>
      </c>
      <c r="K1945" s="9" t="s">
        <v>604</v>
      </c>
    </row>
    <row r="1946" spans="1:11">
      <c r="A1946" s="9" t="s">
        <v>682</v>
      </c>
      <c r="B1946" s="9" t="s">
        <v>660</v>
      </c>
      <c r="C1946" s="9" t="s">
        <v>659</v>
      </c>
      <c r="D1946" s="12">
        <v>0.1188</v>
      </c>
      <c r="E1946" s="12">
        <v>-9.1399999999999995E-2</v>
      </c>
      <c r="F1946" s="12">
        <v>3.3799999999999997E-2</v>
      </c>
      <c r="G1946" s="12">
        <v>1.3700000000000004E-2</v>
      </c>
      <c r="H1946" s="12">
        <v>2.0400000000000001E-2</v>
      </c>
      <c r="I1946" s="12">
        <v>8.1299999999999997E-2</v>
      </c>
      <c r="J1946" s="9" t="s">
        <v>412</v>
      </c>
      <c r="K1946" s="9" t="s">
        <v>604</v>
      </c>
    </row>
    <row r="1947" spans="1:11" ht="28.8">
      <c r="A1947" s="9" t="s">
        <v>671</v>
      </c>
      <c r="B1947" s="9" t="s">
        <v>681</v>
      </c>
      <c r="C1947" s="9" t="s">
        <v>664</v>
      </c>
      <c r="D1947" s="12">
        <v>-9.0800000000000006E-2</v>
      </c>
      <c r="E1947" s="12">
        <v>7.1800000000000003E-2</v>
      </c>
      <c r="F1947" s="12">
        <v>-8.14E-2</v>
      </c>
      <c r="G1947" s="12">
        <v>-9.5000000000000015E-3</v>
      </c>
      <c r="H1947" s="12">
        <v>-3.3500000000000002E-2</v>
      </c>
      <c r="I1947" s="12">
        <v>8.1299999999999997E-2</v>
      </c>
      <c r="J1947" s="9" t="s">
        <v>412</v>
      </c>
      <c r="K1947" s="9" t="s">
        <v>604</v>
      </c>
    </row>
    <row r="1948" spans="1:11" ht="28.8">
      <c r="A1948" s="9" t="s">
        <v>661</v>
      </c>
      <c r="B1948" s="9" t="s">
        <v>613</v>
      </c>
      <c r="C1948" s="9" t="s">
        <v>664</v>
      </c>
      <c r="D1948" s="12">
        <v>-2.4199999999999999E-2</v>
      </c>
      <c r="E1948" s="12">
        <v>3.3000000000000002E-2</v>
      </c>
      <c r="F1948" s="12">
        <v>-0.18640000000000001</v>
      </c>
      <c r="G1948" s="12">
        <v>4.4000000000000011E-3</v>
      </c>
      <c r="H1948" s="12">
        <v>-5.9200000000000003E-2</v>
      </c>
      <c r="I1948" s="12">
        <v>8.1199999999999994E-2</v>
      </c>
      <c r="J1948" s="9" t="s">
        <v>412</v>
      </c>
      <c r="K1948" s="9" t="s">
        <v>604</v>
      </c>
    </row>
    <row r="1949" spans="1:11" ht="28.8">
      <c r="A1949" s="9" t="s">
        <v>662</v>
      </c>
      <c r="B1949" s="9" t="s">
        <v>676</v>
      </c>
      <c r="C1949" s="9" t="s">
        <v>683</v>
      </c>
      <c r="D1949" s="12">
        <v>-6.0100000000000001E-2</v>
      </c>
      <c r="E1949" s="12">
        <v>0.17610000000000001</v>
      </c>
      <c r="F1949" s="12">
        <v>-7.4999999999999997E-3</v>
      </c>
      <c r="G1949" s="12">
        <v>5.8000000000000003E-2</v>
      </c>
      <c r="H1949" s="12">
        <v>3.61E-2</v>
      </c>
      <c r="I1949" s="12">
        <v>8.1199999999999994E-2</v>
      </c>
      <c r="J1949" s="9" t="s">
        <v>412</v>
      </c>
      <c r="K1949" s="9" t="s">
        <v>604</v>
      </c>
    </row>
    <row r="1950" spans="1:11" ht="28.8">
      <c r="A1950" s="9" t="s">
        <v>662</v>
      </c>
      <c r="B1950" s="9" t="s">
        <v>689</v>
      </c>
      <c r="C1950" s="9" t="s">
        <v>677</v>
      </c>
      <c r="D1950" s="12">
        <v>1.2200000000000001E-2</v>
      </c>
      <c r="E1950" s="12">
        <v>-8.6699999999999999E-2</v>
      </c>
      <c r="F1950" s="12">
        <v>-0.14460000000000001</v>
      </c>
      <c r="G1950" s="12">
        <v>-3.7249999999999998E-2</v>
      </c>
      <c r="H1950" s="12">
        <v>-7.2999999999999995E-2</v>
      </c>
      <c r="I1950" s="12">
        <v>8.1199999999999994E-2</v>
      </c>
      <c r="J1950" s="9" t="s">
        <v>412</v>
      </c>
      <c r="K1950" s="9" t="s">
        <v>604</v>
      </c>
    </row>
    <row r="1951" spans="1:11" ht="28.8">
      <c r="A1951" s="9" t="s">
        <v>671</v>
      </c>
      <c r="B1951" s="9" t="s">
        <v>660</v>
      </c>
      <c r="C1951" s="9" t="s">
        <v>683</v>
      </c>
      <c r="D1951" s="12">
        <v>0.1066</v>
      </c>
      <c r="E1951" s="12">
        <v>-0.1037</v>
      </c>
      <c r="F1951" s="12">
        <v>-3.3000000000000002E-2</v>
      </c>
      <c r="G1951" s="12">
        <v>1.4499999999999999E-3</v>
      </c>
      <c r="H1951" s="12">
        <v>-0.01</v>
      </c>
      <c r="I1951" s="12">
        <v>8.1100000000000005E-2</v>
      </c>
      <c r="J1951" s="9" t="s">
        <v>412</v>
      </c>
      <c r="K1951" s="9" t="s">
        <v>604</v>
      </c>
    </row>
    <row r="1952" spans="1:11">
      <c r="A1952" s="9" t="s">
        <v>610</v>
      </c>
      <c r="B1952" s="9" t="s">
        <v>660</v>
      </c>
      <c r="C1952" s="9" t="s">
        <v>667</v>
      </c>
      <c r="D1952" s="12">
        <v>6.1800000000000001E-2</v>
      </c>
      <c r="E1952" s="12">
        <v>-3.2599999999999997E-2</v>
      </c>
      <c r="F1952" s="12">
        <v>-0.14899999999999999</v>
      </c>
      <c r="G1952" s="12">
        <v>1.4600000000000002E-2</v>
      </c>
      <c r="H1952" s="12">
        <v>-3.9899999999999998E-2</v>
      </c>
      <c r="I1952" s="12">
        <v>8.1100000000000005E-2</v>
      </c>
      <c r="J1952" s="9" t="s">
        <v>412</v>
      </c>
      <c r="K1952" s="9" t="s">
        <v>604</v>
      </c>
    </row>
    <row r="1953" spans="1:11" ht="28.8">
      <c r="A1953" s="9" t="s">
        <v>609</v>
      </c>
      <c r="B1953" s="9" t="s">
        <v>687</v>
      </c>
      <c r="C1953" s="9" t="s">
        <v>601</v>
      </c>
      <c r="D1953" s="12">
        <v>-0.1671</v>
      </c>
      <c r="E1953" s="12">
        <v>-4.5400000000000003E-2</v>
      </c>
      <c r="F1953" s="12">
        <v>-3.04E-2</v>
      </c>
      <c r="G1953" s="12">
        <v>-0.10625</v>
      </c>
      <c r="H1953" s="12">
        <v>-8.1000000000000003E-2</v>
      </c>
      <c r="I1953" s="12">
        <v>8.1000000000000003E-2</v>
      </c>
      <c r="J1953" s="9" t="s">
        <v>412</v>
      </c>
      <c r="K1953" s="9" t="s">
        <v>604</v>
      </c>
    </row>
    <row r="1954" spans="1:11" ht="28.8">
      <c r="A1954" s="9" t="s">
        <v>682</v>
      </c>
      <c r="B1954" s="9" t="s">
        <v>657</v>
      </c>
      <c r="C1954" s="9" t="s">
        <v>674</v>
      </c>
      <c r="D1954" s="12">
        <v>4.1999999999999997E-3</v>
      </c>
      <c r="E1954" s="12">
        <v>-0.1056</v>
      </c>
      <c r="F1954" s="12">
        <v>-0.1331</v>
      </c>
      <c r="G1954" s="12">
        <v>-5.0700000000000002E-2</v>
      </c>
      <c r="H1954" s="12">
        <v>-7.8200000000000006E-2</v>
      </c>
      <c r="I1954" s="12">
        <v>8.1000000000000003E-2</v>
      </c>
      <c r="J1954" s="9" t="s">
        <v>412</v>
      </c>
      <c r="K1954" s="9" t="s">
        <v>604</v>
      </c>
    </row>
    <row r="1955" spans="1:11" ht="28.8">
      <c r="A1955" s="9" t="s">
        <v>682</v>
      </c>
      <c r="B1955" s="9" t="s">
        <v>685</v>
      </c>
      <c r="C1955" s="9" t="s">
        <v>674</v>
      </c>
      <c r="D1955" s="12">
        <v>4.1999999999999997E-3</v>
      </c>
      <c r="E1955" s="12">
        <v>0.12429999999999999</v>
      </c>
      <c r="F1955" s="12">
        <v>0.1139</v>
      </c>
      <c r="G1955" s="12">
        <v>6.4250000000000002E-2</v>
      </c>
      <c r="H1955" s="12">
        <v>8.0799999999999997E-2</v>
      </c>
      <c r="I1955" s="12">
        <v>8.0799999999999997E-2</v>
      </c>
      <c r="J1955" s="9" t="s">
        <v>412</v>
      </c>
      <c r="K1955" s="9" t="s">
        <v>654</v>
      </c>
    </row>
    <row r="1956" spans="1:11" ht="28.8">
      <c r="A1956" s="9" t="s">
        <v>610</v>
      </c>
      <c r="B1956" s="9" t="s">
        <v>686</v>
      </c>
      <c r="C1956" s="9" t="s">
        <v>677</v>
      </c>
      <c r="D1956" s="12">
        <v>0.10100000000000001</v>
      </c>
      <c r="E1956" s="12">
        <v>2.07E-2</v>
      </c>
      <c r="F1956" s="12">
        <v>0.1203</v>
      </c>
      <c r="G1956" s="12">
        <v>6.0850000000000001E-2</v>
      </c>
      <c r="H1956" s="12">
        <v>8.0699999999999994E-2</v>
      </c>
      <c r="I1956" s="12">
        <v>8.0699999999999994E-2</v>
      </c>
      <c r="J1956" s="9" t="s">
        <v>412</v>
      </c>
      <c r="K1956" s="9" t="s">
        <v>654</v>
      </c>
    </row>
    <row r="1957" spans="1:11" ht="28.8">
      <c r="A1957" s="9" t="s">
        <v>671</v>
      </c>
      <c r="B1957" s="9" t="s">
        <v>687</v>
      </c>
      <c r="C1957" s="9" t="s">
        <v>677</v>
      </c>
      <c r="D1957" s="12">
        <v>6.8900000000000003E-2</v>
      </c>
      <c r="E1957" s="12">
        <v>0.13850000000000001</v>
      </c>
      <c r="F1957" s="12">
        <v>3.4500000000000003E-2</v>
      </c>
      <c r="G1957" s="12">
        <v>0.10370000000000001</v>
      </c>
      <c r="H1957" s="12">
        <v>8.0600000000000005E-2</v>
      </c>
      <c r="I1957" s="12">
        <v>8.0600000000000005E-2</v>
      </c>
      <c r="J1957" s="9" t="s">
        <v>412</v>
      </c>
      <c r="K1957" s="9" t="s">
        <v>654</v>
      </c>
    </row>
    <row r="1958" spans="1:11" ht="28.8">
      <c r="A1958" s="9" t="s">
        <v>682</v>
      </c>
      <c r="B1958" s="9" t="s">
        <v>689</v>
      </c>
      <c r="C1958" s="9" t="s">
        <v>664</v>
      </c>
      <c r="D1958" s="12">
        <v>-0.08</v>
      </c>
      <c r="E1958" s="12">
        <v>0.1298</v>
      </c>
      <c r="F1958" s="12">
        <v>3.1800000000000002E-2</v>
      </c>
      <c r="G1958" s="12">
        <v>2.4899999999999999E-2</v>
      </c>
      <c r="H1958" s="12">
        <v>2.7199999999999998E-2</v>
      </c>
      <c r="I1958" s="12">
        <v>8.0600000000000005E-2</v>
      </c>
      <c r="J1958" s="9" t="s">
        <v>412</v>
      </c>
      <c r="K1958" s="9" t="s">
        <v>604</v>
      </c>
    </row>
    <row r="1959" spans="1:11" ht="28.8">
      <c r="A1959" s="9" t="s">
        <v>662</v>
      </c>
      <c r="B1959" s="9" t="s">
        <v>672</v>
      </c>
      <c r="C1959" s="9" t="s">
        <v>683</v>
      </c>
      <c r="D1959" s="12">
        <v>-6.0100000000000001E-2</v>
      </c>
      <c r="E1959" s="12">
        <v>1.0999999999999999E-2</v>
      </c>
      <c r="F1959" s="12">
        <v>0.17019999999999999</v>
      </c>
      <c r="G1959" s="12">
        <v>-2.4550000000000002E-2</v>
      </c>
      <c r="H1959" s="12">
        <v>4.0300000000000002E-2</v>
      </c>
      <c r="I1959" s="12">
        <v>8.0399999999999999E-2</v>
      </c>
      <c r="J1959" s="9" t="s">
        <v>412</v>
      </c>
      <c r="K1959" s="9" t="s">
        <v>604</v>
      </c>
    </row>
    <row r="1960" spans="1:11" ht="28.8">
      <c r="A1960" s="9" t="s">
        <v>671</v>
      </c>
      <c r="B1960" s="9" t="s">
        <v>602</v>
      </c>
      <c r="C1960" s="9" t="s">
        <v>664</v>
      </c>
      <c r="D1960" s="12">
        <v>-9.0800000000000006E-2</v>
      </c>
      <c r="E1960" s="12">
        <v>-8.6199999999999999E-2</v>
      </c>
      <c r="F1960" s="12">
        <v>6.3899999999999998E-2</v>
      </c>
      <c r="G1960" s="12">
        <v>-8.8499999999999995E-2</v>
      </c>
      <c r="H1960" s="12">
        <v>-3.7699999999999997E-2</v>
      </c>
      <c r="I1960" s="12">
        <v>8.0299999999999996E-2</v>
      </c>
      <c r="J1960" s="9" t="s">
        <v>412</v>
      </c>
      <c r="K1960" s="9" t="s">
        <v>604</v>
      </c>
    </row>
    <row r="1961" spans="1:11" ht="28.8">
      <c r="A1961" s="9" t="s">
        <v>671</v>
      </c>
      <c r="B1961" s="9" t="s">
        <v>686</v>
      </c>
      <c r="C1961" s="9" t="s">
        <v>664</v>
      </c>
      <c r="D1961" s="12">
        <v>-9.0800000000000006E-2</v>
      </c>
      <c r="E1961" s="12">
        <v>0.13</v>
      </c>
      <c r="F1961" s="12">
        <v>-2.01E-2</v>
      </c>
      <c r="G1961" s="12">
        <v>1.9599999999999999E-2</v>
      </c>
      <c r="H1961" s="12">
        <v>6.4000000000000003E-3</v>
      </c>
      <c r="I1961" s="12">
        <v>8.0299999999999996E-2</v>
      </c>
      <c r="J1961" s="9" t="s">
        <v>412</v>
      </c>
      <c r="K1961" s="9" t="s">
        <v>604</v>
      </c>
    </row>
    <row r="1962" spans="1:11">
      <c r="A1962" s="9" t="s">
        <v>682</v>
      </c>
      <c r="B1962" s="9" t="s">
        <v>602</v>
      </c>
      <c r="C1962" s="9" t="s">
        <v>659</v>
      </c>
      <c r="D1962" s="12">
        <v>0.1188</v>
      </c>
      <c r="E1962" s="12">
        <v>9.5699999999999993E-2</v>
      </c>
      <c r="F1962" s="12">
        <v>-2.64E-2</v>
      </c>
      <c r="G1962" s="12">
        <v>0.10725</v>
      </c>
      <c r="H1962" s="12">
        <v>6.2700000000000006E-2</v>
      </c>
      <c r="I1962" s="12">
        <v>8.0299999999999996E-2</v>
      </c>
      <c r="J1962" s="9" t="s">
        <v>412</v>
      </c>
      <c r="K1962" s="9" t="s">
        <v>604</v>
      </c>
    </row>
    <row r="1963" spans="1:11">
      <c r="A1963" s="9" t="s">
        <v>662</v>
      </c>
      <c r="B1963" s="9" t="s">
        <v>681</v>
      </c>
      <c r="C1963" s="9" t="s">
        <v>663</v>
      </c>
      <c r="D1963" s="12">
        <v>7.4700000000000003E-2</v>
      </c>
      <c r="E1963" s="12">
        <v>0.1535</v>
      </c>
      <c r="F1963" s="12">
        <v>1.23E-2</v>
      </c>
      <c r="G1963" s="12">
        <v>0.11410000000000001</v>
      </c>
      <c r="H1963" s="12">
        <v>8.0199999999999994E-2</v>
      </c>
      <c r="I1963" s="12">
        <v>8.0199999999999994E-2</v>
      </c>
      <c r="J1963" s="9" t="s">
        <v>412</v>
      </c>
      <c r="K1963" s="9" t="s">
        <v>654</v>
      </c>
    </row>
    <row r="1964" spans="1:11" ht="28.8">
      <c r="A1964" s="9" t="s">
        <v>610</v>
      </c>
      <c r="B1964" s="9" t="s">
        <v>687</v>
      </c>
      <c r="C1964" s="9" t="s">
        <v>666</v>
      </c>
      <c r="D1964" s="12">
        <v>9.5000000000000001E-2</v>
      </c>
      <c r="E1964" s="12">
        <v>1.24E-2</v>
      </c>
      <c r="F1964" s="12">
        <v>0.1331</v>
      </c>
      <c r="G1964" s="12">
        <v>5.3699999999999998E-2</v>
      </c>
      <c r="H1964" s="12">
        <v>8.0199999999999994E-2</v>
      </c>
      <c r="I1964" s="12">
        <v>8.0199999999999994E-2</v>
      </c>
      <c r="J1964" s="9" t="s">
        <v>412</v>
      </c>
      <c r="K1964" s="9" t="s">
        <v>654</v>
      </c>
    </row>
    <row r="1965" spans="1:11" ht="28.8">
      <c r="A1965" s="9" t="s">
        <v>609</v>
      </c>
      <c r="B1965" s="9" t="s">
        <v>691</v>
      </c>
      <c r="C1965" s="9" t="s">
        <v>601</v>
      </c>
      <c r="D1965" s="12">
        <v>-0.1671</v>
      </c>
      <c r="E1965" s="12">
        <v>4.9399999999999999E-2</v>
      </c>
      <c r="F1965" s="12">
        <v>2.4299999999999999E-2</v>
      </c>
      <c r="G1965" s="12">
        <v>-5.885E-2</v>
      </c>
      <c r="H1965" s="12">
        <v>-3.1099999999999999E-2</v>
      </c>
      <c r="I1965" s="12">
        <v>8.0199999999999994E-2</v>
      </c>
      <c r="J1965" s="9" t="s">
        <v>412</v>
      </c>
      <c r="K1965" s="9" t="s">
        <v>604</v>
      </c>
    </row>
    <row r="1966" spans="1:11" ht="28.8">
      <c r="A1966" s="9" t="s">
        <v>609</v>
      </c>
      <c r="B1966" s="9" t="s">
        <v>673</v>
      </c>
      <c r="C1966" s="9" t="s">
        <v>664</v>
      </c>
      <c r="D1966" s="12">
        <v>-6.5699999999999995E-2</v>
      </c>
      <c r="E1966" s="12">
        <v>-7.1300000000000002E-2</v>
      </c>
      <c r="F1966" s="12">
        <v>-0.10340000000000001</v>
      </c>
      <c r="G1966" s="12">
        <v>-6.8500000000000005E-2</v>
      </c>
      <c r="H1966" s="12">
        <v>-8.0100000000000005E-2</v>
      </c>
      <c r="I1966" s="12">
        <v>8.0100000000000005E-2</v>
      </c>
      <c r="J1966" s="9" t="s">
        <v>412</v>
      </c>
      <c r="K1966" s="9" t="s">
        <v>604</v>
      </c>
    </row>
    <row r="1967" spans="1:11" ht="28.8">
      <c r="A1967" s="9" t="s">
        <v>662</v>
      </c>
      <c r="B1967" s="9" t="s">
        <v>672</v>
      </c>
      <c r="C1967" s="9" t="s">
        <v>674</v>
      </c>
      <c r="D1967" s="12">
        <v>0.17680000000000001</v>
      </c>
      <c r="E1967" s="12">
        <v>1.0999999999999999E-2</v>
      </c>
      <c r="F1967" s="12">
        <v>5.2299999999999999E-2</v>
      </c>
      <c r="G1967" s="12">
        <v>9.3900000000000011E-2</v>
      </c>
      <c r="H1967" s="12">
        <v>0.08</v>
      </c>
      <c r="I1967" s="12">
        <v>0.08</v>
      </c>
      <c r="J1967" s="9" t="s">
        <v>412</v>
      </c>
      <c r="K1967" s="9" t="s">
        <v>654</v>
      </c>
    </row>
    <row r="1968" spans="1:11">
      <c r="A1968" s="9" t="s">
        <v>662</v>
      </c>
      <c r="B1968" s="9" t="s">
        <v>691</v>
      </c>
      <c r="C1968" s="9" t="s">
        <v>659</v>
      </c>
      <c r="D1968" s="12">
        <v>-8.3599999999999994E-2</v>
      </c>
      <c r="E1968" s="12">
        <v>7.0099999999999996E-2</v>
      </c>
      <c r="F1968" s="12">
        <v>-8.5900000000000004E-2</v>
      </c>
      <c r="G1968" s="12">
        <v>-6.7499999999999991E-3</v>
      </c>
      <c r="H1968" s="12">
        <v>-3.3099999999999997E-2</v>
      </c>
      <c r="I1968" s="12">
        <v>7.9899999999999999E-2</v>
      </c>
      <c r="J1968" s="9" t="s">
        <v>412</v>
      </c>
      <c r="K1968" s="9" t="s">
        <v>604</v>
      </c>
    </row>
    <row r="1969" spans="1:11" ht="28.8">
      <c r="A1969" s="9" t="s">
        <v>609</v>
      </c>
      <c r="B1969" s="9" t="s">
        <v>681</v>
      </c>
      <c r="C1969" s="9" t="s">
        <v>683</v>
      </c>
      <c r="D1969" s="12">
        <v>-0.105</v>
      </c>
      <c r="E1969" s="12">
        <v>-2E-3</v>
      </c>
      <c r="F1969" s="12">
        <v>-0.13270000000000001</v>
      </c>
      <c r="G1969" s="12">
        <v>-5.3499999999999999E-2</v>
      </c>
      <c r="H1969" s="12">
        <v>-7.9899999999999999E-2</v>
      </c>
      <c r="I1969" s="12">
        <v>7.9899999999999999E-2</v>
      </c>
      <c r="J1969" s="9" t="s">
        <v>412</v>
      </c>
      <c r="K1969" s="9" t="s">
        <v>604</v>
      </c>
    </row>
    <row r="1970" spans="1:11" ht="28.8">
      <c r="A1970" s="9" t="s">
        <v>682</v>
      </c>
      <c r="B1970" s="9" t="s">
        <v>602</v>
      </c>
      <c r="C1970" s="9" t="s">
        <v>664</v>
      </c>
      <c r="D1970" s="12">
        <v>-0.08</v>
      </c>
      <c r="E1970" s="12">
        <v>9.5699999999999993E-2</v>
      </c>
      <c r="F1970" s="12">
        <v>6.3899999999999998E-2</v>
      </c>
      <c r="G1970" s="12">
        <v>7.8499999999999959E-3</v>
      </c>
      <c r="H1970" s="12">
        <v>2.6499999999999999E-2</v>
      </c>
      <c r="I1970" s="12">
        <v>7.9899999999999999E-2</v>
      </c>
      <c r="J1970" s="9" t="s">
        <v>412</v>
      </c>
      <c r="K1970" s="9" t="s">
        <v>604</v>
      </c>
    </row>
    <row r="1971" spans="1:11" ht="28.8">
      <c r="A1971" s="9" t="s">
        <v>671</v>
      </c>
      <c r="B1971" s="9" t="s">
        <v>681</v>
      </c>
      <c r="C1971" s="9" t="s">
        <v>667</v>
      </c>
      <c r="D1971" s="12">
        <v>0.14219999999999999</v>
      </c>
      <c r="E1971" s="12">
        <v>7.1800000000000003E-2</v>
      </c>
      <c r="F1971" s="12">
        <v>2.58E-2</v>
      </c>
      <c r="G1971" s="12">
        <v>0.107</v>
      </c>
      <c r="H1971" s="12">
        <v>7.9899999999999999E-2</v>
      </c>
      <c r="I1971" s="12">
        <v>7.9899999999999999E-2</v>
      </c>
      <c r="J1971" s="9" t="s">
        <v>412</v>
      </c>
      <c r="K1971" s="9" t="s">
        <v>654</v>
      </c>
    </row>
    <row r="1972" spans="1:11" ht="28.8">
      <c r="A1972" s="9" t="s">
        <v>671</v>
      </c>
      <c r="B1972" s="9" t="s">
        <v>657</v>
      </c>
      <c r="C1972" s="9" t="s">
        <v>690</v>
      </c>
      <c r="D1972" s="12">
        <v>-7.0199999999999999E-2</v>
      </c>
      <c r="E1972" s="12">
        <v>-0.1326</v>
      </c>
      <c r="F1972" s="12">
        <v>3.61E-2</v>
      </c>
      <c r="G1972" s="12">
        <v>-0.10139999999999999</v>
      </c>
      <c r="H1972" s="12">
        <v>-5.5599999999999997E-2</v>
      </c>
      <c r="I1972" s="12">
        <v>7.9699999999999993E-2</v>
      </c>
      <c r="J1972" s="9" t="s">
        <v>412</v>
      </c>
      <c r="K1972" s="9" t="s">
        <v>604</v>
      </c>
    </row>
    <row r="1973" spans="1:11" ht="28.8">
      <c r="A1973" s="9" t="s">
        <v>662</v>
      </c>
      <c r="B1973" s="9" t="s">
        <v>660</v>
      </c>
      <c r="C1973" s="9" t="s">
        <v>690</v>
      </c>
      <c r="D1973" s="12">
        <v>-3.1300000000000001E-2</v>
      </c>
      <c r="E1973" s="12">
        <v>-0.1187</v>
      </c>
      <c r="F1973" s="12">
        <v>-8.8499999999999995E-2</v>
      </c>
      <c r="G1973" s="12">
        <v>-7.4999999999999997E-2</v>
      </c>
      <c r="H1973" s="12">
        <v>-7.9500000000000001E-2</v>
      </c>
      <c r="I1973" s="12">
        <v>7.9500000000000001E-2</v>
      </c>
      <c r="J1973" s="9" t="s">
        <v>412</v>
      </c>
      <c r="K1973" s="9" t="s">
        <v>604</v>
      </c>
    </row>
    <row r="1974" spans="1:11">
      <c r="A1974" s="9" t="s">
        <v>682</v>
      </c>
      <c r="B1974" s="9" t="s">
        <v>681</v>
      </c>
      <c r="C1974" s="9" t="s">
        <v>663</v>
      </c>
      <c r="D1974" s="12">
        <v>-6.7400000000000002E-2</v>
      </c>
      <c r="E1974" s="12">
        <v>0.15890000000000001</v>
      </c>
      <c r="F1974" s="12">
        <v>1.23E-2</v>
      </c>
      <c r="G1974" s="12">
        <v>4.5750000000000006E-2</v>
      </c>
      <c r="H1974" s="12">
        <v>3.4599999999999999E-2</v>
      </c>
      <c r="I1974" s="12">
        <v>7.9500000000000001E-2</v>
      </c>
      <c r="J1974" s="9" t="s">
        <v>412</v>
      </c>
      <c r="K1974" s="9" t="s">
        <v>604</v>
      </c>
    </row>
    <row r="1975" spans="1:11" ht="28.8">
      <c r="A1975" s="9" t="s">
        <v>661</v>
      </c>
      <c r="B1975" s="9" t="s">
        <v>678</v>
      </c>
      <c r="C1975" s="9" t="s">
        <v>677</v>
      </c>
      <c r="D1975" s="12">
        <v>2.5700000000000001E-2</v>
      </c>
      <c r="E1975" s="12">
        <v>-0.15379999999999999</v>
      </c>
      <c r="F1975" s="12">
        <v>5.8999999999999997E-2</v>
      </c>
      <c r="G1975" s="12">
        <v>-6.4049999999999996E-2</v>
      </c>
      <c r="H1975" s="12">
        <v>-2.3E-2</v>
      </c>
      <c r="I1975" s="12">
        <v>7.9500000000000001E-2</v>
      </c>
      <c r="J1975" s="9" t="s">
        <v>412</v>
      </c>
      <c r="K1975" s="9" t="s">
        <v>604</v>
      </c>
    </row>
    <row r="1976" spans="1:11" ht="28.8">
      <c r="A1976" s="9" t="s">
        <v>662</v>
      </c>
      <c r="B1976" s="9" t="s">
        <v>665</v>
      </c>
      <c r="C1976" s="9" t="s">
        <v>683</v>
      </c>
      <c r="D1976" s="12">
        <v>-6.0100000000000001E-2</v>
      </c>
      <c r="E1976" s="12">
        <v>-0.1681</v>
      </c>
      <c r="F1976" s="12">
        <v>1.03E-2</v>
      </c>
      <c r="G1976" s="12">
        <v>-0.11410000000000001</v>
      </c>
      <c r="H1976" s="12">
        <v>-7.2599999999999998E-2</v>
      </c>
      <c r="I1976" s="12">
        <v>7.9500000000000001E-2</v>
      </c>
      <c r="J1976" s="9" t="s">
        <v>412</v>
      </c>
      <c r="K1976" s="9" t="s">
        <v>604</v>
      </c>
    </row>
    <row r="1977" spans="1:11" ht="28.8">
      <c r="A1977" s="9" t="s">
        <v>671</v>
      </c>
      <c r="B1977" s="9" t="s">
        <v>665</v>
      </c>
      <c r="C1977" s="9" t="s">
        <v>674</v>
      </c>
      <c r="D1977" s="12">
        <v>-6.2799999999999995E-2</v>
      </c>
      <c r="E1977" s="12">
        <v>0.1009</v>
      </c>
      <c r="F1977" s="12">
        <v>7.4200000000000002E-2</v>
      </c>
      <c r="G1977" s="12">
        <v>1.9050000000000004E-2</v>
      </c>
      <c r="H1977" s="12">
        <v>3.7400000000000003E-2</v>
      </c>
      <c r="I1977" s="12">
        <v>7.9299999999999995E-2</v>
      </c>
      <c r="J1977" s="9" t="s">
        <v>412</v>
      </c>
      <c r="K1977" s="9" t="s">
        <v>604</v>
      </c>
    </row>
    <row r="1978" spans="1:11" ht="28.8">
      <c r="A1978" s="9" t="s">
        <v>682</v>
      </c>
      <c r="B1978" s="9" t="s">
        <v>678</v>
      </c>
      <c r="C1978" s="9" t="s">
        <v>677</v>
      </c>
      <c r="D1978" s="12">
        <v>1.23E-2</v>
      </c>
      <c r="E1978" s="12">
        <v>-0.16669999999999999</v>
      </c>
      <c r="F1978" s="12">
        <v>5.8999999999999997E-2</v>
      </c>
      <c r="G1978" s="12">
        <v>-7.7199999999999991E-2</v>
      </c>
      <c r="H1978" s="12">
        <v>-3.1800000000000002E-2</v>
      </c>
      <c r="I1978" s="12">
        <v>7.9299999999999995E-2</v>
      </c>
      <c r="J1978" s="9" t="s">
        <v>412</v>
      </c>
      <c r="K1978" s="9" t="s">
        <v>604</v>
      </c>
    </row>
    <row r="1979" spans="1:11" ht="28.8">
      <c r="A1979" s="9" t="s">
        <v>682</v>
      </c>
      <c r="B1979" s="9" t="s">
        <v>673</v>
      </c>
      <c r="C1979" s="9" t="s">
        <v>690</v>
      </c>
      <c r="D1979" s="12">
        <v>-7.1099999999999997E-2</v>
      </c>
      <c r="E1979" s="12">
        <v>-1.3899999999999999E-2</v>
      </c>
      <c r="F1979" s="12">
        <v>-0.15279999999999999</v>
      </c>
      <c r="G1979" s="12">
        <v>-4.2499999999999996E-2</v>
      </c>
      <c r="H1979" s="12">
        <v>-7.9299999999999995E-2</v>
      </c>
      <c r="I1979" s="12">
        <v>7.9299999999999995E-2</v>
      </c>
      <c r="J1979" s="9" t="s">
        <v>412</v>
      </c>
      <c r="K1979" s="9" t="s">
        <v>604</v>
      </c>
    </row>
    <row r="1980" spans="1:11" ht="28.8">
      <c r="A1980" s="9" t="s">
        <v>679</v>
      </c>
      <c r="B1980" s="9" t="s">
        <v>689</v>
      </c>
      <c r="C1980" s="9" t="s">
        <v>664</v>
      </c>
      <c r="D1980" s="12">
        <v>0.1353</v>
      </c>
      <c r="E1980" s="12">
        <v>-7.0900000000000005E-2</v>
      </c>
      <c r="F1980" s="12">
        <v>3.1800000000000002E-2</v>
      </c>
      <c r="G1980" s="12">
        <v>3.2199999999999999E-2</v>
      </c>
      <c r="H1980" s="12">
        <v>3.2099999999999997E-2</v>
      </c>
      <c r="I1980" s="12">
        <v>7.9299999999999995E-2</v>
      </c>
      <c r="J1980" s="9" t="s">
        <v>412</v>
      </c>
      <c r="K1980" s="9" t="s">
        <v>604</v>
      </c>
    </row>
    <row r="1981" spans="1:11" ht="28.8">
      <c r="A1981" s="9" t="s">
        <v>679</v>
      </c>
      <c r="B1981" s="9" t="s">
        <v>688</v>
      </c>
      <c r="C1981" s="9" t="s">
        <v>656</v>
      </c>
      <c r="D1981" s="12">
        <v>-2.2700000000000001E-2</v>
      </c>
      <c r="E1981" s="12">
        <v>0.14299999999999999</v>
      </c>
      <c r="F1981" s="12">
        <v>7.1499999999999994E-2</v>
      </c>
      <c r="G1981" s="12">
        <v>6.0149999999999995E-2</v>
      </c>
      <c r="H1981" s="12">
        <v>6.3899999999999998E-2</v>
      </c>
      <c r="I1981" s="12">
        <v>7.9100000000000004E-2</v>
      </c>
      <c r="J1981" s="9" t="s">
        <v>412</v>
      </c>
      <c r="K1981" s="9" t="s">
        <v>604</v>
      </c>
    </row>
    <row r="1982" spans="1:11" ht="28.8">
      <c r="A1982" s="9" t="s">
        <v>603</v>
      </c>
      <c r="B1982" s="9" t="s">
        <v>689</v>
      </c>
      <c r="C1982" s="9" t="s">
        <v>667</v>
      </c>
      <c r="D1982" s="12">
        <v>-6.3299999999999995E-2</v>
      </c>
      <c r="E1982" s="12">
        <v>2.1399999999999999E-2</v>
      </c>
      <c r="F1982" s="12">
        <v>-0.15240000000000001</v>
      </c>
      <c r="G1982" s="12">
        <v>-2.0949999999999996E-2</v>
      </c>
      <c r="H1982" s="12">
        <v>-6.4699999999999994E-2</v>
      </c>
      <c r="I1982" s="12">
        <v>7.9000000000000001E-2</v>
      </c>
      <c r="J1982" s="9" t="s">
        <v>412</v>
      </c>
      <c r="K1982" s="9" t="s">
        <v>604</v>
      </c>
    </row>
    <row r="1983" spans="1:11" ht="28.8">
      <c r="A1983" s="9" t="s">
        <v>679</v>
      </c>
      <c r="B1983" s="9" t="s">
        <v>665</v>
      </c>
      <c r="C1983" s="9" t="s">
        <v>690</v>
      </c>
      <c r="D1983" s="12">
        <v>-6.6900000000000001E-2</v>
      </c>
      <c r="E1983" s="12">
        <v>7.6399999999999996E-2</v>
      </c>
      <c r="F1983" s="12">
        <v>-9.3799999999999994E-2</v>
      </c>
      <c r="G1983" s="12">
        <v>4.7499999999999973E-3</v>
      </c>
      <c r="H1983" s="12">
        <v>-2.81E-2</v>
      </c>
      <c r="I1983" s="12">
        <v>7.9000000000000001E-2</v>
      </c>
      <c r="J1983" s="9" t="s">
        <v>412</v>
      </c>
      <c r="K1983" s="9" t="s">
        <v>604</v>
      </c>
    </row>
    <row r="1984" spans="1:11" ht="28.8">
      <c r="A1984" s="9" t="s">
        <v>661</v>
      </c>
      <c r="B1984" s="9" t="s">
        <v>669</v>
      </c>
      <c r="C1984" s="9" t="s">
        <v>690</v>
      </c>
      <c r="D1984" s="12">
        <v>3.3700000000000001E-2</v>
      </c>
      <c r="E1984" s="12">
        <v>9.1800000000000007E-2</v>
      </c>
      <c r="F1984" s="12">
        <v>-0.11119999999999999</v>
      </c>
      <c r="G1984" s="12">
        <v>6.275E-2</v>
      </c>
      <c r="H1984" s="12">
        <v>4.7999999999999996E-3</v>
      </c>
      <c r="I1984" s="12">
        <v>7.8899999999999998E-2</v>
      </c>
      <c r="J1984" s="9" t="s">
        <v>412</v>
      </c>
      <c r="K1984" s="9" t="s">
        <v>604</v>
      </c>
    </row>
    <row r="1985" spans="1:11" ht="28.8">
      <c r="A1985" s="9" t="s">
        <v>682</v>
      </c>
      <c r="B1985" s="9" t="s">
        <v>688</v>
      </c>
      <c r="C1985" s="9" t="s">
        <v>601</v>
      </c>
      <c r="D1985" s="12">
        <v>-3.2099999999999997E-2</v>
      </c>
      <c r="E1985" s="12">
        <v>5.6800000000000003E-2</v>
      </c>
      <c r="F1985" s="12">
        <v>-0.1477</v>
      </c>
      <c r="G1985" s="12">
        <v>1.2350000000000003E-2</v>
      </c>
      <c r="H1985" s="12">
        <v>-4.1000000000000002E-2</v>
      </c>
      <c r="I1985" s="12">
        <v>7.8899999999999998E-2</v>
      </c>
      <c r="J1985" s="9" t="s">
        <v>412</v>
      </c>
      <c r="K1985" s="9" t="s">
        <v>604</v>
      </c>
    </row>
    <row r="1986" spans="1:11" ht="28.8">
      <c r="A1986" s="9" t="s">
        <v>661</v>
      </c>
      <c r="B1986" s="9" t="s">
        <v>665</v>
      </c>
      <c r="C1986" s="9" t="s">
        <v>683</v>
      </c>
      <c r="D1986" s="12">
        <v>-5.3400000000000003E-2</v>
      </c>
      <c r="E1986" s="12">
        <v>0.1731</v>
      </c>
      <c r="F1986" s="12">
        <v>1.03E-2</v>
      </c>
      <c r="G1986" s="12">
        <v>5.985E-2</v>
      </c>
      <c r="H1986" s="12">
        <v>4.3299999999999998E-2</v>
      </c>
      <c r="I1986" s="12">
        <v>7.8899999999999998E-2</v>
      </c>
      <c r="J1986" s="9" t="s">
        <v>412</v>
      </c>
      <c r="K1986" s="9" t="s">
        <v>604</v>
      </c>
    </row>
    <row r="1987" spans="1:11" ht="28.8">
      <c r="A1987" s="9" t="s">
        <v>679</v>
      </c>
      <c r="B1987" s="9" t="s">
        <v>668</v>
      </c>
      <c r="C1987" s="9" t="s">
        <v>664</v>
      </c>
      <c r="D1987" s="12">
        <v>0.1353</v>
      </c>
      <c r="E1987" s="12">
        <v>-3.3300000000000003E-2</v>
      </c>
      <c r="F1987" s="12">
        <v>6.7799999999999999E-2</v>
      </c>
      <c r="G1987" s="12">
        <v>5.1000000000000004E-2</v>
      </c>
      <c r="H1987" s="12">
        <v>5.6599999999999998E-2</v>
      </c>
      <c r="I1987" s="12">
        <v>7.8799999999999995E-2</v>
      </c>
      <c r="J1987" s="9" t="s">
        <v>412</v>
      </c>
      <c r="K1987" s="9" t="s">
        <v>604</v>
      </c>
    </row>
    <row r="1988" spans="1:11" ht="28.8">
      <c r="A1988" s="9" t="s">
        <v>661</v>
      </c>
      <c r="B1988" s="9" t="s">
        <v>669</v>
      </c>
      <c r="C1988" s="9" t="s">
        <v>677</v>
      </c>
      <c r="D1988" s="12">
        <v>2.5700000000000001E-2</v>
      </c>
      <c r="E1988" s="12">
        <v>9.1800000000000007E-2</v>
      </c>
      <c r="F1988" s="12">
        <v>-0.1188</v>
      </c>
      <c r="G1988" s="12">
        <v>5.8750000000000004E-2</v>
      </c>
      <c r="H1988" s="12">
        <v>-4.0000000000000002E-4</v>
      </c>
      <c r="I1988" s="12">
        <v>7.8799999999999995E-2</v>
      </c>
      <c r="J1988" s="9" t="s">
        <v>412</v>
      </c>
      <c r="K1988" s="9" t="s">
        <v>604</v>
      </c>
    </row>
    <row r="1989" spans="1:11">
      <c r="A1989" s="9" t="s">
        <v>662</v>
      </c>
      <c r="B1989" s="9" t="s">
        <v>660</v>
      </c>
      <c r="C1989" s="9" t="s">
        <v>659</v>
      </c>
      <c r="D1989" s="12">
        <v>-8.3599999999999994E-2</v>
      </c>
      <c r="E1989" s="12">
        <v>-0.1187</v>
      </c>
      <c r="F1989" s="12">
        <v>3.3799999999999997E-2</v>
      </c>
      <c r="G1989" s="12">
        <v>-0.10114999999999999</v>
      </c>
      <c r="H1989" s="12">
        <v>-5.62E-2</v>
      </c>
      <c r="I1989" s="12">
        <v>7.8700000000000006E-2</v>
      </c>
      <c r="J1989" s="9" t="s">
        <v>412</v>
      </c>
      <c r="K1989" s="9" t="s">
        <v>604</v>
      </c>
    </row>
    <row r="1990" spans="1:11" ht="28.8">
      <c r="A1990" s="9" t="s">
        <v>671</v>
      </c>
      <c r="B1990" s="9" t="s">
        <v>681</v>
      </c>
      <c r="C1990" s="9" t="s">
        <v>677</v>
      </c>
      <c r="D1990" s="12">
        <v>6.8900000000000003E-2</v>
      </c>
      <c r="E1990" s="12">
        <v>7.1800000000000003E-2</v>
      </c>
      <c r="F1990" s="12">
        <v>-9.5399999999999999E-2</v>
      </c>
      <c r="G1990" s="12">
        <v>7.0349999999999996E-2</v>
      </c>
      <c r="H1990" s="12">
        <v>1.5100000000000001E-2</v>
      </c>
      <c r="I1990" s="12">
        <v>7.8700000000000006E-2</v>
      </c>
      <c r="J1990" s="9" t="s">
        <v>412</v>
      </c>
      <c r="K1990" s="9" t="s">
        <v>604</v>
      </c>
    </row>
    <row r="1991" spans="1:11" ht="28.8">
      <c r="A1991" s="9" t="s">
        <v>679</v>
      </c>
      <c r="B1991" s="9" t="s">
        <v>658</v>
      </c>
      <c r="C1991" s="9" t="s">
        <v>667</v>
      </c>
      <c r="D1991" s="12">
        <v>-0.12280000000000001</v>
      </c>
      <c r="E1991" s="12">
        <v>3.4000000000000002E-2</v>
      </c>
      <c r="F1991" s="12">
        <v>7.9000000000000001E-2</v>
      </c>
      <c r="G1991" s="12">
        <v>-4.4400000000000002E-2</v>
      </c>
      <c r="H1991" s="12">
        <v>-3.3E-3</v>
      </c>
      <c r="I1991" s="12">
        <v>7.8600000000000003E-2</v>
      </c>
      <c r="J1991" s="9" t="s">
        <v>412</v>
      </c>
      <c r="K1991" s="9" t="s">
        <v>604</v>
      </c>
    </row>
    <row r="1992" spans="1:11" ht="28.8">
      <c r="A1992" s="9" t="s">
        <v>671</v>
      </c>
      <c r="B1992" s="9" t="s">
        <v>684</v>
      </c>
      <c r="C1992" s="9" t="s">
        <v>655</v>
      </c>
      <c r="D1992" s="12">
        <v>0.1215</v>
      </c>
      <c r="E1992" s="12">
        <v>-3.3399999999999999E-2</v>
      </c>
      <c r="F1992" s="12">
        <v>8.1100000000000005E-2</v>
      </c>
      <c r="G1992" s="12">
        <v>4.4049999999999999E-2</v>
      </c>
      <c r="H1992" s="12">
        <v>5.6399999999999999E-2</v>
      </c>
      <c r="I1992" s="12">
        <v>7.8600000000000003E-2</v>
      </c>
      <c r="J1992" s="9" t="s">
        <v>412</v>
      </c>
      <c r="K1992" s="9" t="s">
        <v>604</v>
      </c>
    </row>
    <row r="1993" spans="1:11" ht="28.8">
      <c r="A1993" s="9" t="s">
        <v>610</v>
      </c>
      <c r="B1993" s="9" t="s">
        <v>687</v>
      </c>
      <c r="C1993" s="9" t="s">
        <v>675</v>
      </c>
      <c r="D1993" s="12">
        <v>-2.1399999999999999E-2</v>
      </c>
      <c r="E1993" s="12">
        <v>1.24E-2</v>
      </c>
      <c r="F1993" s="12">
        <v>0.20180000000000001</v>
      </c>
      <c r="G1993" s="12">
        <v>-4.4999999999999997E-3</v>
      </c>
      <c r="H1993" s="12">
        <v>6.4299999999999996E-2</v>
      </c>
      <c r="I1993" s="12">
        <v>7.85E-2</v>
      </c>
      <c r="J1993" s="9" t="s">
        <v>412</v>
      </c>
      <c r="K1993" s="9" t="s">
        <v>604</v>
      </c>
    </row>
    <row r="1994" spans="1:11" ht="28.8">
      <c r="A1994" s="9" t="s">
        <v>661</v>
      </c>
      <c r="B1994" s="9" t="s">
        <v>668</v>
      </c>
      <c r="C1994" s="9" t="s">
        <v>674</v>
      </c>
      <c r="D1994" s="12">
        <v>6.8199999999999997E-2</v>
      </c>
      <c r="E1994" s="12">
        <v>-0.13339999999999999</v>
      </c>
      <c r="F1994" s="12">
        <v>3.4000000000000002E-2</v>
      </c>
      <c r="G1994" s="12">
        <v>-3.2599999999999997E-2</v>
      </c>
      <c r="H1994" s="12">
        <v>-1.04E-2</v>
      </c>
      <c r="I1994" s="12">
        <v>7.85E-2</v>
      </c>
      <c r="J1994" s="9" t="s">
        <v>412</v>
      </c>
      <c r="K1994" s="9" t="s">
        <v>604</v>
      </c>
    </row>
    <row r="1995" spans="1:11" ht="28.8">
      <c r="A1995" s="9" t="s">
        <v>679</v>
      </c>
      <c r="B1995" s="9" t="s">
        <v>678</v>
      </c>
      <c r="C1995" s="9" t="s">
        <v>667</v>
      </c>
      <c r="D1995" s="12">
        <v>-0.12280000000000001</v>
      </c>
      <c r="E1995" s="12">
        <v>-9.2299999999999993E-2</v>
      </c>
      <c r="F1995" s="12">
        <v>-2.01E-2</v>
      </c>
      <c r="G1995" s="12">
        <v>-0.10755000000000001</v>
      </c>
      <c r="H1995" s="12">
        <v>-7.8399999999999997E-2</v>
      </c>
      <c r="I1995" s="12">
        <v>7.8399999999999997E-2</v>
      </c>
      <c r="J1995" s="9" t="s">
        <v>412</v>
      </c>
      <c r="K1995" s="9" t="s">
        <v>604</v>
      </c>
    </row>
    <row r="1996" spans="1:11" ht="28.8">
      <c r="A1996" s="9" t="s">
        <v>662</v>
      </c>
      <c r="B1996" s="9" t="s">
        <v>653</v>
      </c>
      <c r="C1996" s="9" t="s">
        <v>690</v>
      </c>
      <c r="D1996" s="12">
        <v>-3.1300000000000001E-2</v>
      </c>
      <c r="E1996" s="12">
        <v>-0.2021</v>
      </c>
      <c r="F1996" s="12">
        <v>-1.1999999999999999E-3</v>
      </c>
      <c r="G1996" s="12">
        <v>-0.1167</v>
      </c>
      <c r="H1996" s="12">
        <v>-7.8200000000000006E-2</v>
      </c>
      <c r="I1996" s="12">
        <v>7.8200000000000006E-2</v>
      </c>
      <c r="J1996" s="9" t="s">
        <v>412</v>
      </c>
      <c r="K1996" s="9" t="s">
        <v>604</v>
      </c>
    </row>
    <row r="1997" spans="1:11">
      <c r="A1997" s="9" t="s">
        <v>662</v>
      </c>
      <c r="B1997" s="9" t="s">
        <v>691</v>
      </c>
      <c r="C1997" s="9" t="s">
        <v>667</v>
      </c>
      <c r="D1997" s="12">
        <v>0.12540000000000001</v>
      </c>
      <c r="E1997" s="12">
        <v>7.0099999999999996E-2</v>
      </c>
      <c r="F1997" s="12">
        <v>-3.8699999999999998E-2</v>
      </c>
      <c r="G1997" s="12">
        <v>9.7750000000000004E-2</v>
      </c>
      <c r="H1997" s="12">
        <v>5.2299999999999999E-2</v>
      </c>
      <c r="I1997" s="12">
        <v>7.8100000000000003E-2</v>
      </c>
      <c r="J1997" s="9" t="s">
        <v>412</v>
      </c>
      <c r="K1997" s="9" t="s">
        <v>604</v>
      </c>
    </row>
    <row r="1998" spans="1:11" ht="28.8">
      <c r="A1998" s="9" t="s">
        <v>679</v>
      </c>
      <c r="B1998" s="9" t="s">
        <v>684</v>
      </c>
      <c r="C1998" s="9" t="s">
        <v>601</v>
      </c>
      <c r="D1998" s="12">
        <v>-8.3900000000000002E-2</v>
      </c>
      <c r="E1998" s="12">
        <v>-7.2800000000000004E-2</v>
      </c>
      <c r="F1998" s="12">
        <v>-7.7700000000000005E-2</v>
      </c>
      <c r="G1998" s="12">
        <v>-7.8350000000000003E-2</v>
      </c>
      <c r="H1998" s="12">
        <v>-7.8100000000000003E-2</v>
      </c>
      <c r="I1998" s="12">
        <v>7.8100000000000003E-2</v>
      </c>
      <c r="J1998" s="9" t="s">
        <v>412</v>
      </c>
      <c r="K1998" s="9" t="s">
        <v>604</v>
      </c>
    </row>
    <row r="1999" spans="1:11" ht="28.8">
      <c r="A1999" s="9" t="s">
        <v>679</v>
      </c>
      <c r="B1999" s="9" t="s">
        <v>668</v>
      </c>
      <c r="C1999" s="9" t="s">
        <v>683</v>
      </c>
      <c r="D1999" s="12">
        <v>0.16389999999999999</v>
      </c>
      <c r="E1999" s="12">
        <v>-3.3300000000000003E-2</v>
      </c>
      <c r="F1999" s="12">
        <v>3.6700000000000003E-2</v>
      </c>
      <c r="G1999" s="12">
        <v>6.5299999999999997E-2</v>
      </c>
      <c r="H1999" s="12">
        <v>5.57E-2</v>
      </c>
      <c r="I1999" s="12">
        <v>7.8E-2</v>
      </c>
      <c r="J1999" s="9" t="s">
        <v>412</v>
      </c>
      <c r="K1999" s="9" t="s">
        <v>604</v>
      </c>
    </row>
    <row r="2000" spans="1:11" ht="28.8">
      <c r="A2000" s="9" t="s">
        <v>603</v>
      </c>
      <c r="B2000" s="9" t="s">
        <v>602</v>
      </c>
      <c r="C2000" s="9" t="s">
        <v>659</v>
      </c>
      <c r="D2000" s="12">
        <v>-0.17230000000000001</v>
      </c>
      <c r="E2000" s="12">
        <v>3.5099999999999999E-2</v>
      </c>
      <c r="F2000" s="12">
        <v>-2.64E-2</v>
      </c>
      <c r="G2000" s="12">
        <v>-6.8600000000000008E-2</v>
      </c>
      <c r="H2000" s="12">
        <v>-5.45E-2</v>
      </c>
      <c r="I2000" s="12">
        <v>7.7899999999999997E-2</v>
      </c>
      <c r="J2000" s="9" t="s">
        <v>412</v>
      </c>
      <c r="K2000" s="9" t="s">
        <v>604</v>
      </c>
    </row>
    <row r="2001" spans="1:11" ht="28.8">
      <c r="A2001" s="9" t="s">
        <v>671</v>
      </c>
      <c r="B2001" s="9" t="s">
        <v>691</v>
      </c>
      <c r="C2001" s="9" t="s">
        <v>656</v>
      </c>
      <c r="D2001" s="12">
        <v>6.54E-2</v>
      </c>
      <c r="E2001" s="12">
        <v>-0.1353</v>
      </c>
      <c r="F2001" s="12">
        <v>-3.2500000000000001E-2</v>
      </c>
      <c r="G2001" s="12">
        <v>-3.4950000000000002E-2</v>
      </c>
      <c r="H2001" s="12">
        <v>-3.4200000000000001E-2</v>
      </c>
      <c r="I2001" s="12">
        <v>7.7799999999999994E-2</v>
      </c>
      <c r="J2001" s="9" t="s">
        <v>412</v>
      </c>
      <c r="K2001" s="9" t="s">
        <v>604</v>
      </c>
    </row>
    <row r="2002" spans="1:11" ht="28.8">
      <c r="A2002" s="9" t="s">
        <v>679</v>
      </c>
      <c r="B2002" s="9" t="s">
        <v>613</v>
      </c>
      <c r="C2002" s="9" t="s">
        <v>675</v>
      </c>
      <c r="D2002" s="12">
        <v>4.0599999999999997E-2</v>
      </c>
      <c r="E2002" s="12">
        <v>-0.1157</v>
      </c>
      <c r="F2002" s="12">
        <v>7.7100000000000002E-2</v>
      </c>
      <c r="G2002" s="12">
        <v>-3.755E-2</v>
      </c>
      <c r="H2002" s="12">
        <v>6.9999999999999999E-4</v>
      </c>
      <c r="I2002" s="12">
        <v>7.7799999999999994E-2</v>
      </c>
      <c r="J2002" s="9" t="s">
        <v>412</v>
      </c>
      <c r="K2002" s="9" t="s">
        <v>604</v>
      </c>
    </row>
    <row r="2003" spans="1:11" ht="28.8">
      <c r="A2003" s="9" t="s">
        <v>682</v>
      </c>
      <c r="B2003" s="9" t="s">
        <v>684</v>
      </c>
      <c r="C2003" s="9" t="s">
        <v>675</v>
      </c>
      <c r="D2003" s="12">
        <v>0.06</v>
      </c>
      <c r="E2003" s="12">
        <v>-0.1031</v>
      </c>
      <c r="F2003" s="12">
        <v>-7.0099999999999996E-2</v>
      </c>
      <c r="G2003" s="12">
        <v>-2.155E-2</v>
      </c>
      <c r="H2003" s="12">
        <v>-3.7699999999999997E-2</v>
      </c>
      <c r="I2003" s="12">
        <v>7.7700000000000005E-2</v>
      </c>
      <c r="J2003" s="9" t="s">
        <v>412</v>
      </c>
      <c r="K2003" s="9" t="s">
        <v>604</v>
      </c>
    </row>
    <row r="2004" spans="1:11" ht="28.8">
      <c r="A2004" s="9" t="s">
        <v>682</v>
      </c>
      <c r="B2004" s="9" t="s">
        <v>676</v>
      </c>
      <c r="C2004" s="9" t="s">
        <v>664</v>
      </c>
      <c r="D2004" s="12">
        <v>-0.08</v>
      </c>
      <c r="E2004" s="12">
        <v>0.1517</v>
      </c>
      <c r="F2004" s="12">
        <v>-2.9999999999999997E-4</v>
      </c>
      <c r="G2004" s="12">
        <v>3.585E-2</v>
      </c>
      <c r="H2004" s="12">
        <v>2.3800000000000002E-2</v>
      </c>
      <c r="I2004" s="12">
        <v>7.7299999999999994E-2</v>
      </c>
      <c r="J2004" s="9" t="s">
        <v>412</v>
      </c>
      <c r="K2004" s="9" t="s">
        <v>604</v>
      </c>
    </row>
    <row r="2005" spans="1:11" ht="28.8">
      <c r="A2005" s="9" t="s">
        <v>679</v>
      </c>
      <c r="B2005" s="9" t="s">
        <v>691</v>
      </c>
      <c r="C2005" s="9" t="s">
        <v>656</v>
      </c>
      <c r="D2005" s="12">
        <v>-2.2700000000000001E-2</v>
      </c>
      <c r="E2005" s="12">
        <v>-0.1757</v>
      </c>
      <c r="F2005" s="12">
        <v>-3.2500000000000001E-2</v>
      </c>
      <c r="G2005" s="12">
        <v>-9.9199999999999997E-2</v>
      </c>
      <c r="H2005" s="12">
        <v>-7.6999999999999999E-2</v>
      </c>
      <c r="I2005" s="12">
        <v>7.6999999999999999E-2</v>
      </c>
      <c r="J2005" s="9" t="s">
        <v>412</v>
      </c>
      <c r="K2005" s="9" t="s">
        <v>604</v>
      </c>
    </row>
    <row r="2006" spans="1:11" ht="28.8">
      <c r="A2006" s="9" t="s">
        <v>661</v>
      </c>
      <c r="B2006" s="9" t="s">
        <v>613</v>
      </c>
      <c r="C2006" s="9" t="s">
        <v>677</v>
      </c>
      <c r="D2006" s="12">
        <v>2.5700000000000001E-2</v>
      </c>
      <c r="E2006" s="12">
        <v>3.3000000000000002E-2</v>
      </c>
      <c r="F2006" s="12">
        <v>-0.1721</v>
      </c>
      <c r="G2006" s="12">
        <v>2.9350000000000001E-2</v>
      </c>
      <c r="H2006" s="12">
        <v>-3.78E-2</v>
      </c>
      <c r="I2006" s="12">
        <v>7.6899999999999996E-2</v>
      </c>
      <c r="J2006" s="9" t="s">
        <v>412</v>
      </c>
      <c r="K2006" s="9" t="s">
        <v>604</v>
      </c>
    </row>
    <row r="2007" spans="1:11" ht="28.8">
      <c r="A2007" s="9" t="s">
        <v>610</v>
      </c>
      <c r="B2007" s="9" t="s">
        <v>685</v>
      </c>
      <c r="C2007" s="9" t="s">
        <v>683</v>
      </c>
      <c r="D2007" s="12">
        <v>-8.1500000000000003E-2</v>
      </c>
      <c r="E2007" s="12">
        <v>4.0500000000000001E-2</v>
      </c>
      <c r="F2007" s="12">
        <v>0.108</v>
      </c>
      <c r="G2007" s="12">
        <v>-2.0500000000000001E-2</v>
      </c>
      <c r="H2007" s="12">
        <v>2.23E-2</v>
      </c>
      <c r="I2007" s="12">
        <v>7.6700000000000004E-2</v>
      </c>
      <c r="J2007" s="9" t="s">
        <v>412</v>
      </c>
      <c r="K2007" s="9" t="s">
        <v>604</v>
      </c>
    </row>
    <row r="2008" spans="1:11" ht="28.8">
      <c r="A2008" s="9" t="s">
        <v>679</v>
      </c>
      <c r="B2008" s="9" t="s">
        <v>668</v>
      </c>
      <c r="C2008" s="9" t="s">
        <v>675</v>
      </c>
      <c r="D2008" s="12">
        <v>4.0599999999999997E-2</v>
      </c>
      <c r="E2008" s="12">
        <v>-3.3300000000000003E-2</v>
      </c>
      <c r="F2008" s="12">
        <v>-0.15609999999999999</v>
      </c>
      <c r="G2008" s="12">
        <v>3.649999999999997E-3</v>
      </c>
      <c r="H2008" s="12">
        <v>-4.9599999999999998E-2</v>
      </c>
      <c r="I2008" s="12">
        <v>7.6700000000000004E-2</v>
      </c>
      <c r="J2008" s="9" t="s">
        <v>412</v>
      </c>
      <c r="K2008" s="9" t="s">
        <v>604</v>
      </c>
    </row>
    <row r="2009" spans="1:11" ht="28.8">
      <c r="A2009" s="9" t="s">
        <v>661</v>
      </c>
      <c r="B2009" s="9" t="s">
        <v>669</v>
      </c>
      <c r="C2009" s="9" t="s">
        <v>664</v>
      </c>
      <c r="D2009" s="12">
        <v>-2.4199999999999999E-2</v>
      </c>
      <c r="E2009" s="12">
        <v>9.1800000000000007E-2</v>
      </c>
      <c r="F2009" s="12">
        <v>-0.1138</v>
      </c>
      <c r="G2009" s="12">
        <v>3.3800000000000004E-2</v>
      </c>
      <c r="H2009" s="12">
        <v>-1.54E-2</v>
      </c>
      <c r="I2009" s="12">
        <v>7.6600000000000001E-2</v>
      </c>
      <c r="J2009" s="9" t="s">
        <v>412</v>
      </c>
      <c r="K2009" s="9" t="s">
        <v>604</v>
      </c>
    </row>
    <row r="2010" spans="1:11" ht="28.8">
      <c r="A2010" s="9" t="s">
        <v>682</v>
      </c>
      <c r="B2010" s="9" t="s">
        <v>691</v>
      </c>
      <c r="C2010" s="9" t="s">
        <v>675</v>
      </c>
      <c r="D2010" s="12">
        <v>0.06</v>
      </c>
      <c r="E2010" s="12">
        <v>-0.1062</v>
      </c>
      <c r="F2010" s="12">
        <v>-6.3600000000000004E-2</v>
      </c>
      <c r="G2010" s="12">
        <v>-2.3100000000000002E-2</v>
      </c>
      <c r="H2010" s="12">
        <v>-3.6600000000000001E-2</v>
      </c>
      <c r="I2010" s="12">
        <v>7.6600000000000001E-2</v>
      </c>
      <c r="J2010" s="9" t="s">
        <v>412</v>
      </c>
      <c r="K2010" s="9" t="s">
        <v>604</v>
      </c>
    </row>
    <row r="2011" spans="1:11" ht="28.8">
      <c r="A2011" s="9" t="s">
        <v>662</v>
      </c>
      <c r="B2011" s="9" t="s">
        <v>685</v>
      </c>
      <c r="C2011" s="9" t="s">
        <v>666</v>
      </c>
      <c r="D2011" s="12">
        <v>-0.1094</v>
      </c>
      <c r="E2011" s="12">
        <v>0.1087</v>
      </c>
      <c r="F2011" s="12">
        <v>-1.17E-2</v>
      </c>
      <c r="G2011" s="12">
        <v>-3.4999999999999615E-4</v>
      </c>
      <c r="H2011" s="12">
        <v>-4.1000000000000003E-3</v>
      </c>
      <c r="I2011" s="12">
        <v>7.6600000000000001E-2</v>
      </c>
      <c r="J2011" s="9" t="s">
        <v>412</v>
      </c>
      <c r="K2011" s="9" t="s">
        <v>604</v>
      </c>
    </row>
    <row r="2012" spans="1:11" ht="28.8">
      <c r="A2012" s="9" t="s">
        <v>679</v>
      </c>
      <c r="B2012" s="9" t="s">
        <v>689</v>
      </c>
      <c r="C2012" s="9" t="s">
        <v>655</v>
      </c>
      <c r="D2012" s="12">
        <v>9.4500000000000001E-2</v>
      </c>
      <c r="E2012" s="12">
        <v>-7.0900000000000005E-2</v>
      </c>
      <c r="F2012" s="12">
        <v>-6.4000000000000001E-2</v>
      </c>
      <c r="G2012" s="12">
        <v>1.1799999999999998E-2</v>
      </c>
      <c r="H2012" s="12">
        <v>-1.35E-2</v>
      </c>
      <c r="I2012" s="12">
        <v>7.6499999999999999E-2</v>
      </c>
      <c r="J2012" s="9" t="s">
        <v>412</v>
      </c>
      <c r="K2012" s="9" t="s">
        <v>604</v>
      </c>
    </row>
    <row r="2013" spans="1:11">
      <c r="A2013" s="9" t="s">
        <v>682</v>
      </c>
      <c r="B2013" s="9" t="s">
        <v>673</v>
      </c>
      <c r="C2013" s="9" t="s">
        <v>656</v>
      </c>
      <c r="D2013" s="12">
        <v>-1.9900000000000001E-2</v>
      </c>
      <c r="E2013" s="12">
        <v>-1.3899999999999999E-2</v>
      </c>
      <c r="F2013" s="12">
        <v>-0.19539999999999999</v>
      </c>
      <c r="G2013" s="12">
        <v>-1.6899999999999998E-2</v>
      </c>
      <c r="H2013" s="12">
        <v>-7.6399999999999996E-2</v>
      </c>
      <c r="I2013" s="12">
        <v>7.6399999999999996E-2</v>
      </c>
      <c r="J2013" s="9" t="s">
        <v>412</v>
      </c>
      <c r="K2013" s="9" t="s">
        <v>604</v>
      </c>
    </row>
    <row r="2014" spans="1:11">
      <c r="A2014" s="9" t="s">
        <v>682</v>
      </c>
      <c r="B2014" s="9" t="s">
        <v>687</v>
      </c>
      <c r="C2014" s="9" t="s">
        <v>667</v>
      </c>
      <c r="D2014" s="12">
        <v>-0.02</v>
      </c>
      <c r="E2014" s="12">
        <v>0.13450000000000001</v>
      </c>
      <c r="F2014" s="12">
        <v>-7.4800000000000005E-2</v>
      </c>
      <c r="G2014" s="12">
        <v>5.7250000000000002E-2</v>
      </c>
      <c r="H2014" s="12">
        <v>1.3299999999999999E-2</v>
      </c>
      <c r="I2014" s="12">
        <v>7.6399999999999996E-2</v>
      </c>
      <c r="J2014" s="9" t="s">
        <v>412</v>
      </c>
      <c r="K2014" s="9" t="s">
        <v>604</v>
      </c>
    </row>
    <row r="2015" spans="1:11" ht="28.8">
      <c r="A2015" s="9" t="s">
        <v>662</v>
      </c>
      <c r="B2015" s="9" t="s">
        <v>668</v>
      </c>
      <c r="C2015" s="9" t="s">
        <v>666</v>
      </c>
      <c r="D2015" s="12">
        <v>-0.1094</v>
      </c>
      <c r="E2015" s="12">
        <v>5.5599999999999997E-2</v>
      </c>
      <c r="F2015" s="12">
        <v>-6.4299999999999996E-2</v>
      </c>
      <c r="G2015" s="12">
        <v>-2.69E-2</v>
      </c>
      <c r="H2015" s="12">
        <v>-3.9399999999999998E-2</v>
      </c>
      <c r="I2015" s="12">
        <v>7.6399999999999996E-2</v>
      </c>
      <c r="J2015" s="9" t="s">
        <v>412</v>
      </c>
      <c r="K2015" s="9" t="s">
        <v>604</v>
      </c>
    </row>
    <row r="2016" spans="1:11" ht="28.8">
      <c r="A2016" s="9" t="s">
        <v>662</v>
      </c>
      <c r="B2016" s="9" t="s">
        <v>691</v>
      </c>
      <c r="C2016" s="9" t="s">
        <v>664</v>
      </c>
      <c r="D2016" s="12">
        <v>-2.87E-2</v>
      </c>
      <c r="E2016" s="12">
        <v>7.0099999999999996E-2</v>
      </c>
      <c r="F2016" s="12">
        <v>0.13</v>
      </c>
      <c r="G2016" s="12">
        <v>2.0699999999999996E-2</v>
      </c>
      <c r="H2016" s="12">
        <v>5.7099999999999998E-2</v>
      </c>
      <c r="I2016" s="12">
        <v>7.6300000000000007E-2</v>
      </c>
      <c r="J2016" s="9" t="s">
        <v>412</v>
      </c>
      <c r="K2016" s="9" t="s">
        <v>604</v>
      </c>
    </row>
    <row r="2017" spans="1:11" ht="28.8">
      <c r="A2017" s="9" t="s">
        <v>661</v>
      </c>
      <c r="B2017" s="9" t="s">
        <v>689</v>
      </c>
      <c r="C2017" s="9" t="s">
        <v>683</v>
      </c>
      <c r="D2017" s="12">
        <v>-5.3400000000000003E-2</v>
      </c>
      <c r="E2017" s="12">
        <v>-0.1028</v>
      </c>
      <c r="F2017" s="12">
        <v>-7.22E-2</v>
      </c>
      <c r="G2017" s="12">
        <v>-7.8100000000000003E-2</v>
      </c>
      <c r="H2017" s="12">
        <v>-7.6200000000000004E-2</v>
      </c>
      <c r="I2017" s="12">
        <v>7.6200000000000004E-2</v>
      </c>
      <c r="J2017" s="9" t="s">
        <v>412</v>
      </c>
      <c r="K2017" s="9" t="s">
        <v>604</v>
      </c>
    </row>
    <row r="2018" spans="1:11" ht="28.8">
      <c r="A2018" s="9" t="s">
        <v>662</v>
      </c>
      <c r="B2018" s="9" t="s">
        <v>613</v>
      </c>
      <c r="C2018" s="9" t="s">
        <v>666</v>
      </c>
      <c r="D2018" s="12">
        <v>-0.1094</v>
      </c>
      <c r="E2018" s="12">
        <v>6.2399999999999997E-2</v>
      </c>
      <c r="F2018" s="12">
        <v>5.6399999999999999E-2</v>
      </c>
      <c r="G2018" s="12">
        <v>-2.35E-2</v>
      </c>
      <c r="H2018" s="12">
        <v>3.2000000000000002E-3</v>
      </c>
      <c r="I2018" s="12">
        <v>7.6100000000000001E-2</v>
      </c>
      <c r="J2018" s="9" t="s">
        <v>412</v>
      </c>
      <c r="K2018" s="9" t="s">
        <v>604</v>
      </c>
    </row>
    <row r="2019" spans="1:11" ht="28.8">
      <c r="A2019" s="9" t="s">
        <v>609</v>
      </c>
      <c r="B2019" s="9" t="s">
        <v>665</v>
      </c>
      <c r="C2019" s="9" t="s">
        <v>683</v>
      </c>
      <c r="D2019" s="12">
        <v>-0.105</v>
      </c>
      <c r="E2019" s="12">
        <v>-0.11310000000000001</v>
      </c>
      <c r="F2019" s="12">
        <v>1.03E-2</v>
      </c>
      <c r="G2019" s="12">
        <v>-0.10905000000000001</v>
      </c>
      <c r="H2019" s="12">
        <v>-6.93E-2</v>
      </c>
      <c r="I2019" s="12">
        <v>7.6100000000000001E-2</v>
      </c>
      <c r="J2019" s="9" t="s">
        <v>412</v>
      </c>
      <c r="K2019" s="9" t="s">
        <v>604</v>
      </c>
    </row>
    <row r="2020" spans="1:11" ht="28.8">
      <c r="A2020" s="9" t="s">
        <v>661</v>
      </c>
      <c r="B2020" s="9" t="s">
        <v>658</v>
      </c>
      <c r="C2020" s="9" t="s">
        <v>667</v>
      </c>
      <c r="D2020" s="12">
        <v>5.3600000000000002E-2</v>
      </c>
      <c r="E2020" s="12">
        <v>9.5200000000000007E-2</v>
      </c>
      <c r="F2020" s="12">
        <v>7.9000000000000001E-2</v>
      </c>
      <c r="G2020" s="12">
        <v>7.4400000000000008E-2</v>
      </c>
      <c r="H2020" s="12">
        <v>7.5999999999999998E-2</v>
      </c>
      <c r="I2020" s="12">
        <v>7.5999999999999998E-2</v>
      </c>
      <c r="J2020" s="9" t="s">
        <v>412</v>
      </c>
      <c r="K2020" s="9" t="s">
        <v>654</v>
      </c>
    </row>
    <row r="2021" spans="1:11" ht="28.8">
      <c r="A2021" s="9" t="s">
        <v>610</v>
      </c>
      <c r="B2021" s="9" t="s">
        <v>653</v>
      </c>
      <c r="C2021" s="9" t="s">
        <v>683</v>
      </c>
      <c r="D2021" s="12">
        <v>-8.1500000000000003E-2</v>
      </c>
      <c r="E2021" s="12">
        <v>-1.9800000000000002E-2</v>
      </c>
      <c r="F2021" s="12">
        <v>0.12620000000000001</v>
      </c>
      <c r="G2021" s="12">
        <v>-5.0650000000000001E-2</v>
      </c>
      <c r="H2021" s="12">
        <v>8.3000000000000001E-3</v>
      </c>
      <c r="I2021" s="12">
        <v>7.5800000000000006E-2</v>
      </c>
      <c r="J2021" s="9" t="s">
        <v>412</v>
      </c>
      <c r="K2021" s="9" t="s">
        <v>604</v>
      </c>
    </row>
    <row r="2022" spans="1:11" ht="28.8">
      <c r="A2022" s="9" t="s">
        <v>661</v>
      </c>
      <c r="B2022" s="9" t="s">
        <v>678</v>
      </c>
      <c r="C2022" s="9" t="s">
        <v>667</v>
      </c>
      <c r="D2022" s="12">
        <v>5.3600000000000002E-2</v>
      </c>
      <c r="E2022" s="12">
        <v>-0.15379999999999999</v>
      </c>
      <c r="F2022" s="12">
        <v>-2.01E-2</v>
      </c>
      <c r="G2022" s="12">
        <v>-5.0099999999999992E-2</v>
      </c>
      <c r="H2022" s="12">
        <v>-4.0099999999999997E-2</v>
      </c>
      <c r="I2022" s="12">
        <v>7.5800000000000006E-2</v>
      </c>
      <c r="J2022" s="9" t="s">
        <v>412</v>
      </c>
      <c r="K2022" s="9" t="s">
        <v>604</v>
      </c>
    </row>
    <row r="2023" spans="1:11" ht="28.8">
      <c r="A2023" s="9" t="s">
        <v>610</v>
      </c>
      <c r="B2023" s="9" t="s">
        <v>665</v>
      </c>
      <c r="C2023" s="9" t="s">
        <v>690</v>
      </c>
      <c r="D2023" s="12">
        <v>-5.8599999999999999E-2</v>
      </c>
      <c r="E2023" s="12">
        <v>7.4899999999999994E-2</v>
      </c>
      <c r="F2023" s="12">
        <v>-9.3799999999999994E-2</v>
      </c>
      <c r="G2023" s="12">
        <v>8.1499999999999975E-3</v>
      </c>
      <c r="H2023" s="12">
        <v>-2.58E-2</v>
      </c>
      <c r="I2023" s="12">
        <v>7.5800000000000006E-2</v>
      </c>
      <c r="J2023" s="9" t="s">
        <v>412</v>
      </c>
      <c r="K2023" s="9" t="s">
        <v>604</v>
      </c>
    </row>
    <row r="2024" spans="1:11" ht="28.8">
      <c r="A2024" s="9" t="s">
        <v>662</v>
      </c>
      <c r="B2024" s="9" t="s">
        <v>673</v>
      </c>
      <c r="C2024" s="9" t="s">
        <v>690</v>
      </c>
      <c r="D2024" s="12">
        <v>-3.1300000000000001E-2</v>
      </c>
      <c r="E2024" s="12">
        <v>4.2999999999999997E-2</v>
      </c>
      <c r="F2024" s="12">
        <v>-0.15279999999999999</v>
      </c>
      <c r="G2024" s="12">
        <v>5.8499999999999976E-3</v>
      </c>
      <c r="H2024" s="12">
        <v>-4.7E-2</v>
      </c>
      <c r="I2024" s="12">
        <v>7.5700000000000003E-2</v>
      </c>
      <c r="J2024" s="9" t="s">
        <v>412</v>
      </c>
      <c r="K2024" s="9" t="s">
        <v>604</v>
      </c>
    </row>
    <row r="2025" spans="1:11">
      <c r="A2025" s="9" t="s">
        <v>682</v>
      </c>
      <c r="B2025" s="9" t="s">
        <v>665</v>
      </c>
      <c r="C2025" s="9" t="s">
        <v>663</v>
      </c>
      <c r="D2025" s="12">
        <v>-6.7400000000000002E-2</v>
      </c>
      <c r="E2025" s="12">
        <v>1.1000000000000001E-3</v>
      </c>
      <c r="F2025" s="12">
        <v>0.158</v>
      </c>
      <c r="G2025" s="12">
        <v>-3.3149999999999999E-2</v>
      </c>
      <c r="H2025" s="12">
        <v>3.0499999999999999E-2</v>
      </c>
      <c r="I2025" s="12">
        <v>7.5499999999999998E-2</v>
      </c>
      <c r="J2025" s="9" t="s">
        <v>412</v>
      </c>
      <c r="K2025" s="9" t="s">
        <v>604</v>
      </c>
    </row>
    <row r="2026" spans="1:11" ht="28.8">
      <c r="A2026" s="9" t="s">
        <v>609</v>
      </c>
      <c r="B2026" s="9" t="s">
        <v>669</v>
      </c>
      <c r="C2026" s="9" t="s">
        <v>677</v>
      </c>
      <c r="D2026" s="12">
        <v>-6.1400000000000003E-2</v>
      </c>
      <c r="E2026" s="12">
        <v>4.6199999999999998E-2</v>
      </c>
      <c r="F2026" s="12">
        <v>-0.1188</v>
      </c>
      <c r="G2026" s="12">
        <v>-7.6000000000000026E-3</v>
      </c>
      <c r="H2026" s="12">
        <v>-4.4600000000000001E-2</v>
      </c>
      <c r="I2026" s="12">
        <v>7.5499999999999998E-2</v>
      </c>
      <c r="J2026" s="9" t="s">
        <v>412</v>
      </c>
      <c r="K2026" s="9" t="s">
        <v>604</v>
      </c>
    </row>
    <row r="2027" spans="1:11" ht="28.8">
      <c r="A2027" s="9" t="s">
        <v>671</v>
      </c>
      <c r="B2027" s="9" t="s">
        <v>687</v>
      </c>
      <c r="C2027" s="9" t="s">
        <v>690</v>
      </c>
      <c r="D2027" s="12">
        <v>-7.0199999999999999E-2</v>
      </c>
      <c r="E2027" s="12">
        <v>0.13850000000000001</v>
      </c>
      <c r="F2027" s="12">
        <v>-1.78E-2</v>
      </c>
      <c r="G2027" s="12">
        <v>3.4150000000000007E-2</v>
      </c>
      <c r="H2027" s="12">
        <v>1.6799999999999999E-2</v>
      </c>
      <c r="I2027" s="12">
        <v>7.5499999999999998E-2</v>
      </c>
      <c r="J2027" s="9" t="s">
        <v>412</v>
      </c>
      <c r="K2027" s="9" t="s">
        <v>604</v>
      </c>
    </row>
    <row r="2028" spans="1:11" ht="28.8">
      <c r="A2028" s="9" t="s">
        <v>679</v>
      </c>
      <c r="B2028" s="9" t="s">
        <v>687</v>
      </c>
      <c r="C2028" s="9" t="s">
        <v>670</v>
      </c>
      <c r="D2028" s="12">
        <v>-9.5200000000000007E-2</v>
      </c>
      <c r="E2028" s="12">
        <v>0.10589999999999999</v>
      </c>
      <c r="F2028" s="12">
        <v>2.5499999999999998E-2</v>
      </c>
      <c r="G2028" s="12">
        <v>5.3499999999999936E-3</v>
      </c>
      <c r="H2028" s="12">
        <v>1.21E-2</v>
      </c>
      <c r="I2028" s="12">
        <v>7.5499999999999998E-2</v>
      </c>
      <c r="J2028" s="9" t="s">
        <v>412</v>
      </c>
      <c r="K2028" s="9" t="s">
        <v>604</v>
      </c>
    </row>
    <row r="2029" spans="1:11">
      <c r="A2029" s="9" t="s">
        <v>682</v>
      </c>
      <c r="B2029" s="9" t="s">
        <v>678</v>
      </c>
      <c r="C2029" s="9" t="s">
        <v>656</v>
      </c>
      <c r="D2029" s="12">
        <v>-1.9900000000000001E-2</v>
      </c>
      <c r="E2029" s="12">
        <v>-0.16669999999999999</v>
      </c>
      <c r="F2029" s="12">
        <v>-3.9800000000000002E-2</v>
      </c>
      <c r="G2029" s="12">
        <v>-9.3299999999999994E-2</v>
      </c>
      <c r="H2029" s="12">
        <v>-7.5499999999999998E-2</v>
      </c>
      <c r="I2029" s="12">
        <v>7.5499999999999998E-2</v>
      </c>
      <c r="J2029" s="9" t="s">
        <v>412</v>
      </c>
      <c r="K2029" s="9" t="s">
        <v>604</v>
      </c>
    </row>
    <row r="2030" spans="1:11">
      <c r="A2030" s="9" t="s">
        <v>610</v>
      </c>
      <c r="B2030" s="9" t="s">
        <v>689</v>
      </c>
      <c r="C2030" s="9" t="s">
        <v>667</v>
      </c>
      <c r="D2030" s="12">
        <v>6.1800000000000001E-2</v>
      </c>
      <c r="E2030" s="12">
        <v>-1.21E-2</v>
      </c>
      <c r="F2030" s="12">
        <v>-0.15240000000000001</v>
      </c>
      <c r="G2030" s="12">
        <v>2.4850000000000001E-2</v>
      </c>
      <c r="H2030" s="12">
        <v>-3.4200000000000001E-2</v>
      </c>
      <c r="I2030" s="12">
        <v>7.5399999999999995E-2</v>
      </c>
      <c r="J2030" s="9" t="s">
        <v>412</v>
      </c>
      <c r="K2030" s="9" t="s">
        <v>604</v>
      </c>
    </row>
    <row r="2031" spans="1:11" ht="28.8">
      <c r="A2031" s="9" t="s">
        <v>609</v>
      </c>
      <c r="B2031" s="9" t="s">
        <v>691</v>
      </c>
      <c r="C2031" s="9" t="s">
        <v>683</v>
      </c>
      <c r="D2031" s="12">
        <v>-0.105</v>
      </c>
      <c r="E2031" s="12">
        <v>4.9399999999999999E-2</v>
      </c>
      <c r="F2031" s="12">
        <v>7.1400000000000005E-2</v>
      </c>
      <c r="G2031" s="12">
        <v>-2.7799999999999998E-2</v>
      </c>
      <c r="H2031" s="12">
        <v>5.3E-3</v>
      </c>
      <c r="I2031" s="12">
        <v>7.5300000000000006E-2</v>
      </c>
      <c r="J2031" s="9" t="s">
        <v>412</v>
      </c>
      <c r="K2031" s="9" t="s">
        <v>604</v>
      </c>
    </row>
    <row r="2032" spans="1:11">
      <c r="A2032" s="9" t="s">
        <v>682</v>
      </c>
      <c r="B2032" s="9" t="s">
        <v>658</v>
      </c>
      <c r="C2032" s="9" t="s">
        <v>659</v>
      </c>
      <c r="D2032" s="12">
        <v>0.1188</v>
      </c>
      <c r="E2032" s="12">
        <v>-5.5500000000000001E-2</v>
      </c>
      <c r="F2032" s="12">
        <v>-5.1400000000000001E-2</v>
      </c>
      <c r="G2032" s="12">
        <v>3.1649999999999998E-2</v>
      </c>
      <c r="H2032" s="12">
        <v>4.0000000000000001E-3</v>
      </c>
      <c r="I2032" s="12">
        <v>7.5200000000000003E-2</v>
      </c>
      <c r="J2032" s="9" t="s">
        <v>412</v>
      </c>
      <c r="K2032" s="9" t="s">
        <v>604</v>
      </c>
    </row>
    <row r="2033" spans="1:11" ht="28.8">
      <c r="A2033" s="9" t="s">
        <v>609</v>
      </c>
      <c r="B2033" s="9" t="s">
        <v>669</v>
      </c>
      <c r="C2033" s="9" t="s">
        <v>664</v>
      </c>
      <c r="D2033" s="12">
        <v>-6.5699999999999995E-2</v>
      </c>
      <c r="E2033" s="12">
        <v>4.6199999999999998E-2</v>
      </c>
      <c r="F2033" s="12">
        <v>-0.1138</v>
      </c>
      <c r="G2033" s="12">
        <v>-9.7499999999999983E-3</v>
      </c>
      <c r="H2033" s="12">
        <v>-4.4400000000000002E-2</v>
      </c>
      <c r="I2033" s="12">
        <v>7.5200000000000003E-2</v>
      </c>
      <c r="J2033" s="9" t="s">
        <v>412</v>
      </c>
      <c r="K2033" s="9" t="s">
        <v>604</v>
      </c>
    </row>
    <row r="2034" spans="1:11" ht="28.8">
      <c r="A2034" s="9" t="s">
        <v>661</v>
      </c>
      <c r="B2034" s="9" t="s">
        <v>668</v>
      </c>
      <c r="C2034" s="9" t="s">
        <v>664</v>
      </c>
      <c r="D2034" s="12">
        <v>-2.4199999999999999E-2</v>
      </c>
      <c r="E2034" s="12">
        <v>-0.13339999999999999</v>
      </c>
      <c r="F2034" s="12">
        <v>6.7799999999999999E-2</v>
      </c>
      <c r="G2034" s="12">
        <v>-7.8799999999999995E-2</v>
      </c>
      <c r="H2034" s="12">
        <v>-2.9899999999999999E-2</v>
      </c>
      <c r="I2034" s="12">
        <v>7.51E-2</v>
      </c>
      <c r="J2034" s="9" t="s">
        <v>412</v>
      </c>
      <c r="K2034" s="9" t="s">
        <v>604</v>
      </c>
    </row>
    <row r="2035" spans="1:11" ht="28.8">
      <c r="A2035" s="9" t="s">
        <v>671</v>
      </c>
      <c r="B2035" s="9" t="s">
        <v>684</v>
      </c>
      <c r="C2035" s="9" t="s">
        <v>690</v>
      </c>
      <c r="D2035" s="12">
        <v>-7.0199999999999999E-2</v>
      </c>
      <c r="E2035" s="12">
        <v>-3.3399999999999999E-2</v>
      </c>
      <c r="F2035" s="12">
        <v>0.12130000000000001</v>
      </c>
      <c r="G2035" s="12">
        <v>-5.1799999999999999E-2</v>
      </c>
      <c r="H2035" s="12">
        <v>5.8999999999999999E-3</v>
      </c>
      <c r="I2035" s="12">
        <v>7.4999999999999997E-2</v>
      </c>
      <c r="J2035" s="9" t="s">
        <v>412</v>
      </c>
      <c r="K2035" s="9" t="s">
        <v>604</v>
      </c>
    </row>
    <row r="2036" spans="1:11">
      <c r="A2036" s="9" t="s">
        <v>682</v>
      </c>
      <c r="B2036" s="9" t="s">
        <v>691</v>
      </c>
      <c r="C2036" s="9" t="s">
        <v>655</v>
      </c>
      <c r="D2036" s="12">
        <v>7.3099999999999998E-2</v>
      </c>
      <c r="E2036" s="12">
        <v>-0.1062</v>
      </c>
      <c r="F2036" s="12">
        <v>-4.5699999999999998E-2</v>
      </c>
      <c r="G2036" s="12">
        <v>-1.6550000000000002E-2</v>
      </c>
      <c r="H2036" s="12">
        <v>-2.63E-2</v>
      </c>
      <c r="I2036" s="12">
        <v>7.4999999999999997E-2</v>
      </c>
      <c r="J2036" s="9" t="s">
        <v>412</v>
      </c>
      <c r="K2036" s="9" t="s">
        <v>604</v>
      </c>
    </row>
    <row r="2037" spans="1:11">
      <c r="A2037" s="9" t="s">
        <v>682</v>
      </c>
      <c r="B2037" s="9" t="s">
        <v>669</v>
      </c>
      <c r="C2037" s="9" t="s">
        <v>656</v>
      </c>
      <c r="D2037" s="12">
        <v>-1.9900000000000001E-2</v>
      </c>
      <c r="E2037" s="12">
        <v>-1.46E-2</v>
      </c>
      <c r="F2037" s="12">
        <v>0.1903</v>
      </c>
      <c r="G2037" s="12">
        <v>-1.7250000000000001E-2</v>
      </c>
      <c r="H2037" s="12">
        <v>5.1900000000000002E-2</v>
      </c>
      <c r="I2037" s="12">
        <v>7.4899999999999994E-2</v>
      </c>
      <c r="J2037" s="9" t="s">
        <v>412</v>
      </c>
      <c r="K2037" s="9" t="s">
        <v>604</v>
      </c>
    </row>
    <row r="2038" spans="1:11" ht="28.8">
      <c r="A2038" s="9" t="s">
        <v>671</v>
      </c>
      <c r="B2038" s="9" t="s">
        <v>684</v>
      </c>
      <c r="C2038" s="9" t="s">
        <v>659</v>
      </c>
      <c r="D2038" s="12">
        <v>0.13159999999999999</v>
      </c>
      <c r="E2038" s="12">
        <v>-3.3399999999999999E-2</v>
      </c>
      <c r="F2038" s="12">
        <v>-5.9499999999999997E-2</v>
      </c>
      <c r="G2038" s="12">
        <v>4.9099999999999998E-2</v>
      </c>
      <c r="H2038" s="12">
        <v>1.29E-2</v>
      </c>
      <c r="I2038" s="12">
        <v>7.4800000000000005E-2</v>
      </c>
      <c r="J2038" s="9" t="s">
        <v>412</v>
      </c>
      <c r="K2038" s="9" t="s">
        <v>604</v>
      </c>
    </row>
    <row r="2039" spans="1:11" ht="28.8">
      <c r="A2039" s="9" t="s">
        <v>609</v>
      </c>
      <c r="B2039" s="9" t="s">
        <v>678</v>
      </c>
      <c r="C2039" s="9" t="s">
        <v>677</v>
      </c>
      <c r="D2039" s="12">
        <v>-6.1400000000000003E-2</v>
      </c>
      <c r="E2039" s="12">
        <v>-0.10390000000000001</v>
      </c>
      <c r="F2039" s="12">
        <v>5.8999999999999997E-2</v>
      </c>
      <c r="G2039" s="12">
        <v>-8.2650000000000001E-2</v>
      </c>
      <c r="H2039" s="12">
        <v>-3.5400000000000001E-2</v>
      </c>
      <c r="I2039" s="12">
        <v>7.4800000000000005E-2</v>
      </c>
      <c r="J2039" s="9" t="s">
        <v>412</v>
      </c>
      <c r="K2039" s="9" t="s">
        <v>604</v>
      </c>
    </row>
    <row r="2040" spans="1:11" ht="28.8">
      <c r="A2040" s="9" t="s">
        <v>661</v>
      </c>
      <c r="B2040" s="9" t="s">
        <v>680</v>
      </c>
      <c r="C2040" s="9" t="s">
        <v>664</v>
      </c>
      <c r="D2040" s="12">
        <v>-2.4199999999999999E-2</v>
      </c>
      <c r="E2040" s="12">
        <v>5.1799999999999999E-2</v>
      </c>
      <c r="F2040" s="12">
        <v>0.14829999999999999</v>
      </c>
      <c r="G2040" s="12">
        <v>1.38E-2</v>
      </c>
      <c r="H2040" s="12">
        <v>5.8599999999999999E-2</v>
      </c>
      <c r="I2040" s="12">
        <v>7.4700000000000003E-2</v>
      </c>
      <c r="J2040" s="9" t="s">
        <v>412</v>
      </c>
      <c r="K2040" s="9" t="s">
        <v>604</v>
      </c>
    </row>
    <row r="2041" spans="1:11" ht="28.8">
      <c r="A2041" s="9" t="s">
        <v>609</v>
      </c>
      <c r="B2041" s="9" t="s">
        <v>687</v>
      </c>
      <c r="C2041" s="9" t="s">
        <v>674</v>
      </c>
      <c r="D2041" s="12">
        <v>-8.6999999999999994E-3</v>
      </c>
      <c r="E2041" s="12">
        <v>-4.5400000000000003E-2</v>
      </c>
      <c r="F2041" s="12">
        <v>0.16930000000000001</v>
      </c>
      <c r="G2041" s="12">
        <v>-2.7050000000000001E-2</v>
      </c>
      <c r="H2041" s="12">
        <v>3.8399999999999997E-2</v>
      </c>
      <c r="I2041" s="12">
        <v>7.4499999999999997E-2</v>
      </c>
      <c r="J2041" s="9" t="s">
        <v>412</v>
      </c>
      <c r="K2041" s="9" t="s">
        <v>604</v>
      </c>
    </row>
    <row r="2042" spans="1:11" ht="28.8">
      <c r="A2042" s="9" t="s">
        <v>682</v>
      </c>
      <c r="B2042" s="9" t="s">
        <v>687</v>
      </c>
      <c r="C2042" s="9" t="s">
        <v>690</v>
      </c>
      <c r="D2042" s="12">
        <v>-7.1099999999999997E-2</v>
      </c>
      <c r="E2042" s="12">
        <v>0.13450000000000001</v>
      </c>
      <c r="F2042" s="12">
        <v>-1.78E-2</v>
      </c>
      <c r="G2042" s="12">
        <v>3.1700000000000006E-2</v>
      </c>
      <c r="H2042" s="12">
        <v>1.52E-2</v>
      </c>
      <c r="I2042" s="12">
        <v>7.4499999999999997E-2</v>
      </c>
      <c r="J2042" s="9" t="s">
        <v>412</v>
      </c>
      <c r="K2042" s="9" t="s">
        <v>604</v>
      </c>
    </row>
    <row r="2043" spans="1:11" ht="28.8">
      <c r="A2043" s="9" t="s">
        <v>682</v>
      </c>
      <c r="B2043" s="9" t="s">
        <v>668</v>
      </c>
      <c r="C2043" s="9" t="s">
        <v>675</v>
      </c>
      <c r="D2043" s="12">
        <v>0.06</v>
      </c>
      <c r="E2043" s="12">
        <v>7.3000000000000001E-3</v>
      </c>
      <c r="F2043" s="12">
        <v>-0.15609999999999999</v>
      </c>
      <c r="G2043" s="12">
        <v>3.3649999999999999E-2</v>
      </c>
      <c r="H2043" s="12">
        <v>-2.9600000000000001E-2</v>
      </c>
      <c r="I2043" s="12">
        <v>7.4499999999999997E-2</v>
      </c>
      <c r="J2043" s="9" t="s">
        <v>412</v>
      </c>
      <c r="K2043" s="9" t="s">
        <v>604</v>
      </c>
    </row>
    <row r="2044" spans="1:11" ht="28.8">
      <c r="A2044" s="9" t="s">
        <v>661</v>
      </c>
      <c r="B2044" s="9" t="s">
        <v>668</v>
      </c>
      <c r="C2044" s="9" t="s">
        <v>683</v>
      </c>
      <c r="D2044" s="12">
        <v>-5.3400000000000003E-2</v>
      </c>
      <c r="E2044" s="12">
        <v>-0.13339999999999999</v>
      </c>
      <c r="F2044" s="12">
        <v>3.6700000000000003E-2</v>
      </c>
      <c r="G2044" s="12">
        <v>-9.3399999999999997E-2</v>
      </c>
      <c r="H2044" s="12">
        <v>-0.05</v>
      </c>
      <c r="I2044" s="12">
        <v>7.4499999999999997E-2</v>
      </c>
      <c r="J2044" s="9" t="s">
        <v>412</v>
      </c>
      <c r="K2044" s="9" t="s">
        <v>604</v>
      </c>
    </row>
    <row r="2045" spans="1:11">
      <c r="A2045" s="9" t="s">
        <v>610</v>
      </c>
      <c r="B2045" s="9" t="s">
        <v>686</v>
      </c>
      <c r="C2045" s="9" t="s">
        <v>655</v>
      </c>
      <c r="D2045" s="12">
        <v>-9.4E-2</v>
      </c>
      <c r="E2045" s="12">
        <v>2.07E-2</v>
      </c>
      <c r="F2045" s="12">
        <v>0.1085</v>
      </c>
      <c r="G2045" s="12">
        <v>-3.6650000000000002E-2</v>
      </c>
      <c r="H2045" s="12">
        <v>1.18E-2</v>
      </c>
      <c r="I2045" s="12">
        <v>7.4399999999999994E-2</v>
      </c>
      <c r="J2045" s="9" t="s">
        <v>412</v>
      </c>
      <c r="K2045" s="9" t="s">
        <v>604</v>
      </c>
    </row>
    <row r="2046" spans="1:11" ht="28.8">
      <c r="A2046" s="9" t="s">
        <v>609</v>
      </c>
      <c r="B2046" s="9" t="s">
        <v>689</v>
      </c>
      <c r="C2046" s="9" t="s">
        <v>683</v>
      </c>
      <c r="D2046" s="12">
        <v>-0.105</v>
      </c>
      <c r="E2046" s="12">
        <v>-4.6100000000000002E-2</v>
      </c>
      <c r="F2046" s="12">
        <v>-7.22E-2</v>
      </c>
      <c r="G2046" s="12">
        <v>-7.5550000000000006E-2</v>
      </c>
      <c r="H2046" s="12">
        <v>-7.4399999999999994E-2</v>
      </c>
      <c r="I2046" s="12">
        <v>7.4399999999999994E-2</v>
      </c>
      <c r="J2046" s="9" t="s">
        <v>412</v>
      </c>
      <c r="K2046" s="9" t="s">
        <v>604</v>
      </c>
    </row>
    <row r="2047" spans="1:11" ht="28.8">
      <c r="A2047" s="9" t="s">
        <v>661</v>
      </c>
      <c r="B2047" s="9" t="s">
        <v>688</v>
      </c>
      <c r="C2047" s="9" t="s">
        <v>677</v>
      </c>
      <c r="D2047" s="12">
        <v>2.5700000000000001E-2</v>
      </c>
      <c r="E2047" s="12">
        <v>6.8500000000000005E-2</v>
      </c>
      <c r="F2047" s="12">
        <v>0.1288</v>
      </c>
      <c r="G2047" s="12">
        <v>4.7100000000000003E-2</v>
      </c>
      <c r="H2047" s="12">
        <v>7.4399999999999994E-2</v>
      </c>
      <c r="I2047" s="12">
        <v>7.4399999999999994E-2</v>
      </c>
      <c r="J2047" s="9" t="s">
        <v>412</v>
      </c>
      <c r="K2047" s="9" t="s">
        <v>654</v>
      </c>
    </row>
    <row r="2048" spans="1:11" ht="28.8">
      <c r="A2048" s="9" t="s">
        <v>679</v>
      </c>
      <c r="B2048" s="9" t="s">
        <v>673</v>
      </c>
      <c r="C2048" s="9" t="s">
        <v>677</v>
      </c>
      <c r="D2048" s="12">
        <v>0.13189999999999999</v>
      </c>
      <c r="E2048" s="12">
        <v>-7.4499999999999997E-2</v>
      </c>
      <c r="F2048" s="12">
        <v>-1.6899999999999998E-2</v>
      </c>
      <c r="G2048" s="12">
        <v>2.8699999999999996E-2</v>
      </c>
      <c r="H2048" s="12">
        <v>1.35E-2</v>
      </c>
      <c r="I2048" s="12">
        <v>7.4399999999999994E-2</v>
      </c>
      <c r="J2048" s="9" t="s">
        <v>412</v>
      </c>
      <c r="K2048" s="9" t="s">
        <v>604</v>
      </c>
    </row>
    <row r="2049" spans="1:11" ht="28.8">
      <c r="A2049" s="9" t="s">
        <v>661</v>
      </c>
      <c r="B2049" s="9" t="s">
        <v>658</v>
      </c>
      <c r="C2049" s="9" t="s">
        <v>683</v>
      </c>
      <c r="D2049" s="12">
        <v>-5.3400000000000003E-2</v>
      </c>
      <c r="E2049" s="12">
        <v>9.5200000000000007E-2</v>
      </c>
      <c r="F2049" s="12">
        <v>-7.4499999999999997E-2</v>
      </c>
      <c r="G2049" s="12">
        <v>2.0900000000000002E-2</v>
      </c>
      <c r="H2049" s="12">
        <v>-1.09E-2</v>
      </c>
      <c r="I2049" s="12">
        <v>7.4399999999999994E-2</v>
      </c>
      <c r="J2049" s="9" t="s">
        <v>412</v>
      </c>
      <c r="K2049" s="9" t="s">
        <v>604</v>
      </c>
    </row>
    <row r="2050" spans="1:11" ht="28.8">
      <c r="A2050" s="9" t="s">
        <v>671</v>
      </c>
      <c r="B2050" s="9" t="s">
        <v>602</v>
      </c>
      <c r="C2050" s="9" t="s">
        <v>666</v>
      </c>
      <c r="D2050" s="12">
        <v>1.34E-2</v>
      </c>
      <c r="E2050" s="12">
        <v>-8.6199999999999999E-2</v>
      </c>
      <c r="F2050" s="12">
        <v>0.12330000000000001</v>
      </c>
      <c r="G2050" s="12">
        <v>-3.6400000000000002E-2</v>
      </c>
      <c r="H2050" s="12">
        <v>1.6799999999999999E-2</v>
      </c>
      <c r="I2050" s="12">
        <v>7.4300000000000005E-2</v>
      </c>
      <c r="J2050" s="9" t="s">
        <v>412</v>
      </c>
      <c r="K2050" s="9" t="s">
        <v>604</v>
      </c>
    </row>
    <row r="2051" spans="1:11">
      <c r="A2051" s="9" t="s">
        <v>610</v>
      </c>
      <c r="B2051" s="9" t="s">
        <v>688</v>
      </c>
      <c r="C2051" s="9" t="s">
        <v>656</v>
      </c>
      <c r="D2051" s="12">
        <v>6.5699999999999995E-2</v>
      </c>
      <c r="E2051" s="12">
        <v>8.5699999999999998E-2</v>
      </c>
      <c r="F2051" s="12">
        <v>7.1499999999999994E-2</v>
      </c>
      <c r="G2051" s="12">
        <v>7.569999999999999E-2</v>
      </c>
      <c r="H2051" s="12">
        <v>7.4300000000000005E-2</v>
      </c>
      <c r="I2051" s="12">
        <v>7.4300000000000005E-2</v>
      </c>
      <c r="J2051" s="9" t="s">
        <v>412</v>
      </c>
      <c r="K2051" s="9" t="s">
        <v>654</v>
      </c>
    </row>
    <row r="2052" spans="1:11" ht="28.8">
      <c r="A2052" s="9" t="s">
        <v>679</v>
      </c>
      <c r="B2052" s="9" t="s">
        <v>602</v>
      </c>
      <c r="C2052" s="9" t="s">
        <v>664</v>
      </c>
      <c r="D2052" s="12">
        <v>0.1353</v>
      </c>
      <c r="E2052" s="12">
        <v>-2.3400000000000001E-2</v>
      </c>
      <c r="F2052" s="12">
        <v>6.3899999999999998E-2</v>
      </c>
      <c r="G2052" s="12">
        <v>5.595E-2</v>
      </c>
      <c r="H2052" s="12">
        <v>5.8599999999999999E-2</v>
      </c>
      <c r="I2052" s="12">
        <v>7.4200000000000002E-2</v>
      </c>
      <c r="J2052" s="9" t="s">
        <v>412</v>
      </c>
      <c r="K2052" s="9" t="s">
        <v>604</v>
      </c>
    </row>
    <row r="2053" spans="1:11" ht="28.8">
      <c r="A2053" s="9" t="s">
        <v>661</v>
      </c>
      <c r="B2053" s="9" t="s">
        <v>668</v>
      </c>
      <c r="C2053" s="9" t="s">
        <v>690</v>
      </c>
      <c r="D2053" s="12">
        <v>3.3700000000000001E-2</v>
      </c>
      <c r="E2053" s="12">
        <v>-0.13339999999999999</v>
      </c>
      <c r="F2053" s="12">
        <v>-5.5E-2</v>
      </c>
      <c r="G2053" s="12">
        <v>-4.9849999999999992E-2</v>
      </c>
      <c r="H2053" s="12">
        <v>-5.1499999999999997E-2</v>
      </c>
      <c r="I2053" s="12">
        <v>7.3999999999999996E-2</v>
      </c>
      <c r="J2053" s="9" t="s">
        <v>412</v>
      </c>
      <c r="K2053" s="9" t="s">
        <v>604</v>
      </c>
    </row>
    <row r="2054" spans="1:11" ht="28.8">
      <c r="A2054" s="9" t="s">
        <v>679</v>
      </c>
      <c r="B2054" s="9" t="s">
        <v>660</v>
      </c>
      <c r="C2054" s="9" t="s">
        <v>683</v>
      </c>
      <c r="D2054" s="12">
        <v>0.16389999999999999</v>
      </c>
      <c r="E2054" s="12">
        <v>-2.46E-2</v>
      </c>
      <c r="F2054" s="12">
        <v>-3.3000000000000002E-2</v>
      </c>
      <c r="G2054" s="12">
        <v>6.964999999999999E-2</v>
      </c>
      <c r="H2054" s="12">
        <v>3.5400000000000001E-2</v>
      </c>
      <c r="I2054" s="12">
        <v>7.3800000000000004E-2</v>
      </c>
      <c r="J2054" s="9" t="s">
        <v>412</v>
      </c>
      <c r="K2054" s="9" t="s">
        <v>604</v>
      </c>
    </row>
    <row r="2055" spans="1:11" ht="28.8">
      <c r="A2055" s="9" t="s">
        <v>682</v>
      </c>
      <c r="B2055" s="9" t="s">
        <v>658</v>
      </c>
      <c r="C2055" s="9" t="s">
        <v>674</v>
      </c>
      <c r="D2055" s="12">
        <v>4.1999999999999997E-3</v>
      </c>
      <c r="E2055" s="12">
        <v>-5.5500000000000001E-2</v>
      </c>
      <c r="F2055" s="12">
        <v>0.16159999999999999</v>
      </c>
      <c r="G2055" s="12">
        <v>-2.5649999999999999E-2</v>
      </c>
      <c r="H2055" s="12">
        <v>3.6700000000000003E-2</v>
      </c>
      <c r="I2055" s="12">
        <v>7.3800000000000004E-2</v>
      </c>
      <c r="J2055" s="9" t="s">
        <v>412</v>
      </c>
      <c r="K2055" s="9" t="s">
        <v>604</v>
      </c>
    </row>
    <row r="2056" spans="1:11" ht="28.8">
      <c r="A2056" s="9" t="s">
        <v>661</v>
      </c>
      <c r="B2056" s="9" t="s">
        <v>686</v>
      </c>
      <c r="C2056" s="9" t="s">
        <v>683</v>
      </c>
      <c r="D2056" s="12">
        <v>-5.3400000000000003E-2</v>
      </c>
      <c r="E2056" s="12">
        <v>0.111</v>
      </c>
      <c r="F2056" s="12">
        <v>-5.6800000000000003E-2</v>
      </c>
      <c r="G2056" s="12">
        <v>2.8799999999999999E-2</v>
      </c>
      <c r="H2056" s="12">
        <v>2.9999999999999997E-4</v>
      </c>
      <c r="I2056" s="12">
        <v>7.3700000000000002E-2</v>
      </c>
      <c r="J2056" s="9" t="s">
        <v>412</v>
      </c>
      <c r="K2056" s="9" t="s">
        <v>604</v>
      </c>
    </row>
    <row r="2057" spans="1:11" ht="28.8">
      <c r="A2057" s="9" t="s">
        <v>671</v>
      </c>
      <c r="B2057" s="9" t="s">
        <v>613</v>
      </c>
      <c r="C2057" s="9" t="s">
        <v>675</v>
      </c>
      <c r="D2057" s="12">
        <v>0.10780000000000001</v>
      </c>
      <c r="E2057" s="12">
        <v>3.5900000000000001E-2</v>
      </c>
      <c r="F2057" s="12">
        <v>7.7100000000000002E-2</v>
      </c>
      <c r="G2057" s="12">
        <v>7.1849999999999997E-2</v>
      </c>
      <c r="H2057" s="12">
        <v>7.3599999999999999E-2</v>
      </c>
      <c r="I2057" s="12">
        <v>7.3599999999999999E-2</v>
      </c>
      <c r="J2057" s="9" t="s">
        <v>412</v>
      </c>
      <c r="K2057" s="9" t="s">
        <v>654</v>
      </c>
    </row>
    <row r="2058" spans="1:11" ht="28.8">
      <c r="A2058" s="9" t="s">
        <v>671</v>
      </c>
      <c r="B2058" s="9" t="s">
        <v>688</v>
      </c>
      <c r="C2058" s="9" t="s">
        <v>690</v>
      </c>
      <c r="D2058" s="12">
        <v>-7.0199999999999999E-2</v>
      </c>
      <c r="E2058" s="12">
        <v>6.3E-3</v>
      </c>
      <c r="F2058" s="12">
        <v>0.14399999999999999</v>
      </c>
      <c r="G2058" s="12">
        <v>-3.1949999999999999E-2</v>
      </c>
      <c r="H2058" s="12">
        <v>2.6700000000000002E-2</v>
      </c>
      <c r="I2058" s="12">
        <v>7.3499999999999996E-2</v>
      </c>
      <c r="J2058" s="9" t="s">
        <v>412</v>
      </c>
      <c r="K2058" s="9" t="s">
        <v>604</v>
      </c>
    </row>
    <row r="2059" spans="1:11" ht="28.8">
      <c r="A2059" s="9" t="s">
        <v>662</v>
      </c>
      <c r="B2059" s="9" t="s">
        <v>678</v>
      </c>
      <c r="C2059" s="9" t="s">
        <v>683</v>
      </c>
      <c r="D2059" s="12">
        <v>-6.0100000000000001E-2</v>
      </c>
      <c r="E2059" s="12">
        <v>-6.4199999999999993E-2</v>
      </c>
      <c r="F2059" s="12">
        <v>-9.6299999999999997E-2</v>
      </c>
      <c r="G2059" s="12">
        <v>-6.2149999999999997E-2</v>
      </c>
      <c r="H2059" s="12">
        <v>-7.3499999999999996E-2</v>
      </c>
      <c r="I2059" s="12">
        <v>7.3499999999999996E-2</v>
      </c>
      <c r="J2059" s="9" t="s">
        <v>412</v>
      </c>
      <c r="K2059" s="9" t="s">
        <v>604</v>
      </c>
    </row>
    <row r="2060" spans="1:11" ht="28.8">
      <c r="A2060" s="9" t="s">
        <v>662</v>
      </c>
      <c r="B2060" s="9" t="s">
        <v>685</v>
      </c>
      <c r="C2060" s="9" t="s">
        <v>690</v>
      </c>
      <c r="D2060" s="12">
        <v>-3.1300000000000001E-2</v>
      </c>
      <c r="E2060" s="12">
        <v>0.1087</v>
      </c>
      <c r="F2060" s="12">
        <v>-8.0600000000000005E-2</v>
      </c>
      <c r="G2060" s="12">
        <v>3.8699999999999998E-2</v>
      </c>
      <c r="H2060" s="12">
        <v>-1.1000000000000001E-3</v>
      </c>
      <c r="I2060" s="12">
        <v>7.3499999999999996E-2</v>
      </c>
      <c r="J2060" s="9" t="s">
        <v>412</v>
      </c>
      <c r="K2060" s="9" t="s">
        <v>604</v>
      </c>
    </row>
    <row r="2061" spans="1:11" ht="28.8">
      <c r="A2061" s="9" t="s">
        <v>679</v>
      </c>
      <c r="B2061" s="9" t="s">
        <v>678</v>
      </c>
      <c r="C2061" s="9" t="s">
        <v>690</v>
      </c>
      <c r="D2061" s="12">
        <v>-6.6900000000000001E-2</v>
      </c>
      <c r="E2061" s="12">
        <v>-9.2299999999999993E-2</v>
      </c>
      <c r="F2061" s="12">
        <v>-6.08E-2</v>
      </c>
      <c r="G2061" s="12">
        <v>-7.9600000000000004E-2</v>
      </c>
      <c r="H2061" s="12">
        <v>-7.3400000000000007E-2</v>
      </c>
      <c r="I2061" s="12">
        <v>7.3400000000000007E-2</v>
      </c>
      <c r="J2061" s="9" t="s">
        <v>412</v>
      </c>
      <c r="K2061" s="9" t="s">
        <v>604</v>
      </c>
    </row>
    <row r="2062" spans="1:11" ht="28.8">
      <c r="A2062" s="9" t="s">
        <v>679</v>
      </c>
      <c r="B2062" s="9" t="s">
        <v>687</v>
      </c>
      <c r="C2062" s="9" t="s">
        <v>601</v>
      </c>
      <c r="D2062" s="12">
        <v>-8.3900000000000002E-2</v>
      </c>
      <c r="E2062" s="12">
        <v>0.10589999999999999</v>
      </c>
      <c r="F2062" s="12">
        <v>-3.04E-2</v>
      </c>
      <c r="G2062" s="12">
        <v>1.0999999999999996E-2</v>
      </c>
      <c r="H2062" s="12">
        <v>-2.8E-3</v>
      </c>
      <c r="I2062" s="12">
        <v>7.3400000000000007E-2</v>
      </c>
      <c r="J2062" s="9" t="s">
        <v>412</v>
      </c>
      <c r="K2062" s="9" t="s">
        <v>604</v>
      </c>
    </row>
    <row r="2063" spans="1:11" ht="28.8">
      <c r="A2063" s="9" t="s">
        <v>671</v>
      </c>
      <c r="B2063" s="9" t="s">
        <v>684</v>
      </c>
      <c r="C2063" s="9" t="s">
        <v>601</v>
      </c>
      <c r="D2063" s="12">
        <v>-0.10879999999999999</v>
      </c>
      <c r="E2063" s="12">
        <v>-3.3399999999999999E-2</v>
      </c>
      <c r="F2063" s="12">
        <v>-7.7700000000000005E-2</v>
      </c>
      <c r="G2063" s="12">
        <v>-7.1099999999999997E-2</v>
      </c>
      <c r="H2063" s="12">
        <v>-7.3300000000000004E-2</v>
      </c>
      <c r="I2063" s="12">
        <v>7.3300000000000004E-2</v>
      </c>
      <c r="J2063" s="9" t="s">
        <v>412</v>
      </c>
      <c r="K2063" s="9" t="s">
        <v>604</v>
      </c>
    </row>
    <row r="2064" spans="1:11" ht="28.8">
      <c r="A2064" s="9" t="s">
        <v>661</v>
      </c>
      <c r="B2064" s="9" t="s">
        <v>685</v>
      </c>
      <c r="C2064" s="9" t="s">
        <v>677</v>
      </c>
      <c r="D2064" s="12">
        <v>2.5700000000000001E-2</v>
      </c>
      <c r="E2064" s="12">
        <v>0.18970000000000001</v>
      </c>
      <c r="F2064" s="12">
        <v>4.1999999999999997E-3</v>
      </c>
      <c r="G2064" s="12">
        <v>0.1077</v>
      </c>
      <c r="H2064" s="12">
        <v>7.3200000000000001E-2</v>
      </c>
      <c r="I2064" s="12">
        <v>7.3200000000000001E-2</v>
      </c>
      <c r="J2064" s="9" t="s">
        <v>412</v>
      </c>
      <c r="K2064" s="9" t="s">
        <v>654</v>
      </c>
    </row>
    <row r="2065" spans="1:11" ht="28.8">
      <c r="A2065" s="9" t="s">
        <v>609</v>
      </c>
      <c r="B2065" s="9" t="s">
        <v>660</v>
      </c>
      <c r="C2065" s="9" t="s">
        <v>664</v>
      </c>
      <c r="D2065" s="12">
        <v>-6.5699999999999995E-2</v>
      </c>
      <c r="E2065" s="12">
        <v>2.5700000000000001E-2</v>
      </c>
      <c r="F2065" s="12">
        <v>0.128</v>
      </c>
      <c r="G2065" s="12">
        <v>-1.9999999999999997E-2</v>
      </c>
      <c r="H2065" s="12">
        <v>2.93E-2</v>
      </c>
      <c r="I2065" s="12">
        <v>7.3099999999999998E-2</v>
      </c>
      <c r="J2065" s="9" t="s">
        <v>412</v>
      </c>
      <c r="K2065" s="9" t="s">
        <v>604</v>
      </c>
    </row>
    <row r="2066" spans="1:11" ht="28.8">
      <c r="A2066" s="9" t="s">
        <v>671</v>
      </c>
      <c r="B2066" s="9" t="s">
        <v>685</v>
      </c>
      <c r="C2066" s="9" t="s">
        <v>666</v>
      </c>
      <c r="D2066" s="12">
        <v>1.34E-2</v>
      </c>
      <c r="E2066" s="12">
        <v>0.19439999999999999</v>
      </c>
      <c r="F2066" s="12">
        <v>-1.17E-2</v>
      </c>
      <c r="G2066" s="12">
        <v>0.10389999999999999</v>
      </c>
      <c r="H2066" s="12">
        <v>6.5299999999999997E-2</v>
      </c>
      <c r="I2066" s="12">
        <v>7.3099999999999998E-2</v>
      </c>
      <c r="J2066" s="9" t="s">
        <v>412</v>
      </c>
      <c r="K2066" s="9" t="s">
        <v>604</v>
      </c>
    </row>
    <row r="2067" spans="1:11" ht="28.8">
      <c r="A2067" s="9" t="s">
        <v>662</v>
      </c>
      <c r="B2067" s="9" t="s">
        <v>689</v>
      </c>
      <c r="C2067" s="9" t="s">
        <v>683</v>
      </c>
      <c r="D2067" s="12">
        <v>-6.0100000000000001E-2</v>
      </c>
      <c r="E2067" s="12">
        <v>-8.6699999999999999E-2</v>
      </c>
      <c r="F2067" s="12">
        <v>-7.22E-2</v>
      </c>
      <c r="G2067" s="12">
        <v>-7.3399999999999993E-2</v>
      </c>
      <c r="H2067" s="12">
        <v>-7.2999999999999995E-2</v>
      </c>
      <c r="I2067" s="12">
        <v>7.2999999999999995E-2</v>
      </c>
      <c r="J2067" s="9" t="s">
        <v>412</v>
      </c>
      <c r="K2067" s="9" t="s">
        <v>604</v>
      </c>
    </row>
    <row r="2068" spans="1:11">
      <c r="A2068" s="9" t="s">
        <v>610</v>
      </c>
      <c r="B2068" s="9" t="s">
        <v>681</v>
      </c>
      <c r="C2068" s="9" t="s">
        <v>667</v>
      </c>
      <c r="D2068" s="12">
        <v>6.1800000000000001E-2</v>
      </c>
      <c r="E2068" s="12">
        <v>0.13150000000000001</v>
      </c>
      <c r="F2068" s="12">
        <v>2.58E-2</v>
      </c>
      <c r="G2068" s="12">
        <v>9.665E-2</v>
      </c>
      <c r="H2068" s="12">
        <v>7.2999999999999995E-2</v>
      </c>
      <c r="I2068" s="12">
        <v>7.2999999999999995E-2</v>
      </c>
      <c r="J2068" s="9" t="s">
        <v>412</v>
      </c>
      <c r="K2068" s="9" t="s">
        <v>654</v>
      </c>
    </row>
    <row r="2069" spans="1:11" ht="28.8">
      <c r="A2069" s="9" t="s">
        <v>662</v>
      </c>
      <c r="B2069" s="9" t="s">
        <v>686</v>
      </c>
      <c r="C2069" s="9" t="s">
        <v>601</v>
      </c>
      <c r="D2069" s="12">
        <v>-0.1173</v>
      </c>
      <c r="E2069" s="12">
        <v>6.7000000000000002E-3</v>
      </c>
      <c r="F2069" s="12">
        <v>-9.5100000000000004E-2</v>
      </c>
      <c r="G2069" s="12">
        <v>-5.5300000000000002E-2</v>
      </c>
      <c r="H2069" s="12">
        <v>-6.8599999999999994E-2</v>
      </c>
      <c r="I2069" s="12">
        <v>7.2999999999999995E-2</v>
      </c>
      <c r="J2069" s="9" t="s">
        <v>412</v>
      </c>
      <c r="K2069" s="9" t="s">
        <v>604</v>
      </c>
    </row>
    <row r="2070" spans="1:11" ht="28.8">
      <c r="A2070" s="9" t="s">
        <v>609</v>
      </c>
      <c r="B2070" s="9" t="s">
        <v>688</v>
      </c>
      <c r="C2070" s="9" t="s">
        <v>666</v>
      </c>
      <c r="D2070" s="12">
        <v>-7.7700000000000005E-2</v>
      </c>
      <c r="E2070" s="12">
        <v>6.3E-3</v>
      </c>
      <c r="F2070" s="12">
        <v>-0.13469999999999999</v>
      </c>
      <c r="G2070" s="12">
        <v>-3.5700000000000003E-2</v>
      </c>
      <c r="H2070" s="12">
        <v>-6.8699999999999997E-2</v>
      </c>
      <c r="I2070" s="12">
        <v>7.2900000000000006E-2</v>
      </c>
      <c r="J2070" s="9" t="s">
        <v>412</v>
      </c>
      <c r="K2070" s="9" t="s">
        <v>604</v>
      </c>
    </row>
    <row r="2071" spans="1:11">
      <c r="A2071" s="9" t="s">
        <v>609</v>
      </c>
      <c r="B2071" s="9" t="s">
        <v>691</v>
      </c>
      <c r="C2071" s="9" t="s">
        <v>663</v>
      </c>
      <c r="D2071" s="12">
        <v>-0.12770000000000001</v>
      </c>
      <c r="E2071" s="12">
        <v>4.9399999999999999E-2</v>
      </c>
      <c r="F2071" s="12">
        <v>4.1599999999999998E-2</v>
      </c>
      <c r="G2071" s="12">
        <v>-3.9150000000000004E-2</v>
      </c>
      <c r="H2071" s="12">
        <v>-1.2200000000000001E-2</v>
      </c>
      <c r="I2071" s="12">
        <v>7.2900000000000006E-2</v>
      </c>
      <c r="J2071" s="9" t="s">
        <v>412</v>
      </c>
      <c r="K2071" s="9" t="s">
        <v>604</v>
      </c>
    </row>
    <row r="2072" spans="1:11" ht="28.8">
      <c r="A2072" s="9" t="s">
        <v>610</v>
      </c>
      <c r="B2072" s="9" t="s">
        <v>658</v>
      </c>
      <c r="C2072" s="9" t="s">
        <v>690</v>
      </c>
      <c r="D2072" s="12">
        <v>-5.8599999999999999E-2</v>
      </c>
      <c r="E2072" s="12">
        <v>-0.1421</v>
      </c>
      <c r="F2072" s="12">
        <v>-1.78E-2</v>
      </c>
      <c r="G2072" s="12">
        <v>-0.10034999999999999</v>
      </c>
      <c r="H2072" s="12">
        <v>-7.2800000000000004E-2</v>
      </c>
      <c r="I2072" s="12">
        <v>7.2800000000000004E-2</v>
      </c>
      <c r="J2072" s="9" t="s">
        <v>412</v>
      </c>
      <c r="K2072" s="9" t="s">
        <v>604</v>
      </c>
    </row>
    <row r="2073" spans="1:11">
      <c r="A2073" s="9" t="s">
        <v>609</v>
      </c>
      <c r="B2073" s="9" t="s">
        <v>668</v>
      </c>
      <c r="C2073" s="9" t="s">
        <v>663</v>
      </c>
      <c r="D2073" s="12">
        <v>-0.12770000000000001</v>
      </c>
      <c r="E2073" s="12">
        <v>-4.02E-2</v>
      </c>
      <c r="F2073" s="12">
        <v>-5.04E-2</v>
      </c>
      <c r="G2073" s="12">
        <v>-8.3949999999999997E-2</v>
      </c>
      <c r="H2073" s="12">
        <v>-7.2800000000000004E-2</v>
      </c>
      <c r="I2073" s="12">
        <v>7.2800000000000004E-2</v>
      </c>
      <c r="J2073" s="9" t="s">
        <v>412</v>
      </c>
      <c r="K2073" s="9" t="s">
        <v>604</v>
      </c>
    </row>
    <row r="2074" spans="1:11" ht="28.8">
      <c r="A2074" s="9" t="s">
        <v>661</v>
      </c>
      <c r="B2074" s="9" t="s">
        <v>687</v>
      </c>
      <c r="C2074" s="9" t="s">
        <v>667</v>
      </c>
      <c r="D2074" s="12">
        <v>5.3600000000000002E-2</v>
      </c>
      <c r="E2074" s="12">
        <v>-8.9700000000000002E-2</v>
      </c>
      <c r="F2074" s="12">
        <v>-7.4800000000000005E-2</v>
      </c>
      <c r="G2074" s="12">
        <v>-1.805E-2</v>
      </c>
      <c r="H2074" s="12">
        <v>-3.6999999999999998E-2</v>
      </c>
      <c r="I2074" s="12">
        <v>7.2700000000000001E-2</v>
      </c>
      <c r="J2074" s="9" t="s">
        <v>412</v>
      </c>
      <c r="K2074" s="9" t="s">
        <v>604</v>
      </c>
    </row>
    <row r="2075" spans="1:11" ht="28.8">
      <c r="A2075" s="9" t="s">
        <v>679</v>
      </c>
      <c r="B2075" s="9" t="s">
        <v>668</v>
      </c>
      <c r="C2075" s="9" t="s">
        <v>663</v>
      </c>
      <c r="D2075" s="12">
        <v>0.13450000000000001</v>
      </c>
      <c r="E2075" s="12">
        <v>-3.3300000000000003E-2</v>
      </c>
      <c r="F2075" s="12">
        <v>-5.04E-2</v>
      </c>
      <c r="G2075" s="12">
        <v>5.0600000000000006E-2</v>
      </c>
      <c r="H2075" s="12">
        <v>1.6899999999999998E-2</v>
      </c>
      <c r="I2075" s="12">
        <v>7.2700000000000001E-2</v>
      </c>
      <c r="J2075" s="9" t="s">
        <v>412</v>
      </c>
      <c r="K2075" s="9" t="s">
        <v>604</v>
      </c>
    </row>
    <row r="2076" spans="1:11" ht="28.8">
      <c r="A2076" s="9" t="s">
        <v>671</v>
      </c>
      <c r="B2076" s="9" t="s">
        <v>665</v>
      </c>
      <c r="C2076" s="9" t="s">
        <v>683</v>
      </c>
      <c r="D2076" s="12">
        <v>0.1066</v>
      </c>
      <c r="E2076" s="12">
        <v>0.1009</v>
      </c>
      <c r="F2076" s="12">
        <v>1.03E-2</v>
      </c>
      <c r="G2076" s="12">
        <v>0.10375000000000001</v>
      </c>
      <c r="H2076" s="12">
        <v>7.2599999999999998E-2</v>
      </c>
      <c r="I2076" s="12">
        <v>7.2599999999999998E-2</v>
      </c>
      <c r="J2076" s="9" t="s">
        <v>412</v>
      </c>
      <c r="K2076" s="9" t="s">
        <v>654</v>
      </c>
    </row>
    <row r="2077" spans="1:11" ht="28.8">
      <c r="A2077" s="9" t="s">
        <v>671</v>
      </c>
      <c r="B2077" s="9" t="s">
        <v>684</v>
      </c>
      <c r="C2077" s="9" t="s">
        <v>664</v>
      </c>
      <c r="D2077" s="12">
        <v>-9.0800000000000006E-2</v>
      </c>
      <c r="E2077" s="12">
        <v>-3.3399999999999999E-2</v>
      </c>
      <c r="F2077" s="12">
        <v>-9.2899999999999996E-2</v>
      </c>
      <c r="G2077" s="12">
        <v>-6.2100000000000002E-2</v>
      </c>
      <c r="H2077" s="12">
        <v>-7.2400000000000006E-2</v>
      </c>
      <c r="I2077" s="12">
        <v>7.2400000000000006E-2</v>
      </c>
      <c r="J2077" s="9" t="s">
        <v>412</v>
      </c>
      <c r="K2077" s="9" t="s">
        <v>604</v>
      </c>
    </row>
    <row r="2078" spans="1:11" ht="28.8">
      <c r="A2078" s="9" t="s">
        <v>682</v>
      </c>
      <c r="B2078" s="9" t="s">
        <v>689</v>
      </c>
      <c r="C2078" s="9" t="s">
        <v>601</v>
      </c>
      <c r="D2078" s="12">
        <v>-3.2099999999999997E-2</v>
      </c>
      <c r="E2078" s="12">
        <v>0.1298</v>
      </c>
      <c r="F2078" s="12">
        <v>5.5399999999999998E-2</v>
      </c>
      <c r="G2078" s="12">
        <v>4.8850000000000005E-2</v>
      </c>
      <c r="H2078" s="12">
        <v>5.0999999999999997E-2</v>
      </c>
      <c r="I2078" s="12">
        <v>7.2400000000000006E-2</v>
      </c>
      <c r="J2078" s="9" t="s">
        <v>412</v>
      </c>
      <c r="K2078" s="9" t="s">
        <v>604</v>
      </c>
    </row>
    <row r="2079" spans="1:11" ht="28.8">
      <c r="A2079" s="9" t="s">
        <v>679</v>
      </c>
      <c r="B2079" s="9" t="s">
        <v>687</v>
      </c>
      <c r="C2079" s="9" t="s">
        <v>659</v>
      </c>
      <c r="D2079" s="12">
        <v>-6.4799999999999996E-2</v>
      </c>
      <c r="E2079" s="12">
        <v>0.10589999999999999</v>
      </c>
      <c r="F2079" s="12">
        <v>4.58E-2</v>
      </c>
      <c r="G2079" s="12">
        <v>2.0549999999999999E-2</v>
      </c>
      <c r="H2079" s="12">
        <v>2.9000000000000001E-2</v>
      </c>
      <c r="I2079" s="12">
        <v>7.22E-2</v>
      </c>
      <c r="J2079" s="9" t="s">
        <v>412</v>
      </c>
      <c r="K2079" s="9" t="s">
        <v>604</v>
      </c>
    </row>
    <row r="2080" spans="1:11" ht="28.8">
      <c r="A2080" s="9" t="s">
        <v>671</v>
      </c>
      <c r="B2080" s="9" t="s">
        <v>691</v>
      </c>
      <c r="C2080" s="9" t="s">
        <v>674</v>
      </c>
      <c r="D2080" s="12">
        <v>-6.2799999999999995E-2</v>
      </c>
      <c r="E2080" s="12">
        <v>-0.1353</v>
      </c>
      <c r="F2080" s="12">
        <v>-1.83E-2</v>
      </c>
      <c r="G2080" s="12">
        <v>-9.9049999999999999E-2</v>
      </c>
      <c r="H2080" s="12">
        <v>-7.22E-2</v>
      </c>
      <c r="I2080" s="12">
        <v>7.22E-2</v>
      </c>
      <c r="J2080" s="9" t="s">
        <v>412</v>
      </c>
      <c r="K2080" s="9" t="s">
        <v>604</v>
      </c>
    </row>
    <row r="2081" spans="1:11" ht="28.8">
      <c r="A2081" s="9" t="s">
        <v>671</v>
      </c>
      <c r="B2081" s="9" t="s">
        <v>691</v>
      </c>
      <c r="C2081" s="9" t="s">
        <v>690</v>
      </c>
      <c r="D2081" s="12">
        <v>-7.0199999999999999E-2</v>
      </c>
      <c r="E2081" s="12">
        <v>-0.1353</v>
      </c>
      <c r="F2081" s="12">
        <v>1.0800000000000001E-2</v>
      </c>
      <c r="G2081" s="12">
        <v>-0.10275000000000001</v>
      </c>
      <c r="H2081" s="12">
        <v>-6.4899999999999999E-2</v>
      </c>
      <c r="I2081" s="12">
        <v>7.2099999999999997E-2</v>
      </c>
      <c r="J2081" s="9" t="s">
        <v>412</v>
      </c>
      <c r="K2081" s="9" t="s">
        <v>604</v>
      </c>
    </row>
    <row r="2082" spans="1:11" ht="28.8">
      <c r="A2082" s="9" t="s">
        <v>609</v>
      </c>
      <c r="B2082" s="9" t="s">
        <v>669</v>
      </c>
      <c r="C2082" s="9" t="s">
        <v>683</v>
      </c>
      <c r="D2082" s="12">
        <v>-0.105</v>
      </c>
      <c r="E2082" s="12">
        <v>4.6199999999999998E-2</v>
      </c>
      <c r="F2082" s="12">
        <v>6.4799999999999996E-2</v>
      </c>
      <c r="G2082" s="12">
        <v>-2.9399999999999999E-2</v>
      </c>
      <c r="H2082" s="12">
        <v>2E-3</v>
      </c>
      <c r="I2082" s="12">
        <v>7.1999999999999995E-2</v>
      </c>
      <c r="J2082" s="9" t="s">
        <v>412</v>
      </c>
      <c r="K2082" s="9" t="s">
        <v>604</v>
      </c>
    </row>
    <row r="2083" spans="1:11">
      <c r="A2083" s="9" t="s">
        <v>662</v>
      </c>
      <c r="B2083" s="9" t="s">
        <v>686</v>
      </c>
      <c r="C2083" s="9" t="s">
        <v>667</v>
      </c>
      <c r="D2083" s="12">
        <v>0.12540000000000001</v>
      </c>
      <c r="E2083" s="12">
        <v>6.7000000000000002E-3</v>
      </c>
      <c r="F2083" s="12">
        <v>8.4000000000000005E-2</v>
      </c>
      <c r="G2083" s="12">
        <v>6.6050000000000011E-2</v>
      </c>
      <c r="H2083" s="12">
        <v>7.1999999999999995E-2</v>
      </c>
      <c r="I2083" s="12">
        <v>7.1999999999999995E-2</v>
      </c>
      <c r="J2083" s="9" t="s">
        <v>412</v>
      </c>
      <c r="K2083" s="9" t="s">
        <v>654</v>
      </c>
    </row>
    <row r="2084" spans="1:11" ht="28.8">
      <c r="A2084" s="9" t="s">
        <v>603</v>
      </c>
      <c r="B2084" s="9" t="s">
        <v>676</v>
      </c>
      <c r="C2084" s="9" t="s">
        <v>690</v>
      </c>
      <c r="D2084" s="12">
        <v>4.1099999999999998E-2</v>
      </c>
      <c r="E2084" s="12">
        <v>-0.1002</v>
      </c>
      <c r="F2084" s="12">
        <v>-7.4399999999999994E-2</v>
      </c>
      <c r="G2084" s="12">
        <v>-2.955E-2</v>
      </c>
      <c r="H2084" s="12">
        <v>-4.4499999999999998E-2</v>
      </c>
      <c r="I2084" s="12">
        <v>7.1900000000000006E-2</v>
      </c>
      <c r="J2084" s="9" t="s">
        <v>412</v>
      </c>
      <c r="K2084" s="9" t="s">
        <v>604</v>
      </c>
    </row>
    <row r="2085" spans="1:11" ht="28.8">
      <c r="A2085" s="9" t="s">
        <v>679</v>
      </c>
      <c r="B2085" s="9" t="s">
        <v>672</v>
      </c>
      <c r="C2085" s="9" t="s">
        <v>656</v>
      </c>
      <c r="D2085" s="12">
        <v>-2.2700000000000001E-2</v>
      </c>
      <c r="E2085" s="12">
        <v>0.13270000000000001</v>
      </c>
      <c r="F2085" s="12">
        <v>6.0400000000000002E-2</v>
      </c>
      <c r="G2085" s="12">
        <v>5.5000000000000007E-2</v>
      </c>
      <c r="H2085" s="12">
        <v>5.6800000000000003E-2</v>
      </c>
      <c r="I2085" s="12">
        <v>7.1900000000000006E-2</v>
      </c>
      <c r="J2085" s="9" t="s">
        <v>412</v>
      </c>
      <c r="K2085" s="9" t="s">
        <v>604</v>
      </c>
    </row>
    <row r="2086" spans="1:11" ht="28.8">
      <c r="A2086" s="9" t="s">
        <v>610</v>
      </c>
      <c r="B2086" s="9" t="s">
        <v>676</v>
      </c>
      <c r="C2086" s="9" t="s">
        <v>690</v>
      </c>
      <c r="D2086" s="12">
        <v>-5.8599999999999999E-2</v>
      </c>
      <c r="E2086" s="12">
        <v>8.2799999999999999E-2</v>
      </c>
      <c r="F2086" s="12">
        <v>-7.4399999999999994E-2</v>
      </c>
      <c r="G2086" s="12">
        <v>1.21E-2</v>
      </c>
      <c r="H2086" s="12">
        <v>-1.6799999999999999E-2</v>
      </c>
      <c r="I2086" s="12">
        <v>7.1900000000000006E-2</v>
      </c>
      <c r="J2086" s="9" t="s">
        <v>412</v>
      </c>
      <c r="K2086" s="9" t="s">
        <v>604</v>
      </c>
    </row>
    <row r="2087" spans="1:11">
      <c r="A2087" s="9" t="s">
        <v>682</v>
      </c>
      <c r="B2087" s="9" t="s">
        <v>691</v>
      </c>
      <c r="C2087" s="9" t="s">
        <v>663</v>
      </c>
      <c r="D2087" s="12">
        <v>-6.7400000000000002E-2</v>
      </c>
      <c r="E2087" s="12">
        <v>-0.1062</v>
      </c>
      <c r="F2087" s="12">
        <v>4.1599999999999998E-2</v>
      </c>
      <c r="G2087" s="12">
        <v>-8.6800000000000002E-2</v>
      </c>
      <c r="H2087" s="12">
        <v>-4.3999999999999997E-2</v>
      </c>
      <c r="I2087" s="12">
        <v>7.1800000000000003E-2</v>
      </c>
      <c r="J2087" s="9" t="s">
        <v>412</v>
      </c>
      <c r="K2087" s="9" t="s">
        <v>604</v>
      </c>
    </row>
    <row r="2088" spans="1:11" ht="28.8">
      <c r="A2088" s="9" t="s">
        <v>682</v>
      </c>
      <c r="B2088" s="9" t="s">
        <v>658</v>
      </c>
      <c r="C2088" s="9" t="s">
        <v>683</v>
      </c>
      <c r="D2088" s="12">
        <v>-8.5099999999999995E-2</v>
      </c>
      <c r="E2088" s="12">
        <v>-5.5500000000000001E-2</v>
      </c>
      <c r="F2088" s="12">
        <v>-7.4499999999999997E-2</v>
      </c>
      <c r="G2088" s="12">
        <v>-7.0300000000000001E-2</v>
      </c>
      <c r="H2088" s="12">
        <v>-7.17E-2</v>
      </c>
      <c r="I2088" s="12">
        <v>7.17E-2</v>
      </c>
      <c r="J2088" s="9" t="s">
        <v>412</v>
      </c>
      <c r="K2088" s="9" t="s">
        <v>604</v>
      </c>
    </row>
    <row r="2089" spans="1:11" ht="28.8">
      <c r="A2089" s="9" t="s">
        <v>610</v>
      </c>
      <c r="B2089" s="9" t="s">
        <v>668</v>
      </c>
      <c r="C2089" s="9" t="s">
        <v>683</v>
      </c>
      <c r="D2089" s="12">
        <v>-8.1500000000000003E-2</v>
      </c>
      <c r="E2089" s="12">
        <v>-9.64E-2</v>
      </c>
      <c r="F2089" s="12">
        <v>3.6700000000000003E-2</v>
      </c>
      <c r="G2089" s="12">
        <v>-8.8950000000000001E-2</v>
      </c>
      <c r="H2089" s="12">
        <v>-4.7100000000000003E-2</v>
      </c>
      <c r="I2089" s="12">
        <v>7.1499999999999994E-2</v>
      </c>
      <c r="J2089" s="9" t="s">
        <v>412</v>
      </c>
      <c r="K2089" s="9" t="s">
        <v>604</v>
      </c>
    </row>
    <row r="2090" spans="1:11" ht="28.8">
      <c r="A2090" s="9" t="s">
        <v>609</v>
      </c>
      <c r="B2090" s="9" t="s">
        <v>678</v>
      </c>
      <c r="C2090" s="9" t="s">
        <v>690</v>
      </c>
      <c r="D2090" s="12">
        <v>4.9799999999999997E-2</v>
      </c>
      <c r="E2090" s="12">
        <v>-0.10390000000000001</v>
      </c>
      <c r="F2090" s="12">
        <v>-6.08E-2</v>
      </c>
      <c r="G2090" s="12">
        <v>-2.7050000000000005E-2</v>
      </c>
      <c r="H2090" s="12">
        <v>-3.8300000000000001E-2</v>
      </c>
      <c r="I2090" s="12">
        <v>7.1499999999999994E-2</v>
      </c>
      <c r="J2090" s="9" t="s">
        <v>412</v>
      </c>
      <c r="K2090" s="9" t="s">
        <v>604</v>
      </c>
    </row>
    <row r="2091" spans="1:11" ht="28.8">
      <c r="A2091" s="9" t="s">
        <v>603</v>
      </c>
      <c r="B2091" s="9" t="s">
        <v>689</v>
      </c>
      <c r="C2091" s="9" t="s">
        <v>659</v>
      </c>
      <c r="D2091" s="12">
        <v>-0.17230000000000001</v>
      </c>
      <c r="E2091" s="12">
        <v>2.1399999999999999E-2</v>
      </c>
      <c r="F2091" s="12">
        <v>-1.9900000000000001E-2</v>
      </c>
      <c r="G2091" s="12">
        <v>-7.5450000000000003E-2</v>
      </c>
      <c r="H2091" s="12">
        <v>-5.6899999999999999E-2</v>
      </c>
      <c r="I2091" s="12">
        <v>7.1199999999999999E-2</v>
      </c>
      <c r="J2091" s="9" t="s">
        <v>412</v>
      </c>
      <c r="K2091" s="9" t="s">
        <v>604</v>
      </c>
    </row>
    <row r="2092" spans="1:11">
      <c r="A2092" s="9" t="s">
        <v>609</v>
      </c>
      <c r="B2092" s="9" t="s">
        <v>686</v>
      </c>
      <c r="C2092" s="9" t="s">
        <v>663</v>
      </c>
      <c r="D2092" s="12">
        <v>-0.12770000000000001</v>
      </c>
      <c r="E2092" s="12">
        <v>-8.5000000000000006E-3</v>
      </c>
      <c r="F2092" s="12">
        <v>7.7299999999999994E-2</v>
      </c>
      <c r="G2092" s="12">
        <v>-6.8100000000000008E-2</v>
      </c>
      <c r="H2092" s="12">
        <v>-1.9599999999999999E-2</v>
      </c>
      <c r="I2092" s="12">
        <v>7.1099999999999997E-2</v>
      </c>
      <c r="J2092" s="9" t="s">
        <v>412</v>
      </c>
      <c r="K2092" s="9" t="s">
        <v>604</v>
      </c>
    </row>
    <row r="2093" spans="1:11" ht="28.8">
      <c r="A2093" s="9" t="s">
        <v>682</v>
      </c>
      <c r="B2093" s="9" t="s">
        <v>684</v>
      </c>
      <c r="C2093" s="9" t="s">
        <v>601</v>
      </c>
      <c r="D2093" s="12">
        <v>-3.2099999999999997E-2</v>
      </c>
      <c r="E2093" s="12">
        <v>-0.1031</v>
      </c>
      <c r="F2093" s="12">
        <v>-7.7700000000000005E-2</v>
      </c>
      <c r="G2093" s="12">
        <v>-6.7599999999999993E-2</v>
      </c>
      <c r="H2093" s="12">
        <v>-7.0999999999999994E-2</v>
      </c>
      <c r="I2093" s="12">
        <v>7.0999999999999994E-2</v>
      </c>
      <c r="J2093" s="9" t="s">
        <v>412</v>
      </c>
      <c r="K2093" s="9" t="s">
        <v>604</v>
      </c>
    </row>
    <row r="2094" spans="1:11" ht="28.8">
      <c r="A2094" s="9" t="s">
        <v>682</v>
      </c>
      <c r="B2094" s="9" t="s">
        <v>657</v>
      </c>
      <c r="C2094" s="9" t="s">
        <v>690</v>
      </c>
      <c r="D2094" s="12">
        <v>-7.1099999999999997E-2</v>
      </c>
      <c r="E2094" s="12">
        <v>-0.1056</v>
      </c>
      <c r="F2094" s="12">
        <v>3.61E-2</v>
      </c>
      <c r="G2094" s="12">
        <v>-8.8349999999999998E-2</v>
      </c>
      <c r="H2094" s="12">
        <v>-4.6800000000000001E-2</v>
      </c>
      <c r="I2094" s="12">
        <v>7.0900000000000005E-2</v>
      </c>
      <c r="J2094" s="9" t="s">
        <v>412</v>
      </c>
      <c r="K2094" s="9" t="s">
        <v>604</v>
      </c>
    </row>
    <row r="2095" spans="1:11">
      <c r="A2095" s="9" t="s">
        <v>682</v>
      </c>
      <c r="B2095" s="9" t="s">
        <v>668</v>
      </c>
      <c r="C2095" s="9" t="s">
        <v>667</v>
      </c>
      <c r="D2095" s="12">
        <v>-0.02</v>
      </c>
      <c r="E2095" s="12">
        <v>7.3000000000000001E-3</v>
      </c>
      <c r="F2095" s="12">
        <v>-0.1852</v>
      </c>
      <c r="G2095" s="12">
        <v>-6.3499999999999997E-3</v>
      </c>
      <c r="H2095" s="12">
        <v>-6.59E-2</v>
      </c>
      <c r="I2095" s="12">
        <v>7.0800000000000002E-2</v>
      </c>
      <c r="J2095" s="9" t="s">
        <v>412</v>
      </c>
      <c r="K2095" s="9" t="s">
        <v>604</v>
      </c>
    </row>
    <row r="2096" spans="1:11" ht="28.8">
      <c r="A2096" s="9" t="s">
        <v>610</v>
      </c>
      <c r="B2096" s="9" t="s">
        <v>668</v>
      </c>
      <c r="C2096" s="9" t="s">
        <v>677</v>
      </c>
      <c r="D2096" s="12">
        <v>0.10100000000000001</v>
      </c>
      <c r="E2096" s="12">
        <v>-9.64E-2</v>
      </c>
      <c r="F2096" s="12">
        <v>1.4800000000000001E-2</v>
      </c>
      <c r="G2096" s="12">
        <v>2.3000000000000034E-3</v>
      </c>
      <c r="H2096" s="12">
        <v>6.4999999999999997E-3</v>
      </c>
      <c r="I2096" s="12">
        <v>7.0699999999999999E-2</v>
      </c>
      <c r="J2096" s="9" t="s">
        <v>412</v>
      </c>
      <c r="K2096" s="9" t="s">
        <v>604</v>
      </c>
    </row>
    <row r="2097" spans="1:11" ht="28.8">
      <c r="A2097" s="9" t="s">
        <v>610</v>
      </c>
      <c r="B2097" s="9" t="s">
        <v>678</v>
      </c>
      <c r="C2097" s="9" t="s">
        <v>683</v>
      </c>
      <c r="D2097" s="12">
        <v>-8.1500000000000003E-2</v>
      </c>
      <c r="E2097" s="12">
        <v>3.4000000000000002E-2</v>
      </c>
      <c r="F2097" s="12">
        <v>-9.6299999999999997E-2</v>
      </c>
      <c r="G2097" s="12">
        <v>-2.375E-2</v>
      </c>
      <c r="H2097" s="12">
        <v>-4.7899999999999998E-2</v>
      </c>
      <c r="I2097" s="12">
        <v>7.0599999999999996E-2</v>
      </c>
      <c r="J2097" s="9" t="s">
        <v>412</v>
      </c>
      <c r="K2097" s="9" t="s">
        <v>604</v>
      </c>
    </row>
    <row r="2098" spans="1:11" ht="28.8">
      <c r="A2098" s="9" t="s">
        <v>662</v>
      </c>
      <c r="B2098" s="9" t="s">
        <v>691</v>
      </c>
      <c r="C2098" s="9" t="s">
        <v>601</v>
      </c>
      <c r="D2098" s="12">
        <v>-0.1173</v>
      </c>
      <c r="E2098" s="12">
        <v>7.0099999999999996E-2</v>
      </c>
      <c r="F2098" s="12">
        <v>2.4299999999999999E-2</v>
      </c>
      <c r="G2098" s="12">
        <v>-2.3600000000000003E-2</v>
      </c>
      <c r="H2098" s="12">
        <v>-7.6E-3</v>
      </c>
      <c r="I2098" s="12">
        <v>7.0599999999999996E-2</v>
      </c>
      <c r="J2098" s="9" t="s">
        <v>412</v>
      </c>
      <c r="K2098" s="9" t="s">
        <v>604</v>
      </c>
    </row>
    <row r="2099" spans="1:11" ht="28.8">
      <c r="A2099" s="9" t="s">
        <v>662</v>
      </c>
      <c r="B2099" s="9" t="s">
        <v>660</v>
      </c>
      <c r="C2099" s="9" t="s">
        <v>683</v>
      </c>
      <c r="D2099" s="12">
        <v>-6.0100000000000001E-2</v>
      </c>
      <c r="E2099" s="12">
        <v>-0.1187</v>
      </c>
      <c r="F2099" s="12">
        <v>-3.3000000000000002E-2</v>
      </c>
      <c r="G2099" s="12">
        <v>-8.9400000000000007E-2</v>
      </c>
      <c r="H2099" s="12">
        <v>-7.0599999999999996E-2</v>
      </c>
      <c r="I2099" s="12">
        <v>7.0599999999999996E-2</v>
      </c>
      <c r="J2099" s="9" t="s">
        <v>412</v>
      </c>
      <c r="K2099" s="9" t="s">
        <v>604</v>
      </c>
    </row>
    <row r="2100" spans="1:11" ht="28.8">
      <c r="A2100" s="9" t="s">
        <v>610</v>
      </c>
      <c r="B2100" s="9" t="s">
        <v>657</v>
      </c>
      <c r="C2100" s="9" t="s">
        <v>690</v>
      </c>
      <c r="D2100" s="12">
        <v>-5.8599999999999999E-2</v>
      </c>
      <c r="E2100" s="12">
        <v>-0.1171</v>
      </c>
      <c r="F2100" s="12">
        <v>3.61E-2</v>
      </c>
      <c r="G2100" s="12">
        <v>-8.7849999999999998E-2</v>
      </c>
      <c r="H2100" s="12">
        <v>-4.65E-2</v>
      </c>
      <c r="I2100" s="12">
        <v>7.0599999999999996E-2</v>
      </c>
      <c r="J2100" s="9" t="s">
        <v>412</v>
      </c>
      <c r="K2100" s="9" t="s">
        <v>604</v>
      </c>
    </row>
    <row r="2101" spans="1:11" ht="28.8">
      <c r="A2101" s="9" t="s">
        <v>671</v>
      </c>
      <c r="B2101" s="9" t="s">
        <v>684</v>
      </c>
      <c r="C2101" s="9" t="s">
        <v>675</v>
      </c>
      <c r="D2101" s="12">
        <v>0.10780000000000001</v>
      </c>
      <c r="E2101" s="12">
        <v>-3.3399999999999999E-2</v>
      </c>
      <c r="F2101" s="12">
        <v>-7.0099999999999996E-2</v>
      </c>
      <c r="G2101" s="12">
        <v>3.7200000000000004E-2</v>
      </c>
      <c r="H2101" s="12">
        <v>1.5E-3</v>
      </c>
      <c r="I2101" s="12">
        <v>7.0400000000000004E-2</v>
      </c>
      <c r="J2101" s="9" t="s">
        <v>412</v>
      </c>
      <c r="K2101" s="9" t="s">
        <v>604</v>
      </c>
    </row>
    <row r="2102" spans="1:11" ht="28.8">
      <c r="A2102" s="9" t="s">
        <v>679</v>
      </c>
      <c r="B2102" s="9" t="s">
        <v>672</v>
      </c>
      <c r="C2102" s="9" t="s">
        <v>690</v>
      </c>
      <c r="D2102" s="12">
        <v>-6.6900000000000001E-2</v>
      </c>
      <c r="E2102" s="12">
        <v>0.13270000000000001</v>
      </c>
      <c r="F2102" s="12">
        <v>1.11E-2</v>
      </c>
      <c r="G2102" s="12">
        <v>3.2900000000000006E-2</v>
      </c>
      <c r="H2102" s="12">
        <v>2.5600000000000001E-2</v>
      </c>
      <c r="I2102" s="12">
        <v>7.0300000000000001E-2</v>
      </c>
      <c r="J2102" s="9" t="s">
        <v>412</v>
      </c>
      <c r="K2102" s="9" t="s">
        <v>604</v>
      </c>
    </row>
    <row r="2103" spans="1:11">
      <c r="A2103" s="9" t="s">
        <v>682</v>
      </c>
      <c r="B2103" s="9" t="s">
        <v>688</v>
      </c>
      <c r="C2103" s="9" t="s">
        <v>655</v>
      </c>
      <c r="D2103" s="12">
        <v>7.3099999999999998E-2</v>
      </c>
      <c r="E2103" s="12">
        <v>5.6800000000000003E-2</v>
      </c>
      <c r="F2103" s="12">
        <v>8.09E-2</v>
      </c>
      <c r="G2103" s="12">
        <v>6.4950000000000008E-2</v>
      </c>
      <c r="H2103" s="12">
        <v>7.0300000000000001E-2</v>
      </c>
      <c r="I2103" s="12">
        <v>7.0300000000000001E-2</v>
      </c>
      <c r="J2103" s="9" t="s">
        <v>412</v>
      </c>
      <c r="K2103" s="9" t="s">
        <v>654</v>
      </c>
    </row>
    <row r="2104" spans="1:11">
      <c r="A2104" s="9" t="s">
        <v>662</v>
      </c>
      <c r="B2104" s="9" t="s">
        <v>613</v>
      </c>
      <c r="C2104" s="9" t="s">
        <v>663</v>
      </c>
      <c r="D2104" s="12">
        <v>7.4700000000000003E-2</v>
      </c>
      <c r="E2104" s="12">
        <v>6.2399999999999997E-2</v>
      </c>
      <c r="F2104" s="12">
        <v>-7.3700000000000002E-2</v>
      </c>
      <c r="G2104" s="12">
        <v>6.855E-2</v>
      </c>
      <c r="H2104" s="12">
        <v>2.12E-2</v>
      </c>
      <c r="I2104" s="12">
        <v>7.0300000000000001E-2</v>
      </c>
      <c r="J2104" s="9" t="s">
        <v>412</v>
      </c>
      <c r="K2104" s="9" t="s">
        <v>604</v>
      </c>
    </row>
    <row r="2105" spans="1:11">
      <c r="A2105" s="9" t="s">
        <v>610</v>
      </c>
      <c r="B2105" s="9" t="s">
        <v>687</v>
      </c>
      <c r="C2105" s="9" t="s">
        <v>656</v>
      </c>
      <c r="D2105" s="12">
        <v>6.5699999999999995E-2</v>
      </c>
      <c r="E2105" s="12">
        <v>1.24E-2</v>
      </c>
      <c r="F2105" s="12">
        <v>-0.13239999999999999</v>
      </c>
      <c r="G2105" s="12">
        <v>3.9049999999999994E-2</v>
      </c>
      <c r="H2105" s="12">
        <v>-1.8100000000000002E-2</v>
      </c>
      <c r="I2105" s="12">
        <v>7.0199999999999999E-2</v>
      </c>
      <c r="J2105" s="9" t="s">
        <v>412</v>
      </c>
      <c r="K2105" s="9" t="s">
        <v>604</v>
      </c>
    </row>
    <row r="2106" spans="1:11" ht="28.8">
      <c r="A2106" s="9" t="s">
        <v>679</v>
      </c>
      <c r="B2106" s="9" t="s">
        <v>668</v>
      </c>
      <c r="C2106" s="9" t="s">
        <v>666</v>
      </c>
      <c r="D2106" s="12">
        <v>-0.113</v>
      </c>
      <c r="E2106" s="12">
        <v>-3.3300000000000003E-2</v>
      </c>
      <c r="F2106" s="12">
        <v>-6.4299999999999996E-2</v>
      </c>
      <c r="G2106" s="12">
        <v>-7.3150000000000007E-2</v>
      </c>
      <c r="H2106" s="12">
        <v>-7.0199999999999999E-2</v>
      </c>
      <c r="I2106" s="12">
        <v>7.0199999999999999E-2</v>
      </c>
      <c r="J2106" s="9" t="s">
        <v>412</v>
      </c>
      <c r="K2106" s="9" t="s">
        <v>604</v>
      </c>
    </row>
    <row r="2107" spans="1:11" ht="28.8">
      <c r="A2107" s="9" t="s">
        <v>671</v>
      </c>
      <c r="B2107" s="9" t="s">
        <v>673</v>
      </c>
      <c r="C2107" s="9" t="s">
        <v>677</v>
      </c>
      <c r="D2107" s="12">
        <v>6.8900000000000003E-2</v>
      </c>
      <c r="E2107" s="12">
        <v>-0.12470000000000001</v>
      </c>
      <c r="F2107" s="12">
        <v>-1.6899999999999998E-2</v>
      </c>
      <c r="G2107" s="12">
        <v>-2.7900000000000001E-2</v>
      </c>
      <c r="H2107" s="12">
        <v>-2.4199999999999999E-2</v>
      </c>
      <c r="I2107" s="12">
        <v>7.0199999999999999E-2</v>
      </c>
      <c r="J2107" s="9" t="s">
        <v>412</v>
      </c>
      <c r="K2107" s="9" t="s">
        <v>604</v>
      </c>
    </row>
    <row r="2108" spans="1:11">
      <c r="A2108" s="9" t="s">
        <v>662</v>
      </c>
      <c r="B2108" s="9" t="s">
        <v>685</v>
      </c>
      <c r="C2108" s="9" t="s">
        <v>659</v>
      </c>
      <c r="D2108" s="12">
        <v>-8.3599999999999994E-2</v>
      </c>
      <c r="E2108" s="12">
        <v>0.1087</v>
      </c>
      <c r="F2108" s="12">
        <v>-1.7899999999999999E-2</v>
      </c>
      <c r="G2108" s="12">
        <v>1.2550000000000006E-2</v>
      </c>
      <c r="H2108" s="12">
        <v>2.3999999999999998E-3</v>
      </c>
      <c r="I2108" s="12">
        <v>7.0099999999999996E-2</v>
      </c>
      <c r="J2108" s="9" t="s">
        <v>412</v>
      </c>
      <c r="K2108" s="9" t="s">
        <v>604</v>
      </c>
    </row>
    <row r="2109" spans="1:11" ht="28.8">
      <c r="A2109" s="9" t="s">
        <v>661</v>
      </c>
      <c r="B2109" s="9" t="s">
        <v>669</v>
      </c>
      <c r="C2109" s="9" t="s">
        <v>683</v>
      </c>
      <c r="D2109" s="12">
        <v>-5.3400000000000003E-2</v>
      </c>
      <c r="E2109" s="12">
        <v>9.1800000000000007E-2</v>
      </c>
      <c r="F2109" s="12">
        <v>6.4799999999999996E-2</v>
      </c>
      <c r="G2109" s="12">
        <v>1.9200000000000002E-2</v>
      </c>
      <c r="H2109" s="12">
        <v>3.44E-2</v>
      </c>
      <c r="I2109" s="12">
        <v>7.0000000000000007E-2</v>
      </c>
      <c r="J2109" s="9" t="s">
        <v>412</v>
      </c>
      <c r="K2109" s="9" t="s">
        <v>604</v>
      </c>
    </row>
    <row r="2110" spans="1:11" ht="28.8">
      <c r="A2110" s="9" t="s">
        <v>679</v>
      </c>
      <c r="B2110" s="9" t="s">
        <v>689</v>
      </c>
      <c r="C2110" s="9" t="s">
        <v>601</v>
      </c>
      <c r="D2110" s="12">
        <v>-8.3900000000000002E-2</v>
      </c>
      <c r="E2110" s="12">
        <v>-7.0900000000000005E-2</v>
      </c>
      <c r="F2110" s="12">
        <v>5.5399999999999998E-2</v>
      </c>
      <c r="G2110" s="12">
        <v>-7.7399999999999997E-2</v>
      </c>
      <c r="H2110" s="12">
        <v>-3.3099999999999997E-2</v>
      </c>
      <c r="I2110" s="12">
        <v>7.0000000000000007E-2</v>
      </c>
      <c r="J2110" s="9" t="s">
        <v>412</v>
      </c>
      <c r="K2110" s="9" t="s">
        <v>604</v>
      </c>
    </row>
    <row r="2111" spans="1:11" ht="28.8">
      <c r="A2111" s="9" t="s">
        <v>661</v>
      </c>
      <c r="B2111" s="9" t="s">
        <v>669</v>
      </c>
      <c r="C2111" s="9" t="s">
        <v>667</v>
      </c>
      <c r="D2111" s="12">
        <v>5.3600000000000002E-2</v>
      </c>
      <c r="E2111" s="12">
        <v>9.1800000000000007E-2</v>
      </c>
      <c r="F2111" s="12">
        <v>6.4399999999999999E-2</v>
      </c>
      <c r="G2111" s="12">
        <v>7.2700000000000001E-2</v>
      </c>
      <c r="H2111" s="12">
        <v>7.0000000000000007E-2</v>
      </c>
      <c r="I2111" s="12">
        <v>7.0000000000000007E-2</v>
      </c>
      <c r="J2111" s="9" t="s">
        <v>412</v>
      </c>
      <c r="K2111" s="9" t="s">
        <v>654</v>
      </c>
    </row>
    <row r="2112" spans="1:11" ht="28.8">
      <c r="A2112" s="9" t="s">
        <v>661</v>
      </c>
      <c r="B2112" s="9" t="s">
        <v>681</v>
      </c>
      <c r="C2112" s="9" t="s">
        <v>683</v>
      </c>
      <c r="D2112" s="12">
        <v>-5.3400000000000003E-2</v>
      </c>
      <c r="E2112" s="12">
        <v>2.3900000000000001E-2</v>
      </c>
      <c r="F2112" s="12">
        <v>-0.13270000000000001</v>
      </c>
      <c r="G2112" s="12">
        <v>-1.4750000000000001E-2</v>
      </c>
      <c r="H2112" s="12">
        <v>-5.4100000000000002E-2</v>
      </c>
      <c r="I2112" s="12">
        <v>7.0000000000000007E-2</v>
      </c>
      <c r="J2112" s="9" t="s">
        <v>412</v>
      </c>
      <c r="K2112" s="9" t="s">
        <v>604</v>
      </c>
    </row>
    <row r="2113" spans="1:11" ht="28.8">
      <c r="A2113" s="9" t="s">
        <v>610</v>
      </c>
      <c r="B2113" s="9" t="s">
        <v>668</v>
      </c>
      <c r="C2113" s="9" t="s">
        <v>690</v>
      </c>
      <c r="D2113" s="12">
        <v>-5.8599999999999999E-2</v>
      </c>
      <c r="E2113" s="12">
        <v>-9.64E-2</v>
      </c>
      <c r="F2113" s="12">
        <v>-5.5E-2</v>
      </c>
      <c r="G2113" s="12">
        <v>-7.7499999999999999E-2</v>
      </c>
      <c r="H2113" s="12">
        <v>-7.0000000000000007E-2</v>
      </c>
      <c r="I2113" s="12">
        <v>7.0000000000000007E-2</v>
      </c>
      <c r="J2113" s="9" t="s">
        <v>412</v>
      </c>
      <c r="K2113" s="9" t="s">
        <v>604</v>
      </c>
    </row>
    <row r="2114" spans="1:11">
      <c r="A2114" s="9" t="s">
        <v>662</v>
      </c>
      <c r="B2114" s="9" t="s">
        <v>678</v>
      </c>
      <c r="C2114" s="9" t="s">
        <v>667</v>
      </c>
      <c r="D2114" s="12">
        <v>0.12540000000000001</v>
      </c>
      <c r="E2114" s="12">
        <v>-6.4199999999999993E-2</v>
      </c>
      <c r="F2114" s="12">
        <v>-2.01E-2</v>
      </c>
      <c r="G2114" s="12">
        <v>3.0600000000000009E-2</v>
      </c>
      <c r="H2114" s="12">
        <v>1.37E-2</v>
      </c>
      <c r="I2114" s="12">
        <v>6.9900000000000004E-2</v>
      </c>
      <c r="J2114" s="9" t="s">
        <v>412</v>
      </c>
      <c r="K2114" s="9" t="s">
        <v>604</v>
      </c>
    </row>
    <row r="2115" spans="1:11" ht="28.8">
      <c r="A2115" s="9" t="s">
        <v>609</v>
      </c>
      <c r="B2115" s="9" t="s">
        <v>691</v>
      </c>
      <c r="C2115" s="9" t="s">
        <v>675</v>
      </c>
      <c r="D2115" s="12">
        <v>9.6600000000000005E-2</v>
      </c>
      <c r="E2115" s="12">
        <v>4.9399999999999999E-2</v>
      </c>
      <c r="F2115" s="12">
        <v>-6.3600000000000004E-2</v>
      </c>
      <c r="G2115" s="12">
        <v>7.3000000000000009E-2</v>
      </c>
      <c r="H2115" s="12">
        <v>2.75E-2</v>
      </c>
      <c r="I2115" s="12">
        <v>6.9900000000000004E-2</v>
      </c>
      <c r="J2115" s="9" t="s">
        <v>412</v>
      </c>
      <c r="K2115" s="9" t="s">
        <v>604</v>
      </c>
    </row>
    <row r="2116" spans="1:11" ht="28.8">
      <c r="A2116" s="9" t="s">
        <v>682</v>
      </c>
      <c r="B2116" s="9" t="s">
        <v>660</v>
      </c>
      <c r="C2116" s="9" t="s">
        <v>683</v>
      </c>
      <c r="D2116" s="12">
        <v>-8.5099999999999995E-2</v>
      </c>
      <c r="E2116" s="12">
        <v>-9.1399999999999995E-2</v>
      </c>
      <c r="F2116" s="12">
        <v>-3.3000000000000002E-2</v>
      </c>
      <c r="G2116" s="12">
        <v>-8.8249999999999995E-2</v>
      </c>
      <c r="H2116" s="12">
        <v>-6.9800000000000001E-2</v>
      </c>
      <c r="I2116" s="12">
        <v>6.9800000000000001E-2</v>
      </c>
      <c r="J2116" s="9" t="s">
        <v>412</v>
      </c>
      <c r="K2116" s="9" t="s">
        <v>604</v>
      </c>
    </row>
    <row r="2117" spans="1:11">
      <c r="A2117" s="9" t="s">
        <v>682</v>
      </c>
      <c r="B2117" s="9" t="s">
        <v>685</v>
      </c>
      <c r="C2117" s="9" t="s">
        <v>656</v>
      </c>
      <c r="D2117" s="12">
        <v>-1.9900000000000001E-2</v>
      </c>
      <c r="E2117" s="12">
        <v>0.12429999999999999</v>
      </c>
      <c r="F2117" s="12">
        <v>6.5100000000000005E-2</v>
      </c>
      <c r="G2117" s="12">
        <v>5.2199999999999996E-2</v>
      </c>
      <c r="H2117" s="12">
        <v>5.6500000000000002E-2</v>
      </c>
      <c r="I2117" s="12">
        <v>6.9800000000000001E-2</v>
      </c>
      <c r="J2117" s="9" t="s">
        <v>412</v>
      </c>
      <c r="K2117" s="9" t="s">
        <v>604</v>
      </c>
    </row>
    <row r="2118" spans="1:11" ht="28.8">
      <c r="A2118" s="9" t="s">
        <v>661</v>
      </c>
      <c r="B2118" s="9" t="s">
        <v>678</v>
      </c>
      <c r="C2118" s="9" t="s">
        <v>664</v>
      </c>
      <c r="D2118" s="12">
        <v>-2.4199999999999999E-2</v>
      </c>
      <c r="E2118" s="12">
        <v>-0.15379999999999999</v>
      </c>
      <c r="F2118" s="12">
        <v>3.1E-2</v>
      </c>
      <c r="G2118" s="12">
        <v>-8.8999999999999996E-2</v>
      </c>
      <c r="H2118" s="12">
        <v>-4.9000000000000002E-2</v>
      </c>
      <c r="I2118" s="12">
        <v>6.9699999999999998E-2</v>
      </c>
      <c r="J2118" s="9" t="s">
        <v>412</v>
      </c>
      <c r="K2118" s="9" t="s">
        <v>604</v>
      </c>
    </row>
    <row r="2119" spans="1:11">
      <c r="A2119" s="9" t="s">
        <v>662</v>
      </c>
      <c r="B2119" s="9" t="s">
        <v>680</v>
      </c>
      <c r="C2119" s="9" t="s">
        <v>659</v>
      </c>
      <c r="D2119" s="12">
        <v>-8.3599999999999994E-2</v>
      </c>
      <c r="E2119" s="12">
        <v>-1.8100000000000002E-2</v>
      </c>
      <c r="F2119" s="12">
        <v>-0.1074</v>
      </c>
      <c r="G2119" s="12">
        <v>-5.0849999999999999E-2</v>
      </c>
      <c r="H2119" s="12">
        <v>-6.9699999999999998E-2</v>
      </c>
      <c r="I2119" s="12">
        <v>6.9699999999999998E-2</v>
      </c>
      <c r="J2119" s="9" t="s">
        <v>412</v>
      </c>
      <c r="K2119" s="9" t="s">
        <v>604</v>
      </c>
    </row>
    <row r="2120" spans="1:11" ht="28.8">
      <c r="A2120" s="9" t="s">
        <v>671</v>
      </c>
      <c r="B2120" s="9" t="s">
        <v>688</v>
      </c>
      <c r="C2120" s="9" t="s">
        <v>655</v>
      </c>
      <c r="D2120" s="12">
        <v>0.1215</v>
      </c>
      <c r="E2120" s="12">
        <v>6.3E-3</v>
      </c>
      <c r="F2120" s="12">
        <v>8.09E-2</v>
      </c>
      <c r="G2120" s="12">
        <v>6.3899999999999998E-2</v>
      </c>
      <c r="H2120" s="12">
        <v>6.9599999999999995E-2</v>
      </c>
      <c r="I2120" s="12">
        <v>6.9599999999999995E-2</v>
      </c>
      <c r="J2120" s="9" t="s">
        <v>412</v>
      </c>
      <c r="K2120" s="9" t="s">
        <v>654</v>
      </c>
    </row>
    <row r="2121" spans="1:11" ht="28.8">
      <c r="A2121" s="9" t="s">
        <v>682</v>
      </c>
      <c r="B2121" s="9" t="s">
        <v>669</v>
      </c>
      <c r="C2121" s="9" t="s">
        <v>664</v>
      </c>
      <c r="D2121" s="12">
        <v>-0.08</v>
      </c>
      <c r="E2121" s="12">
        <v>-1.46E-2</v>
      </c>
      <c r="F2121" s="12">
        <v>-0.1138</v>
      </c>
      <c r="G2121" s="12">
        <v>-4.7300000000000002E-2</v>
      </c>
      <c r="H2121" s="12">
        <v>-6.9500000000000006E-2</v>
      </c>
      <c r="I2121" s="12">
        <v>6.9500000000000006E-2</v>
      </c>
      <c r="J2121" s="9" t="s">
        <v>412</v>
      </c>
      <c r="K2121" s="9" t="s">
        <v>604</v>
      </c>
    </row>
    <row r="2122" spans="1:11" ht="28.8">
      <c r="A2122" s="9" t="s">
        <v>671</v>
      </c>
      <c r="B2122" s="9" t="s">
        <v>680</v>
      </c>
      <c r="C2122" s="9" t="s">
        <v>667</v>
      </c>
      <c r="D2122" s="12">
        <v>0.14219999999999999</v>
      </c>
      <c r="E2122" s="12">
        <v>-1.24E-2</v>
      </c>
      <c r="F2122" s="12">
        <v>-5.3800000000000001E-2</v>
      </c>
      <c r="G2122" s="12">
        <v>6.4899999999999999E-2</v>
      </c>
      <c r="H2122" s="12">
        <v>2.53E-2</v>
      </c>
      <c r="I2122" s="12">
        <v>6.9500000000000006E-2</v>
      </c>
      <c r="J2122" s="9" t="s">
        <v>412</v>
      </c>
      <c r="K2122" s="9" t="s">
        <v>604</v>
      </c>
    </row>
    <row r="2123" spans="1:11">
      <c r="A2123" s="9" t="s">
        <v>610</v>
      </c>
      <c r="B2123" s="9" t="s">
        <v>687</v>
      </c>
      <c r="C2123" s="9" t="s">
        <v>670</v>
      </c>
      <c r="D2123" s="12">
        <v>-0.1699</v>
      </c>
      <c r="E2123" s="12">
        <v>1.24E-2</v>
      </c>
      <c r="F2123" s="12">
        <v>2.5499999999999998E-2</v>
      </c>
      <c r="G2123" s="12">
        <v>-7.8750000000000001E-2</v>
      </c>
      <c r="H2123" s="12">
        <v>-4.3999999999999997E-2</v>
      </c>
      <c r="I2123" s="12">
        <v>6.93E-2</v>
      </c>
      <c r="J2123" s="9" t="s">
        <v>412</v>
      </c>
      <c r="K2123" s="9" t="s">
        <v>604</v>
      </c>
    </row>
    <row r="2124" spans="1:11" ht="28.8">
      <c r="A2124" s="9" t="s">
        <v>609</v>
      </c>
      <c r="B2124" s="9" t="s">
        <v>687</v>
      </c>
      <c r="C2124" s="9" t="s">
        <v>683</v>
      </c>
      <c r="D2124" s="12">
        <v>-0.105</v>
      </c>
      <c r="E2124" s="12">
        <v>-4.5400000000000003E-2</v>
      </c>
      <c r="F2124" s="12">
        <v>5.7099999999999998E-2</v>
      </c>
      <c r="G2124" s="12">
        <v>-7.5200000000000003E-2</v>
      </c>
      <c r="H2124" s="12">
        <v>-3.1099999999999999E-2</v>
      </c>
      <c r="I2124" s="12">
        <v>6.9199999999999998E-2</v>
      </c>
      <c r="J2124" s="9" t="s">
        <v>412</v>
      </c>
      <c r="K2124" s="9" t="s">
        <v>604</v>
      </c>
    </row>
    <row r="2125" spans="1:11">
      <c r="A2125" s="9" t="s">
        <v>662</v>
      </c>
      <c r="B2125" s="9" t="s">
        <v>689</v>
      </c>
      <c r="C2125" s="9" t="s">
        <v>655</v>
      </c>
      <c r="D2125" s="12">
        <v>5.6899999999999999E-2</v>
      </c>
      <c r="E2125" s="12">
        <v>-8.6699999999999999E-2</v>
      </c>
      <c r="F2125" s="12">
        <v>-6.4000000000000001E-2</v>
      </c>
      <c r="G2125" s="12">
        <v>-1.49E-2</v>
      </c>
      <c r="H2125" s="12">
        <v>-3.1300000000000001E-2</v>
      </c>
      <c r="I2125" s="12">
        <v>6.9199999999999998E-2</v>
      </c>
      <c r="J2125" s="9" t="s">
        <v>412</v>
      </c>
      <c r="K2125" s="9" t="s">
        <v>604</v>
      </c>
    </row>
    <row r="2126" spans="1:11" ht="28.8">
      <c r="A2126" s="9" t="s">
        <v>609</v>
      </c>
      <c r="B2126" s="9" t="s">
        <v>669</v>
      </c>
      <c r="C2126" s="9" t="s">
        <v>690</v>
      </c>
      <c r="D2126" s="12">
        <v>4.9799999999999997E-2</v>
      </c>
      <c r="E2126" s="12">
        <v>4.6199999999999998E-2</v>
      </c>
      <c r="F2126" s="12">
        <v>-0.11119999999999999</v>
      </c>
      <c r="G2126" s="12">
        <v>4.8000000000000001E-2</v>
      </c>
      <c r="H2126" s="12">
        <v>-5.0000000000000001E-3</v>
      </c>
      <c r="I2126" s="12">
        <v>6.9099999999999995E-2</v>
      </c>
      <c r="J2126" s="9" t="s">
        <v>412</v>
      </c>
      <c r="K2126" s="9" t="s">
        <v>604</v>
      </c>
    </row>
    <row r="2127" spans="1:11" ht="28.8">
      <c r="A2127" s="9" t="s">
        <v>603</v>
      </c>
      <c r="B2127" s="9" t="s">
        <v>688</v>
      </c>
      <c r="C2127" s="9" t="s">
        <v>690</v>
      </c>
      <c r="D2127" s="12">
        <v>4.1099999999999998E-2</v>
      </c>
      <c r="E2127" s="12">
        <v>-2.2200000000000001E-2</v>
      </c>
      <c r="F2127" s="12">
        <v>0.14399999999999999</v>
      </c>
      <c r="G2127" s="12">
        <v>9.4499999999999983E-3</v>
      </c>
      <c r="H2127" s="12">
        <v>5.4300000000000001E-2</v>
      </c>
      <c r="I2127" s="12">
        <v>6.9099999999999995E-2</v>
      </c>
      <c r="J2127" s="9" t="s">
        <v>412</v>
      </c>
      <c r="K2127" s="9" t="s">
        <v>604</v>
      </c>
    </row>
    <row r="2128" spans="1:11" ht="28.8">
      <c r="A2128" s="9" t="s">
        <v>661</v>
      </c>
      <c r="B2128" s="9" t="s">
        <v>602</v>
      </c>
      <c r="C2128" s="9" t="s">
        <v>663</v>
      </c>
      <c r="D2128" s="12">
        <v>8.8300000000000003E-2</v>
      </c>
      <c r="E2128" s="12">
        <v>2.06E-2</v>
      </c>
      <c r="F2128" s="12">
        <v>9.8400000000000001E-2</v>
      </c>
      <c r="G2128" s="12">
        <v>5.4449999999999998E-2</v>
      </c>
      <c r="H2128" s="12">
        <v>6.9099999999999995E-2</v>
      </c>
      <c r="I2128" s="12">
        <v>6.9099999999999995E-2</v>
      </c>
      <c r="J2128" s="9" t="s">
        <v>412</v>
      </c>
      <c r="K2128" s="9" t="s">
        <v>654</v>
      </c>
    </row>
    <row r="2129" spans="1:11">
      <c r="A2129" s="9" t="s">
        <v>682</v>
      </c>
      <c r="B2129" s="9" t="s">
        <v>678</v>
      </c>
      <c r="C2129" s="9" t="s">
        <v>667</v>
      </c>
      <c r="D2129" s="12">
        <v>-0.02</v>
      </c>
      <c r="E2129" s="12">
        <v>-0.16669999999999999</v>
      </c>
      <c r="F2129" s="12">
        <v>-2.01E-2</v>
      </c>
      <c r="G2129" s="12">
        <v>-9.3349999999999989E-2</v>
      </c>
      <c r="H2129" s="12">
        <v>-6.8900000000000003E-2</v>
      </c>
      <c r="I2129" s="12">
        <v>6.8900000000000003E-2</v>
      </c>
      <c r="J2129" s="9" t="s">
        <v>412</v>
      </c>
      <c r="K2129" s="9" t="s">
        <v>604</v>
      </c>
    </row>
    <row r="2130" spans="1:11" ht="28.8">
      <c r="A2130" s="9" t="s">
        <v>661</v>
      </c>
      <c r="B2130" s="9" t="s">
        <v>680</v>
      </c>
      <c r="C2130" s="9" t="s">
        <v>690</v>
      </c>
      <c r="D2130" s="12">
        <v>3.3700000000000001E-2</v>
      </c>
      <c r="E2130" s="12">
        <v>5.1799999999999999E-2</v>
      </c>
      <c r="F2130" s="12">
        <v>-0.12130000000000001</v>
      </c>
      <c r="G2130" s="12">
        <v>4.2749999999999996E-2</v>
      </c>
      <c r="H2130" s="12">
        <v>-1.1900000000000001E-2</v>
      </c>
      <c r="I2130" s="12">
        <v>6.8900000000000003E-2</v>
      </c>
      <c r="J2130" s="9" t="s">
        <v>412</v>
      </c>
      <c r="K2130" s="9" t="s">
        <v>604</v>
      </c>
    </row>
    <row r="2131" spans="1:11" ht="28.8">
      <c r="A2131" s="9" t="s">
        <v>603</v>
      </c>
      <c r="B2131" s="9" t="s">
        <v>680</v>
      </c>
      <c r="C2131" s="9" t="s">
        <v>677</v>
      </c>
      <c r="D2131" s="12">
        <v>0.14069999999999999</v>
      </c>
      <c r="E2131" s="12">
        <v>-4.2000000000000003E-2</v>
      </c>
      <c r="F2131" s="12">
        <v>2.41E-2</v>
      </c>
      <c r="G2131" s="12">
        <v>4.9349999999999991E-2</v>
      </c>
      <c r="H2131" s="12">
        <v>4.1000000000000002E-2</v>
      </c>
      <c r="I2131" s="12">
        <v>6.8900000000000003E-2</v>
      </c>
      <c r="J2131" s="9" t="s">
        <v>412</v>
      </c>
      <c r="K2131" s="9" t="s">
        <v>604</v>
      </c>
    </row>
    <row r="2132" spans="1:11" ht="28.8">
      <c r="A2132" s="9" t="s">
        <v>661</v>
      </c>
      <c r="B2132" s="9" t="s">
        <v>686</v>
      </c>
      <c r="C2132" s="9" t="s">
        <v>659</v>
      </c>
      <c r="D2132" s="12">
        <v>4.3499999999999997E-2</v>
      </c>
      <c r="E2132" s="12">
        <v>0.111</v>
      </c>
      <c r="F2132" s="12">
        <v>5.1200000000000002E-2</v>
      </c>
      <c r="G2132" s="12">
        <v>7.7249999999999999E-2</v>
      </c>
      <c r="H2132" s="12">
        <v>6.8599999999999994E-2</v>
      </c>
      <c r="I2132" s="12">
        <v>6.8599999999999994E-2</v>
      </c>
      <c r="J2132" s="9" t="s">
        <v>412</v>
      </c>
      <c r="K2132" s="9" t="s">
        <v>654</v>
      </c>
    </row>
    <row r="2133" spans="1:11" ht="28.8">
      <c r="A2133" s="9" t="s">
        <v>682</v>
      </c>
      <c r="B2133" s="9" t="s">
        <v>684</v>
      </c>
      <c r="C2133" s="9" t="s">
        <v>674</v>
      </c>
      <c r="D2133" s="12">
        <v>4.1999999999999997E-3</v>
      </c>
      <c r="E2133" s="12">
        <v>-0.1031</v>
      </c>
      <c r="F2133" s="12">
        <v>9.8699999999999996E-2</v>
      </c>
      <c r="G2133" s="12">
        <v>-4.9450000000000001E-2</v>
      </c>
      <c r="H2133" s="12">
        <v>-1E-4</v>
      </c>
      <c r="I2133" s="12">
        <v>6.8599999999999994E-2</v>
      </c>
      <c r="J2133" s="9" t="s">
        <v>412</v>
      </c>
      <c r="K2133" s="9" t="s">
        <v>604</v>
      </c>
    </row>
    <row r="2134" spans="1:11" ht="28.8">
      <c r="A2134" s="9" t="s">
        <v>662</v>
      </c>
      <c r="B2134" s="9" t="s">
        <v>676</v>
      </c>
      <c r="C2134" s="9" t="s">
        <v>664</v>
      </c>
      <c r="D2134" s="12">
        <v>-2.87E-2</v>
      </c>
      <c r="E2134" s="12">
        <v>0.17610000000000001</v>
      </c>
      <c r="F2134" s="12">
        <v>-2.9999999999999997E-4</v>
      </c>
      <c r="G2134" s="12">
        <v>7.3700000000000002E-2</v>
      </c>
      <c r="H2134" s="12">
        <v>4.9000000000000002E-2</v>
      </c>
      <c r="I2134" s="12">
        <v>6.83E-2</v>
      </c>
      <c r="J2134" s="9" t="s">
        <v>412</v>
      </c>
      <c r="K2134" s="9" t="s">
        <v>604</v>
      </c>
    </row>
    <row r="2135" spans="1:11" ht="28.8">
      <c r="A2135" s="9" t="s">
        <v>682</v>
      </c>
      <c r="B2135" s="9" t="s">
        <v>680</v>
      </c>
      <c r="C2135" s="9" t="s">
        <v>683</v>
      </c>
      <c r="D2135" s="12">
        <v>-8.5099999999999995E-2</v>
      </c>
      <c r="E2135" s="12">
        <v>6.7000000000000004E-2</v>
      </c>
      <c r="F2135" s="12">
        <v>5.2699999999999997E-2</v>
      </c>
      <c r="G2135" s="12">
        <v>-9.0499999999999955E-3</v>
      </c>
      <c r="H2135" s="12">
        <v>1.15E-2</v>
      </c>
      <c r="I2135" s="12">
        <v>6.8199999999999997E-2</v>
      </c>
      <c r="J2135" s="9" t="s">
        <v>412</v>
      </c>
      <c r="K2135" s="9" t="s">
        <v>604</v>
      </c>
    </row>
    <row r="2136" spans="1:11" ht="28.8">
      <c r="A2136" s="9" t="s">
        <v>603</v>
      </c>
      <c r="B2136" s="9" t="s">
        <v>687</v>
      </c>
      <c r="C2136" s="9" t="s">
        <v>690</v>
      </c>
      <c r="D2136" s="12">
        <v>4.1099999999999998E-2</v>
      </c>
      <c r="E2136" s="12">
        <v>-0.1457</v>
      </c>
      <c r="F2136" s="12">
        <v>-1.78E-2</v>
      </c>
      <c r="G2136" s="12">
        <v>-5.2299999999999999E-2</v>
      </c>
      <c r="H2136" s="12">
        <v>-4.0800000000000003E-2</v>
      </c>
      <c r="I2136" s="12">
        <v>6.8199999999999997E-2</v>
      </c>
      <c r="J2136" s="9" t="s">
        <v>412</v>
      </c>
      <c r="K2136" s="9" t="s">
        <v>604</v>
      </c>
    </row>
    <row r="2137" spans="1:11">
      <c r="A2137" s="9" t="s">
        <v>682</v>
      </c>
      <c r="B2137" s="9" t="s">
        <v>681</v>
      </c>
      <c r="C2137" s="9" t="s">
        <v>667</v>
      </c>
      <c r="D2137" s="12">
        <v>-0.02</v>
      </c>
      <c r="E2137" s="12">
        <v>0.15890000000000001</v>
      </c>
      <c r="F2137" s="12">
        <v>2.58E-2</v>
      </c>
      <c r="G2137" s="12">
        <v>6.9450000000000012E-2</v>
      </c>
      <c r="H2137" s="12">
        <v>5.4899999999999997E-2</v>
      </c>
      <c r="I2137" s="12">
        <v>6.8199999999999997E-2</v>
      </c>
      <c r="J2137" s="9" t="s">
        <v>412</v>
      </c>
      <c r="K2137" s="9" t="s">
        <v>604</v>
      </c>
    </row>
    <row r="2138" spans="1:11" ht="28.8">
      <c r="A2138" s="9" t="s">
        <v>671</v>
      </c>
      <c r="B2138" s="9" t="s">
        <v>688</v>
      </c>
      <c r="C2138" s="9" t="s">
        <v>674</v>
      </c>
      <c r="D2138" s="12">
        <v>-6.2799999999999995E-2</v>
      </c>
      <c r="E2138" s="12">
        <v>6.3E-3</v>
      </c>
      <c r="F2138" s="12">
        <v>0.13539999999999999</v>
      </c>
      <c r="G2138" s="12">
        <v>-2.8249999999999997E-2</v>
      </c>
      <c r="H2138" s="12">
        <v>2.63E-2</v>
      </c>
      <c r="I2138" s="12">
        <v>6.8199999999999997E-2</v>
      </c>
      <c r="J2138" s="9" t="s">
        <v>412</v>
      </c>
      <c r="K2138" s="9" t="s">
        <v>604</v>
      </c>
    </row>
    <row r="2139" spans="1:11" ht="28.8">
      <c r="A2139" s="9" t="s">
        <v>603</v>
      </c>
      <c r="B2139" s="9" t="s">
        <v>680</v>
      </c>
      <c r="C2139" s="9" t="s">
        <v>690</v>
      </c>
      <c r="D2139" s="12">
        <v>4.1099999999999998E-2</v>
      </c>
      <c r="E2139" s="12">
        <v>-4.2000000000000003E-2</v>
      </c>
      <c r="F2139" s="12">
        <v>-0.12130000000000001</v>
      </c>
      <c r="G2139" s="12">
        <v>-4.5000000000000248E-4</v>
      </c>
      <c r="H2139" s="12">
        <v>-4.07E-2</v>
      </c>
      <c r="I2139" s="12">
        <v>6.8099999999999994E-2</v>
      </c>
      <c r="J2139" s="9" t="s">
        <v>412</v>
      </c>
      <c r="K2139" s="9" t="s">
        <v>604</v>
      </c>
    </row>
    <row r="2140" spans="1:11" ht="28.8">
      <c r="A2140" s="9" t="s">
        <v>682</v>
      </c>
      <c r="B2140" s="9" t="s">
        <v>691</v>
      </c>
      <c r="C2140" s="9" t="s">
        <v>677</v>
      </c>
      <c r="D2140" s="12">
        <v>1.23E-2</v>
      </c>
      <c r="E2140" s="12">
        <v>-0.1062</v>
      </c>
      <c r="F2140" s="12">
        <v>8.5900000000000004E-2</v>
      </c>
      <c r="G2140" s="12">
        <v>-4.6949999999999999E-2</v>
      </c>
      <c r="H2140" s="12">
        <v>-2.7000000000000001E-3</v>
      </c>
      <c r="I2140" s="12">
        <v>6.8099999999999994E-2</v>
      </c>
      <c r="J2140" s="9" t="s">
        <v>412</v>
      </c>
      <c r="K2140" s="9" t="s">
        <v>604</v>
      </c>
    </row>
    <row r="2141" spans="1:11" ht="28.8">
      <c r="A2141" s="9" t="s">
        <v>671</v>
      </c>
      <c r="B2141" s="9" t="s">
        <v>613</v>
      </c>
      <c r="C2141" s="9" t="s">
        <v>663</v>
      </c>
      <c r="D2141" s="12">
        <v>9.4399999999999998E-2</v>
      </c>
      <c r="E2141" s="12">
        <v>3.5900000000000001E-2</v>
      </c>
      <c r="F2141" s="12">
        <v>-7.3700000000000002E-2</v>
      </c>
      <c r="G2141" s="12">
        <v>6.515E-2</v>
      </c>
      <c r="H2141" s="12">
        <v>1.89E-2</v>
      </c>
      <c r="I2141" s="12">
        <v>6.8000000000000005E-2</v>
      </c>
      <c r="J2141" s="9" t="s">
        <v>412</v>
      </c>
      <c r="K2141" s="9" t="s">
        <v>604</v>
      </c>
    </row>
    <row r="2142" spans="1:11" ht="28.8">
      <c r="A2142" s="9" t="s">
        <v>671</v>
      </c>
      <c r="B2142" s="9" t="s">
        <v>688</v>
      </c>
      <c r="C2142" s="9" t="s">
        <v>677</v>
      </c>
      <c r="D2142" s="12">
        <v>6.8900000000000003E-2</v>
      </c>
      <c r="E2142" s="12">
        <v>6.3E-3</v>
      </c>
      <c r="F2142" s="12">
        <v>0.1288</v>
      </c>
      <c r="G2142" s="12">
        <v>3.7600000000000001E-2</v>
      </c>
      <c r="H2142" s="12">
        <v>6.8000000000000005E-2</v>
      </c>
      <c r="I2142" s="12">
        <v>6.8000000000000005E-2</v>
      </c>
      <c r="J2142" s="9" t="s">
        <v>412</v>
      </c>
      <c r="K2142" s="9" t="s">
        <v>654</v>
      </c>
    </row>
    <row r="2143" spans="1:11" ht="28.8">
      <c r="A2143" s="9" t="s">
        <v>671</v>
      </c>
      <c r="B2143" s="9" t="s">
        <v>680</v>
      </c>
      <c r="C2143" s="9" t="s">
        <v>690</v>
      </c>
      <c r="D2143" s="12">
        <v>-7.0199999999999999E-2</v>
      </c>
      <c r="E2143" s="12">
        <v>-1.24E-2</v>
      </c>
      <c r="F2143" s="12">
        <v>-0.12130000000000001</v>
      </c>
      <c r="G2143" s="12">
        <v>-4.1299999999999996E-2</v>
      </c>
      <c r="H2143" s="12">
        <v>-6.8000000000000005E-2</v>
      </c>
      <c r="I2143" s="12">
        <v>6.8000000000000005E-2</v>
      </c>
      <c r="J2143" s="9" t="s">
        <v>412</v>
      </c>
      <c r="K2143" s="9" t="s">
        <v>604</v>
      </c>
    </row>
    <row r="2144" spans="1:11">
      <c r="A2144" s="9" t="s">
        <v>662</v>
      </c>
      <c r="B2144" s="9" t="s">
        <v>602</v>
      </c>
      <c r="C2144" s="9" t="s">
        <v>659</v>
      </c>
      <c r="D2144" s="12">
        <v>-8.3599999999999994E-2</v>
      </c>
      <c r="E2144" s="12">
        <v>9.3799999999999994E-2</v>
      </c>
      <c r="F2144" s="12">
        <v>-2.64E-2</v>
      </c>
      <c r="G2144" s="12">
        <v>5.1000000000000004E-3</v>
      </c>
      <c r="H2144" s="12">
        <v>-5.4000000000000003E-3</v>
      </c>
      <c r="I2144" s="12">
        <v>6.7900000000000002E-2</v>
      </c>
      <c r="J2144" s="9" t="s">
        <v>412</v>
      </c>
      <c r="K2144" s="9" t="s">
        <v>604</v>
      </c>
    </row>
    <row r="2145" spans="1:11" ht="28.8">
      <c r="A2145" s="9" t="s">
        <v>661</v>
      </c>
      <c r="B2145" s="9" t="s">
        <v>691</v>
      </c>
      <c r="C2145" s="9" t="s">
        <v>664</v>
      </c>
      <c r="D2145" s="12">
        <v>-2.4199999999999999E-2</v>
      </c>
      <c r="E2145" s="12">
        <v>4.9000000000000002E-2</v>
      </c>
      <c r="F2145" s="12">
        <v>0.13</v>
      </c>
      <c r="G2145" s="12">
        <v>1.2400000000000001E-2</v>
      </c>
      <c r="H2145" s="12">
        <v>5.16E-2</v>
      </c>
      <c r="I2145" s="12">
        <v>6.7699999999999996E-2</v>
      </c>
      <c r="J2145" s="9" t="s">
        <v>412</v>
      </c>
      <c r="K2145" s="9" t="s">
        <v>604</v>
      </c>
    </row>
    <row r="2146" spans="1:11" ht="28.8">
      <c r="A2146" s="9" t="s">
        <v>661</v>
      </c>
      <c r="B2146" s="9" t="s">
        <v>680</v>
      </c>
      <c r="C2146" s="9" t="s">
        <v>659</v>
      </c>
      <c r="D2146" s="12">
        <v>4.3499999999999997E-2</v>
      </c>
      <c r="E2146" s="12">
        <v>5.1799999999999999E-2</v>
      </c>
      <c r="F2146" s="12">
        <v>-0.1074</v>
      </c>
      <c r="G2146" s="12">
        <v>4.7649999999999998E-2</v>
      </c>
      <c r="H2146" s="12">
        <v>-4.0000000000000001E-3</v>
      </c>
      <c r="I2146" s="12">
        <v>6.7599999999999993E-2</v>
      </c>
      <c r="J2146" s="9" t="s">
        <v>412</v>
      </c>
      <c r="K2146" s="9" t="s">
        <v>604</v>
      </c>
    </row>
    <row r="2147" spans="1:11">
      <c r="A2147" s="9" t="s">
        <v>662</v>
      </c>
      <c r="B2147" s="9" t="s">
        <v>672</v>
      </c>
      <c r="C2147" s="9" t="s">
        <v>659</v>
      </c>
      <c r="D2147" s="12">
        <v>-8.3599999999999994E-2</v>
      </c>
      <c r="E2147" s="12">
        <v>1.0999999999999999E-2</v>
      </c>
      <c r="F2147" s="12">
        <v>-0.10730000000000001</v>
      </c>
      <c r="G2147" s="12">
        <v>-3.6299999999999999E-2</v>
      </c>
      <c r="H2147" s="12">
        <v>-0.06</v>
      </c>
      <c r="I2147" s="12">
        <v>6.7299999999999999E-2</v>
      </c>
      <c r="J2147" s="9" t="s">
        <v>412</v>
      </c>
      <c r="K2147" s="9" t="s">
        <v>604</v>
      </c>
    </row>
    <row r="2148" spans="1:11" ht="28.8">
      <c r="A2148" s="9" t="s">
        <v>662</v>
      </c>
      <c r="B2148" s="9" t="s">
        <v>687</v>
      </c>
      <c r="C2148" s="9" t="s">
        <v>601</v>
      </c>
      <c r="D2148" s="12">
        <v>-0.1173</v>
      </c>
      <c r="E2148" s="12">
        <v>-5.4199999999999998E-2</v>
      </c>
      <c r="F2148" s="12">
        <v>-3.04E-2</v>
      </c>
      <c r="G2148" s="12">
        <v>-8.5749999999999993E-2</v>
      </c>
      <c r="H2148" s="12">
        <v>-6.7299999999999999E-2</v>
      </c>
      <c r="I2148" s="12">
        <v>6.7299999999999999E-2</v>
      </c>
      <c r="J2148" s="9" t="s">
        <v>412</v>
      </c>
      <c r="K2148" s="9" t="s">
        <v>604</v>
      </c>
    </row>
    <row r="2149" spans="1:11" ht="28.8">
      <c r="A2149" s="9" t="s">
        <v>662</v>
      </c>
      <c r="B2149" s="9" t="s">
        <v>691</v>
      </c>
      <c r="C2149" s="9" t="s">
        <v>683</v>
      </c>
      <c r="D2149" s="12">
        <v>-6.0100000000000001E-2</v>
      </c>
      <c r="E2149" s="12">
        <v>7.0099999999999996E-2</v>
      </c>
      <c r="F2149" s="12">
        <v>7.1400000000000005E-2</v>
      </c>
      <c r="G2149" s="12">
        <v>4.9999999999999975E-3</v>
      </c>
      <c r="H2149" s="12">
        <v>2.7099999999999999E-2</v>
      </c>
      <c r="I2149" s="12">
        <v>6.7199999999999996E-2</v>
      </c>
      <c r="J2149" s="9" t="s">
        <v>412</v>
      </c>
      <c r="K2149" s="9" t="s">
        <v>604</v>
      </c>
    </row>
    <row r="2150" spans="1:11" ht="28.8">
      <c r="A2150" s="9" t="s">
        <v>682</v>
      </c>
      <c r="B2150" s="9" t="s">
        <v>672</v>
      </c>
      <c r="C2150" s="9" t="s">
        <v>664</v>
      </c>
      <c r="D2150" s="12">
        <v>-0.08</v>
      </c>
      <c r="E2150" s="12">
        <v>-2.86E-2</v>
      </c>
      <c r="F2150" s="12">
        <v>-9.2899999999999996E-2</v>
      </c>
      <c r="G2150" s="12">
        <v>-5.4300000000000001E-2</v>
      </c>
      <c r="H2150" s="12">
        <v>-6.7199999999999996E-2</v>
      </c>
      <c r="I2150" s="12">
        <v>6.7199999999999996E-2</v>
      </c>
      <c r="J2150" s="9" t="s">
        <v>412</v>
      </c>
      <c r="K2150" s="9" t="s">
        <v>604</v>
      </c>
    </row>
    <row r="2151" spans="1:11" ht="28.8">
      <c r="A2151" s="9" t="s">
        <v>671</v>
      </c>
      <c r="B2151" s="9" t="s">
        <v>684</v>
      </c>
      <c r="C2151" s="9" t="s">
        <v>683</v>
      </c>
      <c r="D2151" s="12">
        <v>0.1066</v>
      </c>
      <c r="E2151" s="12">
        <v>-3.3399999999999999E-2</v>
      </c>
      <c r="F2151" s="12">
        <v>-6.1499999999999999E-2</v>
      </c>
      <c r="G2151" s="12">
        <v>3.6600000000000001E-2</v>
      </c>
      <c r="H2151" s="12">
        <v>3.8999999999999998E-3</v>
      </c>
      <c r="I2151" s="12">
        <v>6.7100000000000007E-2</v>
      </c>
      <c r="J2151" s="9" t="s">
        <v>412</v>
      </c>
      <c r="K2151" s="9" t="s">
        <v>604</v>
      </c>
    </row>
    <row r="2152" spans="1:11" ht="28.8">
      <c r="A2152" s="9" t="s">
        <v>609</v>
      </c>
      <c r="B2152" s="9" t="s">
        <v>681</v>
      </c>
      <c r="C2152" s="9" t="s">
        <v>674</v>
      </c>
      <c r="D2152" s="12">
        <v>-8.6999999999999994E-3</v>
      </c>
      <c r="E2152" s="12">
        <v>-2E-3</v>
      </c>
      <c r="F2152" s="12">
        <v>0.19020000000000001</v>
      </c>
      <c r="G2152" s="12">
        <v>-5.3499999999999997E-3</v>
      </c>
      <c r="H2152" s="12">
        <v>5.9900000000000002E-2</v>
      </c>
      <c r="I2152" s="12">
        <v>6.7000000000000004E-2</v>
      </c>
      <c r="J2152" s="9" t="s">
        <v>412</v>
      </c>
      <c r="K2152" s="9" t="s">
        <v>604</v>
      </c>
    </row>
    <row r="2153" spans="1:11" ht="28.8">
      <c r="A2153" s="9" t="s">
        <v>610</v>
      </c>
      <c r="B2153" s="9" t="s">
        <v>686</v>
      </c>
      <c r="C2153" s="9" t="s">
        <v>601</v>
      </c>
      <c r="D2153" s="12">
        <v>8.48E-2</v>
      </c>
      <c r="E2153" s="12">
        <v>2.07E-2</v>
      </c>
      <c r="F2153" s="12">
        <v>-9.5100000000000004E-2</v>
      </c>
      <c r="G2153" s="12">
        <v>5.2749999999999998E-2</v>
      </c>
      <c r="H2153" s="12">
        <v>3.5000000000000001E-3</v>
      </c>
      <c r="I2153" s="12">
        <v>6.6900000000000001E-2</v>
      </c>
      <c r="J2153" s="9" t="s">
        <v>412</v>
      </c>
      <c r="K2153" s="9" t="s">
        <v>604</v>
      </c>
    </row>
    <row r="2154" spans="1:11" ht="28.8">
      <c r="A2154" s="9" t="s">
        <v>609</v>
      </c>
      <c r="B2154" s="9" t="s">
        <v>678</v>
      </c>
      <c r="C2154" s="9" t="s">
        <v>664</v>
      </c>
      <c r="D2154" s="12">
        <v>-6.5699999999999995E-2</v>
      </c>
      <c r="E2154" s="12">
        <v>-0.10390000000000001</v>
      </c>
      <c r="F2154" s="12">
        <v>3.1E-2</v>
      </c>
      <c r="G2154" s="12">
        <v>-8.48E-2</v>
      </c>
      <c r="H2154" s="12">
        <v>-4.6199999999999998E-2</v>
      </c>
      <c r="I2154" s="12">
        <v>6.6900000000000001E-2</v>
      </c>
      <c r="J2154" s="9" t="s">
        <v>412</v>
      </c>
      <c r="K2154" s="9" t="s">
        <v>604</v>
      </c>
    </row>
    <row r="2155" spans="1:11" ht="28.8">
      <c r="A2155" s="9" t="s">
        <v>603</v>
      </c>
      <c r="B2155" s="9" t="s">
        <v>685</v>
      </c>
      <c r="C2155" s="9" t="s">
        <v>659</v>
      </c>
      <c r="D2155" s="12">
        <v>-0.17230000000000001</v>
      </c>
      <c r="E2155" s="12">
        <v>1.0699999999999999E-2</v>
      </c>
      <c r="F2155" s="12">
        <v>-1.7899999999999999E-2</v>
      </c>
      <c r="G2155" s="12">
        <v>-8.0800000000000011E-2</v>
      </c>
      <c r="H2155" s="12">
        <v>-5.9799999999999999E-2</v>
      </c>
      <c r="I2155" s="12">
        <v>6.6900000000000001E-2</v>
      </c>
      <c r="J2155" s="9" t="s">
        <v>412</v>
      </c>
      <c r="K2155" s="9" t="s">
        <v>604</v>
      </c>
    </row>
    <row r="2156" spans="1:11" ht="28.8">
      <c r="A2156" s="9" t="s">
        <v>661</v>
      </c>
      <c r="B2156" s="9" t="s">
        <v>687</v>
      </c>
      <c r="C2156" s="9" t="s">
        <v>683</v>
      </c>
      <c r="D2156" s="12">
        <v>-5.3400000000000003E-2</v>
      </c>
      <c r="E2156" s="12">
        <v>-8.9700000000000002E-2</v>
      </c>
      <c r="F2156" s="12">
        <v>5.7099999999999998E-2</v>
      </c>
      <c r="G2156" s="12">
        <v>-7.1550000000000002E-2</v>
      </c>
      <c r="H2156" s="12">
        <v>-2.87E-2</v>
      </c>
      <c r="I2156" s="12">
        <v>6.6799999999999998E-2</v>
      </c>
      <c r="J2156" s="9" t="s">
        <v>412</v>
      </c>
      <c r="K2156" s="9" t="s">
        <v>604</v>
      </c>
    </row>
    <row r="2157" spans="1:11" ht="28.8">
      <c r="A2157" s="9" t="s">
        <v>609</v>
      </c>
      <c r="B2157" s="9" t="s">
        <v>688</v>
      </c>
      <c r="C2157" s="9" t="s">
        <v>690</v>
      </c>
      <c r="D2157" s="12">
        <v>4.9799999999999997E-2</v>
      </c>
      <c r="E2157" s="12">
        <v>6.3E-3</v>
      </c>
      <c r="F2157" s="12">
        <v>0.14399999999999999</v>
      </c>
      <c r="G2157" s="12">
        <v>2.8049999999999999E-2</v>
      </c>
      <c r="H2157" s="12">
        <v>6.6699999999999995E-2</v>
      </c>
      <c r="I2157" s="12">
        <v>6.6699999999999995E-2</v>
      </c>
      <c r="J2157" s="9" t="s">
        <v>412</v>
      </c>
      <c r="K2157" s="9" t="s">
        <v>654</v>
      </c>
    </row>
    <row r="2158" spans="1:11" ht="28.8">
      <c r="A2158" s="9" t="s">
        <v>662</v>
      </c>
      <c r="B2158" s="9" t="s">
        <v>673</v>
      </c>
      <c r="C2158" s="9" t="s">
        <v>683</v>
      </c>
      <c r="D2158" s="12">
        <v>-6.0100000000000001E-2</v>
      </c>
      <c r="E2158" s="12">
        <v>4.2999999999999997E-2</v>
      </c>
      <c r="F2158" s="12">
        <v>-9.69E-2</v>
      </c>
      <c r="G2158" s="12">
        <v>-8.550000000000002E-3</v>
      </c>
      <c r="H2158" s="12">
        <v>-3.7999999999999999E-2</v>
      </c>
      <c r="I2158" s="12">
        <v>6.6699999999999995E-2</v>
      </c>
      <c r="J2158" s="9" t="s">
        <v>412</v>
      </c>
      <c r="K2158" s="9" t="s">
        <v>604</v>
      </c>
    </row>
    <row r="2159" spans="1:11" ht="28.8">
      <c r="A2159" s="9" t="s">
        <v>662</v>
      </c>
      <c r="B2159" s="9" t="s">
        <v>689</v>
      </c>
      <c r="C2159" s="9" t="s">
        <v>666</v>
      </c>
      <c r="D2159" s="12">
        <v>-0.1094</v>
      </c>
      <c r="E2159" s="12">
        <v>-8.6699999999999999E-2</v>
      </c>
      <c r="F2159" s="12">
        <v>3.5000000000000001E-3</v>
      </c>
      <c r="G2159" s="12">
        <v>-9.8049999999999998E-2</v>
      </c>
      <c r="H2159" s="12">
        <v>-6.4199999999999993E-2</v>
      </c>
      <c r="I2159" s="12">
        <v>6.6500000000000004E-2</v>
      </c>
      <c r="J2159" s="9" t="s">
        <v>412</v>
      </c>
      <c r="K2159" s="9" t="s">
        <v>604</v>
      </c>
    </row>
    <row r="2160" spans="1:11" ht="28.8">
      <c r="A2160" s="9" t="s">
        <v>610</v>
      </c>
      <c r="B2160" s="9" t="s">
        <v>673</v>
      </c>
      <c r="C2160" s="9" t="s">
        <v>677</v>
      </c>
      <c r="D2160" s="12">
        <v>0.10100000000000001</v>
      </c>
      <c r="E2160" s="12">
        <v>-8.14E-2</v>
      </c>
      <c r="F2160" s="12">
        <v>-1.6899999999999998E-2</v>
      </c>
      <c r="G2160" s="12">
        <v>9.8000000000000032E-3</v>
      </c>
      <c r="H2160" s="12">
        <v>8.9999999999999998E-4</v>
      </c>
      <c r="I2160" s="12">
        <v>6.6400000000000001E-2</v>
      </c>
      <c r="J2160" s="9" t="s">
        <v>412</v>
      </c>
      <c r="K2160" s="9" t="s">
        <v>604</v>
      </c>
    </row>
    <row r="2161" spans="1:11" ht="28.8">
      <c r="A2161" s="9" t="s">
        <v>609</v>
      </c>
      <c r="B2161" s="9" t="s">
        <v>689</v>
      </c>
      <c r="C2161" s="9" t="s">
        <v>675</v>
      </c>
      <c r="D2161" s="12">
        <v>9.6600000000000005E-2</v>
      </c>
      <c r="E2161" s="12">
        <v>-4.6100000000000002E-2</v>
      </c>
      <c r="F2161" s="12">
        <v>5.6300000000000003E-2</v>
      </c>
      <c r="G2161" s="12">
        <v>2.5250000000000002E-2</v>
      </c>
      <c r="H2161" s="12">
        <v>3.56E-2</v>
      </c>
      <c r="I2161" s="12">
        <v>6.6299999999999998E-2</v>
      </c>
      <c r="J2161" s="9" t="s">
        <v>412</v>
      </c>
      <c r="K2161" s="9" t="s">
        <v>604</v>
      </c>
    </row>
    <row r="2162" spans="1:11" ht="28.8">
      <c r="A2162" s="9" t="s">
        <v>679</v>
      </c>
      <c r="B2162" s="9" t="s">
        <v>658</v>
      </c>
      <c r="C2162" s="9" t="s">
        <v>677</v>
      </c>
      <c r="D2162" s="12">
        <v>0.13189999999999999</v>
      </c>
      <c r="E2162" s="12">
        <v>3.4000000000000002E-2</v>
      </c>
      <c r="F2162" s="12">
        <v>-3.3099999999999997E-2</v>
      </c>
      <c r="G2162" s="12">
        <v>8.2949999999999996E-2</v>
      </c>
      <c r="H2162" s="12">
        <v>4.4299999999999999E-2</v>
      </c>
      <c r="I2162" s="12">
        <v>6.6299999999999998E-2</v>
      </c>
      <c r="J2162" s="9" t="s">
        <v>412</v>
      </c>
      <c r="K2162" s="9" t="s">
        <v>604</v>
      </c>
    </row>
    <row r="2163" spans="1:11">
      <c r="A2163" s="9" t="s">
        <v>682</v>
      </c>
      <c r="B2163" s="9" t="s">
        <v>686</v>
      </c>
      <c r="C2163" s="9" t="s">
        <v>655</v>
      </c>
      <c r="D2163" s="12">
        <v>7.3099999999999998E-2</v>
      </c>
      <c r="E2163" s="12">
        <v>-1.6400000000000001E-2</v>
      </c>
      <c r="F2163" s="12">
        <v>0.1085</v>
      </c>
      <c r="G2163" s="12">
        <v>2.835E-2</v>
      </c>
      <c r="H2163" s="12">
        <v>5.5100000000000003E-2</v>
      </c>
      <c r="I2163" s="12">
        <v>6.6000000000000003E-2</v>
      </c>
      <c r="J2163" s="9" t="s">
        <v>412</v>
      </c>
      <c r="K2163" s="9" t="s">
        <v>604</v>
      </c>
    </row>
    <row r="2164" spans="1:11" ht="28.8">
      <c r="A2164" s="9" t="s">
        <v>662</v>
      </c>
      <c r="B2164" s="9" t="s">
        <v>685</v>
      </c>
      <c r="C2164" s="9" t="s">
        <v>664</v>
      </c>
      <c r="D2164" s="12">
        <v>-2.87E-2</v>
      </c>
      <c r="E2164" s="12">
        <v>0.1087</v>
      </c>
      <c r="F2164" s="12">
        <v>6.0699999999999997E-2</v>
      </c>
      <c r="G2164" s="12">
        <v>0.04</v>
      </c>
      <c r="H2164" s="12">
        <v>4.6899999999999997E-2</v>
      </c>
      <c r="I2164" s="12">
        <v>6.6000000000000003E-2</v>
      </c>
      <c r="J2164" s="9" t="s">
        <v>412</v>
      </c>
      <c r="K2164" s="9" t="s">
        <v>604</v>
      </c>
    </row>
    <row r="2165" spans="1:11" ht="28.8">
      <c r="A2165" s="9" t="s">
        <v>682</v>
      </c>
      <c r="B2165" s="9" t="s">
        <v>688</v>
      </c>
      <c r="C2165" s="9" t="s">
        <v>677</v>
      </c>
      <c r="D2165" s="12">
        <v>1.23E-2</v>
      </c>
      <c r="E2165" s="12">
        <v>5.6800000000000003E-2</v>
      </c>
      <c r="F2165" s="12">
        <v>0.1288</v>
      </c>
      <c r="G2165" s="12">
        <v>3.4550000000000004E-2</v>
      </c>
      <c r="H2165" s="12">
        <v>6.6000000000000003E-2</v>
      </c>
      <c r="I2165" s="12">
        <v>6.6000000000000003E-2</v>
      </c>
      <c r="J2165" s="9" t="s">
        <v>412</v>
      </c>
      <c r="K2165" s="9" t="s">
        <v>654</v>
      </c>
    </row>
    <row r="2166" spans="1:11" ht="28.8">
      <c r="A2166" s="9" t="s">
        <v>682</v>
      </c>
      <c r="B2166" s="9" t="s">
        <v>613</v>
      </c>
      <c r="C2166" s="9" t="s">
        <v>677</v>
      </c>
      <c r="D2166" s="12">
        <v>1.23E-2</v>
      </c>
      <c r="E2166" s="12">
        <v>-1.2999999999999999E-2</v>
      </c>
      <c r="F2166" s="12">
        <v>-0.1721</v>
      </c>
      <c r="G2166" s="12">
        <v>-3.4999999999999962E-4</v>
      </c>
      <c r="H2166" s="12">
        <v>-5.7599999999999998E-2</v>
      </c>
      <c r="I2166" s="12">
        <v>6.5799999999999997E-2</v>
      </c>
      <c r="J2166" s="9" t="s">
        <v>412</v>
      </c>
      <c r="K2166" s="9" t="s">
        <v>604</v>
      </c>
    </row>
    <row r="2167" spans="1:11" ht="28.8">
      <c r="A2167" s="9" t="s">
        <v>682</v>
      </c>
      <c r="B2167" s="9" t="s">
        <v>673</v>
      </c>
      <c r="C2167" s="9" t="s">
        <v>664</v>
      </c>
      <c r="D2167" s="12">
        <v>-0.08</v>
      </c>
      <c r="E2167" s="12">
        <v>-1.3899999999999999E-2</v>
      </c>
      <c r="F2167" s="12">
        <v>-0.10340000000000001</v>
      </c>
      <c r="G2167" s="12">
        <v>-4.6949999999999999E-2</v>
      </c>
      <c r="H2167" s="12">
        <v>-6.5799999999999997E-2</v>
      </c>
      <c r="I2167" s="12">
        <v>6.5799999999999997E-2</v>
      </c>
      <c r="J2167" s="9" t="s">
        <v>412</v>
      </c>
      <c r="K2167" s="9" t="s">
        <v>604</v>
      </c>
    </row>
    <row r="2168" spans="1:11">
      <c r="A2168" s="9" t="s">
        <v>662</v>
      </c>
      <c r="B2168" s="9" t="s">
        <v>680</v>
      </c>
      <c r="C2168" s="9" t="s">
        <v>667</v>
      </c>
      <c r="D2168" s="12">
        <v>0.12540000000000001</v>
      </c>
      <c r="E2168" s="12">
        <v>-1.8100000000000002E-2</v>
      </c>
      <c r="F2168" s="12">
        <v>-5.3800000000000001E-2</v>
      </c>
      <c r="G2168" s="12">
        <v>5.3650000000000003E-2</v>
      </c>
      <c r="H2168" s="12">
        <v>1.78E-2</v>
      </c>
      <c r="I2168" s="12">
        <v>6.5799999999999997E-2</v>
      </c>
      <c r="J2168" s="9" t="s">
        <v>412</v>
      </c>
      <c r="K2168" s="9" t="s">
        <v>604</v>
      </c>
    </row>
    <row r="2169" spans="1:11" ht="28.8">
      <c r="A2169" s="9" t="s">
        <v>682</v>
      </c>
      <c r="B2169" s="9" t="s">
        <v>687</v>
      </c>
      <c r="C2169" s="9" t="s">
        <v>601</v>
      </c>
      <c r="D2169" s="12">
        <v>-3.2099999999999997E-2</v>
      </c>
      <c r="E2169" s="12">
        <v>0.13450000000000001</v>
      </c>
      <c r="F2169" s="12">
        <v>-3.04E-2</v>
      </c>
      <c r="G2169" s="12">
        <v>5.1200000000000009E-2</v>
      </c>
      <c r="H2169" s="12">
        <v>2.4E-2</v>
      </c>
      <c r="I2169" s="12">
        <v>6.5699999999999995E-2</v>
      </c>
      <c r="J2169" s="9" t="s">
        <v>412</v>
      </c>
      <c r="K2169" s="9" t="s">
        <v>604</v>
      </c>
    </row>
    <row r="2170" spans="1:11" ht="28.8">
      <c r="A2170" s="9" t="s">
        <v>679</v>
      </c>
      <c r="B2170" s="9" t="s">
        <v>684</v>
      </c>
      <c r="C2170" s="9" t="s">
        <v>659</v>
      </c>
      <c r="D2170" s="12">
        <v>-6.4799999999999996E-2</v>
      </c>
      <c r="E2170" s="12">
        <v>-7.2800000000000004E-2</v>
      </c>
      <c r="F2170" s="12">
        <v>-5.9499999999999997E-2</v>
      </c>
      <c r="G2170" s="12">
        <v>-6.88E-2</v>
      </c>
      <c r="H2170" s="12">
        <v>-6.5699999999999995E-2</v>
      </c>
      <c r="I2170" s="12">
        <v>6.5699999999999995E-2</v>
      </c>
      <c r="J2170" s="9" t="s">
        <v>412</v>
      </c>
      <c r="K2170" s="9" t="s">
        <v>604</v>
      </c>
    </row>
    <row r="2171" spans="1:11">
      <c r="A2171" s="9" t="s">
        <v>610</v>
      </c>
      <c r="B2171" s="9" t="s">
        <v>672</v>
      </c>
      <c r="C2171" s="9" t="s">
        <v>656</v>
      </c>
      <c r="D2171" s="12">
        <v>6.5699999999999995E-2</v>
      </c>
      <c r="E2171" s="12">
        <v>7.0999999999999994E-2</v>
      </c>
      <c r="F2171" s="12">
        <v>6.0400000000000002E-2</v>
      </c>
      <c r="G2171" s="12">
        <v>6.8349999999999994E-2</v>
      </c>
      <c r="H2171" s="12">
        <v>6.5699999999999995E-2</v>
      </c>
      <c r="I2171" s="12">
        <v>6.5699999999999995E-2</v>
      </c>
      <c r="J2171" s="9" t="s">
        <v>412</v>
      </c>
      <c r="K2171" s="9" t="s">
        <v>654</v>
      </c>
    </row>
    <row r="2172" spans="1:11" ht="28.8">
      <c r="A2172" s="9" t="s">
        <v>609</v>
      </c>
      <c r="B2172" s="9" t="s">
        <v>673</v>
      </c>
      <c r="C2172" s="9" t="s">
        <v>674</v>
      </c>
      <c r="D2172" s="12">
        <v>-8.6999999999999994E-3</v>
      </c>
      <c r="E2172" s="12">
        <v>-7.1300000000000002E-2</v>
      </c>
      <c r="F2172" s="12">
        <v>-0.11700000000000001</v>
      </c>
      <c r="G2172" s="12">
        <v>-0.04</v>
      </c>
      <c r="H2172" s="12">
        <v>-6.5699999999999995E-2</v>
      </c>
      <c r="I2172" s="12">
        <v>6.5699999999999995E-2</v>
      </c>
      <c r="J2172" s="9" t="s">
        <v>412</v>
      </c>
      <c r="K2172" s="9" t="s">
        <v>604</v>
      </c>
    </row>
    <row r="2173" spans="1:11" ht="28.8">
      <c r="A2173" s="9" t="s">
        <v>682</v>
      </c>
      <c r="B2173" s="9" t="s">
        <v>669</v>
      </c>
      <c r="C2173" s="9" t="s">
        <v>690</v>
      </c>
      <c r="D2173" s="12">
        <v>-7.1099999999999997E-2</v>
      </c>
      <c r="E2173" s="12">
        <v>-1.46E-2</v>
      </c>
      <c r="F2173" s="12">
        <v>-0.11119999999999999</v>
      </c>
      <c r="G2173" s="12">
        <v>-4.2849999999999999E-2</v>
      </c>
      <c r="H2173" s="12">
        <v>-6.5600000000000006E-2</v>
      </c>
      <c r="I2173" s="12">
        <v>6.5600000000000006E-2</v>
      </c>
      <c r="J2173" s="9" t="s">
        <v>412</v>
      </c>
      <c r="K2173" s="9" t="s">
        <v>604</v>
      </c>
    </row>
    <row r="2174" spans="1:11" ht="28.8">
      <c r="A2174" s="9" t="s">
        <v>609</v>
      </c>
      <c r="B2174" s="9" t="s">
        <v>688</v>
      </c>
      <c r="C2174" s="9" t="s">
        <v>677</v>
      </c>
      <c r="D2174" s="12">
        <v>-6.1400000000000003E-2</v>
      </c>
      <c r="E2174" s="12">
        <v>6.3E-3</v>
      </c>
      <c r="F2174" s="12">
        <v>0.1288</v>
      </c>
      <c r="G2174" s="12">
        <v>-2.7550000000000002E-2</v>
      </c>
      <c r="H2174" s="12">
        <v>2.46E-2</v>
      </c>
      <c r="I2174" s="12">
        <v>6.5500000000000003E-2</v>
      </c>
      <c r="J2174" s="9" t="s">
        <v>412</v>
      </c>
      <c r="K2174" s="9" t="s">
        <v>604</v>
      </c>
    </row>
    <row r="2175" spans="1:11" ht="28.8">
      <c r="A2175" s="9" t="s">
        <v>609</v>
      </c>
      <c r="B2175" s="9" t="s">
        <v>691</v>
      </c>
      <c r="C2175" s="9" t="s">
        <v>677</v>
      </c>
      <c r="D2175" s="12">
        <v>-6.1400000000000003E-2</v>
      </c>
      <c r="E2175" s="12">
        <v>4.9399999999999999E-2</v>
      </c>
      <c r="F2175" s="12">
        <v>8.5900000000000004E-2</v>
      </c>
      <c r="G2175" s="12">
        <v>-6.0000000000000019E-3</v>
      </c>
      <c r="H2175" s="12">
        <v>2.46E-2</v>
      </c>
      <c r="I2175" s="12">
        <v>6.5500000000000003E-2</v>
      </c>
      <c r="J2175" s="9" t="s">
        <v>412</v>
      </c>
      <c r="K2175" s="9" t="s">
        <v>604</v>
      </c>
    </row>
    <row r="2176" spans="1:11" ht="28.8">
      <c r="A2176" s="9" t="s">
        <v>682</v>
      </c>
      <c r="B2176" s="9" t="s">
        <v>688</v>
      </c>
      <c r="C2176" s="9" t="s">
        <v>674</v>
      </c>
      <c r="D2176" s="12">
        <v>4.1999999999999997E-3</v>
      </c>
      <c r="E2176" s="12">
        <v>5.6800000000000003E-2</v>
      </c>
      <c r="F2176" s="12">
        <v>0.13539999999999999</v>
      </c>
      <c r="G2176" s="12">
        <v>3.0500000000000003E-2</v>
      </c>
      <c r="H2176" s="12">
        <v>6.5500000000000003E-2</v>
      </c>
      <c r="I2176" s="12">
        <v>6.5500000000000003E-2</v>
      </c>
      <c r="J2176" s="9" t="s">
        <v>412</v>
      </c>
      <c r="K2176" s="9" t="s">
        <v>654</v>
      </c>
    </row>
    <row r="2177" spans="1:11" ht="28.8">
      <c r="A2177" s="9" t="s">
        <v>682</v>
      </c>
      <c r="B2177" s="9" t="s">
        <v>673</v>
      </c>
      <c r="C2177" s="9" t="s">
        <v>683</v>
      </c>
      <c r="D2177" s="12">
        <v>-8.5099999999999995E-2</v>
      </c>
      <c r="E2177" s="12">
        <v>-1.3899999999999999E-2</v>
      </c>
      <c r="F2177" s="12">
        <v>-9.69E-2</v>
      </c>
      <c r="G2177" s="12">
        <v>-4.9499999999999995E-2</v>
      </c>
      <c r="H2177" s="12">
        <v>-6.5299999999999997E-2</v>
      </c>
      <c r="I2177" s="12">
        <v>6.5299999999999997E-2</v>
      </c>
      <c r="J2177" s="9" t="s">
        <v>412</v>
      </c>
      <c r="K2177" s="9" t="s">
        <v>604</v>
      </c>
    </row>
    <row r="2178" spans="1:11" ht="28.8">
      <c r="A2178" s="9" t="s">
        <v>609</v>
      </c>
      <c r="B2178" s="9" t="s">
        <v>665</v>
      </c>
      <c r="C2178" s="9" t="s">
        <v>674</v>
      </c>
      <c r="D2178" s="12">
        <v>-8.6999999999999994E-3</v>
      </c>
      <c r="E2178" s="12">
        <v>-0.11310000000000001</v>
      </c>
      <c r="F2178" s="12">
        <v>7.4200000000000002E-2</v>
      </c>
      <c r="G2178" s="12">
        <v>-6.0900000000000003E-2</v>
      </c>
      <c r="H2178" s="12">
        <v>-1.5900000000000001E-2</v>
      </c>
      <c r="I2178" s="12">
        <v>6.5299999999999997E-2</v>
      </c>
      <c r="J2178" s="9" t="s">
        <v>412</v>
      </c>
      <c r="K2178" s="9" t="s">
        <v>604</v>
      </c>
    </row>
    <row r="2179" spans="1:11">
      <c r="A2179" s="9" t="s">
        <v>682</v>
      </c>
      <c r="B2179" s="9" t="s">
        <v>672</v>
      </c>
      <c r="C2179" s="9" t="s">
        <v>667</v>
      </c>
      <c r="D2179" s="12">
        <v>-0.02</v>
      </c>
      <c r="E2179" s="12">
        <v>-2.86E-2</v>
      </c>
      <c r="F2179" s="12">
        <v>0.1469</v>
      </c>
      <c r="G2179" s="12">
        <v>-2.4300000000000002E-2</v>
      </c>
      <c r="H2179" s="12">
        <v>3.2800000000000003E-2</v>
      </c>
      <c r="I2179" s="12">
        <v>6.5100000000000005E-2</v>
      </c>
      <c r="J2179" s="9" t="s">
        <v>412</v>
      </c>
      <c r="K2179" s="9" t="s">
        <v>604</v>
      </c>
    </row>
    <row r="2180" spans="1:11" ht="28.8">
      <c r="A2180" s="9" t="s">
        <v>662</v>
      </c>
      <c r="B2180" s="9" t="s">
        <v>680</v>
      </c>
      <c r="C2180" s="9" t="s">
        <v>664</v>
      </c>
      <c r="D2180" s="12">
        <v>-2.87E-2</v>
      </c>
      <c r="E2180" s="12">
        <v>-1.8100000000000002E-2</v>
      </c>
      <c r="F2180" s="12">
        <v>0.14829999999999999</v>
      </c>
      <c r="G2180" s="12">
        <v>-2.3400000000000001E-2</v>
      </c>
      <c r="H2180" s="12">
        <v>3.3799999999999997E-2</v>
      </c>
      <c r="I2180" s="12">
        <v>6.5000000000000002E-2</v>
      </c>
      <c r="J2180" s="9" t="s">
        <v>412</v>
      </c>
      <c r="K2180" s="9" t="s">
        <v>604</v>
      </c>
    </row>
    <row r="2181" spans="1:11" ht="28.8">
      <c r="A2181" s="9" t="s">
        <v>609</v>
      </c>
      <c r="B2181" s="9" t="s">
        <v>658</v>
      </c>
      <c r="C2181" s="9" t="s">
        <v>683</v>
      </c>
      <c r="D2181" s="12">
        <v>-0.105</v>
      </c>
      <c r="E2181" s="12">
        <v>1.5599999999999999E-2</v>
      </c>
      <c r="F2181" s="12">
        <v>-7.4499999999999997E-2</v>
      </c>
      <c r="G2181" s="12">
        <v>-4.4699999999999997E-2</v>
      </c>
      <c r="H2181" s="12">
        <v>-5.4600000000000003E-2</v>
      </c>
      <c r="I2181" s="12">
        <v>6.5000000000000002E-2</v>
      </c>
      <c r="J2181" s="9" t="s">
        <v>412</v>
      </c>
      <c r="K2181" s="9" t="s">
        <v>604</v>
      </c>
    </row>
    <row r="2182" spans="1:11" ht="28.8">
      <c r="A2182" s="9" t="s">
        <v>661</v>
      </c>
      <c r="B2182" s="9" t="s">
        <v>613</v>
      </c>
      <c r="C2182" s="9" t="s">
        <v>663</v>
      </c>
      <c r="D2182" s="12">
        <v>8.8300000000000003E-2</v>
      </c>
      <c r="E2182" s="12">
        <v>3.3000000000000002E-2</v>
      </c>
      <c r="F2182" s="12">
        <v>-7.3700000000000002E-2</v>
      </c>
      <c r="G2182" s="12">
        <v>6.0650000000000003E-2</v>
      </c>
      <c r="H2182" s="12">
        <v>1.5900000000000001E-2</v>
      </c>
      <c r="I2182" s="12">
        <v>6.5000000000000002E-2</v>
      </c>
      <c r="J2182" s="9" t="s">
        <v>412</v>
      </c>
      <c r="K2182" s="9" t="s">
        <v>604</v>
      </c>
    </row>
    <row r="2183" spans="1:11" ht="28.8">
      <c r="A2183" s="9" t="s">
        <v>671</v>
      </c>
      <c r="B2183" s="9" t="s">
        <v>684</v>
      </c>
      <c r="C2183" s="9" t="s">
        <v>674</v>
      </c>
      <c r="D2183" s="12">
        <v>-6.2799999999999995E-2</v>
      </c>
      <c r="E2183" s="12">
        <v>-3.3399999999999999E-2</v>
      </c>
      <c r="F2183" s="12">
        <v>9.8699999999999996E-2</v>
      </c>
      <c r="G2183" s="12">
        <v>-4.8099999999999997E-2</v>
      </c>
      <c r="H2183" s="12">
        <v>8.0000000000000004E-4</v>
      </c>
      <c r="I2183" s="12">
        <v>6.4899999999999999E-2</v>
      </c>
      <c r="J2183" s="9" t="s">
        <v>412</v>
      </c>
      <c r="K2183" s="9" t="s">
        <v>604</v>
      </c>
    </row>
    <row r="2184" spans="1:11">
      <c r="A2184" s="9" t="s">
        <v>682</v>
      </c>
      <c r="B2184" s="9" t="s">
        <v>665</v>
      </c>
      <c r="C2184" s="9" t="s">
        <v>656</v>
      </c>
      <c r="D2184" s="12">
        <v>-1.9900000000000001E-2</v>
      </c>
      <c r="E2184" s="12">
        <v>1.1000000000000001E-3</v>
      </c>
      <c r="F2184" s="12">
        <v>0.17330000000000001</v>
      </c>
      <c r="G2184" s="12">
        <v>-9.4000000000000004E-3</v>
      </c>
      <c r="H2184" s="12">
        <v>5.1499999999999997E-2</v>
      </c>
      <c r="I2184" s="12">
        <v>6.4799999999999996E-2</v>
      </c>
      <c r="J2184" s="9" t="s">
        <v>412</v>
      </c>
      <c r="K2184" s="9" t="s">
        <v>604</v>
      </c>
    </row>
    <row r="2185" spans="1:11" ht="28.8">
      <c r="A2185" s="9" t="s">
        <v>610</v>
      </c>
      <c r="B2185" s="9" t="s">
        <v>678</v>
      </c>
      <c r="C2185" s="9" t="s">
        <v>677</v>
      </c>
      <c r="D2185" s="12">
        <v>0.10100000000000001</v>
      </c>
      <c r="E2185" s="12">
        <v>3.4000000000000002E-2</v>
      </c>
      <c r="F2185" s="12">
        <v>5.8999999999999997E-2</v>
      </c>
      <c r="G2185" s="12">
        <v>6.7500000000000004E-2</v>
      </c>
      <c r="H2185" s="12">
        <v>6.4699999999999994E-2</v>
      </c>
      <c r="I2185" s="12">
        <v>6.4699999999999994E-2</v>
      </c>
      <c r="J2185" s="9" t="s">
        <v>412</v>
      </c>
      <c r="K2185" s="9" t="s">
        <v>654</v>
      </c>
    </row>
    <row r="2186" spans="1:11" ht="28.8">
      <c r="A2186" s="9" t="s">
        <v>661</v>
      </c>
      <c r="B2186" s="9" t="s">
        <v>681</v>
      </c>
      <c r="C2186" s="9" t="s">
        <v>690</v>
      </c>
      <c r="D2186" s="12">
        <v>3.3700000000000001E-2</v>
      </c>
      <c r="E2186" s="12">
        <v>2.3900000000000001E-2</v>
      </c>
      <c r="F2186" s="12">
        <v>-0.1356</v>
      </c>
      <c r="G2186" s="12">
        <v>2.8799999999999999E-2</v>
      </c>
      <c r="H2186" s="12">
        <v>-2.5999999999999999E-2</v>
      </c>
      <c r="I2186" s="12">
        <v>6.4399999999999999E-2</v>
      </c>
      <c r="J2186" s="9" t="s">
        <v>412</v>
      </c>
      <c r="K2186" s="9" t="s">
        <v>604</v>
      </c>
    </row>
    <row r="2187" spans="1:11" ht="28.8">
      <c r="A2187" s="9" t="s">
        <v>662</v>
      </c>
      <c r="B2187" s="9" t="s">
        <v>657</v>
      </c>
      <c r="C2187" s="9" t="s">
        <v>683</v>
      </c>
      <c r="D2187" s="12">
        <v>-6.0100000000000001E-2</v>
      </c>
      <c r="E2187" s="12">
        <v>4.3299999999999998E-2</v>
      </c>
      <c r="F2187" s="12">
        <v>8.9399999999999993E-2</v>
      </c>
      <c r="G2187" s="12">
        <v>-8.4000000000000012E-3</v>
      </c>
      <c r="H2187" s="12">
        <v>2.4199999999999999E-2</v>
      </c>
      <c r="I2187" s="12">
        <v>6.4299999999999996E-2</v>
      </c>
      <c r="J2187" s="9" t="s">
        <v>412</v>
      </c>
      <c r="K2187" s="9" t="s">
        <v>604</v>
      </c>
    </row>
    <row r="2188" spans="1:11" ht="28.8">
      <c r="A2188" s="9" t="s">
        <v>610</v>
      </c>
      <c r="B2188" s="9" t="s">
        <v>685</v>
      </c>
      <c r="C2188" s="9" t="s">
        <v>664</v>
      </c>
      <c r="D2188" s="12">
        <v>-9.1300000000000006E-2</v>
      </c>
      <c r="E2188" s="12">
        <v>4.0500000000000001E-2</v>
      </c>
      <c r="F2188" s="12">
        <v>6.0699999999999997E-2</v>
      </c>
      <c r="G2188" s="12">
        <v>-2.5400000000000002E-2</v>
      </c>
      <c r="H2188" s="12">
        <v>3.3E-3</v>
      </c>
      <c r="I2188" s="12">
        <v>6.4100000000000004E-2</v>
      </c>
      <c r="J2188" s="9" t="s">
        <v>412</v>
      </c>
      <c r="K2188" s="9" t="s">
        <v>604</v>
      </c>
    </row>
    <row r="2189" spans="1:11" ht="28.8">
      <c r="A2189" s="9" t="s">
        <v>679</v>
      </c>
      <c r="B2189" s="9" t="s">
        <v>687</v>
      </c>
      <c r="C2189" s="9" t="s">
        <v>690</v>
      </c>
      <c r="D2189" s="12">
        <v>-6.6900000000000001E-2</v>
      </c>
      <c r="E2189" s="12">
        <v>0.10589999999999999</v>
      </c>
      <c r="F2189" s="12">
        <v>-1.78E-2</v>
      </c>
      <c r="G2189" s="12">
        <v>1.9499999999999997E-2</v>
      </c>
      <c r="H2189" s="12">
        <v>7.1000000000000004E-3</v>
      </c>
      <c r="I2189" s="12">
        <v>6.3600000000000004E-2</v>
      </c>
      <c r="J2189" s="9" t="s">
        <v>412</v>
      </c>
      <c r="K2189" s="9" t="s">
        <v>604</v>
      </c>
    </row>
    <row r="2190" spans="1:11" ht="28.8">
      <c r="A2190" s="9" t="s">
        <v>671</v>
      </c>
      <c r="B2190" s="9" t="s">
        <v>668</v>
      </c>
      <c r="C2190" s="9" t="s">
        <v>664</v>
      </c>
      <c r="D2190" s="12">
        <v>-9.0800000000000006E-2</v>
      </c>
      <c r="E2190" s="12">
        <v>-3.2099999999999997E-2</v>
      </c>
      <c r="F2190" s="12">
        <v>6.7799999999999999E-2</v>
      </c>
      <c r="G2190" s="12">
        <v>-6.1450000000000005E-2</v>
      </c>
      <c r="H2190" s="12">
        <v>-1.84E-2</v>
      </c>
      <c r="I2190" s="12">
        <v>6.3500000000000001E-2</v>
      </c>
      <c r="J2190" s="9" t="s">
        <v>412</v>
      </c>
      <c r="K2190" s="9" t="s">
        <v>604</v>
      </c>
    </row>
    <row r="2191" spans="1:11" ht="28.8">
      <c r="A2191" s="9" t="s">
        <v>661</v>
      </c>
      <c r="B2191" s="9" t="s">
        <v>658</v>
      </c>
      <c r="C2191" s="9" t="s">
        <v>659</v>
      </c>
      <c r="D2191" s="12">
        <v>4.3499999999999997E-2</v>
      </c>
      <c r="E2191" s="12">
        <v>9.5200000000000007E-2</v>
      </c>
      <c r="F2191" s="12">
        <v>-5.1400000000000001E-2</v>
      </c>
      <c r="G2191" s="12">
        <v>6.9349999999999995E-2</v>
      </c>
      <c r="H2191" s="12">
        <v>2.9100000000000001E-2</v>
      </c>
      <c r="I2191" s="12">
        <v>6.3399999999999998E-2</v>
      </c>
      <c r="J2191" s="9" t="s">
        <v>412</v>
      </c>
      <c r="K2191" s="9" t="s">
        <v>604</v>
      </c>
    </row>
    <row r="2192" spans="1:11" ht="28.8">
      <c r="A2192" s="9" t="s">
        <v>609</v>
      </c>
      <c r="B2192" s="9" t="s">
        <v>686</v>
      </c>
      <c r="C2192" s="9" t="s">
        <v>677</v>
      </c>
      <c r="D2192" s="12">
        <v>-6.1400000000000003E-2</v>
      </c>
      <c r="E2192" s="12">
        <v>-8.5000000000000006E-3</v>
      </c>
      <c r="F2192" s="12">
        <v>0.1203</v>
      </c>
      <c r="G2192" s="12">
        <v>-3.4950000000000002E-2</v>
      </c>
      <c r="H2192" s="12">
        <v>1.6799999999999999E-2</v>
      </c>
      <c r="I2192" s="12">
        <v>6.3399999999999998E-2</v>
      </c>
      <c r="J2192" s="9" t="s">
        <v>412</v>
      </c>
      <c r="K2192" s="9" t="s">
        <v>604</v>
      </c>
    </row>
    <row r="2193" spans="1:11">
      <c r="A2193" s="9" t="s">
        <v>662</v>
      </c>
      <c r="B2193" s="9" t="s">
        <v>689</v>
      </c>
      <c r="C2193" s="9" t="s">
        <v>659</v>
      </c>
      <c r="D2193" s="12">
        <v>-8.3599999999999994E-2</v>
      </c>
      <c r="E2193" s="12">
        <v>-8.6699999999999999E-2</v>
      </c>
      <c r="F2193" s="12">
        <v>-1.9900000000000001E-2</v>
      </c>
      <c r="G2193" s="12">
        <v>-8.5150000000000003E-2</v>
      </c>
      <c r="H2193" s="12">
        <v>-6.3399999999999998E-2</v>
      </c>
      <c r="I2193" s="12">
        <v>6.3399999999999998E-2</v>
      </c>
      <c r="J2193" s="9" t="s">
        <v>412</v>
      </c>
      <c r="K2193" s="9" t="s">
        <v>604</v>
      </c>
    </row>
    <row r="2194" spans="1:11" ht="28.8">
      <c r="A2194" s="9" t="s">
        <v>609</v>
      </c>
      <c r="B2194" s="9" t="s">
        <v>676</v>
      </c>
      <c r="C2194" s="9" t="s">
        <v>674</v>
      </c>
      <c r="D2194" s="12">
        <v>-8.6999999999999994E-3</v>
      </c>
      <c r="E2194" s="12">
        <v>-3.9E-2</v>
      </c>
      <c r="F2194" s="12">
        <v>0.14230000000000001</v>
      </c>
      <c r="G2194" s="12">
        <v>-2.385E-2</v>
      </c>
      <c r="H2194" s="12">
        <v>3.15E-2</v>
      </c>
      <c r="I2194" s="12">
        <v>6.3299999999999995E-2</v>
      </c>
      <c r="J2194" s="9" t="s">
        <v>412</v>
      </c>
      <c r="K2194" s="9" t="s">
        <v>604</v>
      </c>
    </row>
    <row r="2195" spans="1:11">
      <c r="A2195" s="9" t="s">
        <v>610</v>
      </c>
      <c r="B2195" s="9" t="s">
        <v>686</v>
      </c>
      <c r="C2195" s="9" t="s">
        <v>659</v>
      </c>
      <c r="D2195" s="12">
        <v>0.1174</v>
      </c>
      <c r="E2195" s="12">
        <v>2.07E-2</v>
      </c>
      <c r="F2195" s="12">
        <v>5.1200000000000002E-2</v>
      </c>
      <c r="G2195" s="12">
        <v>6.905E-2</v>
      </c>
      <c r="H2195" s="12">
        <v>6.3100000000000003E-2</v>
      </c>
      <c r="I2195" s="12">
        <v>6.3100000000000003E-2</v>
      </c>
      <c r="J2195" s="9" t="s">
        <v>412</v>
      </c>
      <c r="K2195" s="9" t="s">
        <v>654</v>
      </c>
    </row>
    <row r="2196" spans="1:11" ht="28.8">
      <c r="A2196" s="9" t="s">
        <v>682</v>
      </c>
      <c r="B2196" s="9" t="s">
        <v>686</v>
      </c>
      <c r="C2196" s="9" t="s">
        <v>690</v>
      </c>
      <c r="D2196" s="12">
        <v>-7.1099999999999997E-2</v>
      </c>
      <c r="E2196" s="12">
        <v>-1.6400000000000001E-2</v>
      </c>
      <c r="F2196" s="12">
        <v>-0.10150000000000001</v>
      </c>
      <c r="G2196" s="12">
        <v>-4.3749999999999997E-2</v>
      </c>
      <c r="H2196" s="12">
        <v>-6.3E-2</v>
      </c>
      <c r="I2196" s="12">
        <v>6.3E-2</v>
      </c>
      <c r="J2196" s="9" t="s">
        <v>412</v>
      </c>
      <c r="K2196" s="9" t="s">
        <v>604</v>
      </c>
    </row>
    <row r="2197" spans="1:11" ht="28.8">
      <c r="A2197" s="9" t="s">
        <v>682</v>
      </c>
      <c r="B2197" s="9" t="s">
        <v>691</v>
      </c>
      <c r="C2197" s="9" t="s">
        <v>690</v>
      </c>
      <c r="D2197" s="12">
        <v>-7.1099999999999997E-2</v>
      </c>
      <c r="E2197" s="12">
        <v>-0.1062</v>
      </c>
      <c r="F2197" s="12">
        <v>1.0800000000000001E-2</v>
      </c>
      <c r="G2197" s="12">
        <v>-8.8650000000000007E-2</v>
      </c>
      <c r="H2197" s="12">
        <v>-5.5500000000000001E-2</v>
      </c>
      <c r="I2197" s="12">
        <v>6.2700000000000006E-2</v>
      </c>
      <c r="J2197" s="9" t="s">
        <v>412</v>
      </c>
      <c r="K2197" s="9" t="s">
        <v>604</v>
      </c>
    </row>
    <row r="2198" spans="1:11" ht="28.8">
      <c r="A2198" s="9" t="s">
        <v>609</v>
      </c>
      <c r="B2198" s="9" t="s">
        <v>681</v>
      </c>
      <c r="C2198" s="9" t="s">
        <v>690</v>
      </c>
      <c r="D2198" s="12">
        <v>4.9799999999999997E-2</v>
      </c>
      <c r="E2198" s="12">
        <v>-2E-3</v>
      </c>
      <c r="F2198" s="12">
        <v>-0.1356</v>
      </c>
      <c r="G2198" s="12">
        <v>2.3899999999999998E-2</v>
      </c>
      <c r="H2198" s="12">
        <v>-2.93E-2</v>
      </c>
      <c r="I2198" s="12">
        <v>6.25E-2</v>
      </c>
      <c r="J2198" s="9" t="s">
        <v>412</v>
      </c>
      <c r="K2198" s="9" t="s">
        <v>604</v>
      </c>
    </row>
    <row r="2199" spans="1:11" ht="28.8">
      <c r="A2199" s="9" t="s">
        <v>679</v>
      </c>
      <c r="B2199" s="9" t="s">
        <v>689</v>
      </c>
      <c r="C2199" s="9" t="s">
        <v>666</v>
      </c>
      <c r="D2199" s="12">
        <v>-0.113</v>
      </c>
      <c r="E2199" s="12">
        <v>-7.0900000000000005E-2</v>
      </c>
      <c r="F2199" s="12">
        <v>3.5000000000000001E-3</v>
      </c>
      <c r="G2199" s="12">
        <v>-9.1950000000000004E-2</v>
      </c>
      <c r="H2199" s="12">
        <v>-6.0100000000000001E-2</v>
      </c>
      <c r="I2199" s="12">
        <v>6.2399999999999997E-2</v>
      </c>
      <c r="J2199" s="9" t="s">
        <v>412</v>
      </c>
      <c r="K2199" s="9" t="s">
        <v>604</v>
      </c>
    </row>
    <row r="2200" spans="1:11" ht="28.8">
      <c r="A2200" s="9" t="s">
        <v>671</v>
      </c>
      <c r="B2200" s="9" t="s">
        <v>613</v>
      </c>
      <c r="C2200" s="9" t="s">
        <v>690</v>
      </c>
      <c r="D2200" s="12">
        <v>-7.0199999999999999E-2</v>
      </c>
      <c r="E2200" s="12">
        <v>3.5900000000000001E-2</v>
      </c>
      <c r="F2200" s="12">
        <v>-8.0600000000000005E-2</v>
      </c>
      <c r="G2200" s="12">
        <v>-1.7149999999999999E-2</v>
      </c>
      <c r="H2200" s="12">
        <v>-3.8300000000000001E-2</v>
      </c>
      <c r="I2200" s="12">
        <v>6.2300000000000001E-2</v>
      </c>
      <c r="J2200" s="9" t="s">
        <v>412</v>
      </c>
      <c r="K2200" s="9" t="s">
        <v>604</v>
      </c>
    </row>
    <row r="2201" spans="1:11">
      <c r="A2201" s="9" t="s">
        <v>610</v>
      </c>
      <c r="B2201" s="9" t="s">
        <v>665</v>
      </c>
      <c r="C2201" s="9" t="s">
        <v>667</v>
      </c>
      <c r="D2201" s="12">
        <v>6.1800000000000001E-2</v>
      </c>
      <c r="E2201" s="12">
        <v>7.4899999999999994E-2</v>
      </c>
      <c r="F2201" s="12">
        <v>-4.9799999999999997E-2</v>
      </c>
      <c r="G2201" s="12">
        <v>6.8349999999999994E-2</v>
      </c>
      <c r="H2201" s="12">
        <v>2.9000000000000001E-2</v>
      </c>
      <c r="I2201" s="12">
        <v>6.2199999999999998E-2</v>
      </c>
      <c r="J2201" s="9" t="s">
        <v>412</v>
      </c>
      <c r="K2201" s="9" t="s">
        <v>604</v>
      </c>
    </row>
    <row r="2202" spans="1:11" ht="28.8">
      <c r="A2202" s="9" t="s">
        <v>662</v>
      </c>
      <c r="B2202" s="9" t="s">
        <v>602</v>
      </c>
      <c r="C2202" s="9" t="s">
        <v>664</v>
      </c>
      <c r="D2202" s="12">
        <v>-2.87E-2</v>
      </c>
      <c r="E2202" s="12">
        <v>9.3799999999999994E-2</v>
      </c>
      <c r="F2202" s="12">
        <v>6.3899999999999998E-2</v>
      </c>
      <c r="G2202" s="12">
        <v>3.2549999999999996E-2</v>
      </c>
      <c r="H2202" s="12">
        <v>4.2999999999999997E-2</v>
      </c>
      <c r="I2202" s="12">
        <v>6.2100000000000002E-2</v>
      </c>
      <c r="J2202" s="9" t="s">
        <v>412</v>
      </c>
      <c r="K2202" s="9" t="s">
        <v>604</v>
      </c>
    </row>
    <row r="2203" spans="1:11">
      <c r="A2203" s="9" t="s">
        <v>682</v>
      </c>
      <c r="B2203" s="9" t="s">
        <v>686</v>
      </c>
      <c r="C2203" s="9" t="s">
        <v>659</v>
      </c>
      <c r="D2203" s="12">
        <v>0.1188</v>
      </c>
      <c r="E2203" s="12">
        <v>-1.6400000000000001E-2</v>
      </c>
      <c r="F2203" s="12">
        <v>5.1200000000000002E-2</v>
      </c>
      <c r="G2203" s="12">
        <v>5.1200000000000002E-2</v>
      </c>
      <c r="H2203" s="12">
        <v>5.1200000000000002E-2</v>
      </c>
      <c r="I2203" s="12">
        <v>6.2100000000000002E-2</v>
      </c>
      <c r="J2203" s="9" t="s">
        <v>412</v>
      </c>
      <c r="K2203" s="9" t="s">
        <v>604</v>
      </c>
    </row>
    <row r="2204" spans="1:11">
      <c r="A2204" s="9" t="s">
        <v>662</v>
      </c>
      <c r="B2204" s="9" t="s">
        <v>691</v>
      </c>
      <c r="C2204" s="9" t="s">
        <v>663</v>
      </c>
      <c r="D2204" s="12">
        <v>7.4700000000000003E-2</v>
      </c>
      <c r="E2204" s="12">
        <v>7.0099999999999996E-2</v>
      </c>
      <c r="F2204" s="12">
        <v>4.1599999999999998E-2</v>
      </c>
      <c r="G2204" s="12">
        <v>7.2399999999999992E-2</v>
      </c>
      <c r="H2204" s="12">
        <v>6.2100000000000002E-2</v>
      </c>
      <c r="I2204" s="12">
        <v>6.2100000000000002E-2</v>
      </c>
      <c r="J2204" s="9" t="s">
        <v>412</v>
      </c>
      <c r="K2204" s="9" t="s">
        <v>654</v>
      </c>
    </row>
    <row r="2205" spans="1:11" ht="28.8">
      <c r="A2205" s="9" t="s">
        <v>679</v>
      </c>
      <c r="B2205" s="9" t="s">
        <v>668</v>
      </c>
      <c r="C2205" s="9" t="s">
        <v>674</v>
      </c>
      <c r="D2205" s="12">
        <v>0.11849999999999999</v>
      </c>
      <c r="E2205" s="12">
        <v>-3.3300000000000003E-2</v>
      </c>
      <c r="F2205" s="12">
        <v>3.4000000000000002E-2</v>
      </c>
      <c r="G2205" s="12">
        <v>4.2599999999999999E-2</v>
      </c>
      <c r="H2205" s="12">
        <v>3.9699999999999999E-2</v>
      </c>
      <c r="I2205" s="12">
        <v>6.2E-2</v>
      </c>
      <c r="J2205" s="9" t="s">
        <v>412</v>
      </c>
      <c r="K2205" s="9" t="s">
        <v>604</v>
      </c>
    </row>
    <row r="2206" spans="1:11" ht="28.8">
      <c r="A2206" s="9" t="s">
        <v>661</v>
      </c>
      <c r="B2206" s="9" t="s">
        <v>613</v>
      </c>
      <c r="C2206" s="9" t="s">
        <v>674</v>
      </c>
      <c r="D2206" s="12">
        <v>6.8199999999999997E-2</v>
      </c>
      <c r="E2206" s="12">
        <v>3.3000000000000002E-2</v>
      </c>
      <c r="F2206" s="12">
        <v>-8.48E-2</v>
      </c>
      <c r="G2206" s="12">
        <v>5.0599999999999999E-2</v>
      </c>
      <c r="H2206" s="12">
        <v>5.4999999999999997E-3</v>
      </c>
      <c r="I2206" s="12">
        <v>6.2E-2</v>
      </c>
      <c r="J2206" s="9" t="s">
        <v>412</v>
      </c>
      <c r="K2206" s="9" t="s">
        <v>604</v>
      </c>
    </row>
    <row r="2207" spans="1:11" ht="28.8">
      <c r="A2207" s="9" t="s">
        <v>609</v>
      </c>
      <c r="B2207" s="9" t="s">
        <v>658</v>
      </c>
      <c r="C2207" s="9" t="s">
        <v>674</v>
      </c>
      <c r="D2207" s="12">
        <v>-8.6999999999999994E-3</v>
      </c>
      <c r="E2207" s="12">
        <v>1.5599999999999999E-2</v>
      </c>
      <c r="F2207" s="12">
        <v>0.16159999999999999</v>
      </c>
      <c r="G2207" s="12">
        <v>3.4499999999999999E-3</v>
      </c>
      <c r="H2207" s="12">
        <v>5.62E-2</v>
      </c>
      <c r="I2207" s="12">
        <v>6.1899999999999997E-2</v>
      </c>
      <c r="J2207" s="9" t="s">
        <v>412</v>
      </c>
      <c r="K2207" s="9" t="s">
        <v>604</v>
      </c>
    </row>
    <row r="2208" spans="1:11">
      <c r="A2208" s="9" t="s">
        <v>610</v>
      </c>
      <c r="B2208" s="9" t="s">
        <v>660</v>
      </c>
      <c r="C2208" s="9" t="s">
        <v>659</v>
      </c>
      <c r="D2208" s="12">
        <v>0.1174</v>
      </c>
      <c r="E2208" s="12">
        <v>-3.2599999999999997E-2</v>
      </c>
      <c r="F2208" s="12">
        <v>3.3799999999999997E-2</v>
      </c>
      <c r="G2208" s="12">
        <v>4.2400000000000007E-2</v>
      </c>
      <c r="H2208" s="12">
        <v>3.95E-2</v>
      </c>
      <c r="I2208" s="12">
        <v>6.1199999999999997E-2</v>
      </c>
      <c r="J2208" s="9" t="s">
        <v>412</v>
      </c>
      <c r="K2208" s="9" t="s">
        <v>604</v>
      </c>
    </row>
    <row r="2209" spans="1:11">
      <c r="A2209" s="9" t="s">
        <v>662</v>
      </c>
      <c r="B2209" s="9" t="s">
        <v>687</v>
      </c>
      <c r="C2209" s="9" t="s">
        <v>659</v>
      </c>
      <c r="D2209" s="12">
        <v>-8.3599999999999994E-2</v>
      </c>
      <c r="E2209" s="12">
        <v>-5.4199999999999998E-2</v>
      </c>
      <c r="F2209" s="12">
        <v>4.58E-2</v>
      </c>
      <c r="G2209" s="12">
        <v>-6.8899999999999989E-2</v>
      </c>
      <c r="H2209" s="12">
        <v>-3.0700000000000002E-2</v>
      </c>
      <c r="I2209" s="12">
        <v>6.1199999999999997E-2</v>
      </c>
      <c r="J2209" s="9" t="s">
        <v>412</v>
      </c>
      <c r="K2209" s="9" t="s">
        <v>604</v>
      </c>
    </row>
    <row r="2210" spans="1:11" ht="28.8">
      <c r="A2210" s="9" t="s">
        <v>679</v>
      </c>
      <c r="B2210" s="9" t="s">
        <v>684</v>
      </c>
      <c r="C2210" s="9" t="s">
        <v>675</v>
      </c>
      <c r="D2210" s="12">
        <v>4.0599999999999997E-2</v>
      </c>
      <c r="E2210" s="12">
        <v>-7.2800000000000004E-2</v>
      </c>
      <c r="F2210" s="12">
        <v>-7.0099999999999996E-2</v>
      </c>
      <c r="G2210" s="12">
        <v>-1.6100000000000003E-2</v>
      </c>
      <c r="H2210" s="12">
        <v>-3.4099999999999998E-2</v>
      </c>
      <c r="I2210" s="12">
        <v>6.1199999999999997E-2</v>
      </c>
      <c r="J2210" s="9" t="s">
        <v>412</v>
      </c>
      <c r="K2210" s="9" t="s">
        <v>604</v>
      </c>
    </row>
    <row r="2211" spans="1:11" ht="28.8">
      <c r="A2211" s="9" t="s">
        <v>671</v>
      </c>
      <c r="B2211" s="9" t="s">
        <v>613</v>
      </c>
      <c r="C2211" s="9" t="s">
        <v>674</v>
      </c>
      <c r="D2211" s="12">
        <v>-6.2799999999999995E-2</v>
      </c>
      <c r="E2211" s="12">
        <v>3.5900000000000001E-2</v>
      </c>
      <c r="F2211" s="12">
        <v>-8.48E-2</v>
      </c>
      <c r="G2211" s="12">
        <v>-1.3449999999999997E-2</v>
      </c>
      <c r="H2211" s="12">
        <v>-3.7199999999999997E-2</v>
      </c>
      <c r="I2211" s="12">
        <v>6.1199999999999997E-2</v>
      </c>
      <c r="J2211" s="9" t="s">
        <v>412</v>
      </c>
      <c r="K2211" s="9" t="s">
        <v>604</v>
      </c>
    </row>
    <row r="2212" spans="1:11" ht="28.8">
      <c r="A2212" s="9" t="s">
        <v>679</v>
      </c>
      <c r="B2212" s="9" t="s">
        <v>678</v>
      </c>
      <c r="C2212" s="9" t="s">
        <v>675</v>
      </c>
      <c r="D2212" s="12">
        <v>4.0599999999999997E-2</v>
      </c>
      <c r="E2212" s="12">
        <v>-9.2299999999999993E-2</v>
      </c>
      <c r="F2212" s="12">
        <v>-5.0299999999999997E-2</v>
      </c>
      <c r="G2212" s="12">
        <v>-2.5849999999999998E-2</v>
      </c>
      <c r="H2212" s="12">
        <v>-3.4000000000000002E-2</v>
      </c>
      <c r="I2212" s="12">
        <v>6.1100000000000002E-2</v>
      </c>
      <c r="J2212" s="9" t="s">
        <v>412</v>
      </c>
      <c r="K2212" s="9" t="s">
        <v>604</v>
      </c>
    </row>
    <row r="2213" spans="1:11" ht="28.8">
      <c r="A2213" s="9" t="s">
        <v>679</v>
      </c>
      <c r="B2213" s="9" t="s">
        <v>684</v>
      </c>
      <c r="C2213" s="9" t="s">
        <v>670</v>
      </c>
      <c r="D2213" s="12">
        <v>-9.5200000000000007E-2</v>
      </c>
      <c r="E2213" s="12">
        <v>-7.2800000000000004E-2</v>
      </c>
      <c r="F2213" s="12">
        <v>-1.49E-2</v>
      </c>
      <c r="G2213" s="12">
        <v>-8.4000000000000005E-2</v>
      </c>
      <c r="H2213" s="12">
        <v>-6.0999999999999999E-2</v>
      </c>
      <c r="I2213" s="12">
        <v>6.0999999999999999E-2</v>
      </c>
      <c r="J2213" s="9" t="s">
        <v>412</v>
      </c>
      <c r="K2213" s="9" t="s">
        <v>604</v>
      </c>
    </row>
    <row r="2214" spans="1:11" ht="28.8">
      <c r="A2214" s="9" t="s">
        <v>609</v>
      </c>
      <c r="B2214" s="9" t="s">
        <v>668</v>
      </c>
      <c r="C2214" s="9" t="s">
        <v>666</v>
      </c>
      <c r="D2214" s="12">
        <v>-7.7700000000000005E-2</v>
      </c>
      <c r="E2214" s="12">
        <v>-4.02E-2</v>
      </c>
      <c r="F2214" s="12">
        <v>-6.4299999999999996E-2</v>
      </c>
      <c r="G2214" s="12">
        <v>-5.8950000000000002E-2</v>
      </c>
      <c r="H2214" s="12">
        <v>-6.08E-2</v>
      </c>
      <c r="I2214" s="12">
        <v>6.08E-2</v>
      </c>
      <c r="J2214" s="9" t="s">
        <v>412</v>
      </c>
      <c r="K2214" s="9" t="s">
        <v>604</v>
      </c>
    </row>
    <row r="2215" spans="1:11" ht="28.8">
      <c r="A2215" s="9" t="s">
        <v>609</v>
      </c>
      <c r="B2215" s="9" t="s">
        <v>668</v>
      </c>
      <c r="C2215" s="9" t="s">
        <v>683</v>
      </c>
      <c r="D2215" s="12">
        <v>-0.105</v>
      </c>
      <c r="E2215" s="12">
        <v>-4.02E-2</v>
      </c>
      <c r="F2215" s="12">
        <v>3.6700000000000003E-2</v>
      </c>
      <c r="G2215" s="12">
        <v>-7.2599999999999998E-2</v>
      </c>
      <c r="H2215" s="12">
        <v>-3.6200000000000003E-2</v>
      </c>
      <c r="I2215" s="12">
        <v>6.0600000000000001E-2</v>
      </c>
      <c r="J2215" s="9" t="s">
        <v>412</v>
      </c>
      <c r="K2215" s="9" t="s">
        <v>604</v>
      </c>
    </row>
    <row r="2216" spans="1:11" ht="28.8">
      <c r="A2216" s="9" t="s">
        <v>682</v>
      </c>
      <c r="B2216" s="9" t="s">
        <v>687</v>
      </c>
      <c r="C2216" s="9" t="s">
        <v>677</v>
      </c>
      <c r="D2216" s="12">
        <v>1.23E-2</v>
      </c>
      <c r="E2216" s="12">
        <v>0.13450000000000001</v>
      </c>
      <c r="F2216" s="12">
        <v>3.4500000000000003E-2</v>
      </c>
      <c r="G2216" s="12">
        <v>7.3400000000000007E-2</v>
      </c>
      <c r="H2216" s="12">
        <v>6.0400000000000002E-2</v>
      </c>
      <c r="I2216" s="12">
        <v>6.0400000000000002E-2</v>
      </c>
      <c r="J2216" s="9" t="s">
        <v>412</v>
      </c>
      <c r="K2216" s="9" t="s">
        <v>654</v>
      </c>
    </row>
    <row r="2217" spans="1:11" ht="28.8">
      <c r="A2217" s="9" t="s">
        <v>661</v>
      </c>
      <c r="B2217" s="9" t="s">
        <v>602</v>
      </c>
      <c r="C2217" s="9" t="s">
        <v>683</v>
      </c>
      <c r="D2217" s="12">
        <v>-5.3400000000000003E-2</v>
      </c>
      <c r="E2217" s="12">
        <v>2.06E-2</v>
      </c>
      <c r="F2217" s="12">
        <v>0.107</v>
      </c>
      <c r="G2217" s="12">
        <v>-1.6400000000000001E-2</v>
      </c>
      <c r="H2217" s="12">
        <v>2.47E-2</v>
      </c>
      <c r="I2217" s="12">
        <v>6.0400000000000002E-2</v>
      </c>
      <c r="J2217" s="9" t="s">
        <v>412</v>
      </c>
      <c r="K2217" s="9" t="s">
        <v>604</v>
      </c>
    </row>
    <row r="2218" spans="1:11" ht="28.8">
      <c r="A2218" s="9" t="s">
        <v>610</v>
      </c>
      <c r="B2218" s="9" t="s">
        <v>686</v>
      </c>
      <c r="C2218" s="9" t="s">
        <v>690</v>
      </c>
      <c r="D2218" s="12">
        <v>-5.8599999999999999E-2</v>
      </c>
      <c r="E2218" s="12">
        <v>2.07E-2</v>
      </c>
      <c r="F2218" s="12">
        <v>-0.10150000000000001</v>
      </c>
      <c r="G2218" s="12">
        <v>-1.8950000000000002E-2</v>
      </c>
      <c r="H2218" s="12">
        <v>-4.65E-2</v>
      </c>
      <c r="I2218" s="12">
        <v>6.0299999999999999E-2</v>
      </c>
      <c r="J2218" s="9" t="s">
        <v>412</v>
      </c>
      <c r="K2218" s="9" t="s">
        <v>604</v>
      </c>
    </row>
    <row r="2219" spans="1:11">
      <c r="A2219" s="9" t="s">
        <v>662</v>
      </c>
      <c r="B2219" s="9" t="s">
        <v>668</v>
      </c>
      <c r="C2219" s="9" t="s">
        <v>663</v>
      </c>
      <c r="D2219" s="12">
        <v>7.4700000000000003E-2</v>
      </c>
      <c r="E2219" s="12">
        <v>5.5599999999999997E-2</v>
      </c>
      <c r="F2219" s="12">
        <v>-5.04E-2</v>
      </c>
      <c r="G2219" s="12">
        <v>6.515E-2</v>
      </c>
      <c r="H2219" s="12">
        <v>2.6599999999999999E-2</v>
      </c>
      <c r="I2219" s="12">
        <v>6.0199999999999997E-2</v>
      </c>
      <c r="J2219" s="9" t="s">
        <v>412</v>
      </c>
      <c r="K2219" s="9" t="s">
        <v>604</v>
      </c>
    </row>
    <row r="2220" spans="1:11" ht="28.8">
      <c r="A2220" s="9" t="s">
        <v>679</v>
      </c>
      <c r="B2220" s="9" t="s">
        <v>669</v>
      </c>
      <c r="C2220" s="9" t="s">
        <v>659</v>
      </c>
      <c r="D2220" s="12">
        <v>-6.4799999999999996E-2</v>
      </c>
      <c r="E2220" s="12">
        <v>8.3900000000000002E-2</v>
      </c>
      <c r="F2220" s="12">
        <v>3.1899999999999998E-2</v>
      </c>
      <c r="G2220" s="12">
        <v>9.5500000000000029E-3</v>
      </c>
      <c r="H2220" s="12">
        <v>1.7000000000000001E-2</v>
      </c>
      <c r="I2220" s="12">
        <v>6.0199999999999997E-2</v>
      </c>
      <c r="J2220" s="9" t="s">
        <v>412</v>
      </c>
      <c r="K2220" s="9" t="s">
        <v>604</v>
      </c>
    </row>
    <row r="2221" spans="1:11" ht="28.8">
      <c r="A2221" s="9" t="s">
        <v>679</v>
      </c>
      <c r="B2221" s="9" t="s">
        <v>660</v>
      </c>
      <c r="C2221" s="9" t="s">
        <v>690</v>
      </c>
      <c r="D2221" s="12">
        <v>-6.6900000000000001E-2</v>
      </c>
      <c r="E2221" s="12">
        <v>-2.46E-2</v>
      </c>
      <c r="F2221" s="12">
        <v>-8.8499999999999995E-2</v>
      </c>
      <c r="G2221" s="12">
        <v>-4.5749999999999999E-2</v>
      </c>
      <c r="H2221" s="12">
        <v>-0.06</v>
      </c>
      <c r="I2221" s="12">
        <v>0.06</v>
      </c>
      <c r="J2221" s="9" t="s">
        <v>412</v>
      </c>
      <c r="K2221" s="9" t="s">
        <v>604</v>
      </c>
    </row>
    <row r="2222" spans="1:11" ht="28.8">
      <c r="A2222" s="9" t="s">
        <v>679</v>
      </c>
      <c r="B2222" s="9" t="s">
        <v>668</v>
      </c>
      <c r="C2222" s="9" t="s">
        <v>677</v>
      </c>
      <c r="D2222" s="12">
        <v>0.13189999999999999</v>
      </c>
      <c r="E2222" s="12">
        <v>-3.3300000000000003E-2</v>
      </c>
      <c r="F2222" s="12">
        <v>1.4800000000000001E-2</v>
      </c>
      <c r="G2222" s="12">
        <v>4.9299999999999997E-2</v>
      </c>
      <c r="H2222" s="12">
        <v>3.78E-2</v>
      </c>
      <c r="I2222" s="12">
        <v>0.06</v>
      </c>
      <c r="J2222" s="9" t="s">
        <v>412</v>
      </c>
      <c r="K2222" s="9" t="s">
        <v>604</v>
      </c>
    </row>
    <row r="2223" spans="1:11" ht="28.8">
      <c r="A2223" s="9" t="s">
        <v>610</v>
      </c>
      <c r="B2223" s="9" t="s">
        <v>685</v>
      </c>
      <c r="C2223" s="9" t="s">
        <v>690</v>
      </c>
      <c r="D2223" s="12">
        <v>-5.8599999999999999E-2</v>
      </c>
      <c r="E2223" s="12">
        <v>4.0500000000000001E-2</v>
      </c>
      <c r="F2223" s="12">
        <v>-8.0600000000000005E-2</v>
      </c>
      <c r="G2223" s="12">
        <v>-9.049999999999999E-3</v>
      </c>
      <c r="H2223" s="12">
        <v>-3.2899999999999999E-2</v>
      </c>
      <c r="I2223" s="12">
        <v>5.9900000000000002E-2</v>
      </c>
      <c r="J2223" s="9" t="s">
        <v>412</v>
      </c>
      <c r="K2223" s="9" t="s">
        <v>604</v>
      </c>
    </row>
    <row r="2224" spans="1:11" ht="28.8">
      <c r="A2224" s="9" t="s">
        <v>610</v>
      </c>
      <c r="B2224" s="9" t="s">
        <v>660</v>
      </c>
      <c r="C2224" s="9" t="s">
        <v>690</v>
      </c>
      <c r="D2224" s="12">
        <v>-5.8599999999999999E-2</v>
      </c>
      <c r="E2224" s="12">
        <v>-3.2599999999999997E-2</v>
      </c>
      <c r="F2224" s="12">
        <v>-8.8499999999999995E-2</v>
      </c>
      <c r="G2224" s="12">
        <v>-4.5600000000000002E-2</v>
      </c>
      <c r="H2224" s="12">
        <v>-5.9900000000000002E-2</v>
      </c>
      <c r="I2224" s="12">
        <v>5.9900000000000002E-2</v>
      </c>
      <c r="J2224" s="9" t="s">
        <v>412</v>
      </c>
      <c r="K2224" s="9" t="s">
        <v>604</v>
      </c>
    </row>
    <row r="2225" spans="1:11" ht="28.8">
      <c r="A2225" s="9" t="s">
        <v>661</v>
      </c>
      <c r="B2225" s="9" t="s">
        <v>687</v>
      </c>
      <c r="C2225" s="9" t="s">
        <v>659</v>
      </c>
      <c r="D2225" s="12">
        <v>4.3499999999999997E-2</v>
      </c>
      <c r="E2225" s="12">
        <v>-8.9700000000000002E-2</v>
      </c>
      <c r="F2225" s="12">
        <v>4.58E-2</v>
      </c>
      <c r="G2225" s="12">
        <v>-2.3100000000000002E-2</v>
      </c>
      <c r="H2225" s="12">
        <v>-1E-4</v>
      </c>
      <c r="I2225" s="12">
        <v>5.9700000000000003E-2</v>
      </c>
      <c r="J2225" s="9" t="s">
        <v>412</v>
      </c>
      <c r="K2225" s="9" t="s">
        <v>604</v>
      </c>
    </row>
    <row r="2226" spans="1:11" ht="28.8">
      <c r="A2226" s="9" t="s">
        <v>661</v>
      </c>
      <c r="B2226" s="9" t="s">
        <v>691</v>
      </c>
      <c r="C2226" s="9" t="s">
        <v>663</v>
      </c>
      <c r="D2226" s="12">
        <v>8.8300000000000003E-2</v>
      </c>
      <c r="E2226" s="12">
        <v>4.9000000000000002E-2</v>
      </c>
      <c r="F2226" s="12">
        <v>4.1599999999999998E-2</v>
      </c>
      <c r="G2226" s="12">
        <v>6.8650000000000003E-2</v>
      </c>
      <c r="H2226" s="12">
        <v>5.96E-2</v>
      </c>
      <c r="I2226" s="12">
        <v>5.96E-2</v>
      </c>
      <c r="J2226" s="9" t="s">
        <v>412</v>
      </c>
      <c r="K2226" s="9" t="s">
        <v>654</v>
      </c>
    </row>
    <row r="2227" spans="1:11" ht="28.8">
      <c r="A2227" s="9" t="s">
        <v>661</v>
      </c>
      <c r="B2227" s="9" t="s">
        <v>691</v>
      </c>
      <c r="C2227" s="9" t="s">
        <v>659</v>
      </c>
      <c r="D2227" s="12">
        <v>4.3499999999999997E-2</v>
      </c>
      <c r="E2227" s="12">
        <v>4.9000000000000002E-2</v>
      </c>
      <c r="F2227" s="12">
        <v>-8.5900000000000004E-2</v>
      </c>
      <c r="G2227" s="12">
        <v>4.6249999999999999E-2</v>
      </c>
      <c r="H2227" s="12">
        <v>2.2000000000000001E-3</v>
      </c>
      <c r="I2227" s="12">
        <v>5.9499999999999997E-2</v>
      </c>
      <c r="J2227" s="9" t="s">
        <v>412</v>
      </c>
      <c r="K2227" s="9" t="s">
        <v>604</v>
      </c>
    </row>
    <row r="2228" spans="1:11" ht="28.8">
      <c r="A2228" s="9" t="s">
        <v>671</v>
      </c>
      <c r="B2228" s="9" t="s">
        <v>681</v>
      </c>
      <c r="C2228" s="9" t="s">
        <v>663</v>
      </c>
      <c r="D2228" s="12">
        <v>9.4399999999999998E-2</v>
      </c>
      <c r="E2228" s="12">
        <v>7.1800000000000003E-2</v>
      </c>
      <c r="F2228" s="12">
        <v>1.23E-2</v>
      </c>
      <c r="G2228" s="12">
        <v>8.3100000000000007E-2</v>
      </c>
      <c r="H2228" s="12">
        <v>5.9499999999999997E-2</v>
      </c>
      <c r="I2228" s="12">
        <v>5.9499999999999997E-2</v>
      </c>
      <c r="J2228" s="9" t="s">
        <v>412</v>
      </c>
      <c r="K2228" s="9" t="s">
        <v>654</v>
      </c>
    </row>
    <row r="2229" spans="1:11" ht="28.8">
      <c r="A2229" s="9" t="s">
        <v>671</v>
      </c>
      <c r="B2229" s="9" t="s">
        <v>668</v>
      </c>
      <c r="C2229" s="9" t="s">
        <v>663</v>
      </c>
      <c r="D2229" s="12">
        <v>9.4399999999999998E-2</v>
      </c>
      <c r="E2229" s="12">
        <v>-3.2099999999999997E-2</v>
      </c>
      <c r="F2229" s="12">
        <v>-5.04E-2</v>
      </c>
      <c r="G2229" s="12">
        <v>3.1150000000000001E-2</v>
      </c>
      <c r="H2229" s="12">
        <v>4.0000000000000001E-3</v>
      </c>
      <c r="I2229" s="12">
        <v>5.8999999999999997E-2</v>
      </c>
      <c r="J2229" s="9" t="s">
        <v>412</v>
      </c>
      <c r="K2229" s="9" t="s">
        <v>604</v>
      </c>
    </row>
    <row r="2230" spans="1:11" ht="28.8">
      <c r="A2230" s="9" t="s">
        <v>662</v>
      </c>
      <c r="B2230" s="9" t="s">
        <v>686</v>
      </c>
      <c r="C2230" s="9" t="s">
        <v>675</v>
      </c>
      <c r="D2230" s="12">
        <v>0.14630000000000001</v>
      </c>
      <c r="E2230" s="12">
        <v>6.7000000000000002E-3</v>
      </c>
      <c r="F2230" s="12">
        <v>-2.41E-2</v>
      </c>
      <c r="G2230" s="12">
        <v>7.6500000000000012E-2</v>
      </c>
      <c r="H2230" s="12">
        <v>4.2900000000000001E-2</v>
      </c>
      <c r="I2230" s="12">
        <v>5.8999999999999997E-2</v>
      </c>
      <c r="J2230" s="9" t="s">
        <v>412</v>
      </c>
      <c r="K2230" s="9" t="s">
        <v>604</v>
      </c>
    </row>
    <row r="2231" spans="1:11" ht="28.8">
      <c r="A2231" s="9" t="s">
        <v>671</v>
      </c>
      <c r="B2231" s="9" t="s">
        <v>686</v>
      </c>
      <c r="C2231" s="9" t="s">
        <v>666</v>
      </c>
      <c r="D2231" s="12">
        <v>1.34E-2</v>
      </c>
      <c r="E2231" s="12">
        <v>0.13</v>
      </c>
      <c r="F2231" s="12">
        <v>3.3500000000000002E-2</v>
      </c>
      <c r="G2231" s="12">
        <v>7.17E-2</v>
      </c>
      <c r="H2231" s="12">
        <v>5.8999999999999997E-2</v>
      </c>
      <c r="I2231" s="12">
        <v>5.8999999999999997E-2</v>
      </c>
      <c r="J2231" s="9" t="s">
        <v>412</v>
      </c>
      <c r="K2231" s="9" t="s">
        <v>654</v>
      </c>
    </row>
    <row r="2232" spans="1:11" ht="28.8">
      <c r="A2232" s="9" t="s">
        <v>682</v>
      </c>
      <c r="B2232" s="9" t="s">
        <v>684</v>
      </c>
      <c r="C2232" s="9" t="s">
        <v>677</v>
      </c>
      <c r="D2232" s="12">
        <v>1.23E-2</v>
      </c>
      <c r="E2232" s="12">
        <v>-0.1031</v>
      </c>
      <c r="F2232" s="12">
        <v>-6.13E-2</v>
      </c>
      <c r="G2232" s="12">
        <v>-4.5399999999999996E-2</v>
      </c>
      <c r="H2232" s="12">
        <v>-5.0700000000000002E-2</v>
      </c>
      <c r="I2232" s="12">
        <v>5.8900000000000001E-2</v>
      </c>
      <c r="J2232" s="9" t="s">
        <v>412</v>
      </c>
      <c r="K2232" s="9" t="s">
        <v>604</v>
      </c>
    </row>
    <row r="2233" spans="1:11" ht="28.8">
      <c r="A2233" s="9" t="s">
        <v>609</v>
      </c>
      <c r="B2233" s="9" t="s">
        <v>672</v>
      </c>
      <c r="C2233" s="9" t="s">
        <v>674</v>
      </c>
      <c r="D2233" s="12">
        <v>-8.6999999999999994E-3</v>
      </c>
      <c r="E2233" s="12">
        <v>-0.1148</v>
      </c>
      <c r="F2233" s="12">
        <v>5.2299999999999999E-2</v>
      </c>
      <c r="G2233" s="12">
        <v>-6.1749999999999999E-2</v>
      </c>
      <c r="H2233" s="12">
        <v>-2.3699999999999999E-2</v>
      </c>
      <c r="I2233" s="12">
        <v>5.8599999999999999E-2</v>
      </c>
      <c r="J2233" s="9" t="s">
        <v>412</v>
      </c>
      <c r="K2233" s="9" t="s">
        <v>604</v>
      </c>
    </row>
    <row r="2234" spans="1:11">
      <c r="A2234" s="9" t="s">
        <v>610</v>
      </c>
      <c r="B2234" s="9" t="s">
        <v>685</v>
      </c>
      <c r="C2234" s="9" t="s">
        <v>659</v>
      </c>
      <c r="D2234" s="12">
        <v>0.1174</v>
      </c>
      <c r="E2234" s="12">
        <v>4.0500000000000001E-2</v>
      </c>
      <c r="F2234" s="12">
        <v>-1.7899999999999999E-2</v>
      </c>
      <c r="G2234" s="12">
        <v>7.8950000000000006E-2</v>
      </c>
      <c r="H2234" s="12">
        <v>4.6699999999999998E-2</v>
      </c>
      <c r="I2234" s="12">
        <v>5.8599999999999999E-2</v>
      </c>
      <c r="J2234" s="9" t="s">
        <v>412</v>
      </c>
      <c r="K2234" s="9" t="s">
        <v>604</v>
      </c>
    </row>
    <row r="2235" spans="1:11" ht="28.8">
      <c r="A2235" s="9" t="s">
        <v>609</v>
      </c>
      <c r="B2235" s="9" t="s">
        <v>672</v>
      </c>
      <c r="C2235" s="9" t="s">
        <v>690</v>
      </c>
      <c r="D2235" s="12">
        <v>4.9799999999999997E-2</v>
      </c>
      <c r="E2235" s="12">
        <v>-0.1148</v>
      </c>
      <c r="F2235" s="12">
        <v>1.11E-2</v>
      </c>
      <c r="G2235" s="12">
        <v>-3.2500000000000001E-2</v>
      </c>
      <c r="H2235" s="12">
        <v>-1.7999999999999999E-2</v>
      </c>
      <c r="I2235" s="12">
        <v>5.8599999999999999E-2</v>
      </c>
      <c r="J2235" s="9" t="s">
        <v>412</v>
      </c>
      <c r="K2235" s="9" t="s">
        <v>604</v>
      </c>
    </row>
    <row r="2236" spans="1:11">
      <c r="A2236" s="9" t="s">
        <v>610</v>
      </c>
      <c r="B2236" s="9" t="s">
        <v>687</v>
      </c>
      <c r="C2236" s="9" t="s">
        <v>659</v>
      </c>
      <c r="D2236" s="12">
        <v>0.1174</v>
      </c>
      <c r="E2236" s="12">
        <v>1.24E-2</v>
      </c>
      <c r="F2236" s="12">
        <v>4.58E-2</v>
      </c>
      <c r="G2236" s="12">
        <v>6.4899999999999999E-2</v>
      </c>
      <c r="H2236" s="12">
        <v>5.8500000000000003E-2</v>
      </c>
      <c r="I2236" s="12">
        <v>5.8500000000000003E-2</v>
      </c>
      <c r="J2236" s="9" t="s">
        <v>412</v>
      </c>
      <c r="K2236" s="9" t="s">
        <v>654</v>
      </c>
    </row>
    <row r="2237" spans="1:11" ht="28.8">
      <c r="A2237" s="9" t="s">
        <v>671</v>
      </c>
      <c r="B2237" s="9" t="s">
        <v>668</v>
      </c>
      <c r="C2237" s="9" t="s">
        <v>683</v>
      </c>
      <c r="D2237" s="12">
        <v>0.1066</v>
      </c>
      <c r="E2237" s="12">
        <v>-3.2099999999999997E-2</v>
      </c>
      <c r="F2237" s="12">
        <v>3.6700000000000003E-2</v>
      </c>
      <c r="G2237" s="12">
        <v>3.7250000000000005E-2</v>
      </c>
      <c r="H2237" s="12">
        <v>3.7100000000000001E-2</v>
      </c>
      <c r="I2237" s="12">
        <v>5.8400000000000001E-2</v>
      </c>
      <c r="J2237" s="9" t="s">
        <v>412</v>
      </c>
      <c r="K2237" s="9" t="s">
        <v>604</v>
      </c>
    </row>
    <row r="2238" spans="1:11" ht="28.8">
      <c r="A2238" s="9" t="s">
        <v>662</v>
      </c>
      <c r="B2238" s="9" t="s">
        <v>673</v>
      </c>
      <c r="C2238" s="9" t="s">
        <v>664</v>
      </c>
      <c r="D2238" s="12">
        <v>-2.87E-2</v>
      </c>
      <c r="E2238" s="12">
        <v>4.2999999999999997E-2</v>
      </c>
      <c r="F2238" s="12">
        <v>-0.10340000000000001</v>
      </c>
      <c r="G2238" s="12">
        <v>7.1499999999999984E-3</v>
      </c>
      <c r="H2238" s="12">
        <v>-2.9700000000000001E-2</v>
      </c>
      <c r="I2238" s="12">
        <v>5.8400000000000001E-2</v>
      </c>
      <c r="J2238" s="9" t="s">
        <v>412</v>
      </c>
      <c r="K2238" s="9" t="s">
        <v>604</v>
      </c>
    </row>
    <row r="2239" spans="1:11" ht="28.8">
      <c r="A2239" s="9" t="s">
        <v>610</v>
      </c>
      <c r="B2239" s="9" t="s">
        <v>676</v>
      </c>
      <c r="C2239" s="9" t="s">
        <v>664</v>
      </c>
      <c r="D2239" s="12">
        <v>-9.1300000000000006E-2</v>
      </c>
      <c r="E2239" s="12">
        <v>8.2799999999999999E-2</v>
      </c>
      <c r="F2239" s="12">
        <v>-2.9999999999999997E-4</v>
      </c>
      <c r="G2239" s="12">
        <v>-4.2500000000000038E-3</v>
      </c>
      <c r="H2239" s="12">
        <v>-2.8999999999999998E-3</v>
      </c>
      <c r="I2239" s="12">
        <v>5.8099999999999999E-2</v>
      </c>
      <c r="J2239" s="9" t="s">
        <v>412</v>
      </c>
      <c r="K2239" s="9" t="s">
        <v>604</v>
      </c>
    </row>
    <row r="2240" spans="1:11" ht="28.8">
      <c r="A2240" s="9" t="s">
        <v>662</v>
      </c>
      <c r="B2240" s="9" t="s">
        <v>613</v>
      </c>
      <c r="C2240" s="9" t="s">
        <v>690</v>
      </c>
      <c r="D2240" s="12">
        <v>-3.1300000000000001E-2</v>
      </c>
      <c r="E2240" s="12">
        <v>6.2399999999999997E-2</v>
      </c>
      <c r="F2240" s="12">
        <v>-8.0600000000000005E-2</v>
      </c>
      <c r="G2240" s="12">
        <v>1.5549999999999998E-2</v>
      </c>
      <c r="H2240" s="12">
        <v>-1.6500000000000001E-2</v>
      </c>
      <c r="I2240" s="12">
        <v>5.8099999999999999E-2</v>
      </c>
      <c r="J2240" s="9" t="s">
        <v>412</v>
      </c>
      <c r="K2240" s="9" t="s">
        <v>604</v>
      </c>
    </row>
    <row r="2241" spans="1:11" ht="28.8">
      <c r="A2241" s="9" t="s">
        <v>661</v>
      </c>
      <c r="B2241" s="9" t="s">
        <v>691</v>
      </c>
      <c r="C2241" s="9" t="s">
        <v>683</v>
      </c>
      <c r="D2241" s="12">
        <v>-5.3400000000000003E-2</v>
      </c>
      <c r="E2241" s="12">
        <v>4.9000000000000002E-2</v>
      </c>
      <c r="F2241" s="12">
        <v>7.1400000000000005E-2</v>
      </c>
      <c r="G2241" s="12">
        <v>-2.2000000000000006E-3</v>
      </c>
      <c r="H2241" s="12">
        <v>2.23E-2</v>
      </c>
      <c r="I2241" s="12">
        <v>5.8000000000000003E-2</v>
      </c>
      <c r="J2241" s="9" t="s">
        <v>412</v>
      </c>
      <c r="K2241" s="9" t="s">
        <v>604</v>
      </c>
    </row>
    <row r="2242" spans="1:11" ht="28.8">
      <c r="A2242" s="9" t="s">
        <v>661</v>
      </c>
      <c r="B2242" s="9" t="s">
        <v>668</v>
      </c>
      <c r="C2242" s="9" t="s">
        <v>677</v>
      </c>
      <c r="D2242" s="12">
        <v>2.5700000000000001E-2</v>
      </c>
      <c r="E2242" s="12">
        <v>-0.13339999999999999</v>
      </c>
      <c r="F2242" s="12">
        <v>1.4800000000000001E-2</v>
      </c>
      <c r="G2242" s="12">
        <v>-5.3849999999999995E-2</v>
      </c>
      <c r="H2242" s="12">
        <v>-3.1E-2</v>
      </c>
      <c r="I2242" s="12">
        <v>5.8000000000000003E-2</v>
      </c>
      <c r="J2242" s="9" t="s">
        <v>412</v>
      </c>
      <c r="K2242" s="9" t="s">
        <v>604</v>
      </c>
    </row>
    <row r="2243" spans="1:11" ht="28.8">
      <c r="A2243" s="9" t="s">
        <v>609</v>
      </c>
      <c r="B2243" s="9" t="s">
        <v>668</v>
      </c>
      <c r="C2243" s="9" t="s">
        <v>664</v>
      </c>
      <c r="D2243" s="12">
        <v>-6.5699999999999995E-2</v>
      </c>
      <c r="E2243" s="12">
        <v>-4.02E-2</v>
      </c>
      <c r="F2243" s="12">
        <v>6.7799999999999999E-2</v>
      </c>
      <c r="G2243" s="12">
        <v>-5.2949999999999997E-2</v>
      </c>
      <c r="H2243" s="12">
        <v>-1.2699999999999999E-2</v>
      </c>
      <c r="I2243" s="12">
        <v>5.79E-2</v>
      </c>
      <c r="J2243" s="9" t="s">
        <v>412</v>
      </c>
      <c r="K2243" s="9" t="s">
        <v>604</v>
      </c>
    </row>
    <row r="2244" spans="1:11" ht="28.8">
      <c r="A2244" s="9" t="s">
        <v>610</v>
      </c>
      <c r="B2244" s="9" t="s">
        <v>685</v>
      </c>
      <c r="C2244" s="9" t="s">
        <v>675</v>
      </c>
      <c r="D2244" s="12">
        <v>-2.1399999999999999E-2</v>
      </c>
      <c r="E2244" s="12">
        <v>4.0500000000000001E-2</v>
      </c>
      <c r="F2244" s="12">
        <v>0.11119999999999999</v>
      </c>
      <c r="G2244" s="12">
        <v>9.5500000000000012E-3</v>
      </c>
      <c r="H2244" s="12">
        <v>4.3400000000000001E-2</v>
      </c>
      <c r="I2244" s="12">
        <v>5.7700000000000001E-2</v>
      </c>
      <c r="J2244" s="9" t="s">
        <v>412</v>
      </c>
      <c r="K2244" s="9" t="s">
        <v>604</v>
      </c>
    </row>
    <row r="2245" spans="1:11">
      <c r="A2245" s="9" t="s">
        <v>662</v>
      </c>
      <c r="B2245" s="9" t="s">
        <v>691</v>
      </c>
      <c r="C2245" s="9" t="s">
        <v>655</v>
      </c>
      <c r="D2245" s="12">
        <v>5.6899999999999999E-2</v>
      </c>
      <c r="E2245" s="12">
        <v>7.0099999999999996E-2</v>
      </c>
      <c r="F2245" s="12">
        <v>-4.5699999999999998E-2</v>
      </c>
      <c r="G2245" s="12">
        <v>6.3500000000000001E-2</v>
      </c>
      <c r="H2245" s="12">
        <v>2.7099999999999999E-2</v>
      </c>
      <c r="I2245" s="12">
        <v>5.7599999999999998E-2</v>
      </c>
      <c r="J2245" s="9" t="s">
        <v>412</v>
      </c>
      <c r="K2245" s="9" t="s">
        <v>604</v>
      </c>
    </row>
    <row r="2246" spans="1:11" ht="28.8">
      <c r="A2246" s="9" t="s">
        <v>603</v>
      </c>
      <c r="B2246" s="9" t="s">
        <v>691</v>
      </c>
      <c r="C2246" s="9" t="s">
        <v>674</v>
      </c>
      <c r="D2246" s="12">
        <v>-0.1212</v>
      </c>
      <c r="E2246" s="12">
        <v>3.3000000000000002E-2</v>
      </c>
      <c r="F2246" s="12">
        <v>-1.83E-2</v>
      </c>
      <c r="G2246" s="12">
        <v>-4.41E-2</v>
      </c>
      <c r="H2246" s="12">
        <v>-3.5499999999999997E-2</v>
      </c>
      <c r="I2246" s="12">
        <v>5.7500000000000002E-2</v>
      </c>
      <c r="J2246" s="9" t="s">
        <v>412</v>
      </c>
      <c r="K2246" s="9" t="s">
        <v>604</v>
      </c>
    </row>
    <row r="2247" spans="1:11" ht="28.8">
      <c r="A2247" s="9" t="s">
        <v>679</v>
      </c>
      <c r="B2247" s="9" t="s">
        <v>665</v>
      </c>
      <c r="C2247" s="9" t="s">
        <v>675</v>
      </c>
      <c r="D2247" s="12">
        <v>4.0599999999999997E-2</v>
      </c>
      <c r="E2247" s="12">
        <v>7.6399999999999996E-2</v>
      </c>
      <c r="F2247" s="12">
        <v>5.5599999999999997E-2</v>
      </c>
      <c r="G2247" s="12">
        <v>5.8499999999999996E-2</v>
      </c>
      <c r="H2247" s="12">
        <v>5.7500000000000002E-2</v>
      </c>
      <c r="I2247" s="12">
        <v>5.7500000000000002E-2</v>
      </c>
      <c r="J2247" s="9" t="s">
        <v>412</v>
      </c>
      <c r="K2247" s="9" t="s">
        <v>654</v>
      </c>
    </row>
    <row r="2248" spans="1:11">
      <c r="A2248" s="9" t="s">
        <v>662</v>
      </c>
      <c r="B2248" s="9" t="s">
        <v>686</v>
      </c>
      <c r="C2248" s="9" t="s">
        <v>655</v>
      </c>
      <c r="D2248" s="12">
        <v>5.6899999999999999E-2</v>
      </c>
      <c r="E2248" s="12">
        <v>6.7000000000000002E-3</v>
      </c>
      <c r="F2248" s="12">
        <v>0.1085</v>
      </c>
      <c r="G2248" s="12">
        <v>3.1800000000000002E-2</v>
      </c>
      <c r="H2248" s="12">
        <v>5.74E-2</v>
      </c>
      <c r="I2248" s="12">
        <v>5.74E-2</v>
      </c>
      <c r="J2248" s="9" t="s">
        <v>412</v>
      </c>
      <c r="K2248" s="9" t="s">
        <v>654</v>
      </c>
    </row>
    <row r="2249" spans="1:11" ht="28.8">
      <c r="A2249" s="9" t="s">
        <v>610</v>
      </c>
      <c r="B2249" s="9" t="s">
        <v>676</v>
      </c>
      <c r="C2249" s="9" t="s">
        <v>683</v>
      </c>
      <c r="D2249" s="12">
        <v>-8.1500000000000003E-2</v>
      </c>
      <c r="E2249" s="12">
        <v>8.2799999999999999E-2</v>
      </c>
      <c r="F2249" s="12">
        <v>-7.4999999999999997E-3</v>
      </c>
      <c r="G2249" s="12">
        <v>6.499999999999978E-4</v>
      </c>
      <c r="H2249" s="12">
        <v>-2.0999999999999999E-3</v>
      </c>
      <c r="I2249" s="12">
        <v>5.7299999999999997E-2</v>
      </c>
      <c r="J2249" s="9" t="s">
        <v>412</v>
      </c>
      <c r="K2249" s="9" t="s">
        <v>604</v>
      </c>
    </row>
    <row r="2250" spans="1:11" ht="28.8">
      <c r="A2250" s="9" t="s">
        <v>671</v>
      </c>
      <c r="B2250" s="9" t="s">
        <v>680</v>
      </c>
      <c r="C2250" s="9" t="s">
        <v>683</v>
      </c>
      <c r="D2250" s="12">
        <v>0.1066</v>
      </c>
      <c r="E2250" s="12">
        <v>-1.24E-2</v>
      </c>
      <c r="F2250" s="12">
        <v>5.2699999999999997E-2</v>
      </c>
      <c r="G2250" s="12">
        <v>4.7100000000000003E-2</v>
      </c>
      <c r="H2250" s="12">
        <v>4.8899999999999999E-2</v>
      </c>
      <c r="I2250" s="12">
        <v>5.7200000000000001E-2</v>
      </c>
      <c r="J2250" s="9" t="s">
        <v>412</v>
      </c>
      <c r="K2250" s="9" t="s">
        <v>604</v>
      </c>
    </row>
    <row r="2251" spans="1:11" ht="28.8">
      <c r="A2251" s="9" t="s">
        <v>662</v>
      </c>
      <c r="B2251" s="9" t="s">
        <v>687</v>
      </c>
      <c r="C2251" s="9" t="s">
        <v>683</v>
      </c>
      <c r="D2251" s="12">
        <v>-6.0100000000000001E-2</v>
      </c>
      <c r="E2251" s="12">
        <v>-5.4199999999999998E-2</v>
      </c>
      <c r="F2251" s="12">
        <v>5.7099999999999998E-2</v>
      </c>
      <c r="G2251" s="12">
        <v>-5.7149999999999999E-2</v>
      </c>
      <c r="H2251" s="12">
        <v>-1.9099999999999999E-2</v>
      </c>
      <c r="I2251" s="12">
        <v>5.7099999999999998E-2</v>
      </c>
      <c r="J2251" s="9" t="s">
        <v>412</v>
      </c>
      <c r="K2251" s="9" t="s">
        <v>604</v>
      </c>
    </row>
    <row r="2252" spans="1:11">
      <c r="A2252" s="9" t="s">
        <v>610</v>
      </c>
      <c r="B2252" s="9" t="s">
        <v>685</v>
      </c>
      <c r="C2252" s="9" t="s">
        <v>656</v>
      </c>
      <c r="D2252" s="12">
        <v>6.5699999999999995E-2</v>
      </c>
      <c r="E2252" s="12">
        <v>4.0500000000000001E-2</v>
      </c>
      <c r="F2252" s="12">
        <v>6.5100000000000005E-2</v>
      </c>
      <c r="G2252" s="12">
        <v>5.3099999999999994E-2</v>
      </c>
      <c r="H2252" s="12">
        <v>5.7099999999999998E-2</v>
      </c>
      <c r="I2252" s="12">
        <v>5.7099999999999998E-2</v>
      </c>
      <c r="J2252" s="9" t="s">
        <v>412</v>
      </c>
      <c r="K2252" s="9" t="s">
        <v>654</v>
      </c>
    </row>
    <row r="2253" spans="1:11" ht="28.8">
      <c r="A2253" s="9" t="s">
        <v>662</v>
      </c>
      <c r="B2253" s="9" t="s">
        <v>680</v>
      </c>
      <c r="C2253" s="9" t="s">
        <v>690</v>
      </c>
      <c r="D2253" s="12">
        <v>-3.1300000000000001E-2</v>
      </c>
      <c r="E2253" s="12">
        <v>-1.8100000000000002E-2</v>
      </c>
      <c r="F2253" s="12">
        <v>-0.12130000000000001</v>
      </c>
      <c r="G2253" s="12">
        <v>-2.47E-2</v>
      </c>
      <c r="H2253" s="12">
        <v>-5.6899999999999999E-2</v>
      </c>
      <c r="I2253" s="12">
        <v>5.6899999999999999E-2</v>
      </c>
      <c r="J2253" s="9" t="s">
        <v>412</v>
      </c>
      <c r="K2253" s="9" t="s">
        <v>604</v>
      </c>
    </row>
    <row r="2254" spans="1:11" ht="28.8">
      <c r="A2254" s="9" t="s">
        <v>609</v>
      </c>
      <c r="B2254" s="9" t="s">
        <v>686</v>
      </c>
      <c r="C2254" s="9" t="s">
        <v>683</v>
      </c>
      <c r="D2254" s="12">
        <v>-0.105</v>
      </c>
      <c r="E2254" s="12">
        <v>-8.5000000000000006E-3</v>
      </c>
      <c r="F2254" s="12">
        <v>-5.6800000000000003E-2</v>
      </c>
      <c r="G2254" s="12">
        <v>-5.6749999999999995E-2</v>
      </c>
      <c r="H2254" s="12">
        <v>-5.67E-2</v>
      </c>
      <c r="I2254" s="12">
        <v>5.67E-2</v>
      </c>
      <c r="J2254" s="9" t="s">
        <v>412</v>
      </c>
      <c r="K2254" s="9" t="s">
        <v>604</v>
      </c>
    </row>
    <row r="2255" spans="1:11">
      <c r="A2255" s="9" t="s">
        <v>610</v>
      </c>
      <c r="B2255" s="9" t="s">
        <v>689</v>
      </c>
      <c r="C2255" s="9" t="s">
        <v>655</v>
      </c>
      <c r="D2255" s="12">
        <v>-9.4E-2</v>
      </c>
      <c r="E2255" s="12">
        <v>-1.21E-2</v>
      </c>
      <c r="F2255" s="12">
        <v>-6.4000000000000001E-2</v>
      </c>
      <c r="G2255" s="12">
        <v>-5.305E-2</v>
      </c>
      <c r="H2255" s="12">
        <v>-5.67E-2</v>
      </c>
      <c r="I2255" s="12">
        <v>5.67E-2</v>
      </c>
      <c r="J2255" s="9" t="s">
        <v>412</v>
      </c>
      <c r="K2255" s="9" t="s">
        <v>604</v>
      </c>
    </row>
    <row r="2256" spans="1:11" ht="28.8">
      <c r="A2256" s="9" t="s">
        <v>661</v>
      </c>
      <c r="B2256" s="9" t="s">
        <v>673</v>
      </c>
      <c r="C2256" s="9" t="s">
        <v>677</v>
      </c>
      <c r="D2256" s="12">
        <v>2.5700000000000001E-2</v>
      </c>
      <c r="E2256" s="12">
        <v>-0.12659999999999999</v>
      </c>
      <c r="F2256" s="12">
        <v>-1.6899999999999998E-2</v>
      </c>
      <c r="G2256" s="12">
        <v>-5.0449999999999995E-2</v>
      </c>
      <c r="H2256" s="12">
        <v>-3.9300000000000002E-2</v>
      </c>
      <c r="I2256" s="12">
        <v>5.6399999999999999E-2</v>
      </c>
      <c r="J2256" s="9" t="s">
        <v>412</v>
      </c>
      <c r="K2256" s="9" t="s">
        <v>604</v>
      </c>
    </row>
    <row r="2257" spans="1:11" ht="28.8">
      <c r="A2257" s="9" t="s">
        <v>609</v>
      </c>
      <c r="B2257" s="9" t="s">
        <v>685</v>
      </c>
      <c r="C2257" s="9" t="s">
        <v>690</v>
      </c>
      <c r="D2257" s="12">
        <v>4.9799999999999997E-2</v>
      </c>
      <c r="E2257" s="12">
        <v>3.8399999999999997E-2</v>
      </c>
      <c r="F2257" s="12">
        <v>-8.0600000000000005E-2</v>
      </c>
      <c r="G2257" s="12">
        <v>4.41E-2</v>
      </c>
      <c r="H2257" s="12">
        <v>2.5000000000000001E-3</v>
      </c>
      <c r="I2257" s="12">
        <v>5.6300000000000003E-2</v>
      </c>
      <c r="J2257" s="9" t="s">
        <v>412</v>
      </c>
      <c r="K2257" s="9" t="s">
        <v>604</v>
      </c>
    </row>
    <row r="2258" spans="1:11" ht="28.8">
      <c r="A2258" s="9" t="s">
        <v>682</v>
      </c>
      <c r="B2258" s="9" t="s">
        <v>602</v>
      </c>
      <c r="C2258" s="9" t="s">
        <v>690</v>
      </c>
      <c r="D2258" s="12">
        <v>-7.1099999999999997E-2</v>
      </c>
      <c r="E2258" s="12">
        <v>9.5699999999999993E-2</v>
      </c>
      <c r="F2258" s="12">
        <v>1.9E-3</v>
      </c>
      <c r="G2258" s="12">
        <v>1.2299999999999998E-2</v>
      </c>
      <c r="H2258" s="12">
        <v>8.8000000000000005E-3</v>
      </c>
      <c r="I2258" s="12">
        <v>5.62E-2</v>
      </c>
      <c r="J2258" s="9" t="s">
        <v>412</v>
      </c>
      <c r="K2258" s="9" t="s">
        <v>604</v>
      </c>
    </row>
    <row r="2259" spans="1:11" ht="28.8">
      <c r="A2259" s="9" t="s">
        <v>662</v>
      </c>
      <c r="B2259" s="9" t="s">
        <v>691</v>
      </c>
      <c r="C2259" s="9" t="s">
        <v>677</v>
      </c>
      <c r="D2259" s="12">
        <v>1.2200000000000001E-2</v>
      </c>
      <c r="E2259" s="12">
        <v>7.0099999999999996E-2</v>
      </c>
      <c r="F2259" s="12">
        <v>8.5900000000000004E-2</v>
      </c>
      <c r="G2259" s="12">
        <v>4.1149999999999999E-2</v>
      </c>
      <c r="H2259" s="12">
        <v>5.6099999999999997E-2</v>
      </c>
      <c r="I2259" s="12">
        <v>5.6099999999999997E-2</v>
      </c>
      <c r="J2259" s="9" t="s">
        <v>412</v>
      </c>
      <c r="K2259" s="9" t="s">
        <v>654</v>
      </c>
    </row>
    <row r="2260" spans="1:11" ht="28.8">
      <c r="A2260" s="9" t="s">
        <v>679</v>
      </c>
      <c r="B2260" s="9" t="s">
        <v>689</v>
      </c>
      <c r="C2260" s="9" t="s">
        <v>675</v>
      </c>
      <c r="D2260" s="12">
        <v>4.0599999999999997E-2</v>
      </c>
      <c r="E2260" s="12">
        <v>-7.0900000000000005E-2</v>
      </c>
      <c r="F2260" s="12">
        <v>5.6300000000000003E-2</v>
      </c>
      <c r="G2260" s="12">
        <v>-1.5150000000000004E-2</v>
      </c>
      <c r="H2260" s="12">
        <v>8.6999999999999994E-3</v>
      </c>
      <c r="I2260" s="12">
        <v>5.5899999999999998E-2</v>
      </c>
      <c r="J2260" s="9" t="s">
        <v>412</v>
      </c>
      <c r="K2260" s="9" t="s">
        <v>604</v>
      </c>
    </row>
    <row r="2261" spans="1:11" ht="28.8">
      <c r="A2261" s="9" t="s">
        <v>661</v>
      </c>
      <c r="B2261" s="9" t="s">
        <v>669</v>
      </c>
      <c r="C2261" s="9" t="s">
        <v>659</v>
      </c>
      <c r="D2261" s="12">
        <v>4.3499999999999997E-2</v>
      </c>
      <c r="E2261" s="12">
        <v>9.1800000000000007E-2</v>
      </c>
      <c r="F2261" s="12">
        <v>3.1899999999999998E-2</v>
      </c>
      <c r="G2261" s="12">
        <v>6.7650000000000002E-2</v>
      </c>
      <c r="H2261" s="12">
        <v>5.57E-2</v>
      </c>
      <c r="I2261" s="12">
        <v>5.57E-2</v>
      </c>
      <c r="J2261" s="9" t="s">
        <v>412</v>
      </c>
      <c r="K2261" s="9" t="s">
        <v>654</v>
      </c>
    </row>
    <row r="2262" spans="1:11" ht="28.8">
      <c r="A2262" s="9" t="s">
        <v>679</v>
      </c>
      <c r="B2262" s="9" t="s">
        <v>602</v>
      </c>
      <c r="C2262" s="9" t="s">
        <v>675</v>
      </c>
      <c r="D2262" s="12">
        <v>4.0599999999999997E-2</v>
      </c>
      <c r="E2262" s="12">
        <v>-2.3400000000000001E-2</v>
      </c>
      <c r="F2262" s="12">
        <v>0.1032</v>
      </c>
      <c r="G2262" s="12">
        <v>8.5999999999999983E-3</v>
      </c>
      <c r="H2262" s="12">
        <v>4.0099999999999997E-2</v>
      </c>
      <c r="I2262" s="12">
        <v>5.57E-2</v>
      </c>
      <c r="J2262" s="9" t="s">
        <v>412</v>
      </c>
      <c r="K2262" s="9" t="s">
        <v>604</v>
      </c>
    </row>
    <row r="2263" spans="1:11" ht="28.8">
      <c r="A2263" s="9" t="s">
        <v>609</v>
      </c>
      <c r="B2263" s="9" t="s">
        <v>689</v>
      </c>
      <c r="C2263" s="9" t="s">
        <v>674</v>
      </c>
      <c r="D2263" s="12">
        <v>-8.6999999999999994E-3</v>
      </c>
      <c r="E2263" s="12">
        <v>-4.6100000000000002E-2</v>
      </c>
      <c r="F2263" s="12">
        <v>0.112</v>
      </c>
      <c r="G2263" s="12">
        <v>-2.7400000000000001E-2</v>
      </c>
      <c r="H2263" s="12">
        <v>1.9099999999999999E-2</v>
      </c>
      <c r="I2263" s="12">
        <v>5.5599999999999997E-2</v>
      </c>
      <c r="J2263" s="9" t="s">
        <v>412</v>
      </c>
      <c r="K2263" s="9" t="s">
        <v>604</v>
      </c>
    </row>
    <row r="2264" spans="1:11" ht="28.8">
      <c r="A2264" s="9" t="s">
        <v>610</v>
      </c>
      <c r="B2264" s="9" t="s">
        <v>665</v>
      </c>
      <c r="C2264" s="9" t="s">
        <v>683</v>
      </c>
      <c r="D2264" s="12">
        <v>-8.1500000000000003E-2</v>
      </c>
      <c r="E2264" s="12">
        <v>7.4899999999999994E-2</v>
      </c>
      <c r="F2264" s="12">
        <v>1.03E-2</v>
      </c>
      <c r="G2264" s="12">
        <v>-3.3000000000000043E-3</v>
      </c>
      <c r="H2264" s="12">
        <v>1.1999999999999999E-3</v>
      </c>
      <c r="I2264" s="12">
        <v>5.5599999999999997E-2</v>
      </c>
      <c r="J2264" s="9" t="s">
        <v>412</v>
      </c>
      <c r="K2264" s="9" t="s">
        <v>604</v>
      </c>
    </row>
    <row r="2265" spans="1:11">
      <c r="A2265" s="9" t="s">
        <v>610</v>
      </c>
      <c r="B2265" s="9" t="s">
        <v>686</v>
      </c>
      <c r="C2265" s="9" t="s">
        <v>667</v>
      </c>
      <c r="D2265" s="12">
        <v>6.1800000000000001E-2</v>
      </c>
      <c r="E2265" s="12">
        <v>2.07E-2</v>
      </c>
      <c r="F2265" s="12">
        <v>8.4000000000000005E-2</v>
      </c>
      <c r="G2265" s="12">
        <v>4.1250000000000002E-2</v>
      </c>
      <c r="H2265" s="12">
        <v>5.5500000000000001E-2</v>
      </c>
      <c r="I2265" s="12">
        <v>5.5500000000000001E-2</v>
      </c>
      <c r="J2265" s="9" t="s">
        <v>412</v>
      </c>
      <c r="K2265" s="9" t="s">
        <v>654</v>
      </c>
    </row>
    <row r="2266" spans="1:11" ht="28.8">
      <c r="A2266" s="9" t="s">
        <v>661</v>
      </c>
      <c r="B2266" s="9" t="s">
        <v>689</v>
      </c>
      <c r="C2266" s="9" t="s">
        <v>659</v>
      </c>
      <c r="D2266" s="12">
        <v>4.3499999999999997E-2</v>
      </c>
      <c r="E2266" s="12">
        <v>-0.1028</v>
      </c>
      <c r="F2266" s="12">
        <v>-1.9900000000000001E-2</v>
      </c>
      <c r="G2266" s="12">
        <v>-2.9650000000000003E-2</v>
      </c>
      <c r="H2266" s="12">
        <v>-2.64E-2</v>
      </c>
      <c r="I2266" s="12">
        <v>5.5399999999999998E-2</v>
      </c>
      <c r="J2266" s="9" t="s">
        <v>412</v>
      </c>
      <c r="K2266" s="9" t="s">
        <v>604</v>
      </c>
    </row>
    <row r="2267" spans="1:11" ht="28.8">
      <c r="A2267" s="9" t="s">
        <v>682</v>
      </c>
      <c r="B2267" s="9" t="s">
        <v>665</v>
      </c>
      <c r="C2267" s="9" t="s">
        <v>690</v>
      </c>
      <c r="D2267" s="12">
        <v>-7.1099999999999997E-2</v>
      </c>
      <c r="E2267" s="12">
        <v>1.1000000000000001E-3</v>
      </c>
      <c r="F2267" s="12">
        <v>-9.3799999999999994E-2</v>
      </c>
      <c r="G2267" s="12">
        <v>-3.4999999999999996E-2</v>
      </c>
      <c r="H2267" s="12">
        <v>-5.4600000000000003E-2</v>
      </c>
      <c r="I2267" s="12">
        <v>5.5300000000000002E-2</v>
      </c>
      <c r="J2267" s="9" t="s">
        <v>412</v>
      </c>
      <c r="K2267" s="9" t="s">
        <v>604</v>
      </c>
    </row>
    <row r="2268" spans="1:11" ht="28.8">
      <c r="A2268" s="9" t="s">
        <v>610</v>
      </c>
      <c r="B2268" s="9" t="s">
        <v>689</v>
      </c>
      <c r="C2268" s="9" t="s">
        <v>683</v>
      </c>
      <c r="D2268" s="12">
        <v>-8.1500000000000003E-2</v>
      </c>
      <c r="E2268" s="12">
        <v>-1.21E-2</v>
      </c>
      <c r="F2268" s="12">
        <v>-7.22E-2</v>
      </c>
      <c r="G2268" s="12">
        <v>-4.6800000000000001E-2</v>
      </c>
      <c r="H2268" s="12">
        <v>-5.5300000000000002E-2</v>
      </c>
      <c r="I2268" s="12">
        <v>5.5300000000000002E-2</v>
      </c>
      <c r="J2268" s="9" t="s">
        <v>412</v>
      </c>
      <c r="K2268" s="9" t="s">
        <v>604</v>
      </c>
    </row>
    <row r="2269" spans="1:11">
      <c r="A2269" s="9" t="s">
        <v>682</v>
      </c>
      <c r="B2269" s="9" t="s">
        <v>669</v>
      </c>
      <c r="C2269" s="9" t="s">
        <v>659</v>
      </c>
      <c r="D2269" s="12">
        <v>0.1188</v>
      </c>
      <c r="E2269" s="12">
        <v>-1.46E-2</v>
      </c>
      <c r="F2269" s="12">
        <v>3.1899999999999998E-2</v>
      </c>
      <c r="G2269" s="12">
        <v>5.21E-2</v>
      </c>
      <c r="H2269" s="12">
        <v>4.5400000000000003E-2</v>
      </c>
      <c r="I2269" s="12">
        <v>5.5100000000000003E-2</v>
      </c>
      <c r="J2269" s="9" t="s">
        <v>412</v>
      </c>
      <c r="K2269" s="9" t="s">
        <v>604</v>
      </c>
    </row>
    <row r="2270" spans="1:11">
      <c r="A2270" s="9" t="s">
        <v>682</v>
      </c>
      <c r="B2270" s="9" t="s">
        <v>691</v>
      </c>
      <c r="C2270" s="9" t="s">
        <v>667</v>
      </c>
      <c r="D2270" s="12">
        <v>-0.02</v>
      </c>
      <c r="E2270" s="12">
        <v>-0.1062</v>
      </c>
      <c r="F2270" s="12">
        <v>-3.8699999999999998E-2</v>
      </c>
      <c r="G2270" s="12">
        <v>-6.3100000000000003E-2</v>
      </c>
      <c r="H2270" s="12">
        <v>-5.5E-2</v>
      </c>
      <c r="I2270" s="12">
        <v>5.5E-2</v>
      </c>
      <c r="J2270" s="9" t="s">
        <v>412</v>
      </c>
      <c r="K2270" s="9" t="s">
        <v>604</v>
      </c>
    </row>
    <row r="2271" spans="1:11" ht="28.8">
      <c r="A2271" s="9" t="s">
        <v>609</v>
      </c>
      <c r="B2271" s="9" t="s">
        <v>685</v>
      </c>
      <c r="C2271" s="9" t="s">
        <v>664</v>
      </c>
      <c r="D2271" s="12">
        <v>-6.5699999999999995E-2</v>
      </c>
      <c r="E2271" s="12">
        <v>3.8399999999999997E-2</v>
      </c>
      <c r="F2271" s="12">
        <v>6.0699999999999997E-2</v>
      </c>
      <c r="G2271" s="12">
        <v>-1.3649999999999999E-2</v>
      </c>
      <c r="H2271" s="12">
        <v>1.11E-2</v>
      </c>
      <c r="I2271" s="12">
        <v>5.4899999999999997E-2</v>
      </c>
      <c r="J2271" s="9" t="s">
        <v>412</v>
      </c>
      <c r="K2271" s="9" t="s">
        <v>604</v>
      </c>
    </row>
    <row r="2272" spans="1:11" ht="28.8">
      <c r="A2272" s="9" t="s">
        <v>682</v>
      </c>
      <c r="B2272" s="9" t="s">
        <v>613</v>
      </c>
      <c r="C2272" s="9" t="s">
        <v>690</v>
      </c>
      <c r="D2272" s="12">
        <v>-7.1099999999999997E-2</v>
      </c>
      <c r="E2272" s="12">
        <v>-1.2999999999999999E-2</v>
      </c>
      <c r="F2272" s="12">
        <v>-8.0600000000000005E-2</v>
      </c>
      <c r="G2272" s="12">
        <v>-4.2049999999999997E-2</v>
      </c>
      <c r="H2272" s="12">
        <v>-5.4899999999999997E-2</v>
      </c>
      <c r="I2272" s="12">
        <v>5.4899999999999997E-2</v>
      </c>
      <c r="J2272" s="9" t="s">
        <v>412</v>
      </c>
      <c r="K2272" s="9" t="s">
        <v>604</v>
      </c>
    </row>
    <row r="2273" spans="1:11" ht="28.8">
      <c r="A2273" s="9" t="s">
        <v>682</v>
      </c>
      <c r="B2273" s="9" t="s">
        <v>669</v>
      </c>
      <c r="C2273" s="9" t="s">
        <v>683</v>
      </c>
      <c r="D2273" s="12">
        <v>-8.5099999999999995E-2</v>
      </c>
      <c r="E2273" s="12">
        <v>-1.46E-2</v>
      </c>
      <c r="F2273" s="12">
        <v>6.4799999999999996E-2</v>
      </c>
      <c r="G2273" s="12">
        <v>-4.9849999999999998E-2</v>
      </c>
      <c r="H2273" s="12">
        <v>-1.1599999999999999E-2</v>
      </c>
      <c r="I2273" s="12">
        <v>5.4800000000000001E-2</v>
      </c>
      <c r="J2273" s="9" t="s">
        <v>412</v>
      </c>
      <c r="K2273" s="9" t="s">
        <v>604</v>
      </c>
    </row>
    <row r="2274" spans="1:11" ht="28.8">
      <c r="A2274" s="9" t="s">
        <v>609</v>
      </c>
      <c r="B2274" s="9" t="s">
        <v>660</v>
      </c>
      <c r="C2274" s="9" t="s">
        <v>690</v>
      </c>
      <c r="D2274" s="12">
        <v>4.9799999999999997E-2</v>
      </c>
      <c r="E2274" s="12">
        <v>2.5700000000000001E-2</v>
      </c>
      <c r="F2274" s="12">
        <v>-8.8499999999999995E-2</v>
      </c>
      <c r="G2274" s="12">
        <v>3.7749999999999999E-2</v>
      </c>
      <c r="H2274" s="12">
        <v>-4.3E-3</v>
      </c>
      <c r="I2274" s="12">
        <v>5.4699999999999999E-2</v>
      </c>
      <c r="J2274" s="9" t="s">
        <v>412</v>
      </c>
      <c r="K2274" s="9" t="s">
        <v>604</v>
      </c>
    </row>
    <row r="2275" spans="1:11" ht="28.8">
      <c r="A2275" s="9" t="s">
        <v>609</v>
      </c>
      <c r="B2275" s="9" t="s">
        <v>660</v>
      </c>
      <c r="C2275" s="9" t="s">
        <v>683</v>
      </c>
      <c r="D2275" s="12">
        <v>-0.105</v>
      </c>
      <c r="E2275" s="12">
        <v>2.5700000000000001E-2</v>
      </c>
      <c r="F2275" s="12">
        <v>-3.3000000000000002E-2</v>
      </c>
      <c r="G2275" s="12">
        <v>-3.9649999999999998E-2</v>
      </c>
      <c r="H2275" s="12">
        <v>-3.7400000000000003E-2</v>
      </c>
      <c r="I2275" s="12">
        <v>5.4600000000000003E-2</v>
      </c>
      <c r="J2275" s="9" t="s">
        <v>412</v>
      </c>
      <c r="K2275" s="9" t="s">
        <v>604</v>
      </c>
    </row>
    <row r="2276" spans="1:11">
      <c r="A2276" s="9" t="s">
        <v>682</v>
      </c>
      <c r="B2276" s="9" t="s">
        <v>673</v>
      </c>
      <c r="C2276" s="9" t="s">
        <v>667</v>
      </c>
      <c r="D2276" s="12">
        <v>-0.02</v>
      </c>
      <c r="E2276" s="12">
        <v>-1.3899999999999999E-2</v>
      </c>
      <c r="F2276" s="12">
        <v>-0.1298</v>
      </c>
      <c r="G2276" s="12">
        <v>-1.695E-2</v>
      </c>
      <c r="H2276" s="12">
        <v>-5.4600000000000003E-2</v>
      </c>
      <c r="I2276" s="12">
        <v>5.4600000000000003E-2</v>
      </c>
      <c r="J2276" s="9" t="s">
        <v>412</v>
      </c>
      <c r="K2276" s="9" t="s">
        <v>604</v>
      </c>
    </row>
    <row r="2277" spans="1:11" ht="28.8">
      <c r="A2277" s="9" t="s">
        <v>671</v>
      </c>
      <c r="B2277" s="9" t="s">
        <v>684</v>
      </c>
      <c r="C2277" s="9" t="s">
        <v>677</v>
      </c>
      <c r="D2277" s="12">
        <v>6.8900000000000003E-2</v>
      </c>
      <c r="E2277" s="12">
        <v>-3.3399999999999999E-2</v>
      </c>
      <c r="F2277" s="12">
        <v>-6.13E-2</v>
      </c>
      <c r="G2277" s="12">
        <v>1.7750000000000002E-2</v>
      </c>
      <c r="H2277" s="12">
        <v>-8.6E-3</v>
      </c>
      <c r="I2277" s="12">
        <v>5.45E-2</v>
      </c>
      <c r="J2277" s="9" t="s">
        <v>412</v>
      </c>
      <c r="K2277" s="9" t="s">
        <v>604</v>
      </c>
    </row>
    <row r="2278" spans="1:11" ht="28.8">
      <c r="A2278" s="9" t="s">
        <v>609</v>
      </c>
      <c r="B2278" s="9" t="s">
        <v>676</v>
      </c>
      <c r="C2278" s="9" t="s">
        <v>690</v>
      </c>
      <c r="D2278" s="12">
        <v>4.9799999999999997E-2</v>
      </c>
      <c r="E2278" s="12">
        <v>-3.9E-2</v>
      </c>
      <c r="F2278" s="12">
        <v>-7.4399999999999994E-2</v>
      </c>
      <c r="G2278" s="12">
        <v>5.3999999999999986E-3</v>
      </c>
      <c r="H2278" s="12">
        <v>-2.12E-2</v>
      </c>
      <c r="I2278" s="12">
        <v>5.4399999999999997E-2</v>
      </c>
      <c r="J2278" s="9" t="s">
        <v>412</v>
      </c>
      <c r="K2278" s="9" t="s">
        <v>604</v>
      </c>
    </row>
    <row r="2279" spans="1:11">
      <c r="A2279" s="9" t="s">
        <v>682</v>
      </c>
      <c r="B2279" s="9" t="s">
        <v>680</v>
      </c>
      <c r="C2279" s="9" t="s">
        <v>656</v>
      </c>
      <c r="D2279" s="12">
        <v>-1.9900000000000001E-2</v>
      </c>
      <c r="E2279" s="12">
        <v>6.7000000000000004E-2</v>
      </c>
      <c r="F2279" s="12">
        <v>7.6399999999999996E-2</v>
      </c>
      <c r="G2279" s="12">
        <v>2.3550000000000001E-2</v>
      </c>
      <c r="H2279" s="12">
        <v>4.1099999999999998E-2</v>
      </c>
      <c r="I2279" s="12">
        <v>5.4399999999999997E-2</v>
      </c>
      <c r="J2279" s="9" t="s">
        <v>412</v>
      </c>
      <c r="K2279" s="9" t="s">
        <v>604</v>
      </c>
    </row>
    <row r="2280" spans="1:11">
      <c r="A2280" s="9" t="s">
        <v>610</v>
      </c>
      <c r="B2280" s="9" t="s">
        <v>686</v>
      </c>
      <c r="C2280" s="9" t="s">
        <v>656</v>
      </c>
      <c r="D2280" s="12">
        <v>6.5699999999999995E-2</v>
      </c>
      <c r="E2280" s="12">
        <v>2.07E-2</v>
      </c>
      <c r="F2280" s="12">
        <v>7.6300000000000007E-2</v>
      </c>
      <c r="G2280" s="12">
        <v>4.3199999999999995E-2</v>
      </c>
      <c r="H2280" s="12">
        <v>5.4199999999999998E-2</v>
      </c>
      <c r="I2280" s="12">
        <v>5.4199999999999998E-2</v>
      </c>
      <c r="J2280" s="9" t="s">
        <v>412</v>
      </c>
      <c r="K2280" s="9" t="s">
        <v>654</v>
      </c>
    </row>
    <row r="2281" spans="1:11" ht="28.8">
      <c r="A2281" s="9" t="s">
        <v>682</v>
      </c>
      <c r="B2281" s="9" t="s">
        <v>691</v>
      </c>
      <c r="C2281" s="9" t="s">
        <v>601</v>
      </c>
      <c r="D2281" s="12">
        <v>-3.2099999999999997E-2</v>
      </c>
      <c r="E2281" s="12">
        <v>-0.1062</v>
      </c>
      <c r="F2281" s="12">
        <v>2.4299999999999999E-2</v>
      </c>
      <c r="G2281" s="12">
        <v>-6.9150000000000003E-2</v>
      </c>
      <c r="H2281" s="12">
        <v>-3.7999999999999999E-2</v>
      </c>
      <c r="I2281" s="12">
        <v>5.4199999999999998E-2</v>
      </c>
      <c r="J2281" s="9" t="s">
        <v>412</v>
      </c>
      <c r="K2281" s="9" t="s">
        <v>604</v>
      </c>
    </row>
    <row r="2282" spans="1:11" ht="28.8">
      <c r="A2282" s="9" t="s">
        <v>679</v>
      </c>
      <c r="B2282" s="9" t="s">
        <v>602</v>
      </c>
      <c r="C2282" s="9" t="s">
        <v>670</v>
      </c>
      <c r="D2282" s="12">
        <v>-9.5200000000000007E-2</v>
      </c>
      <c r="E2282" s="12">
        <v>-2.3400000000000001E-2</v>
      </c>
      <c r="F2282" s="12">
        <v>-4.3400000000000001E-2</v>
      </c>
      <c r="G2282" s="12">
        <v>-5.9300000000000005E-2</v>
      </c>
      <c r="H2282" s="12">
        <v>-5.3999999999999999E-2</v>
      </c>
      <c r="I2282" s="12">
        <v>5.3999999999999999E-2</v>
      </c>
      <c r="J2282" s="9" t="s">
        <v>412</v>
      </c>
      <c r="K2282" s="9" t="s">
        <v>604</v>
      </c>
    </row>
    <row r="2283" spans="1:11" ht="28.8">
      <c r="A2283" s="9" t="s">
        <v>671</v>
      </c>
      <c r="B2283" s="9" t="s">
        <v>653</v>
      </c>
      <c r="C2283" s="9" t="s">
        <v>690</v>
      </c>
      <c r="D2283" s="12">
        <v>-7.0199999999999999E-2</v>
      </c>
      <c r="E2283" s="12">
        <v>-0.09</v>
      </c>
      <c r="F2283" s="12">
        <v>-1.1999999999999999E-3</v>
      </c>
      <c r="G2283" s="12">
        <v>-8.0100000000000005E-2</v>
      </c>
      <c r="H2283" s="12">
        <v>-5.3800000000000001E-2</v>
      </c>
      <c r="I2283" s="12">
        <v>5.3800000000000001E-2</v>
      </c>
      <c r="J2283" s="9" t="s">
        <v>412</v>
      </c>
      <c r="K2283" s="9" t="s">
        <v>604</v>
      </c>
    </row>
    <row r="2284" spans="1:11">
      <c r="A2284" s="9" t="s">
        <v>682</v>
      </c>
      <c r="B2284" s="9" t="s">
        <v>686</v>
      </c>
      <c r="C2284" s="9" t="s">
        <v>663</v>
      </c>
      <c r="D2284" s="12">
        <v>-6.7400000000000002E-2</v>
      </c>
      <c r="E2284" s="12">
        <v>-1.6400000000000001E-2</v>
      </c>
      <c r="F2284" s="12">
        <v>7.7299999999999994E-2</v>
      </c>
      <c r="G2284" s="12">
        <v>-4.19E-2</v>
      </c>
      <c r="H2284" s="12">
        <v>-2.2000000000000001E-3</v>
      </c>
      <c r="I2284" s="12">
        <v>5.3699999999999998E-2</v>
      </c>
      <c r="J2284" s="9" t="s">
        <v>412</v>
      </c>
      <c r="K2284" s="9" t="s">
        <v>604</v>
      </c>
    </row>
    <row r="2285" spans="1:11" ht="28.8">
      <c r="A2285" s="9" t="s">
        <v>609</v>
      </c>
      <c r="B2285" s="9" t="s">
        <v>685</v>
      </c>
      <c r="C2285" s="9" t="s">
        <v>674</v>
      </c>
      <c r="D2285" s="12">
        <v>-8.6999999999999994E-3</v>
      </c>
      <c r="E2285" s="12">
        <v>3.8399999999999997E-2</v>
      </c>
      <c r="F2285" s="12">
        <v>0.1139</v>
      </c>
      <c r="G2285" s="12">
        <v>1.4849999999999999E-2</v>
      </c>
      <c r="H2285" s="12">
        <v>4.7899999999999998E-2</v>
      </c>
      <c r="I2285" s="12">
        <v>5.3600000000000002E-2</v>
      </c>
      <c r="J2285" s="9" t="s">
        <v>412</v>
      </c>
      <c r="K2285" s="9" t="s">
        <v>604</v>
      </c>
    </row>
    <row r="2286" spans="1:11" ht="28.8">
      <c r="A2286" s="9" t="s">
        <v>662</v>
      </c>
      <c r="B2286" s="9" t="s">
        <v>658</v>
      </c>
      <c r="C2286" s="9" t="s">
        <v>690</v>
      </c>
      <c r="D2286" s="12">
        <v>-3.1300000000000001E-2</v>
      </c>
      <c r="E2286" s="12">
        <v>0.11119999999999999</v>
      </c>
      <c r="F2286" s="12">
        <v>-1.78E-2</v>
      </c>
      <c r="G2286" s="12">
        <v>3.9949999999999999E-2</v>
      </c>
      <c r="H2286" s="12">
        <v>2.07E-2</v>
      </c>
      <c r="I2286" s="12">
        <v>5.3499999999999999E-2</v>
      </c>
      <c r="J2286" s="9" t="s">
        <v>412</v>
      </c>
      <c r="K2286" s="9" t="s">
        <v>604</v>
      </c>
    </row>
    <row r="2287" spans="1:11" ht="28.8">
      <c r="A2287" s="9" t="s">
        <v>661</v>
      </c>
      <c r="B2287" s="9" t="s">
        <v>691</v>
      </c>
      <c r="C2287" s="9" t="s">
        <v>677</v>
      </c>
      <c r="D2287" s="12">
        <v>2.5700000000000001E-2</v>
      </c>
      <c r="E2287" s="12">
        <v>4.9000000000000002E-2</v>
      </c>
      <c r="F2287" s="12">
        <v>8.5900000000000004E-2</v>
      </c>
      <c r="G2287" s="12">
        <v>3.7350000000000001E-2</v>
      </c>
      <c r="H2287" s="12">
        <v>5.3499999999999999E-2</v>
      </c>
      <c r="I2287" s="12">
        <v>5.3499999999999999E-2</v>
      </c>
      <c r="J2287" s="9" t="s">
        <v>412</v>
      </c>
      <c r="K2287" s="9" t="s">
        <v>654</v>
      </c>
    </row>
    <row r="2288" spans="1:11" ht="28.8">
      <c r="A2288" s="9" t="s">
        <v>610</v>
      </c>
      <c r="B2288" s="9" t="s">
        <v>613</v>
      </c>
      <c r="C2288" s="9" t="s">
        <v>666</v>
      </c>
      <c r="D2288" s="12">
        <v>9.5000000000000001E-2</v>
      </c>
      <c r="E2288" s="12">
        <v>8.9999999999999993E-3</v>
      </c>
      <c r="F2288" s="12">
        <v>5.6399999999999999E-2</v>
      </c>
      <c r="G2288" s="12">
        <v>5.1999999999999998E-2</v>
      </c>
      <c r="H2288" s="12">
        <v>5.3499999999999999E-2</v>
      </c>
      <c r="I2288" s="12">
        <v>5.3499999999999999E-2</v>
      </c>
      <c r="J2288" s="9" t="s">
        <v>412</v>
      </c>
      <c r="K2288" s="9" t="s">
        <v>654</v>
      </c>
    </row>
    <row r="2289" spans="1:11" ht="28.8">
      <c r="A2289" s="9" t="s">
        <v>609</v>
      </c>
      <c r="B2289" s="9" t="s">
        <v>686</v>
      </c>
      <c r="C2289" s="9" t="s">
        <v>690</v>
      </c>
      <c r="D2289" s="12">
        <v>4.9799999999999997E-2</v>
      </c>
      <c r="E2289" s="12">
        <v>-8.5000000000000006E-3</v>
      </c>
      <c r="F2289" s="12">
        <v>-0.10150000000000001</v>
      </c>
      <c r="G2289" s="12">
        <v>2.0649999999999998E-2</v>
      </c>
      <c r="H2289" s="12">
        <v>-2.01E-2</v>
      </c>
      <c r="I2289" s="12">
        <v>5.3199999999999997E-2</v>
      </c>
      <c r="J2289" s="9" t="s">
        <v>412</v>
      </c>
      <c r="K2289" s="9" t="s">
        <v>604</v>
      </c>
    </row>
    <row r="2290" spans="1:11" ht="28.8">
      <c r="A2290" s="9" t="s">
        <v>661</v>
      </c>
      <c r="B2290" s="9" t="s">
        <v>680</v>
      </c>
      <c r="C2290" s="9" t="s">
        <v>667</v>
      </c>
      <c r="D2290" s="12">
        <v>5.3600000000000002E-2</v>
      </c>
      <c r="E2290" s="12">
        <v>5.1799999999999999E-2</v>
      </c>
      <c r="F2290" s="12">
        <v>-5.3800000000000001E-2</v>
      </c>
      <c r="G2290" s="12">
        <v>5.2699999999999997E-2</v>
      </c>
      <c r="H2290" s="12">
        <v>1.72E-2</v>
      </c>
      <c r="I2290" s="12">
        <v>5.3100000000000001E-2</v>
      </c>
      <c r="J2290" s="9" t="s">
        <v>412</v>
      </c>
      <c r="K2290" s="9" t="s">
        <v>604</v>
      </c>
    </row>
    <row r="2291" spans="1:11" ht="28.8">
      <c r="A2291" s="9" t="s">
        <v>603</v>
      </c>
      <c r="B2291" s="9" t="s">
        <v>680</v>
      </c>
      <c r="C2291" s="9" t="s">
        <v>667</v>
      </c>
      <c r="D2291" s="12">
        <v>-6.3299999999999995E-2</v>
      </c>
      <c r="E2291" s="12">
        <v>-4.2000000000000003E-2</v>
      </c>
      <c r="F2291" s="12">
        <v>-5.3800000000000001E-2</v>
      </c>
      <c r="G2291" s="12">
        <v>-5.2650000000000002E-2</v>
      </c>
      <c r="H2291" s="12">
        <v>-5.2999999999999999E-2</v>
      </c>
      <c r="I2291" s="12">
        <v>5.2999999999999999E-2</v>
      </c>
      <c r="J2291" s="9" t="s">
        <v>412</v>
      </c>
      <c r="K2291" s="9" t="s">
        <v>604</v>
      </c>
    </row>
    <row r="2292" spans="1:11" ht="28.8">
      <c r="A2292" s="9" t="s">
        <v>610</v>
      </c>
      <c r="B2292" s="9" t="s">
        <v>686</v>
      </c>
      <c r="C2292" s="9" t="s">
        <v>683</v>
      </c>
      <c r="D2292" s="12">
        <v>-8.1500000000000003E-2</v>
      </c>
      <c r="E2292" s="12">
        <v>2.07E-2</v>
      </c>
      <c r="F2292" s="12">
        <v>-5.6800000000000003E-2</v>
      </c>
      <c r="G2292" s="12">
        <v>-3.0400000000000003E-2</v>
      </c>
      <c r="H2292" s="12">
        <v>-3.9199999999999999E-2</v>
      </c>
      <c r="I2292" s="12">
        <v>5.2999999999999999E-2</v>
      </c>
      <c r="J2292" s="9" t="s">
        <v>412</v>
      </c>
      <c r="K2292" s="9" t="s">
        <v>604</v>
      </c>
    </row>
    <row r="2293" spans="1:11" ht="28.8">
      <c r="A2293" s="9" t="s">
        <v>661</v>
      </c>
      <c r="B2293" s="9" t="s">
        <v>689</v>
      </c>
      <c r="C2293" s="9" t="s">
        <v>664</v>
      </c>
      <c r="D2293" s="12">
        <v>-2.4199999999999999E-2</v>
      </c>
      <c r="E2293" s="12">
        <v>-0.1028</v>
      </c>
      <c r="F2293" s="12">
        <v>3.1800000000000002E-2</v>
      </c>
      <c r="G2293" s="12">
        <v>-6.3500000000000001E-2</v>
      </c>
      <c r="H2293" s="12">
        <v>-3.1699999999999999E-2</v>
      </c>
      <c r="I2293" s="12">
        <v>5.2900000000000003E-2</v>
      </c>
      <c r="J2293" s="9" t="s">
        <v>412</v>
      </c>
      <c r="K2293" s="9" t="s">
        <v>604</v>
      </c>
    </row>
    <row r="2294" spans="1:11" ht="28.8">
      <c r="A2294" s="9" t="s">
        <v>609</v>
      </c>
      <c r="B2294" s="9" t="s">
        <v>681</v>
      </c>
      <c r="C2294" s="9" t="s">
        <v>677</v>
      </c>
      <c r="D2294" s="12">
        <v>-6.1400000000000003E-2</v>
      </c>
      <c r="E2294" s="12">
        <v>-2E-3</v>
      </c>
      <c r="F2294" s="12">
        <v>-9.5399999999999999E-2</v>
      </c>
      <c r="G2294" s="12">
        <v>-3.1699999999999999E-2</v>
      </c>
      <c r="H2294" s="12">
        <v>-5.2900000000000003E-2</v>
      </c>
      <c r="I2294" s="12">
        <v>5.2900000000000003E-2</v>
      </c>
      <c r="J2294" s="9" t="s">
        <v>412</v>
      </c>
      <c r="K2294" s="9" t="s">
        <v>604</v>
      </c>
    </row>
    <row r="2295" spans="1:11">
      <c r="A2295" s="9" t="s">
        <v>682</v>
      </c>
      <c r="B2295" s="9" t="s">
        <v>691</v>
      </c>
      <c r="C2295" s="9" t="s">
        <v>656</v>
      </c>
      <c r="D2295" s="12">
        <v>-1.9900000000000001E-2</v>
      </c>
      <c r="E2295" s="12">
        <v>-0.1062</v>
      </c>
      <c r="F2295" s="12">
        <v>-3.2500000000000001E-2</v>
      </c>
      <c r="G2295" s="12">
        <v>-6.3049999999999995E-2</v>
      </c>
      <c r="H2295" s="12">
        <v>-5.2900000000000003E-2</v>
      </c>
      <c r="I2295" s="12">
        <v>5.2900000000000003E-2</v>
      </c>
      <c r="J2295" s="9" t="s">
        <v>412</v>
      </c>
      <c r="K2295" s="9" t="s">
        <v>604</v>
      </c>
    </row>
    <row r="2296" spans="1:11">
      <c r="A2296" s="9" t="s">
        <v>662</v>
      </c>
      <c r="B2296" s="9" t="s">
        <v>686</v>
      </c>
      <c r="C2296" s="9" t="s">
        <v>663</v>
      </c>
      <c r="D2296" s="12">
        <v>7.4700000000000003E-2</v>
      </c>
      <c r="E2296" s="12">
        <v>6.7000000000000002E-3</v>
      </c>
      <c r="F2296" s="12">
        <v>7.7299999999999994E-2</v>
      </c>
      <c r="G2296" s="12">
        <v>4.07E-2</v>
      </c>
      <c r="H2296" s="12">
        <v>5.2900000000000003E-2</v>
      </c>
      <c r="I2296" s="12">
        <v>5.2900000000000003E-2</v>
      </c>
      <c r="J2296" s="9" t="s">
        <v>412</v>
      </c>
      <c r="K2296" s="9" t="s">
        <v>654</v>
      </c>
    </row>
    <row r="2297" spans="1:11" ht="28.8">
      <c r="A2297" s="9" t="s">
        <v>682</v>
      </c>
      <c r="B2297" s="9" t="s">
        <v>686</v>
      </c>
      <c r="C2297" s="9" t="s">
        <v>683</v>
      </c>
      <c r="D2297" s="12">
        <v>-8.5099999999999995E-2</v>
      </c>
      <c r="E2297" s="12">
        <v>-1.6400000000000001E-2</v>
      </c>
      <c r="F2297" s="12">
        <v>-5.6800000000000003E-2</v>
      </c>
      <c r="G2297" s="12">
        <v>-5.0749999999999997E-2</v>
      </c>
      <c r="H2297" s="12">
        <v>-5.28E-2</v>
      </c>
      <c r="I2297" s="12">
        <v>5.28E-2</v>
      </c>
      <c r="J2297" s="9" t="s">
        <v>412</v>
      </c>
      <c r="K2297" s="9" t="s">
        <v>604</v>
      </c>
    </row>
    <row r="2298" spans="1:11" ht="28.8">
      <c r="A2298" s="9" t="s">
        <v>671</v>
      </c>
      <c r="B2298" s="9" t="s">
        <v>602</v>
      </c>
      <c r="C2298" s="9" t="s">
        <v>690</v>
      </c>
      <c r="D2298" s="12">
        <v>-7.0199999999999999E-2</v>
      </c>
      <c r="E2298" s="12">
        <v>-8.6199999999999999E-2</v>
      </c>
      <c r="F2298" s="12">
        <v>1.9E-3</v>
      </c>
      <c r="G2298" s="12">
        <v>-7.8199999999999992E-2</v>
      </c>
      <c r="H2298" s="12">
        <v>-5.1499999999999997E-2</v>
      </c>
      <c r="I2298" s="12">
        <v>5.2699999999999997E-2</v>
      </c>
      <c r="J2298" s="9" t="s">
        <v>412</v>
      </c>
      <c r="K2298" s="9" t="s">
        <v>604</v>
      </c>
    </row>
    <row r="2299" spans="1:11" ht="28.8">
      <c r="A2299" s="9" t="s">
        <v>661</v>
      </c>
      <c r="B2299" s="9" t="s">
        <v>680</v>
      </c>
      <c r="C2299" s="9" t="s">
        <v>683</v>
      </c>
      <c r="D2299" s="12">
        <v>-5.3400000000000003E-2</v>
      </c>
      <c r="E2299" s="12">
        <v>5.1799999999999999E-2</v>
      </c>
      <c r="F2299" s="12">
        <v>5.2699999999999997E-2</v>
      </c>
      <c r="G2299" s="12">
        <v>-8.000000000000021E-4</v>
      </c>
      <c r="H2299" s="12">
        <v>1.7000000000000001E-2</v>
      </c>
      <c r="I2299" s="12">
        <v>5.2600000000000001E-2</v>
      </c>
      <c r="J2299" s="9" t="s">
        <v>412</v>
      </c>
      <c r="K2299" s="9" t="s">
        <v>604</v>
      </c>
    </row>
    <row r="2300" spans="1:11" ht="28.8">
      <c r="A2300" s="9" t="s">
        <v>671</v>
      </c>
      <c r="B2300" s="9" t="s">
        <v>668</v>
      </c>
      <c r="C2300" s="9" t="s">
        <v>690</v>
      </c>
      <c r="D2300" s="12">
        <v>-7.0199999999999999E-2</v>
      </c>
      <c r="E2300" s="12">
        <v>-3.2099999999999997E-2</v>
      </c>
      <c r="F2300" s="12">
        <v>-5.5E-2</v>
      </c>
      <c r="G2300" s="12">
        <v>-5.1150000000000001E-2</v>
      </c>
      <c r="H2300" s="12">
        <v>-5.2400000000000002E-2</v>
      </c>
      <c r="I2300" s="12">
        <v>5.2400000000000002E-2</v>
      </c>
      <c r="J2300" s="9" t="s">
        <v>412</v>
      </c>
      <c r="K2300" s="9" t="s">
        <v>604</v>
      </c>
    </row>
    <row r="2301" spans="1:11">
      <c r="A2301" s="9" t="s">
        <v>662</v>
      </c>
      <c r="B2301" s="9" t="s">
        <v>687</v>
      </c>
      <c r="C2301" s="9" t="s">
        <v>655</v>
      </c>
      <c r="D2301" s="12">
        <v>5.6899999999999999E-2</v>
      </c>
      <c r="E2301" s="12">
        <v>-5.4199999999999998E-2</v>
      </c>
      <c r="F2301" s="12">
        <v>4.6100000000000002E-2</v>
      </c>
      <c r="G2301" s="12">
        <v>1.3500000000000005E-3</v>
      </c>
      <c r="H2301" s="12">
        <v>1.6299999999999999E-2</v>
      </c>
      <c r="I2301" s="12">
        <v>5.2400000000000002E-2</v>
      </c>
      <c r="J2301" s="9" t="s">
        <v>412</v>
      </c>
      <c r="K2301" s="9" t="s">
        <v>604</v>
      </c>
    </row>
    <row r="2302" spans="1:11" ht="28.8">
      <c r="A2302" s="9" t="s">
        <v>662</v>
      </c>
      <c r="B2302" s="9" t="s">
        <v>658</v>
      </c>
      <c r="C2302" s="9" t="s">
        <v>677</v>
      </c>
      <c r="D2302" s="12">
        <v>1.2200000000000001E-2</v>
      </c>
      <c r="E2302" s="12">
        <v>0.11119999999999999</v>
      </c>
      <c r="F2302" s="12">
        <v>-3.3099999999999997E-2</v>
      </c>
      <c r="G2302" s="12">
        <v>6.1699999999999998E-2</v>
      </c>
      <c r="H2302" s="12">
        <v>3.0099999999999998E-2</v>
      </c>
      <c r="I2302" s="12">
        <v>5.2200000000000003E-2</v>
      </c>
      <c r="J2302" s="9" t="s">
        <v>412</v>
      </c>
      <c r="K2302" s="9" t="s">
        <v>604</v>
      </c>
    </row>
    <row r="2303" spans="1:11" ht="28.8">
      <c r="A2303" s="9" t="s">
        <v>662</v>
      </c>
      <c r="B2303" s="9" t="s">
        <v>678</v>
      </c>
      <c r="C2303" s="9" t="s">
        <v>690</v>
      </c>
      <c r="D2303" s="12">
        <v>-3.1300000000000001E-2</v>
      </c>
      <c r="E2303" s="12">
        <v>-6.4199999999999993E-2</v>
      </c>
      <c r="F2303" s="12">
        <v>-6.08E-2</v>
      </c>
      <c r="G2303" s="12">
        <v>-4.7750000000000001E-2</v>
      </c>
      <c r="H2303" s="12">
        <v>-5.21E-2</v>
      </c>
      <c r="I2303" s="12">
        <v>5.21E-2</v>
      </c>
      <c r="J2303" s="9" t="s">
        <v>412</v>
      </c>
      <c r="K2303" s="9" t="s">
        <v>604</v>
      </c>
    </row>
    <row r="2304" spans="1:11" ht="28.8">
      <c r="A2304" s="9" t="s">
        <v>610</v>
      </c>
      <c r="B2304" s="9" t="s">
        <v>678</v>
      </c>
      <c r="C2304" s="9" t="s">
        <v>664</v>
      </c>
      <c r="D2304" s="12">
        <v>-9.1300000000000006E-2</v>
      </c>
      <c r="E2304" s="12">
        <v>3.4000000000000002E-2</v>
      </c>
      <c r="F2304" s="12">
        <v>3.1E-2</v>
      </c>
      <c r="G2304" s="12">
        <v>-2.8650000000000002E-2</v>
      </c>
      <c r="H2304" s="12">
        <v>-8.8000000000000005E-3</v>
      </c>
      <c r="I2304" s="12">
        <v>5.21E-2</v>
      </c>
      <c r="J2304" s="9" t="s">
        <v>412</v>
      </c>
      <c r="K2304" s="9" t="s">
        <v>604</v>
      </c>
    </row>
    <row r="2305" spans="1:11" ht="28.8">
      <c r="A2305" s="9" t="s">
        <v>603</v>
      </c>
      <c r="B2305" s="9" t="s">
        <v>685</v>
      </c>
      <c r="C2305" s="9" t="s">
        <v>677</v>
      </c>
      <c r="D2305" s="12">
        <v>0.14069999999999999</v>
      </c>
      <c r="E2305" s="12">
        <v>1.0699999999999999E-2</v>
      </c>
      <c r="F2305" s="12">
        <v>4.1999999999999997E-3</v>
      </c>
      <c r="G2305" s="12">
        <v>7.569999999999999E-2</v>
      </c>
      <c r="H2305" s="12">
        <v>5.1900000000000002E-2</v>
      </c>
      <c r="I2305" s="12">
        <v>5.1900000000000002E-2</v>
      </c>
      <c r="J2305" s="9" t="s">
        <v>412</v>
      </c>
      <c r="K2305" s="9" t="s">
        <v>654</v>
      </c>
    </row>
    <row r="2306" spans="1:11" ht="28.8">
      <c r="A2306" s="9" t="s">
        <v>679</v>
      </c>
      <c r="B2306" s="9" t="s">
        <v>689</v>
      </c>
      <c r="C2306" s="9" t="s">
        <v>659</v>
      </c>
      <c r="D2306" s="12">
        <v>-6.4799999999999996E-2</v>
      </c>
      <c r="E2306" s="12">
        <v>-7.0900000000000005E-2</v>
      </c>
      <c r="F2306" s="12">
        <v>-1.9900000000000001E-2</v>
      </c>
      <c r="G2306" s="12">
        <v>-6.7849999999999994E-2</v>
      </c>
      <c r="H2306" s="12">
        <v>-5.1900000000000002E-2</v>
      </c>
      <c r="I2306" s="12">
        <v>5.1900000000000002E-2</v>
      </c>
      <c r="J2306" s="9" t="s">
        <v>412</v>
      </c>
      <c r="K2306" s="9" t="s">
        <v>604</v>
      </c>
    </row>
    <row r="2307" spans="1:11" ht="28.8">
      <c r="A2307" s="9" t="s">
        <v>661</v>
      </c>
      <c r="B2307" s="9" t="s">
        <v>686</v>
      </c>
      <c r="C2307" s="9" t="s">
        <v>664</v>
      </c>
      <c r="D2307" s="12">
        <v>-2.4199999999999999E-2</v>
      </c>
      <c r="E2307" s="12">
        <v>0.111</v>
      </c>
      <c r="F2307" s="12">
        <v>-2.01E-2</v>
      </c>
      <c r="G2307" s="12">
        <v>4.3400000000000001E-2</v>
      </c>
      <c r="H2307" s="12">
        <v>2.23E-2</v>
      </c>
      <c r="I2307" s="12">
        <v>5.1799999999999999E-2</v>
      </c>
      <c r="J2307" s="9" t="s">
        <v>412</v>
      </c>
      <c r="K2307" s="9" t="s">
        <v>604</v>
      </c>
    </row>
    <row r="2308" spans="1:11" ht="28.8">
      <c r="A2308" s="9" t="s">
        <v>679</v>
      </c>
      <c r="B2308" s="9" t="s">
        <v>668</v>
      </c>
      <c r="C2308" s="9" t="s">
        <v>690</v>
      </c>
      <c r="D2308" s="12">
        <v>-6.6900000000000001E-2</v>
      </c>
      <c r="E2308" s="12">
        <v>-3.3300000000000003E-2</v>
      </c>
      <c r="F2308" s="12">
        <v>-5.5E-2</v>
      </c>
      <c r="G2308" s="12">
        <v>-5.0100000000000006E-2</v>
      </c>
      <c r="H2308" s="12">
        <v>-5.1700000000000003E-2</v>
      </c>
      <c r="I2308" s="12">
        <v>5.1700000000000003E-2</v>
      </c>
      <c r="J2308" s="9" t="s">
        <v>412</v>
      </c>
      <c r="K2308" s="9" t="s">
        <v>604</v>
      </c>
    </row>
    <row r="2309" spans="1:11" ht="28.8">
      <c r="A2309" s="9" t="s">
        <v>682</v>
      </c>
      <c r="B2309" s="9" t="s">
        <v>668</v>
      </c>
      <c r="C2309" s="9" t="s">
        <v>664</v>
      </c>
      <c r="D2309" s="12">
        <v>-0.08</v>
      </c>
      <c r="E2309" s="12">
        <v>7.3000000000000001E-3</v>
      </c>
      <c r="F2309" s="12">
        <v>6.7799999999999999E-2</v>
      </c>
      <c r="G2309" s="12">
        <v>-3.635E-2</v>
      </c>
      <c r="H2309" s="12">
        <v>-1.6000000000000001E-3</v>
      </c>
      <c r="I2309" s="12">
        <v>5.1700000000000003E-2</v>
      </c>
      <c r="J2309" s="9" t="s">
        <v>412</v>
      </c>
      <c r="K2309" s="9" t="s">
        <v>604</v>
      </c>
    </row>
    <row r="2310" spans="1:11" ht="28.8">
      <c r="A2310" s="9" t="s">
        <v>679</v>
      </c>
      <c r="B2310" s="9" t="s">
        <v>678</v>
      </c>
      <c r="C2310" s="9" t="s">
        <v>656</v>
      </c>
      <c r="D2310" s="12">
        <v>-2.2700000000000001E-2</v>
      </c>
      <c r="E2310" s="12">
        <v>-9.2299999999999993E-2</v>
      </c>
      <c r="F2310" s="12">
        <v>-3.9800000000000002E-2</v>
      </c>
      <c r="G2310" s="12">
        <v>-5.7499999999999996E-2</v>
      </c>
      <c r="H2310" s="12">
        <v>-5.16E-2</v>
      </c>
      <c r="I2310" s="12">
        <v>5.16E-2</v>
      </c>
      <c r="J2310" s="9" t="s">
        <v>412</v>
      </c>
      <c r="K2310" s="9" t="s">
        <v>604</v>
      </c>
    </row>
    <row r="2311" spans="1:11">
      <c r="A2311" s="9" t="s">
        <v>682</v>
      </c>
      <c r="B2311" s="9" t="s">
        <v>658</v>
      </c>
      <c r="C2311" s="9" t="s">
        <v>667</v>
      </c>
      <c r="D2311" s="12">
        <v>-0.02</v>
      </c>
      <c r="E2311" s="12">
        <v>-5.5500000000000001E-2</v>
      </c>
      <c r="F2311" s="12">
        <v>7.9000000000000001E-2</v>
      </c>
      <c r="G2311" s="12">
        <v>-3.7749999999999999E-2</v>
      </c>
      <c r="H2311" s="12">
        <v>1.1999999999999999E-3</v>
      </c>
      <c r="I2311" s="12">
        <v>5.1499999999999997E-2</v>
      </c>
      <c r="J2311" s="9" t="s">
        <v>412</v>
      </c>
      <c r="K2311" s="9" t="s">
        <v>604</v>
      </c>
    </row>
    <row r="2312" spans="1:11" ht="28.8">
      <c r="A2312" s="9" t="s">
        <v>671</v>
      </c>
      <c r="B2312" s="9" t="s">
        <v>688</v>
      </c>
      <c r="C2312" s="9" t="s">
        <v>666</v>
      </c>
      <c r="D2312" s="12">
        <v>1.34E-2</v>
      </c>
      <c r="E2312" s="12">
        <v>6.3E-3</v>
      </c>
      <c r="F2312" s="12">
        <v>-0.13469999999999999</v>
      </c>
      <c r="G2312" s="12">
        <v>9.8500000000000011E-3</v>
      </c>
      <c r="H2312" s="12">
        <v>-3.8300000000000001E-2</v>
      </c>
      <c r="I2312" s="12">
        <v>5.1400000000000001E-2</v>
      </c>
      <c r="J2312" s="9" t="s">
        <v>412</v>
      </c>
      <c r="K2312" s="9" t="s">
        <v>604</v>
      </c>
    </row>
    <row r="2313" spans="1:11" ht="28.8">
      <c r="A2313" s="9" t="s">
        <v>671</v>
      </c>
      <c r="B2313" s="9" t="s">
        <v>680</v>
      </c>
      <c r="C2313" s="9" t="s">
        <v>656</v>
      </c>
      <c r="D2313" s="12">
        <v>6.54E-2</v>
      </c>
      <c r="E2313" s="12">
        <v>-1.24E-2</v>
      </c>
      <c r="F2313" s="12">
        <v>7.6399999999999996E-2</v>
      </c>
      <c r="G2313" s="12">
        <v>2.6499999999999999E-2</v>
      </c>
      <c r="H2313" s="12">
        <v>4.3099999999999999E-2</v>
      </c>
      <c r="I2313" s="12">
        <v>5.1400000000000001E-2</v>
      </c>
      <c r="J2313" s="9" t="s">
        <v>412</v>
      </c>
      <c r="K2313" s="9" t="s">
        <v>604</v>
      </c>
    </row>
    <row r="2314" spans="1:11">
      <c r="A2314" s="9" t="s">
        <v>682</v>
      </c>
      <c r="B2314" s="9" t="s">
        <v>613</v>
      </c>
      <c r="C2314" s="9" t="s">
        <v>663</v>
      </c>
      <c r="D2314" s="12">
        <v>-6.7400000000000002E-2</v>
      </c>
      <c r="E2314" s="12">
        <v>-1.2999999999999999E-2</v>
      </c>
      <c r="F2314" s="12">
        <v>-7.3700000000000002E-2</v>
      </c>
      <c r="G2314" s="12">
        <v>-4.02E-2</v>
      </c>
      <c r="H2314" s="12">
        <v>-5.1400000000000001E-2</v>
      </c>
      <c r="I2314" s="12">
        <v>5.1400000000000001E-2</v>
      </c>
      <c r="J2314" s="9" t="s">
        <v>412</v>
      </c>
      <c r="K2314" s="9" t="s">
        <v>604</v>
      </c>
    </row>
    <row r="2315" spans="1:11" ht="28.8">
      <c r="A2315" s="9" t="s">
        <v>661</v>
      </c>
      <c r="B2315" s="9" t="s">
        <v>658</v>
      </c>
      <c r="C2315" s="9" t="s">
        <v>677</v>
      </c>
      <c r="D2315" s="12">
        <v>2.5700000000000001E-2</v>
      </c>
      <c r="E2315" s="12">
        <v>9.5200000000000007E-2</v>
      </c>
      <c r="F2315" s="12">
        <v>-3.3099999999999997E-2</v>
      </c>
      <c r="G2315" s="12">
        <v>6.0450000000000004E-2</v>
      </c>
      <c r="H2315" s="12">
        <v>2.93E-2</v>
      </c>
      <c r="I2315" s="12">
        <v>5.1299999999999998E-2</v>
      </c>
      <c r="J2315" s="9" t="s">
        <v>412</v>
      </c>
      <c r="K2315" s="9" t="s">
        <v>604</v>
      </c>
    </row>
    <row r="2316" spans="1:11" ht="28.8">
      <c r="A2316" s="9" t="s">
        <v>610</v>
      </c>
      <c r="B2316" s="9" t="s">
        <v>678</v>
      </c>
      <c r="C2316" s="9" t="s">
        <v>690</v>
      </c>
      <c r="D2316" s="12">
        <v>-5.8599999999999999E-2</v>
      </c>
      <c r="E2316" s="12">
        <v>3.4000000000000002E-2</v>
      </c>
      <c r="F2316" s="12">
        <v>-6.08E-2</v>
      </c>
      <c r="G2316" s="12">
        <v>-1.2299999999999998E-2</v>
      </c>
      <c r="H2316" s="12">
        <v>-2.8500000000000001E-2</v>
      </c>
      <c r="I2316" s="12">
        <v>5.11E-2</v>
      </c>
      <c r="J2316" s="9" t="s">
        <v>412</v>
      </c>
      <c r="K2316" s="9" t="s">
        <v>604</v>
      </c>
    </row>
    <row r="2317" spans="1:11" ht="28.8">
      <c r="A2317" s="9" t="s">
        <v>662</v>
      </c>
      <c r="B2317" s="9" t="s">
        <v>668</v>
      </c>
      <c r="C2317" s="9" t="s">
        <v>683</v>
      </c>
      <c r="D2317" s="12">
        <v>-6.0100000000000001E-2</v>
      </c>
      <c r="E2317" s="12">
        <v>5.5599999999999997E-2</v>
      </c>
      <c r="F2317" s="12">
        <v>3.6700000000000003E-2</v>
      </c>
      <c r="G2317" s="12">
        <v>-2.250000000000002E-3</v>
      </c>
      <c r="H2317" s="12">
        <v>1.0699999999999999E-2</v>
      </c>
      <c r="I2317" s="12">
        <v>5.0799999999999998E-2</v>
      </c>
      <c r="J2317" s="9" t="s">
        <v>412</v>
      </c>
      <c r="K2317" s="9" t="s">
        <v>604</v>
      </c>
    </row>
    <row r="2318" spans="1:11">
      <c r="A2318" s="9" t="s">
        <v>610</v>
      </c>
      <c r="B2318" s="9" t="s">
        <v>687</v>
      </c>
      <c r="C2318" s="9" t="s">
        <v>655</v>
      </c>
      <c r="D2318" s="12">
        <v>-9.4E-2</v>
      </c>
      <c r="E2318" s="12">
        <v>1.24E-2</v>
      </c>
      <c r="F2318" s="12">
        <v>4.6100000000000002E-2</v>
      </c>
      <c r="G2318" s="12">
        <v>-4.0800000000000003E-2</v>
      </c>
      <c r="H2318" s="12">
        <v>-1.18E-2</v>
      </c>
      <c r="I2318" s="12">
        <v>5.0799999999999998E-2</v>
      </c>
      <c r="J2318" s="9" t="s">
        <v>412</v>
      </c>
      <c r="K2318" s="9" t="s">
        <v>604</v>
      </c>
    </row>
    <row r="2319" spans="1:11" ht="28.8">
      <c r="A2319" s="9" t="s">
        <v>661</v>
      </c>
      <c r="B2319" s="9" t="s">
        <v>687</v>
      </c>
      <c r="C2319" s="9" t="s">
        <v>664</v>
      </c>
      <c r="D2319" s="12">
        <v>-2.4199999999999999E-2</v>
      </c>
      <c r="E2319" s="12">
        <v>-8.9700000000000002E-2</v>
      </c>
      <c r="F2319" s="12">
        <v>-3.8100000000000002E-2</v>
      </c>
      <c r="G2319" s="12">
        <v>-5.6950000000000001E-2</v>
      </c>
      <c r="H2319" s="12">
        <v>-5.0700000000000002E-2</v>
      </c>
      <c r="I2319" s="12">
        <v>5.0700000000000002E-2</v>
      </c>
      <c r="J2319" s="9" t="s">
        <v>412</v>
      </c>
      <c r="K2319" s="9" t="s">
        <v>604</v>
      </c>
    </row>
    <row r="2320" spans="1:11" ht="28.8">
      <c r="A2320" s="9" t="s">
        <v>610</v>
      </c>
      <c r="B2320" s="9" t="s">
        <v>689</v>
      </c>
      <c r="C2320" s="9" t="s">
        <v>601</v>
      </c>
      <c r="D2320" s="12">
        <v>8.48E-2</v>
      </c>
      <c r="E2320" s="12">
        <v>-1.21E-2</v>
      </c>
      <c r="F2320" s="12">
        <v>5.5399999999999998E-2</v>
      </c>
      <c r="G2320" s="12">
        <v>3.635E-2</v>
      </c>
      <c r="H2320" s="12">
        <v>4.2700000000000002E-2</v>
      </c>
      <c r="I2320" s="12">
        <v>5.0700000000000002E-2</v>
      </c>
      <c r="J2320" s="9" t="s">
        <v>412</v>
      </c>
      <c r="K2320" s="9" t="s">
        <v>604</v>
      </c>
    </row>
    <row r="2321" spans="1:11" ht="28.8">
      <c r="A2321" s="9" t="s">
        <v>662</v>
      </c>
      <c r="B2321" s="9" t="s">
        <v>668</v>
      </c>
      <c r="C2321" s="9" t="s">
        <v>664</v>
      </c>
      <c r="D2321" s="12">
        <v>-2.87E-2</v>
      </c>
      <c r="E2321" s="12">
        <v>5.5599999999999997E-2</v>
      </c>
      <c r="F2321" s="12">
        <v>6.7799999999999999E-2</v>
      </c>
      <c r="G2321" s="12">
        <v>1.3449999999999998E-2</v>
      </c>
      <c r="H2321" s="12">
        <v>3.1600000000000003E-2</v>
      </c>
      <c r="I2321" s="12">
        <v>5.0700000000000002E-2</v>
      </c>
      <c r="J2321" s="9" t="s">
        <v>412</v>
      </c>
      <c r="K2321" s="9" t="s">
        <v>604</v>
      </c>
    </row>
    <row r="2322" spans="1:11" ht="28.8">
      <c r="A2322" s="9" t="s">
        <v>610</v>
      </c>
      <c r="B2322" s="9" t="s">
        <v>665</v>
      </c>
      <c r="C2322" s="9" t="s">
        <v>675</v>
      </c>
      <c r="D2322" s="12">
        <v>-2.1399999999999999E-2</v>
      </c>
      <c r="E2322" s="12">
        <v>7.4899999999999994E-2</v>
      </c>
      <c r="F2322" s="12">
        <v>5.5599999999999997E-2</v>
      </c>
      <c r="G2322" s="12">
        <v>2.6749999999999996E-2</v>
      </c>
      <c r="H2322" s="12">
        <v>3.6400000000000002E-2</v>
      </c>
      <c r="I2322" s="12">
        <v>5.0599999999999999E-2</v>
      </c>
      <c r="J2322" s="9" t="s">
        <v>412</v>
      </c>
      <c r="K2322" s="9" t="s">
        <v>604</v>
      </c>
    </row>
    <row r="2323" spans="1:11" ht="28.8">
      <c r="A2323" s="9" t="s">
        <v>609</v>
      </c>
      <c r="B2323" s="9" t="s">
        <v>676</v>
      </c>
      <c r="C2323" s="9" t="s">
        <v>683</v>
      </c>
      <c r="D2323" s="12">
        <v>-0.105</v>
      </c>
      <c r="E2323" s="12">
        <v>-3.9E-2</v>
      </c>
      <c r="F2323" s="12">
        <v>-7.4999999999999997E-3</v>
      </c>
      <c r="G2323" s="12">
        <v>-7.1999999999999995E-2</v>
      </c>
      <c r="H2323" s="12">
        <v>-5.0500000000000003E-2</v>
      </c>
      <c r="I2323" s="12">
        <v>5.0500000000000003E-2</v>
      </c>
      <c r="J2323" s="9" t="s">
        <v>412</v>
      </c>
      <c r="K2323" s="9" t="s">
        <v>604</v>
      </c>
    </row>
    <row r="2324" spans="1:11" ht="28.8">
      <c r="A2324" s="9" t="s">
        <v>610</v>
      </c>
      <c r="B2324" s="9" t="s">
        <v>687</v>
      </c>
      <c r="C2324" s="9" t="s">
        <v>683</v>
      </c>
      <c r="D2324" s="12">
        <v>-8.1500000000000003E-2</v>
      </c>
      <c r="E2324" s="12">
        <v>1.24E-2</v>
      </c>
      <c r="F2324" s="12">
        <v>5.7099999999999998E-2</v>
      </c>
      <c r="G2324" s="12">
        <v>-3.4550000000000004E-2</v>
      </c>
      <c r="H2324" s="12">
        <v>-4.0000000000000001E-3</v>
      </c>
      <c r="I2324" s="12">
        <v>5.0299999999999997E-2</v>
      </c>
      <c r="J2324" s="9" t="s">
        <v>412</v>
      </c>
      <c r="K2324" s="9" t="s">
        <v>604</v>
      </c>
    </row>
    <row r="2325" spans="1:11" ht="28.8">
      <c r="A2325" s="9" t="s">
        <v>679</v>
      </c>
      <c r="B2325" s="9" t="s">
        <v>658</v>
      </c>
      <c r="C2325" s="9" t="s">
        <v>659</v>
      </c>
      <c r="D2325" s="12">
        <v>-6.4799999999999996E-2</v>
      </c>
      <c r="E2325" s="12">
        <v>3.4000000000000002E-2</v>
      </c>
      <c r="F2325" s="12">
        <v>-5.1400000000000001E-2</v>
      </c>
      <c r="G2325" s="12">
        <v>-1.5399999999999997E-2</v>
      </c>
      <c r="H2325" s="12">
        <v>-2.7400000000000001E-2</v>
      </c>
      <c r="I2325" s="12">
        <v>5.0099999999999999E-2</v>
      </c>
      <c r="J2325" s="9" t="s">
        <v>412</v>
      </c>
      <c r="K2325" s="9" t="s">
        <v>604</v>
      </c>
    </row>
    <row r="2326" spans="1:11" ht="28.8">
      <c r="A2326" s="9" t="s">
        <v>609</v>
      </c>
      <c r="B2326" s="9" t="s">
        <v>688</v>
      </c>
      <c r="C2326" s="9" t="s">
        <v>674</v>
      </c>
      <c r="D2326" s="12">
        <v>-8.6999999999999994E-3</v>
      </c>
      <c r="E2326" s="12">
        <v>6.3E-3</v>
      </c>
      <c r="F2326" s="12">
        <v>0.13539999999999999</v>
      </c>
      <c r="G2326" s="12">
        <v>-1.1999999999999997E-3</v>
      </c>
      <c r="H2326" s="12">
        <v>4.4400000000000002E-2</v>
      </c>
      <c r="I2326" s="12">
        <v>5.0099999999999999E-2</v>
      </c>
      <c r="J2326" s="9" t="s">
        <v>412</v>
      </c>
      <c r="K2326" s="9" t="s">
        <v>604</v>
      </c>
    </row>
    <row r="2327" spans="1:11" ht="28.8">
      <c r="A2327" s="9" t="s">
        <v>682</v>
      </c>
      <c r="B2327" s="9" t="s">
        <v>613</v>
      </c>
      <c r="C2327" s="9" t="s">
        <v>675</v>
      </c>
      <c r="D2327" s="12">
        <v>0.06</v>
      </c>
      <c r="E2327" s="12">
        <v>-1.2999999999999999E-2</v>
      </c>
      <c r="F2327" s="12">
        <v>7.7100000000000002E-2</v>
      </c>
      <c r="G2327" s="12">
        <v>2.35E-2</v>
      </c>
      <c r="H2327" s="12">
        <v>4.1300000000000003E-2</v>
      </c>
      <c r="I2327" s="12">
        <v>0.05</v>
      </c>
      <c r="J2327" s="9" t="s">
        <v>412</v>
      </c>
      <c r="K2327" s="9" t="s">
        <v>604</v>
      </c>
    </row>
    <row r="2328" spans="1:11" ht="28.8">
      <c r="A2328" s="9" t="s">
        <v>661</v>
      </c>
      <c r="B2328" s="9" t="s">
        <v>687</v>
      </c>
      <c r="C2328" s="9" t="s">
        <v>677</v>
      </c>
      <c r="D2328" s="12">
        <v>2.5700000000000001E-2</v>
      </c>
      <c r="E2328" s="12">
        <v>-8.9700000000000002E-2</v>
      </c>
      <c r="F2328" s="12">
        <v>3.4500000000000003E-2</v>
      </c>
      <c r="G2328" s="12">
        <v>-3.2000000000000001E-2</v>
      </c>
      <c r="H2328" s="12">
        <v>-9.7999999999999997E-3</v>
      </c>
      <c r="I2328" s="12">
        <v>0.05</v>
      </c>
      <c r="J2328" s="9" t="s">
        <v>412</v>
      </c>
      <c r="K2328" s="9" t="s">
        <v>604</v>
      </c>
    </row>
    <row r="2329" spans="1:11" ht="28.8">
      <c r="A2329" s="9" t="s">
        <v>609</v>
      </c>
      <c r="B2329" s="9" t="s">
        <v>673</v>
      </c>
      <c r="C2329" s="9" t="s">
        <v>677</v>
      </c>
      <c r="D2329" s="12">
        <v>-6.1400000000000003E-2</v>
      </c>
      <c r="E2329" s="12">
        <v>-7.1300000000000002E-2</v>
      </c>
      <c r="F2329" s="12">
        <v>-1.6899999999999998E-2</v>
      </c>
      <c r="G2329" s="12">
        <v>-6.6350000000000006E-2</v>
      </c>
      <c r="H2329" s="12">
        <v>-4.99E-2</v>
      </c>
      <c r="I2329" s="12">
        <v>4.99E-2</v>
      </c>
      <c r="J2329" s="9" t="s">
        <v>412</v>
      </c>
      <c r="K2329" s="9" t="s">
        <v>604</v>
      </c>
    </row>
    <row r="2330" spans="1:11">
      <c r="A2330" s="9" t="s">
        <v>682</v>
      </c>
      <c r="B2330" s="9" t="s">
        <v>684</v>
      </c>
      <c r="C2330" s="9" t="s">
        <v>656</v>
      </c>
      <c r="D2330" s="12">
        <v>-1.9900000000000001E-2</v>
      </c>
      <c r="E2330" s="12">
        <v>-0.1031</v>
      </c>
      <c r="F2330" s="12">
        <v>2.6499999999999999E-2</v>
      </c>
      <c r="G2330" s="12">
        <v>-6.1499999999999999E-2</v>
      </c>
      <c r="H2330" s="12">
        <v>-3.2199999999999999E-2</v>
      </c>
      <c r="I2330" s="12">
        <v>4.9799999999999997E-2</v>
      </c>
      <c r="J2330" s="9" t="s">
        <v>412</v>
      </c>
      <c r="K2330" s="9" t="s">
        <v>604</v>
      </c>
    </row>
    <row r="2331" spans="1:11" ht="28.8">
      <c r="A2331" s="9" t="s">
        <v>662</v>
      </c>
      <c r="B2331" s="9" t="s">
        <v>686</v>
      </c>
      <c r="C2331" s="9" t="s">
        <v>666</v>
      </c>
      <c r="D2331" s="12">
        <v>-0.1094</v>
      </c>
      <c r="E2331" s="12">
        <v>6.7000000000000002E-3</v>
      </c>
      <c r="F2331" s="12">
        <v>3.3500000000000002E-2</v>
      </c>
      <c r="G2331" s="12">
        <v>-5.135E-2</v>
      </c>
      <c r="H2331" s="12">
        <v>-2.3099999999999999E-2</v>
      </c>
      <c r="I2331" s="12">
        <v>4.9799999999999997E-2</v>
      </c>
      <c r="J2331" s="9" t="s">
        <v>412</v>
      </c>
      <c r="K2331" s="9" t="s">
        <v>604</v>
      </c>
    </row>
    <row r="2332" spans="1:11">
      <c r="A2332" s="9" t="s">
        <v>610</v>
      </c>
      <c r="B2332" s="9" t="s">
        <v>689</v>
      </c>
      <c r="C2332" s="9" t="s">
        <v>659</v>
      </c>
      <c r="D2332" s="12">
        <v>0.1174</v>
      </c>
      <c r="E2332" s="12">
        <v>-1.21E-2</v>
      </c>
      <c r="F2332" s="12">
        <v>-1.9900000000000001E-2</v>
      </c>
      <c r="G2332" s="12">
        <v>5.2650000000000002E-2</v>
      </c>
      <c r="H2332" s="12">
        <v>2.8500000000000001E-2</v>
      </c>
      <c r="I2332" s="12">
        <v>4.9799999999999997E-2</v>
      </c>
      <c r="J2332" s="9" t="s">
        <v>412</v>
      </c>
      <c r="K2332" s="9" t="s">
        <v>604</v>
      </c>
    </row>
    <row r="2333" spans="1:11" ht="28.8">
      <c r="A2333" s="9" t="s">
        <v>609</v>
      </c>
      <c r="B2333" s="9" t="s">
        <v>687</v>
      </c>
      <c r="C2333" s="9" t="s">
        <v>664</v>
      </c>
      <c r="D2333" s="12">
        <v>-6.5699999999999995E-2</v>
      </c>
      <c r="E2333" s="12">
        <v>-4.5400000000000003E-2</v>
      </c>
      <c r="F2333" s="12">
        <v>-3.8100000000000002E-2</v>
      </c>
      <c r="G2333" s="12">
        <v>-5.5550000000000002E-2</v>
      </c>
      <c r="H2333" s="12">
        <v>-4.9799999999999997E-2</v>
      </c>
      <c r="I2333" s="12">
        <v>4.9799999999999997E-2</v>
      </c>
      <c r="J2333" s="9" t="s">
        <v>412</v>
      </c>
      <c r="K2333" s="9" t="s">
        <v>604</v>
      </c>
    </row>
    <row r="2334" spans="1:11">
      <c r="A2334" s="9" t="s">
        <v>610</v>
      </c>
      <c r="B2334" s="9" t="s">
        <v>687</v>
      </c>
      <c r="C2334" s="9" t="s">
        <v>667</v>
      </c>
      <c r="D2334" s="12">
        <v>6.1800000000000001E-2</v>
      </c>
      <c r="E2334" s="12">
        <v>1.24E-2</v>
      </c>
      <c r="F2334" s="12">
        <v>-7.4800000000000005E-2</v>
      </c>
      <c r="G2334" s="12">
        <v>3.7100000000000001E-2</v>
      </c>
      <c r="H2334" s="12">
        <v>-2.0000000000000001E-4</v>
      </c>
      <c r="I2334" s="12">
        <v>4.9700000000000001E-2</v>
      </c>
      <c r="J2334" s="9" t="s">
        <v>412</v>
      </c>
      <c r="K2334" s="9" t="s">
        <v>604</v>
      </c>
    </row>
    <row r="2335" spans="1:11" ht="28.8">
      <c r="A2335" s="9" t="s">
        <v>682</v>
      </c>
      <c r="B2335" s="9" t="s">
        <v>686</v>
      </c>
      <c r="C2335" s="9" t="s">
        <v>677</v>
      </c>
      <c r="D2335" s="12">
        <v>1.23E-2</v>
      </c>
      <c r="E2335" s="12">
        <v>-1.6400000000000001E-2</v>
      </c>
      <c r="F2335" s="12">
        <v>0.1203</v>
      </c>
      <c r="G2335" s="12">
        <v>-2.0500000000000006E-3</v>
      </c>
      <c r="H2335" s="12">
        <v>3.8699999999999998E-2</v>
      </c>
      <c r="I2335" s="12">
        <v>4.9700000000000001E-2</v>
      </c>
      <c r="J2335" s="9" t="s">
        <v>412</v>
      </c>
      <c r="K2335" s="9" t="s">
        <v>604</v>
      </c>
    </row>
    <row r="2336" spans="1:11" ht="28.8">
      <c r="A2336" s="9" t="s">
        <v>610</v>
      </c>
      <c r="B2336" s="9" t="s">
        <v>686</v>
      </c>
      <c r="C2336" s="9" t="s">
        <v>666</v>
      </c>
      <c r="D2336" s="12">
        <v>9.5000000000000001E-2</v>
      </c>
      <c r="E2336" s="12">
        <v>2.07E-2</v>
      </c>
      <c r="F2336" s="12">
        <v>3.3500000000000002E-2</v>
      </c>
      <c r="G2336" s="12">
        <v>5.7849999999999999E-2</v>
      </c>
      <c r="H2336" s="12">
        <v>4.9700000000000001E-2</v>
      </c>
      <c r="I2336" s="12">
        <v>4.9700000000000001E-2</v>
      </c>
      <c r="J2336" s="9" t="s">
        <v>412</v>
      </c>
      <c r="K2336" s="9" t="s">
        <v>654</v>
      </c>
    </row>
    <row r="2337" spans="1:11" ht="28.8">
      <c r="A2337" s="9" t="s">
        <v>609</v>
      </c>
      <c r="B2337" s="9" t="s">
        <v>681</v>
      </c>
      <c r="C2337" s="9" t="s">
        <v>664</v>
      </c>
      <c r="D2337" s="12">
        <v>-6.5699999999999995E-2</v>
      </c>
      <c r="E2337" s="12">
        <v>-2E-3</v>
      </c>
      <c r="F2337" s="12">
        <v>-8.14E-2</v>
      </c>
      <c r="G2337" s="12">
        <v>-3.3849999999999998E-2</v>
      </c>
      <c r="H2337" s="12">
        <v>-4.9700000000000001E-2</v>
      </c>
      <c r="I2337" s="12">
        <v>4.9700000000000001E-2</v>
      </c>
      <c r="J2337" s="9" t="s">
        <v>412</v>
      </c>
      <c r="K2337" s="9" t="s">
        <v>604</v>
      </c>
    </row>
    <row r="2338" spans="1:11">
      <c r="A2338" s="9" t="s">
        <v>682</v>
      </c>
      <c r="B2338" s="9" t="s">
        <v>688</v>
      </c>
      <c r="C2338" s="9" t="s">
        <v>656</v>
      </c>
      <c r="D2338" s="12">
        <v>-1.9900000000000001E-2</v>
      </c>
      <c r="E2338" s="12">
        <v>5.6800000000000003E-2</v>
      </c>
      <c r="F2338" s="12">
        <v>7.1499999999999994E-2</v>
      </c>
      <c r="G2338" s="12">
        <v>1.8450000000000001E-2</v>
      </c>
      <c r="H2338" s="12">
        <v>3.61E-2</v>
      </c>
      <c r="I2338" s="12">
        <v>4.9399999999999999E-2</v>
      </c>
      <c r="J2338" s="9" t="s">
        <v>412</v>
      </c>
      <c r="K2338" s="9" t="s">
        <v>604</v>
      </c>
    </row>
    <row r="2339" spans="1:11" ht="28.8">
      <c r="A2339" s="9" t="s">
        <v>610</v>
      </c>
      <c r="B2339" s="9" t="s">
        <v>613</v>
      </c>
      <c r="C2339" s="9" t="s">
        <v>690</v>
      </c>
      <c r="D2339" s="12">
        <v>-5.8599999999999999E-2</v>
      </c>
      <c r="E2339" s="12">
        <v>8.9999999999999993E-3</v>
      </c>
      <c r="F2339" s="12">
        <v>-8.0600000000000005E-2</v>
      </c>
      <c r="G2339" s="12">
        <v>-2.4799999999999999E-2</v>
      </c>
      <c r="H2339" s="12">
        <v>-4.3400000000000001E-2</v>
      </c>
      <c r="I2339" s="12">
        <v>4.9399999999999999E-2</v>
      </c>
      <c r="J2339" s="9" t="s">
        <v>412</v>
      </c>
      <c r="K2339" s="9" t="s">
        <v>604</v>
      </c>
    </row>
    <row r="2340" spans="1:11" ht="28.8">
      <c r="A2340" s="9" t="s">
        <v>610</v>
      </c>
      <c r="B2340" s="9" t="s">
        <v>687</v>
      </c>
      <c r="C2340" s="9" t="s">
        <v>677</v>
      </c>
      <c r="D2340" s="12">
        <v>0.10100000000000001</v>
      </c>
      <c r="E2340" s="12">
        <v>1.24E-2</v>
      </c>
      <c r="F2340" s="12">
        <v>3.4500000000000003E-2</v>
      </c>
      <c r="G2340" s="12">
        <v>5.67E-2</v>
      </c>
      <c r="H2340" s="12">
        <v>4.9299999999999997E-2</v>
      </c>
      <c r="I2340" s="12">
        <v>4.9299999999999997E-2</v>
      </c>
      <c r="J2340" s="9" t="s">
        <v>412</v>
      </c>
      <c r="K2340" s="9" t="s">
        <v>654</v>
      </c>
    </row>
    <row r="2341" spans="1:11" ht="28.8">
      <c r="A2341" s="9" t="s">
        <v>671</v>
      </c>
      <c r="B2341" s="9" t="s">
        <v>681</v>
      </c>
      <c r="C2341" s="9" t="s">
        <v>666</v>
      </c>
      <c r="D2341" s="12">
        <v>1.34E-2</v>
      </c>
      <c r="E2341" s="12">
        <v>7.1800000000000003E-2</v>
      </c>
      <c r="F2341" s="12">
        <v>6.2399999999999997E-2</v>
      </c>
      <c r="G2341" s="12">
        <v>4.2599999999999999E-2</v>
      </c>
      <c r="H2341" s="12">
        <v>4.9200000000000001E-2</v>
      </c>
      <c r="I2341" s="12">
        <v>4.9200000000000001E-2</v>
      </c>
      <c r="J2341" s="9" t="s">
        <v>412</v>
      </c>
      <c r="K2341" s="9" t="s">
        <v>654</v>
      </c>
    </row>
    <row r="2342" spans="1:11" ht="28.8">
      <c r="A2342" s="9" t="s">
        <v>661</v>
      </c>
      <c r="B2342" s="9" t="s">
        <v>613</v>
      </c>
      <c r="C2342" s="9" t="s">
        <v>690</v>
      </c>
      <c r="D2342" s="12">
        <v>3.3700000000000001E-2</v>
      </c>
      <c r="E2342" s="12">
        <v>3.3000000000000002E-2</v>
      </c>
      <c r="F2342" s="12">
        <v>-8.0600000000000005E-2</v>
      </c>
      <c r="G2342" s="12">
        <v>3.3350000000000005E-2</v>
      </c>
      <c r="H2342" s="12">
        <v>-4.5999999999999999E-3</v>
      </c>
      <c r="I2342" s="12">
        <v>4.9099999999999998E-2</v>
      </c>
      <c r="J2342" s="9" t="s">
        <v>412</v>
      </c>
      <c r="K2342" s="9" t="s">
        <v>604</v>
      </c>
    </row>
    <row r="2343" spans="1:11" ht="28.8">
      <c r="A2343" s="9" t="s">
        <v>662</v>
      </c>
      <c r="B2343" s="9" t="s">
        <v>689</v>
      </c>
      <c r="C2343" s="9" t="s">
        <v>664</v>
      </c>
      <c r="D2343" s="12">
        <v>-2.87E-2</v>
      </c>
      <c r="E2343" s="12">
        <v>-8.6699999999999999E-2</v>
      </c>
      <c r="F2343" s="12">
        <v>3.1800000000000002E-2</v>
      </c>
      <c r="G2343" s="12">
        <v>-5.7700000000000001E-2</v>
      </c>
      <c r="H2343" s="12">
        <v>-2.7799999999999998E-2</v>
      </c>
      <c r="I2343" s="12">
        <v>4.9099999999999998E-2</v>
      </c>
      <c r="J2343" s="9" t="s">
        <v>412</v>
      </c>
      <c r="K2343" s="9" t="s">
        <v>604</v>
      </c>
    </row>
    <row r="2344" spans="1:11" ht="28.8">
      <c r="A2344" s="9" t="s">
        <v>610</v>
      </c>
      <c r="B2344" s="9" t="s">
        <v>660</v>
      </c>
      <c r="C2344" s="9" t="s">
        <v>683</v>
      </c>
      <c r="D2344" s="12">
        <v>-8.1500000000000003E-2</v>
      </c>
      <c r="E2344" s="12">
        <v>-3.2599999999999997E-2</v>
      </c>
      <c r="F2344" s="12">
        <v>-3.3000000000000002E-2</v>
      </c>
      <c r="G2344" s="12">
        <v>-5.7050000000000003E-2</v>
      </c>
      <c r="H2344" s="12">
        <v>-4.9000000000000002E-2</v>
      </c>
      <c r="I2344" s="12">
        <v>4.9000000000000002E-2</v>
      </c>
      <c r="J2344" s="9" t="s">
        <v>412</v>
      </c>
      <c r="K2344" s="9" t="s">
        <v>604</v>
      </c>
    </row>
    <row r="2345" spans="1:11" ht="28.8">
      <c r="A2345" s="9" t="s">
        <v>610</v>
      </c>
      <c r="B2345" s="9" t="s">
        <v>685</v>
      </c>
      <c r="C2345" s="9" t="s">
        <v>666</v>
      </c>
      <c r="D2345" s="12">
        <v>9.5000000000000001E-2</v>
      </c>
      <c r="E2345" s="12">
        <v>4.0500000000000001E-2</v>
      </c>
      <c r="F2345" s="12">
        <v>-1.17E-2</v>
      </c>
      <c r="G2345" s="12">
        <v>6.7750000000000005E-2</v>
      </c>
      <c r="H2345" s="12">
        <v>4.1300000000000003E-2</v>
      </c>
      <c r="I2345" s="12">
        <v>4.9000000000000002E-2</v>
      </c>
      <c r="J2345" s="9" t="s">
        <v>412</v>
      </c>
      <c r="K2345" s="9" t="s">
        <v>604</v>
      </c>
    </row>
    <row r="2346" spans="1:11" ht="28.8">
      <c r="A2346" s="9" t="s">
        <v>682</v>
      </c>
      <c r="B2346" s="9" t="s">
        <v>665</v>
      </c>
      <c r="C2346" s="9" t="s">
        <v>677</v>
      </c>
      <c r="D2346" s="12">
        <v>1.23E-2</v>
      </c>
      <c r="E2346" s="12">
        <v>1.1000000000000001E-3</v>
      </c>
      <c r="F2346" s="12">
        <v>0.13339999999999999</v>
      </c>
      <c r="G2346" s="12">
        <v>6.7000000000000002E-3</v>
      </c>
      <c r="H2346" s="12">
        <v>4.8899999999999999E-2</v>
      </c>
      <c r="I2346" s="12">
        <v>4.8899999999999999E-2</v>
      </c>
      <c r="J2346" s="9" t="s">
        <v>412</v>
      </c>
      <c r="K2346" s="9" t="s">
        <v>654</v>
      </c>
    </row>
    <row r="2347" spans="1:11" ht="28.8">
      <c r="A2347" s="9" t="s">
        <v>661</v>
      </c>
      <c r="B2347" s="9" t="s">
        <v>658</v>
      </c>
      <c r="C2347" s="9" t="s">
        <v>690</v>
      </c>
      <c r="D2347" s="12">
        <v>3.3700000000000001E-2</v>
      </c>
      <c r="E2347" s="12">
        <v>9.5200000000000007E-2</v>
      </c>
      <c r="F2347" s="12">
        <v>-1.78E-2</v>
      </c>
      <c r="G2347" s="12">
        <v>6.4450000000000007E-2</v>
      </c>
      <c r="H2347" s="12">
        <v>3.6999999999999998E-2</v>
      </c>
      <c r="I2347" s="12">
        <v>4.8899999999999999E-2</v>
      </c>
      <c r="J2347" s="9" t="s">
        <v>412</v>
      </c>
      <c r="K2347" s="9" t="s">
        <v>604</v>
      </c>
    </row>
    <row r="2348" spans="1:11" ht="28.8">
      <c r="A2348" s="9" t="s">
        <v>610</v>
      </c>
      <c r="B2348" s="9" t="s">
        <v>685</v>
      </c>
      <c r="C2348" s="9" t="s">
        <v>677</v>
      </c>
      <c r="D2348" s="12">
        <v>0.10100000000000001</v>
      </c>
      <c r="E2348" s="12">
        <v>4.0500000000000001E-2</v>
      </c>
      <c r="F2348" s="12">
        <v>4.1999999999999997E-3</v>
      </c>
      <c r="G2348" s="12">
        <v>7.0750000000000007E-2</v>
      </c>
      <c r="H2348" s="12">
        <v>4.8599999999999997E-2</v>
      </c>
      <c r="I2348" s="12">
        <v>4.8599999999999997E-2</v>
      </c>
      <c r="J2348" s="9" t="s">
        <v>412</v>
      </c>
      <c r="K2348" s="9" t="s">
        <v>654</v>
      </c>
    </row>
    <row r="2349" spans="1:11" ht="28.8">
      <c r="A2349" s="9" t="s">
        <v>682</v>
      </c>
      <c r="B2349" s="9" t="s">
        <v>669</v>
      </c>
      <c r="C2349" s="9" t="s">
        <v>677</v>
      </c>
      <c r="D2349" s="12">
        <v>1.23E-2</v>
      </c>
      <c r="E2349" s="12">
        <v>-1.46E-2</v>
      </c>
      <c r="F2349" s="12">
        <v>-0.1188</v>
      </c>
      <c r="G2349" s="12">
        <v>-1.15E-3</v>
      </c>
      <c r="H2349" s="12">
        <v>-4.0300000000000002E-2</v>
      </c>
      <c r="I2349" s="12">
        <v>4.8500000000000001E-2</v>
      </c>
      <c r="J2349" s="9" t="s">
        <v>412</v>
      </c>
      <c r="K2349" s="9" t="s">
        <v>604</v>
      </c>
    </row>
    <row r="2350" spans="1:11" ht="28.8">
      <c r="A2350" s="9" t="s">
        <v>671</v>
      </c>
      <c r="B2350" s="9" t="s">
        <v>689</v>
      </c>
      <c r="C2350" s="9" t="s">
        <v>666</v>
      </c>
      <c r="D2350" s="12">
        <v>1.34E-2</v>
      </c>
      <c r="E2350" s="12">
        <v>-0.12859999999999999</v>
      </c>
      <c r="F2350" s="12">
        <v>3.5000000000000001E-3</v>
      </c>
      <c r="G2350" s="12">
        <v>-5.7599999999999998E-2</v>
      </c>
      <c r="H2350" s="12">
        <v>-3.73E-2</v>
      </c>
      <c r="I2350" s="12">
        <v>4.8500000000000001E-2</v>
      </c>
      <c r="J2350" s="9" t="s">
        <v>412</v>
      </c>
      <c r="K2350" s="9" t="s">
        <v>604</v>
      </c>
    </row>
    <row r="2351" spans="1:11" ht="28.8">
      <c r="A2351" s="9" t="s">
        <v>661</v>
      </c>
      <c r="B2351" s="9" t="s">
        <v>681</v>
      </c>
      <c r="C2351" s="9" t="s">
        <v>677</v>
      </c>
      <c r="D2351" s="12">
        <v>2.5700000000000001E-2</v>
      </c>
      <c r="E2351" s="12">
        <v>2.3900000000000001E-2</v>
      </c>
      <c r="F2351" s="12">
        <v>-9.5399999999999999E-2</v>
      </c>
      <c r="G2351" s="12">
        <v>2.4800000000000003E-2</v>
      </c>
      <c r="H2351" s="12">
        <v>-1.52E-2</v>
      </c>
      <c r="I2351" s="12">
        <v>4.8300000000000003E-2</v>
      </c>
      <c r="J2351" s="9" t="s">
        <v>412</v>
      </c>
      <c r="K2351" s="9" t="s">
        <v>604</v>
      </c>
    </row>
    <row r="2352" spans="1:11" ht="28.8">
      <c r="A2352" s="9" t="s">
        <v>609</v>
      </c>
      <c r="B2352" s="9" t="s">
        <v>668</v>
      </c>
      <c r="C2352" s="9" t="s">
        <v>690</v>
      </c>
      <c r="D2352" s="12">
        <v>4.9799999999999997E-2</v>
      </c>
      <c r="E2352" s="12">
        <v>-4.02E-2</v>
      </c>
      <c r="F2352" s="12">
        <v>-5.5E-2</v>
      </c>
      <c r="G2352" s="12">
        <v>4.7999999999999987E-3</v>
      </c>
      <c r="H2352" s="12">
        <v>-1.5100000000000001E-2</v>
      </c>
      <c r="I2352" s="12">
        <v>4.8300000000000003E-2</v>
      </c>
      <c r="J2352" s="9" t="s">
        <v>412</v>
      </c>
      <c r="K2352" s="9" t="s">
        <v>604</v>
      </c>
    </row>
    <row r="2353" spans="1:11" ht="28.8">
      <c r="A2353" s="9" t="s">
        <v>682</v>
      </c>
      <c r="B2353" s="9" t="s">
        <v>658</v>
      </c>
      <c r="C2353" s="9" t="s">
        <v>690</v>
      </c>
      <c r="D2353" s="12">
        <v>-7.1099999999999997E-2</v>
      </c>
      <c r="E2353" s="12">
        <v>-5.5500000000000001E-2</v>
      </c>
      <c r="F2353" s="12">
        <v>-1.78E-2</v>
      </c>
      <c r="G2353" s="12">
        <v>-6.3299999999999995E-2</v>
      </c>
      <c r="H2353" s="12">
        <v>-4.8099999999999997E-2</v>
      </c>
      <c r="I2353" s="12">
        <v>4.8099999999999997E-2</v>
      </c>
      <c r="J2353" s="9" t="s">
        <v>412</v>
      </c>
      <c r="K2353" s="9" t="s">
        <v>604</v>
      </c>
    </row>
    <row r="2354" spans="1:11" ht="28.8">
      <c r="A2354" s="9" t="s">
        <v>682</v>
      </c>
      <c r="B2354" s="9" t="s">
        <v>686</v>
      </c>
      <c r="C2354" s="9" t="s">
        <v>601</v>
      </c>
      <c r="D2354" s="12">
        <v>-3.2099999999999997E-2</v>
      </c>
      <c r="E2354" s="12">
        <v>-1.6400000000000001E-2</v>
      </c>
      <c r="F2354" s="12">
        <v>-9.5100000000000004E-2</v>
      </c>
      <c r="G2354" s="12">
        <v>-2.4250000000000001E-2</v>
      </c>
      <c r="H2354" s="12">
        <v>-4.7899999999999998E-2</v>
      </c>
      <c r="I2354" s="12">
        <v>4.7899999999999998E-2</v>
      </c>
      <c r="J2354" s="9" t="s">
        <v>412</v>
      </c>
      <c r="K2354" s="9" t="s">
        <v>604</v>
      </c>
    </row>
    <row r="2355" spans="1:11" ht="28.8">
      <c r="A2355" s="9" t="s">
        <v>609</v>
      </c>
      <c r="B2355" s="9" t="s">
        <v>689</v>
      </c>
      <c r="C2355" s="9" t="s">
        <v>664</v>
      </c>
      <c r="D2355" s="12">
        <v>-6.5699999999999995E-2</v>
      </c>
      <c r="E2355" s="12">
        <v>-4.6100000000000002E-2</v>
      </c>
      <c r="F2355" s="12">
        <v>3.1800000000000002E-2</v>
      </c>
      <c r="G2355" s="12">
        <v>-5.5899999999999998E-2</v>
      </c>
      <c r="H2355" s="12">
        <v>-2.6599999999999999E-2</v>
      </c>
      <c r="I2355" s="12">
        <v>4.7899999999999998E-2</v>
      </c>
      <c r="J2355" s="9" t="s">
        <v>412</v>
      </c>
      <c r="K2355" s="9" t="s">
        <v>604</v>
      </c>
    </row>
    <row r="2356" spans="1:11" ht="28.8">
      <c r="A2356" s="9" t="s">
        <v>671</v>
      </c>
      <c r="B2356" s="9" t="s">
        <v>688</v>
      </c>
      <c r="C2356" s="9" t="s">
        <v>656</v>
      </c>
      <c r="D2356" s="12">
        <v>6.54E-2</v>
      </c>
      <c r="E2356" s="12">
        <v>6.3E-3</v>
      </c>
      <c r="F2356" s="12">
        <v>7.1499999999999994E-2</v>
      </c>
      <c r="G2356" s="12">
        <v>3.585E-2</v>
      </c>
      <c r="H2356" s="12">
        <v>4.7699999999999999E-2</v>
      </c>
      <c r="I2356" s="12">
        <v>4.7699999999999999E-2</v>
      </c>
      <c r="J2356" s="9" t="s">
        <v>412</v>
      </c>
      <c r="K2356" s="9" t="s">
        <v>654</v>
      </c>
    </row>
    <row r="2357" spans="1:11" ht="28.8">
      <c r="A2357" s="9" t="s">
        <v>610</v>
      </c>
      <c r="B2357" s="9" t="s">
        <v>687</v>
      </c>
      <c r="C2357" s="9" t="s">
        <v>664</v>
      </c>
      <c r="D2357" s="12">
        <v>-9.1300000000000006E-2</v>
      </c>
      <c r="E2357" s="12">
        <v>1.24E-2</v>
      </c>
      <c r="F2357" s="12">
        <v>-3.8100000000000002E-2</v>
      </c>
      <c r="G2357" s="12">
        <v>-3.9450000000000006E-2</v>
      </c>
      <c r="H2357" s="12">
        <v>-3.9E-2</v>
      </c>
      <c r="I2357" s="12">
        <v>4.7300000000000002E-2</v>
      </c>
      <c r="J2357" s="9" t="s">
        <v>412</v>
      </c>
      <c r="K2357" s="9" t="s">
        <v>604</v>
      </c>
    </row>
    <row r="2358" spans="1:11" ht="28.8">
      <c r="A2358" s="9" t="s">
        <v>609</v>
      </c>
      <c r="B2358" s="9" t="s">
        <v>681</v>
      </c>
      <c r="C2358" s="9" t="s">
        <v>666</v>
      </c>
      <c r="D2358" s="12">
        <v>-7.7700000000000005E-2</v>
      </c>
      <c r="E2358" s="12">
        <v>-2E-3</v>
      </c>
      <c r="F2358" s="12">
        <v>6.2399999999999997E-2</v>
      </c>
      <c r="G2358" s="12">
        <v>-3.9850000000000003E-2</v>
      </c>
      <c r="H2358" s="12">
        <v>-5.7999999999999996E-3</v>
      </c>
      <c r="I2358" s="12">
        <v>4.7300000000000002E-2</v>
      </c>
      <c r="J2358" s="9" t="s">
        <v>412</v>
      </c>
      <c r="K2358" s="9" t="s">
        <v>604</v>
      </c>
    </row>
    <row r="2359" spans="1:11" ht="28.8">
      <c r="A2359" s="9" t="s">
        <v>662</v>
      </c>
      <c r="B2359" s="9" t="s">
        <v>668</v>
      </c>
      <c r="C2359" s="9" t="s">
        <v>690</v>
      </c>
      <c r="D2359" s="12">
        <v>-3.1300000000000001E-2</v>
      </c>
      <c r="E2359" s="12">
        <v>5.5599999999999997E-2</v>
      </c>
      <c r="F2359" s="12">
        <v>-5.5E-2</v>
      </c>
      <c r="G2359" s="12">
        <v>1.2149999999999998E-2</v>
      </c>
      <c r="H2359" s="12">
        <v>-1.0200000000000001E-2</v>
      </c>
      <c r="I2359" s="12">
        <v>4.7300000000000002E-2</v>
      </c>
      <c r="J2359" s="9" t="s">
        <v>412</v>
      </c>
      <c r="K2359" s="9" t="s">
        <v>604</v>
      </c>
    </row>
    <row r="2360" spans="1:11">
      <c r="A2360" s="9" t="s">
        <v>609</v>
      </c>
      <c r="B2360" s="9" t="s">
        <v>681</v>
      </c>
      <c r="C2360" s="9" t="s">
        <v>663</v>
      </c>
      <c r="D2360" s="12">
        <v>-0.12770000000000001</v>
      </c>
      <c r="E2360" s="12">
        <v>-2E-3</v>
      </c>
      <c r="F2360" s="12">
        <v>1.23E-2</v>
      </c>
      <c r="G2360" s="12">
        <v>-6.4850000000000005E-2</v>
      </c>
      <c r="H2360" s="12">
        <v>-3.9100000000000003E-2</v>
      </c>
      <c r="I2360" s="12">
        <v>4.7300000000000002E-2</v>
      </c>
      <c r="J2360" s="9" t="s">
        <v>412</v>
      </c>
      <c r="K2360" s="9" t="s">
        <v>604</v>
      </c>
    </row>
    <row r="2361" spans="1:11">
      <c r="A2361" s="9" t="s">
        <v>662</v>
      </c>
      <c r="B2361" s="9" t="s">
        <v>686</v>
      </c>
      <c r="C2361" s="9" t="s">
        <v>659</v>
      </c>
      <c r="D2361" s="12">
        <v>-8.3599999999999994E-2</v>
      </c>
      <c r="E2361" s="12">
        <v>6.7000000000000002E-3</v>
      </c>
      <c r="F2361" s="12">
        <v>5.1200000000000002E-2</v>
      </c>
      <c r="G2361" s="12">
        <v>-3.8449999999999998E-2</v>
      </c>
      <c r="H2361" s="12">
        <v>-8.6E-3</v>
      </c>
      <c r="I2361" s="12">
        <v>4.7199999999999999E-2</v>
      </c>
      <c r="J2361" s="9" t="s">
        <v>412</v>
      </c>
      <c r="K2361" s="9" t="s">
        <v>604</v>
      </c>
    </row>
    <row r="2362" spans="1:11" ht="28.8">
      <c r="A2362" s="9" t="s">
        <v>661</v>
      </c>
      <c r="B2362" s="9" t="s">
        <v>687</v>
      </c>
      <c r="C2362" s="9" t="s">
        <v>690</v>
      </c>
      <c r="D2362" s="12">
        <v>3.3700000000000001E-2</v>
      </c>
      <c r="E2362" s="12">
        <v>-8.9700000000000002E-2</v>
      </c>
      <c r="F2362" s="12">
        <v>-1.78E-2</v>
      </c>
      <c r="G2362" s="12">
        <v>-2.8000000000000001E-2</v>
      </c>
      <c r="H2362" s="12">
        <v>-2.46E-2</v>
      </c>
      <c r="I2362" s="12">
        <v>4.7100000000000003E-2</v>
      </c>
      <c r="J2362" s="9" t="s">
        <v>412</v>
      </c>
      <c r="K2362" s="9" t="s">
        <v>604</v>
      </c>
    </row>
    <row r="2363" spans="1:11" ht="28.8">
      <c r="A2363" s="9" t="s">
        <v>661</v>
      </c>
      <c r="B2363" s="9" t="s">
        <v>691</v>
      </c>
      <c r="C2363" s="9" t="s">
        <v>667</v>
      </c>
      <c r="D2363" s="12">
        <v>5.3600000000000002E-2</v>
      </c>
      <c r="E2363" s="12">
        <v>4.9000000000000002E-2</v>
      </c>
      <c r="F2363" s="12">
        <v>-3.8699999999999998E-2</v>
      </c>
      <c r="G2363" s="12">
        <v>5.1299999999999998E-2</v>
      </c>
      <c r="H2363" s="12">
        <v>2.1299999999999999E-2</v>
      </c>
      <c r="I2363" s="12">
        <v>4.7100000000000003E-2</v>
      </c>
      <c r="J2363" s="9" t="s">
        <v>412</v>
      </c>
      <c r="K2363" s="9" t="s">
        <v>604</v>
      </c>
    </row>
    <row r="2364" spans="1:11" ht="28.8">
      <c r="A2364" s="9" t="s">
        <v>609</v>
      </c>
      <c r="B2364" s="9" t="s">
        <v>687</v>
      </c>
      <c r="C2364" s="9" t="s">
        <v>677</v>
      </c>
      <c r="D2364" s="12">
        <v>-6.1400000000000003E-2</v>
      </c>
      <c r="E2364" s="12">
        <v>-4.5400000000000003E-2</v>
      </c>
      <c r="F2364" s="12">
        <v>3.4500000000000003E-2</v>
      </c>
      <c r="G2364" s="12">
        <v>-5.3400000000000003E-2</v>
      </c>
      <c r="H2364" s="12">
        <v>-2.41E-2</v>
      </c>
      <c r="I2364" s="12">
        <v>4.7100000000000003E-2</v>
      </c>
      <c r="J2364" s="9" t="s">
        <v>412</v>
      </c>
      <c r="K2364" s="9" t="s">
        <v>604</v>
      </c>
    </row>
    <row r="2365" spans="1:11" ht="28.8">
      <c r="A2365" s="9" t="s">
        <v>682</v>
      </c>
      <c r="B2365" s="9" t="s">
        <v>685</v>
      </c>
      <c r="C2365" s="9" t="s">
        <v>677</v>
      </c>
      <c r="D2365" s="12">
        <v>1.23E-2</v>
      </c>
      <c r="E2365" s="12">
        <v>0.12429999999999999</v>
      </c>
      <c r="F2365" s="12">
        <v>4.1999999999999997E-3</v>
      </c>
      <c r="G2365" s="12">
        <v>6.83E-2</v>
      </c>
      <c r="H2365" s="12">
        <v>4.6899999999999997E-2</v>
      </c>
      <c r="I2365" s="12">
        <v>4.6899999999999997E-2</v>
      </c>
      <c r="J2365" s="9" t="s">
        <v>412</v>
      </c>
      <c r="K2365" s="9" t="s">
        <v>654</v>
      </c>
    </row>
    <row r="2366" spans="1:11" ht="28.8">
      <c r="A2366" s="9" t="s">
        <v>610</v>
      </c>
      <c r="B2366" s="9" t="s">
        <v>672</v>
      </c>
      <c r="C2366" s="9" t="s">
        <v>690</v>
      </c>
      <c r="D2366" s="12">
        <v>-5.8599999999999999E-2</v>
      </c>
      <c r="E2366" s="12">
        <v>7.0999999999999994E-2</v>
      </c>
      <c r="F2366" s="12">
        <v>1.11E-2</v>
      </c>
      <c r="G2366" s="12">
        <v>6.1999999999999972E-3</v>
      </c>
      <c r="H2366" s="12">
        <v>7.7999999999999996E-3</v>
      </c>
      <c r="I2366" s="12">
        <v>4.6899999999999997E-2</v>
      </c>
      <c r="J2366" s="9" t="s">
        <v>412</v>
      </c>
      <c r="K2366" s="9" t="s">
        <v>604</v>
      </c>
    </row>
    <row r="2367" spans="1:11">
      <c r="A2367" s="9" t="s">
        <v>682</v>
      </c>
      <c r="B2367" s="9" t="s">
        <v>680</v>
      </c>
      <c r="C2367" s="9" t="s">
        <v>667</v>
      </c>
      <c r="D2367" s="12">
        <v>-0.02</v>
      </c>
      <c r="E2367" s="12">
        <v>6.7000000000000004E-2</v>
      </c>
      <c r="F2367" s="12">
        <v>-5.3800000000000001E-2</v>
      </c>
      <c r="G2367" s="12">
        <v>2.35E-2</v>
      </c>
      <c r="H2367" s="12">
        <v>-2.3E-3</v>
      </c>
      <c r="I2367" s="12">
        <v>4.6899999999999997E-2</v>
      </c>
      <c r="J2367" s="9" t="s">
        <v>412</v>
      </c>
      <c r="K2367" s="9" t="s">
        <v>604</v>
      </c>
    </row>
    <row r="2368" spans="1:11" ht="28.8">
      <c r="A2368" s="9" t="s">
        <v>662</v>
      </c>
      <c r="B2368" s="9" t="s">
        <v>686</v>
      </c>
      <c r="C2368" s="9" t="s">
        <v>690</v>
      </c>
      <c r="D2368" s="12">
        <v>-3.1300000000000001E-2</v>
      </c>
      <c r="E2368" s="12">
        <v>6.7000000000000002E-3</v>
      </c>
      <c r="F2368" s="12">
        <v>-0.10150000000000001</v>
      </c>
      <c r="G2368" s="12">
        <v>-1.23E-2</v>
      </c>
      <c r="H2368" s="12">
        <v>-4.2000000000000003E-2</v>
      </c>
      <c r="I2368" s="12">
        <v>4.65E-2</v>
      </c>
      <c r="J2368" s="9" t="s">
        <v>412</v>
      </c>
      <c r="K2368" s="9" t="s">
        <v>604</v>
      </c>
    </row>
    <row r="2369" spans="1:11">
      <c r="A2369" s="9" t="s">
        <v>610</v>
      </c>
      <c r="B2369" s="9" t="s">
        <v>678</v>
      </c>
      <c r="C2369" s="9" t="s">
        <v>656</v>
      </c>
      <c r="D2369" s="12">
        <v>6.5699999999999995E-2</v>
      </c>
      <c r="E2369" s="12">
        <v>3.4000000000000002E-2</v>
      </c>
      <c r="F2369" s="12">
        <v>-3.9800000000000002E-2</v>
      </c>
      <c r="G2369" s="12">
        <v>4.9849999999999998E-2</v>
      </c>
      <c r="H2369" s="12">
        <v>0.02</v>
      </c>
      <c r="I2369" s="12">
        <v>4.65E-2</v>
      </c>
      <c r="J2369" s="9" t="s">
        <v>412</v>
      </c>
      <c r="K2369" s="9" t="s">
        <v>604</v>
      </c>
    </row>
    <row r="2370" spans="1:11" ht="28.8">
      <c r="A2370" s="9" t="s">
        <v>662</v>
      </c>
      <c r="B2370" s="9" t="s">
        <v>686</v>
      </c>
      <c r="C2370" s="9" t="s">
        <v>677</v>
      </c>
      <c r="D2370" s="12">
        <v>1.2200000000000001E-2</v>
      </c>
      <c r="E2370" s="12">
        <v>6.7000000000000002E-3</v>
      </c>
      <c r="F2370" s="12">
        <v>0.1203</v>
      </c>
      <c r="G2370" s="12">
        <v>9.4500000000000001E-3</v>
      </c>
      <c r="H2370" s="12">
        <v>4.6399999999999997E-2</v>
      </c>
      <c r="I2370" s="12">
        <v>4.6399999999999997E-2</v>
      </c>
      <c r="J2370" s="9" t="s">
        <v>412</v>
      </c>
      <c r="K2370" s="9" t="s">
        <v>654</v>
      </c>
    </row>
    <row r="2371" spans="1:11" ht="28.8">
      <c r="A2371" s="9" t="s">
        <v>661</v>
      </c>
      <c r="B2371" s="9" t="s">
        <v>691</v>
      </c>
      <c r="C2371" s="9" t="s">
        <v>674</v>
      </c>
      <c r="D2371" s="12">
        <v>6.8199999999999997E-2</v>
      </c>
      <c r="E2371" s="12">
        <v>4.9000000000000002E-2</v>
      </c>
      <c r="F2371" s="12">
        <v>-1.83E-2</v>
      </c>
      <c r="G2371" s="12">
        <v>5.8599999999999999E-2</v>
      </c>
      <c r="H2371" s="12">
        <v>3.3000000000000002E-2</v>
      </c>
      <c r="I2371" s="12">
        <v>4.5199999999999997E-2</v>
      </c>
      <c r="J2371" s="9" t="s">
        <v>412</v>
      </c>
      <c r="K2371" s="9" t="s">
        <v>604</v>
      </c>
    </row>
    <row r="2372" spans="1:11" ht="28.8">
      <c r="A2372" s="9" t="s">
        <v>662</v>
      </c>
      <c r="B2372" s="9" t="s">
        <v>678</v>
      </c>
      <c r="C2372" s="9" t="s">
        <v>677</v>
      </c>
      <c r="D2372" s="12">
        <v>1.2200000000000001E-2</v>
      </c>
      <c r="E2372" s="12">
        <v>-6.4199999999999993E-2</v>
      </c>
      <c r="F2372" s="12">
        <v>5.8999999999999997E-2</v>
      </c>
      <c r="G2372" s="12">
        <v>-2.5999999999999995E-2</v>
      </c>
      <c r="H2372" s="12">
        <v>2.3999999999999998E-3</v>
      </c>
      <c r="I2372" s="12">
        <v>4.5100000000000001E-2</v>
      </c>
      <c r="J2372" s="9" t="s">
        <v>412</v>
      </c>
      <c r="K2372" s="9" t="s">
        <v>604</v>
      </c>
    </row>
    <row r="2373" spans="1:11" ht="28.8">
      <c r="A2373" s="9" t="s">
        <v>610</v>
      </c>
      <c r="B2373" s="9" t="s">
        <v>689</v>
      </c>
      <c r="C2373" s="9" t="s">
        <v>664</v>
      </c>
      <c r="D2373" s="12">
        <v>-9.1300000000000006E-2</v>
      </c>
      <c r="E2373" s="12">
        <v>-1.21E-2</v>
      </c>
      <c r="F2373" s="12">
        <v>3.1800000000000002E-2</v>
      </c>
      <c r="G2373" s="12">
        <v>-5.1700000000000003E-2</v>
      </c>
      <c r="H2373" s="12">
        <v>-2.3800000000000002E-2</v>
      </c>
      <c r="I2373" s="12">
        <v>4.5100000000000001E-2</v>
      </c>
      <c r="J2373" s="9" t="s">
        <v>412</v>
      </c>
      <c r="K2373" s="9" t="s">
        <v>604</v>
      </c>
    </row>
    <row r="2374" spans="1:11" ht="28.8">
      <c r="A2374" s="9" t="s">
        <v>682</v>
      </c>
      <c r="B2374" s="9" t="s">
        <v>673</v>
      </c>
      <c r="C2374" s="9" t="s">
        <v>674</v>
      </c>
      <c r="D2374" s="12">
        <v>4.1999999999999997E-3</v>
      </c>
      <c r="E2374" s="12">
        <v>-1.3899999999999999E-2</v>
      </c>
      <c r="F2374" s="12">
        <v>-0.11700000000000001</v>
      </c>
      <c r="G2374" s="12">
        <v>-4.8500000000000001E-3</v>
      </c>
      <c r="H2374" s="12">
        <v>-4.2299999999999997E-2</v>
      </c>
      <c r="I2374" s="12">
        <v>4.4999999999999998E-2</v>
      </c>
      <c r="J2374" s="9" t="s">
        <v>412</v>
      </c>
      <c r="K2374" s="9" t="s">
        <v>604</v>
      </c>
    </row>
    <row r="2375" spans="1:11" ht="28.8">
      <c r="A2375" s="9" t="s">
        <v>603</v>
      </c>
      <c r="B2375" s="9" t="s">
        <v>691</v>
      </c>
      <c r="C2375" s="9" t="s">
        <v>667</v>
      </c>
      <c r="D2375" s="12">
        <v>-6.3299999999999995E-2</v>
      </c>
      <c r="E2375" s="12">
        <v>3.3000000000000002E-2</v>
      </c>
      <c r="F2375" s="12">
        <v>-3.8699999999999998E-2</v>
      </c>
      <c r="G2375" s="12">
        <v>-1.5149999999999997E-2</v>
      </c>
      <c r="H2375" s="12">
        <v>-2.3E-2</v>
      </c>
      <c r="I2375" s="12">
        <v>4.4999999999999998E-2</v>
      </c>
      <c r="J2375" s="9" t="s">
        <v>412</v>
      </c>
      <c r="K2375" s="9" t="s">
        <v>604</v>
      </c>
    </row>
    <row r="2376" spans="1:11" ht="28.8">
      <c r="A2376" s="9" t="s">
        <v>682</v>
      </c>
      <c r="B2376" s="9" t="s">
        <v>668</v>
      </c>
      <c r="C2376" s="9" t="s">
        <v>690</v>
      </c>
      <c r="D2376" s="12">
        <v>-7.1099999999999997E-2</v>
      </c>
      <c r="E2376" s="12">
        <v>7.3000000000000001E-3</v>
      </c>
      <c r="F2376" s="12">
        <v>-5.5E-2</v>
      </c>
      <c r="G2376" s="12">
        <v>-3.1899999999999998E-2</v>
      </c>
      <c r="H2376" s="12">
        <v>-3.9600000000000003E-2</v>
      </c>
      <c r="I2376" s="12">
        <v>4.4499999999999998E-2</v>
      </c>
      <c r="J2376" s="9" t="s">
        <v>412</v>
      </c>
      <c r="K2376" s="9" t="s">
        <v>604</v>
      </c>
    </row>
    <row r="2377" spans="1:11" ht="28.8">
      <c r="A2377" s="9" t="s">
        <v>682</v>
      </c>
      <c r="B2377" s="9" t="s">
        <v>672</v>
      </c>
      <c r="C2377" s="9" t="s">
        <v>677</v>
      </c>
      <c r="D2377" s="12">
        <v>1.23E-2</v>
      </c>
      <c r="E2377" s="12">
        <v>-2.86E-2</v>
      </c>
      <c r="F2377" s="12">
        <v>9.2299999999999993E-2</v>
      </c>
      <c r="G2377" s="12">
        <v>-8.150000000000001E-3</v>
      </c>
      <c r="H2377" s="12">
        <v>2.53E-2</v>
      </c>
      <c r="I2377" s="12">
        <v>4.4400000000000002E-2</v>
      </c>
      <c r="J2377" s="9" t="s">
        <v>412</v>
      </c>
      <c r="K2377" s="9" t="s">
        <v>604</v>
      </c>
    </row>
    <row r="2378" spans="1:11" ht="28.8">
      <c r="A2378" s="9" t="s">
        <v>662</v>
      </c>
      <c r="B2378" s="9" t="s">
        <v>672</v>
      </c>
      <c r="C2378" s="9" t="s">
        <v>664</v>
      </c>
      <c r="D2378" s="12">
        <v>-2.87E-2</v>
      </c>
      <c r="E2378" s="12">
        <v>1.0999999999999999E-2</v>
      </c>
      <c r="F2378" s="12">
        <v>-9.2899999999999996E-2</v>
      </c>
      <c r="G2378" s="12">
        <v>-8.8500000000000002E-3</v>
      </c>
      <c r="H2378" s="12">
        <v>-3.6900000000000002E-2</v>
      </c>
      <c r="I2378" s="12">
        <v>4.4200000000000003E-2</v>
      </c>
      <c r="J2378" s="9" t="s">
        <v>412</v>
      </c>
      <c r="K2378" s="9" t="s">
        <v>604</v>
      </c>
    </row>
    <row r="2379" spans="1:11" ht="28.8">
      <c r="A2379" s="9" t="s">
        <v>603</v>
      </c>
      <c r="B2379" s="9" t="s">
        <v>685</v>
      </c>
      <c r="C2379" s="9" t="s">
        <v>690</v>
      </c>
      <c r="D2379" s="12">
        <v>4.1099999999999998E-2</v>
      </c>
      <c r="E2379" s="12">
        <v>1.0699999999999999E-2</v>
      </c>
      <c r="F2379" s="12">
        <v>-8.0600000000000005E-2</v>
      </c>
      <c r="G2379" s="12">
        <v>2.5899999999999999E-2</v>
      </c>
      <c r="H2379" s="12">
        <v>-9.5999999999999992E-3</v>
      </c>
      <c r="I2379" s="12">
        <v>4.41E-2</v>
      </c>
      <c r="J2379" s="9" t="s">
        <v>412</v>
      </c>
      <c r="K2379" s="9" t="s">
        <v>604</v>
      </c>
    </row>
    <row r="2380" spans="1:11" ht="28.8">
      <c r="A2380" s="9" t="s">
        <v>610</v>
      </c>
      <c r="B2380" s="9" t="s">
        <v>686</v>
      </c>
      <c r="C2380" s="9" t="s">
        <v>664</v>
      </c>
      <c r="D2380" s="12">
        <v>-9.1300000000000006E-2</v>
      </c>
      <c r="E2380" s="12">
        <v>2.07E-2</v>
      </c>
      <c r="F2380" s="12">
        <v>-2.01E-2</v>
      </c>
      <c r="G2380" s="12">
        <v>-3.5300000000000005E-2</v>
      </c>
      <c r="H2380" s="12">
        <v>-3.0200000000000001E-2</v>
      </c>
      <c r="I2380" s="12">
        <v>4.3999999999999997E-2</v>
      </c>
      <c r="J2380" s="9" t="s">
        <v>412</v>
      </c>
      <c r="K2380" s="9" t="s">
        <v>604</v>
      </c>
    </row>
    <row r="2381" spans="1:11" ht="28.8">
      <c r="A2381" s="9" t="s">
        <v>662</v>
      </c>
      <c r="B2381" s="9" t="s">
        <v>680</v>
      </c>
      <c r="C2381" s="9" t="s">
        <v>683</v>
      </c>
      <c r="D2381" s="12">
        <v>-6.0100000000000001E-2</v>
      </c>
      <c r="E2381" s="12">
        <v>-1.8100000000000002E-2</v>
      </c>
      <c r="F2381" s="12">
        <v>5.2699999999999997E-2</v>
      </c>
      <c r="G2381" s="12">
        <v>-3.9100000000000003E-2</v>
      </c>
      <c r="H2381" s="12">
        <v>-8.5000000000000006E-3</v>
      </c>
      <c r="I2381" s="12">
        <v>4.36E-2</v>
      </c>
      <c r="J2381" s="9" t="s">
        <v>412</v>
      </c>
      <c r="K2381" s="9" t="s">
        <v>604</v>
      </c>
    </row>
    <row r="2382" spans="1:11" ht="28.8">
      <c r="A2382" s="9" t="s">
        <v>679</v>
      </c>
      <c r="B2382" s="9" t="s">
        <v>653</v>
      </c>
      <c r="C2382" s="9" t="s">
        <v>690</v>
      </c>
      <c r="D2382" s="12">
        <v>-6.6900000000000001E-2</v>
      </c>
      <c r="E2382" s="12">
        <v>6.2700000000000006E-2</v>
      </c>
      <c r="F2382" s="12">
        <v>-1.1999999999999999E-3</v>
      </c>
      <c r="G2382" s="12">
        <v>-2.0999999999999977E-3</v>
      </c>
      <c r="H2382" s="12">
        <v>-1.8E-3</v>
      </c>
      <c r="I2382" s="12">
        <v>4.36E-2</v>
      </c>
      <c r="J2382" s="9" t="s">
        <v>412</v>
      </c>
      <c r="K2382" s="9" t="s">
        <v>604</v>
      </c>
    </row>
    <row r="2383" spans="1:11" ht="28.8">
      <c r="A2383" s="9" t="s">
        <v>661</v>
      </c>
      <c r="B2383" s="9" t="s">
        <v>681</v>
      </c>
      <c r="C2383" s="9" t="s">
        <v>664</v>
      </c>
      <c r="D2383" s="12">
        <v>-2.4199999999999999E-2</v>
      </c>
      <c r="E2383" s="12">
        <v>2.3900000000000001E-2</v>
      </c>
      <c r="F2383" s="12">
        <v>-8.14E-2</v>
      </c>
      <c r="G2383" s="12">
        <v>-1.4999999999999909E-4</v>
      </c>
      <c r="H2383" s="12">
        <v>-2.7199999999999998E-2</v>
      </c>
      <c r="I2383" s="12">
        <v>4.3200000000000002E-2</v>
      </c>
      <c r="J2383" s="9" t="s">
        <v>412</v>
      </c>
      <c r="K2383" s="9" t="s">
        <v>604</v>
      </c>
    </row>
    <row r="2384" spans="1:11" ht="28.8">
      <c r="A2384" s="9" t="s">
        <v>609</v>
      </c>
      <c r="B2384" s="9" t="s">
        <v>686</v>
      </c>
      <c r="C2384" s="9" t="s">
        <v>675</v>
      </c>
      <c r="D2384" s="12">
        <v>9.6600000000000005E-2</v>
      </c>
      <c r="E2384" s="12">
        <v>-8.5000000000000006E-3</v>
      </c>
      <c r="F2384" s="12">
        <v>-2.41E-2</v>
      </c>
      <c r="G2384" s="12">
        <v>4.4050000000000006E-2</v>
      </c>
      <c r="H2384" s="12">
        <v>2.1399999999999999E-2</v>
      </c>
      <c r="I2384" s="12">
        <v>4.3099999999999999E-2</v>
      </c>
      <c r="J2384" s="9" t="s">
        <v>412</v>
      </c>
      <c r="K2384" s="9" t="s">
        <v>604</v>
      </c>
    </row>
    <row r="2385" spans="1:11" ht="28.8">
      <c r="A2385" s="9" t="s">
        <v>682</v>
      </c>
      <c r="B2385" s="9" t="s">
        <v>668</v>
      </c>
      <c r="C2385" s="9" t="s">
        <v>683</v>
      </c>
      <c r="D2385" s="12">
        <v>-8.5099999999999995E-2</v>
      </c>
      <c r="E2385" s="12">
        <v>7.3000000000000001E-3</v>
      </c>
      <c r="F2385" s="12">
        <v>3.6700000000000003E-2</v>
      </c>
      <c r="G2385" s="12">
        <v>-3.8899999999999997E-2</v>
      </c>
      <c r="H2385" s="12">
        <v>-1.37E-2</v>
      </c>
      <c r="I2385" s="12">
        <v>4.2999999999999997E-2</v>
      </c>
      <c r="J2385" s="9" t="s">
        <v>412</v>
      </c>
      <c r="K2385" s="9" t="s">
        <v>604</v>
      </c>
    </row>
    <row r="2386" spans="1:11" ht="28.8">
      <c r="A2386" s="9" t="s">
        <v>671</v>
      </c>
      <c r="B2386" s="9" t="s">
        <v>668</v>
      </c>
      <c r="C2386" s="9" t="s">
        <v>674</v>
      </c>
      <c r="D2386" s="12">
        <v>-6.2799999999999995E-2</v>
      </c>
      <c r="E2386" s="12">
        <v>-3.2099999999999997E-2</v>
      </c>
      <c r="F2386" s="12">
        <v>3.4000000000000002E-2</v>
      </c>
      <c r="G2386" s="12">
        <v>-4.7449999999999992E-2</v>
      </c>
      <c r="H2386" s="12">
        <v>-2.0299999999999999E-2</v>
      </c>
      <c r="I2386" s="12">
        <v>4.2999999999999997E-2</v>
      </c>
      <c r="J2386" s="9" t="s">
        <v>412</v>
      </c>
      <c r="K2386" s="9" t="s">
        <v>604</v>
      </c>
    </row>
    <row r="2387" spans="1:11" ht="28.8">
      <c r="A2387" s="9" t="s">
        <v>682</v>
      </c>
      <c r="B2387" s="9" t="s">
        <v>691</v>
      </c>
      <c r="C2387" s="9" t="s">
        <v>674</v>
      </c>
      <c r="D2387" s="12">
        <v>4.1999999999999997E-3</v>
      </c>
      <c r="E2387" s="12">
        <v>-0.1062</v>
      </c>
      <c r="F2387" s="12">
        <v>-1.83E-2</v>
      </c>
      <c r="G2387" s="12">
        <v>-5.1000000000000004E-2</v>
      </c>
      <c r="H2387" s="12">
        <v>-4.0099999999999997E-2</v>
      </c>
      <c r="I2387" s="12">
        <v>4.2900000000000001E-2</v>
      </c>
      <c r="J2387" s="9" t="s">
        <v>412</v>
      </c>
      <c r="K2387" s="9" t="s">
        <v>604</v>
      </c>
    </row>
    <row r="2388" spans="1:11" ht="28.8">
      <c r="A2388" s="9" t="s">
        <v>609</v>
      </c>
      <c r="B2388" s="9" t="s">
        <v>685</v>
      </c>
      <c r="C2388" s="9" t="s">
        <v>666</v>
      </c>
      <c r="D2388" s="12">
        <v>-7.7700000000000005E-2</v>
      </c>
      <c r="E2388" s="12">
        <v>3.8399999999999997E-2</v>
      </c>
      <c r="F2388" s="12">
        <v>-1.17E-2</v>
      </c>
      <c r="G2388" s="12">
        <v>-1.9650000000000004E-2</v>
      </c>
      <c r="H2388" s="12">
        <v>-1.7000000000000001E-2</v>
      </c>
      <c r="I2388" s="12">
        <v>4.2599999999999999E-2</v>
      </c>
      <c r="J2388" s="9" t="s">
        <v>412</v>
      </c>
      <c r="K2388" s="9" t="s">
        <v>604</v>
      </c>
    </row>
    <row r="2389" spans="1:11" ht="28.8">
      <c r="A2389" s="9" t="s">
        <v>610</v>
      </c>
      <c r="B2389" s="9" t="s">
        <v>687</v>
      </c>
      <c r="C2389" s="9" t="s">
        <v>601</v>
      </c>
      <c r="D2389" s="12">
        <v>8.48E-2</v>
      </c>
      <c r="E2389" s="12">
        <v>1.24E-2</v>
      </c>
      <c r="F2389" s="12">
        <v>-3.04E-2</v>
      </c>
      <c r="G2389" s="12">
        <v>4.8599999999999997E-2</v>
      </c>
      <c r="H2389" s="12">
        <v>2.23E-2</v>
      </c>
      <c r="I2389" s="12">
        <v>4.2500000000000003E-2</v>
      </c>
      <c r="J2389" s="9" t="s">
        <v>412</v>
      </c>
      <c r="K2389" s="9" t="s">
        <v>604</v>
      </c>
    </row>
    <row r="2390" spans="1:11" ht="28.8">
      <c r="A2390" s="9" t="s">
        <v>609</v>
      </c>
      <c r="B2390" s="9" t="s">
        <v>689</v>
      </c>
      <c r="C2390" s="9" t="s">
        <v>666</v>
      </c>
      <c r="D2390" s="12">
        <v>-7.7700000000000005E-2</v>
      </c>
      <c r="E2390" s="12">
        <v>-4.6100000000000002E-2</v>
      </c>
      <c r="F2390" s="12">
        <v>3.5000000000000001E-3</v>
      </c>
      <c r="G2390" s="12">
        <v>-6.1900000000000004E-2</v>
      </c>
      <c r="H2390" s="12">
        <v>-4.0099999999999997E-2</v>
      </c>
      <c r="I2390" s="12">
        <v>4.24E-2</v>
      </c>
      <c r="J2390" s="9" t="s">
        <v>412</v>
      </c>
      <c r="K2390" s="9" t="s">
        <v>604</v>
      </c>
    </row>
    <row r="2391" spans="1:11" ht="28.8">
      <c r="A2391" s="9" t="s">
        <v>662</v>
      </c>
      <c r="B2391" s="9" t="s">
        <v>602</v>
      </c>
      <c r="C2391" s="9" t="s">
        <v>690</v>
      </c>
      <c r="D2391" s="12">
        <v>-3.1300000000000001E-2</v>
      </c>
      <c r="E2391" s="12">
        <v>9.3799999999999994E-2</v>
      </c>
      <c r="F2391" s="12">
        <v>1.9E-3</v>
      </c>
      <c r="G2391" s="12">
        <v>3.1249999999999997E-2</v>
      </c>
      <c r="H2391" s="12">
        <v>2.1399999999999999E-2</v>
      </c>
      <c r="I2391" s="12">
        <v>4.2299999999999997E-2</v>
      </c>
      <c r="J2391" s="9" t="s">
        <v>412</v>
      </c>
      <c r="K2391" s="9" t="s">
        <v>604</v>
      </c>
    </row>
    <row r="2392" spans="1:11" ht="28.8">
      <c r="A2392" s="9" t="s">
        <v>662</v>
      </c>
      <c r="B2392" s="9" t="s">
        <v>685</v>
      </c>
      <c r="C2392" s="9" t="s">
        <v>677</v>
      </c>
      <c r="D2392" s="12">
        <v>1.2200000000000001E-2</v>
      </c>
      <c r="E2392" s="12">
        <v>0.1087</v>
      </c>
      <c r="F2392" s="12">
        <v>4.1999999999999997E-3</v>
      </c>
      <c r="G2392" s="12">
        <v>6.0450000000000004E-2</v>
      </c>
      <c r="H2392" s="12">
        <v>4.1700000000000001E-2</v>
      </c>
      <c r="I2392" s="12">
        <v>4.1700000000000001E-2</v>
      </c>
      <c r="J2392" s="9" t="s">
        <v>412</v>
      </c>
      <c r="K2392" s="9" t="s">
        <v>654</v>
      </c>
    </row>
    <row r="2393" spans="1:11">
      <c r="A2393" s="9" t="s">
        <v>682</v>
      </c>
      <c r="B2393" s="9" t="s">
        <v>668</v>
      </c>
      <c r="C2393" s="9" t="s">
        <v>663</v>
      </c>
      <c r="D2393" s="12">
        <v>-6.7400000000000002E-2</v>
      </c>
      <c r="E2393" s="12">
        <v>7.3000000000000001E-3</v>
      </c>
      <c r="F2393" s="12">
        <v>-5.04E-2</v>
      </c>
      <c r="G2393" s="12">
        <v>-3.005E-2</v>
      </c>
      <c r="H2393" s="12">
        <v>-3.6799999999999999E-2</v>
      </c>
      <c r="I2393" s="12">
        <v>4.1700000000000001E-2</v>
      </c>
      <c r="J2393" s="9" t="s">
        <v>412</v>
      </c>
      <c r="K2393" s="9" t="s">
        <v>604</v>
      </c>
    </row>
    <row r="2394" spans="1:11" ht="28.8">
      <c r="A2394" s="9" t="s">
        <v>671</v>
      </c>
      <c r="B2394" s="9" t="s">
        <v>684</v>
      </c>
      <c r="C2394" s="9" t="s">
        <v>656</v>
      </c>
      <c r="D2394" s="12">
        <v>6.54E-2</v>
      </c>
      <c r="E2394" s="12">
        <v>-3.3399999999999999E-2</v>
      </c>
      <c r="F2394" s="12">
        <v>2.6499999999999999E-2</v>
      </c>
      <c r="G2394" s="12">
        <v>1.6E-2</v>
      </c>
      <c r="H2394" s="12">
        <v>1.95E-2</v>
      </c>
      <c r="I2394" s="12">
        <v>4.1700000000000001E-2</v>
      </c>
      <c r="J2394" s="9" t="s">
        <v>412</v>
      </c>
      <c r="K2394" s="9" t="s">
        <v>604</v>
      </c>
    </row>
    <row r="2395" spans="1:11" ht="28.8">
      <c r="A2395" s="9" t="s">
        <v>661</v>
      </c>
      <c r="B2395" s="9" t="s">
        <v>681</v>
      </c>
      <c r="C2395" s="9" t="s">
        <v>663</v>
      </c>
      <c r="D2395" s="12">
        <v>8.8300000000000003E-2</v>
      </c>
      <c r="E2395" s="12">
        <v>2.3900000000000001E-2</v>
      </c>
      <c r="F2395" s="12">
        <v>1.23E-2</v>
      </c>
      <c r="G2395" s="12">
        <v>5.6100000000000004E-2</v>
      </c>
      <c r="H2395" s="12">
        <v>4.1500000000000002E-2</v>
      </c>
      <c r="I2395" s="12">
        <v>4.1500000000000002E-2</v>
      </c>
      <c r="J2395" s="9" t="s">
        <v>412</v>
      </c>
      <c r="K2395" s="9" t="s">
        <v>654</v>
      </c>
    </row>
    <row r="2396" spans="1:11" ht="28.8">
      <c r="A2396" s="9" t="s">
        <v>662</v>
      </c>
      <c r="B2396" s="9" t="s">
        <v>678</v>
      </c>
      <c r="C2396" s="9" t="s">
        <v>664</v>
      </c>
      <c r="D2396" s="12">
        <v>-2.87E-2</v>
      </c>
      <c r="E2396" s="12">
        <v>-6.4199999999999993E-2</v>
      </c>
      <c r="F2396" s="12">
        <v>3.1E-2</v>
      </c>
      <c r="G2396" s="12">
        <v>-4.6449999999999998E-2</v>
      </c>
      <c r="H2396" s="12">
        <v>-2.06E-2</v>
      </c>
      <c r="I2396" s="12">
        <v>4.1300000000000003E-2</v>
      </c>
      <c r="J2396" s="9" t="s">
        <v>412</v>
      </c>
      <c r="K2396" s="9" t="s">
        <v>604</v>
      </c>
    </row>
    <row r="2397" spans="1:11" ht="28.8">
      <c r="A2397" s="9" t="s">
        <v>662</v>
      </c>
      <c r="B2397" s="9" t="s">
        <v>686</v>
      </c>
      <c r="C2397" s="9" t="s">
        <v>683</v>
      </c>
      <c r="D2397" s="12">
        <v>-6.0100000000000001E-2</v>
      </c>
      <c r="E2397" s="12">
        <v>6.7000000000000002E-3</v>
      </c>
      <c r="F2397" s="12">
        <v>-5.6800000000000003E-2</v>
      </c>
      <c r="G2397" s="12">
        <v>-2.6700000000000002E-2</v>
      </c>
      <c r="H2397" s="12">
        <v>-3.6700000000000003E-2</v>
      </c>
      <c r="I2397" s="12">
        <v>4.1200000000000001E-2</v>
      </c>
      <c r="J2397" s="9" t="s">
        <v>412</v>
      </c>
      <c r="K2397" s="9" t="s">
        <v>604</v>
      </c>
    </row>
    <row r="2398" spans="1:11" ht="28.8">
      <c r="A2398" s="9" t="s">
        <v>679</v>
      </c>
      <c r="B2398" s="9" t="s">
        <v>660</v>
      </c>
      <c r="C2398" s="9" t="s">
        <v>659</v>
      </c>
      <c r="D2398" s="12">
        <v>-6.4799999999999996E-2</v>
      </c>
      <c r="E2398" s="12">
        <v>-2.46E-2</v>
      </c>
      <c r="F2398" s="12">
        <v>3.3799999999999997E-2</v>
      </c>
      <c r="G2398" s="12">
        <v>-4.4699999999999997E-2</v>
      </c>
      <c r="H2398" s="12">
        <v>-1.8599999999999998E-2</v>
      </c>
      <c r="I2398" s="12">
        <v>4.1099999999999998E-2</v>
      </c>
      <c r="J2398" s="9" t="s">
        <v>412</v>
      </c>
      <c r="K2398" s="9" t="s">
        <v>604</v>
      </c>
    </row>
    <row r="2399" spans="1:11" ht="28.8">
      <c r="A2399" s="9" t="s">
        <v>679</v>
      </c>
      <c r="B2399" s="9" t="s">
        <v>684</v>
      </c>
      <c r="C2399" s="9" t="s">
        <v>656</v>
      </c>
      <c r="D2399" s="12">
        <v>-2.2700000000000001E-2</v>
      </c>
      <c r="E2399" s="12">
        <v>-7.2800000000000004E-2</v>
      </c>
      <c r="F2399" s="12">
        <v>2.6499999999999999E-2</v>
      </c>
      <c r="G2399" s="12">
        <v>-4.7750000000000001E-2</v>
      </c>
      <c r="H2399" s="12">
        <v>-2.3E-2</v>
      </c>
      <c r="I2399" s="12">
        <v>4.0599999999999997E-2</v>
      </c>
      <c r="J2399" s="9" t="s">
        <v>412</v>
      </c>
      <c r="K2399" s="9" t="s">
        <v>604</v>
      </c>
    </row>
    <row r="2400" spans="1:11" ht="28.8">
      <c r="A2400" s="9" t="s">
        <v>662</v>
      </c>
      <c r="B2400" s="9" t="s">
        <v>687</v>
      </c>
      <c r="C2400" s="9" t="s">
        <v>664</v>
      </c>
      <c r="D2400" s="12">
        <v>-2.87E-2</v>
      </c>
      <c r="E2400" s="12">
        <v>-5.4199999999999998E-2</v>
      </c>
      <c r="F2400" s="12">
        <v>-3.8100000000000002E-2</v>
      </c>
      <c r="G2400" s="12">
        <v>-4.1450000000000001E-2</v>
      </c>
      <c r="H2400" s="12">
        <v>-4.0300000000000002E-2</v>
      </c>
      <c r="I2400" s="12">
        <v>4.0300000000000002E-2</v>
      </c>
      <c r="J2400" s="9" t="s">
        <v>412</v>
      </c>
      <c r="K2400" s="9" t="s">
        <v>604</v>
      </c>
    </row>
    <row r="2401" spans="1:11">
      <c r="A2401" s="9" t="s">
        <v>682</v>
      </c>
      <c r="B2401" s="9" t="s">
        <v>686</v>
      </c>
      <c r="C2401" s="9" t="s">
        <v>667</v>
      </c>
      <c r="D2401" s="12">
        <v>-0.02</v>
      </c>
      <c r="E2401" s="12">
        <v>-1.6400000000000001E-2</v>
      </c>
      <c r="F2401" s="12">
        <v>8.4000000000000005E-2</v>
      </c>
      <c r="G2401" s="12">
        <v>-1.8200000000000001E-2</v>
      </c>
      <c r="H2401" s="12">
        <v>1.5900000000000001E-2</v>
      </c>
      <c r="I2401" s="12">
        <v>4.0099999999999997E-2</v>
      </c>
      <c r="J2401" s="9" t="s">
        <v>412</v>
      </c>
      <c r="K2401" s="9" t="s">
        <v>604</v>
      </c>
    </row>
    <row r="2402" spans="1:11" ht="28.8">
      <c r="A2402" s="9" t="s">
        <v>682</v>
      </c>
      <c r="B2402" s="9" t="s">
        <v>653</v>
      </c>
      <c r="C2402" s="9" t="s">
        <v>690</v>
      </c>
      <c r="D2402" s="12">
        <v>-7.1099999999999997E-2</v>
      </c>
      <c r="E2402" s="12">
        <v>-4.8099999999999997E-2</v>
      </c>
      <c r="F2402" s="12">
        <v>-1.1999999999999999E-3</v>
      </c>
      <c r="G2402" s="12">
        <v>-5.96E-2</v>
      </c>
      <c r="H2402" s="12">
        <v>-4.0099999999999997E-2</v>
      </c>
      <c r="I2402" s="12">
        <v>4.0099999999999997E-2</v>
      </c>
      <c r="J2402" s="9" t="s">
        <v>412</v>
      </c>
      <c r="K2402" s="9" t="s">
        <v>604</v>
      </c>
    </row>
    <row r="2403" spans="1:11" ht="28.8">
      <c r="A2403" s="9" t="s">
        <v>609</v>
      </c>
      <c r="B2403" s="9" t="s">
        <v>686</v>
      </c>
      <c r="C2403" s="9" t="s">
        <v>666</v>
      </c>
      <c r="D2403" s="12">
        <v>-7.7700000000000005E-2</v>
      </c>
      <c r="E2403" s="12">
        <v>-8.5000000000000006E-3</v>
      </c>
      <c r="F2403" s="12">
        <v>3.3500000000000002E-2</v>
      </c>
      <c r="G2403" s="12">
        <v>-4.3099999999999999E-2</v>
      </c>
      <c r="H2403" s="12">
        <v>-1.7600000000000001E-2</v>
      </c>
      <c r="I2403" s="12">
        <v>3.9899999999999998E-2</v>
      </c>
      <c r="J2403" s="9" t="s">
        <v>412</v>
      </c>
      <c r="K2403" s="9" t="s">
        <v>604</v>
      </c>
    </row>
    <row r="2404" spans="1:11" ht="28.8">
      <c r="A2404" s="9" t="s">
        <v>679</v>
      </c>
      <c r="B2404" s="9" t="s">
        <v>658</v>
      </c>
      <c r="C2404" s="9" t="s">
        <v>690</v>
      </c>
      <c r="D2404" s="12">
        <v>-6.6900000000000001E-2</v>
      </c>
      <c r="E2404" s="12">
        <v>3.4000000000000002E-2</v>
      </c>
      <c r="F2404" s="12">
        <v>-1.78E-2</v>
      </c>
      <c r="G2404" s="12">
        <v>-1.6449999999999999E-2</v>
      </c>
      <c r="H2404" s="12">
        <v>-1.6899999999999998E-2</v>
      </c>
      <c r="I2404" s="12">
        <v>3.9600000000000003E-2</v>
      </c>
      <c r="J2404" s="9" t="s">
        <v>412</v>
      </c>
      <c r="K2404" s="9" t="s">
        <v>604</v>
      </c>
    </row>
    <row r="2405" spans="1:11" ht="28.8">
      <c r="A2405" s="9" t="s">
        <v>682</v>
      </c>
      <c r="B2405" s="9" t="s">
        <v>665</v>
      </c>
      <c r="C2405" s="9" t="s">
        <v>675</v>
      </c>
      <c r="D2405" s="12">
        <v>0.06</v>
      </c>
      <c r="E2405" s="12">
        <v>1.1000000000000001E-3</v>
      </c>
      <c r="F2405" s="12">
        <v>5.5599999999999997E-2</v>
      </c>
      <c r="G2405" s="12">
        <v>3.0549999999999997E-2</v>
      </c>
      <c r="H2405" s="12">
        <v>3.8899999999999997E-2</v>
      </c>
      <c r="I2405" s="12">
        <v>3.8899999999999997E-2</v>
      </c>
      <c r="J2405" s="9" t="s">
        <v>412</v>
      </c>
      <c r="K2405" s="9" t="s">
        <v>654</v>
      </c>
    </row>
    <row r="2406" spans="1:11" ht="28.8">
      <c r="A2406" s="9" t="s">
        <v>682</v>
      </c>
      <c r="B2406" s="9" t="s">
        <v>686</v>
      </c>
      <c r="C2406" s="9" t="s">
        <v>664</v>
      </c>
      <c r="D2406" s="12">
        <v>-0.08</v>
      </c>
      <c r="E2406" s="12">
        <v>-1.6400000000000001E-2</v>
      </c>
      <c r="F2406" s="12">
        <v>-2.01E-2</v>
      </c>
      <c r="G2406" s="12">
        <v>-4.82E-2</v>
      </c>
      <c r="H2406" s="12">
        <v>-3.8899999999999997E-2</v>
      </c>
      <c r="I2406" s="12">
        <v>3.8899999999999997E-2</v>
      </c>
      <c r="J2406" s="9" t="s">
        <v>412</v>
      </c>
      <c r="K2406" s="9" t="s">
        <v>604</v>
      </c>
    </row>
    <row r="2407" spans="1:11" ht="28.8">
      <c r="A2407" s="9" t="s">
        <v>609</v>
      </c>
      <c r="B2407" s="9" t="s">
        <v>668</v>
      </c>
      <c r="C2407" s="9" t="s">
        <v>677</v>
      </c>
      <c r="D2407" s="12">
        <v>-6.1400000000000003E-2</v>
      </c>
      <c r="E2407" s="12">
        <v>-4.02E-2</v>
      </c>
      <c r="F2407" s="12">
        <v>1.4800000000000001E-2</v>
      </c>
      <c r="G2407" s="12">
        <v>-5.0799999999999998E-2</v>
      </c>
      <c r="H2407" s="12">
        <v>-2.8899999999999999E-2</v>
      </c>
      <c r="I2407" s="12">
        <v>3.8800000000000001E-2</v>
      </c>
      <c r="J2407" s="9" t="s">
        <v>412</v>
      </c>
      <c r="K2407" s="9" t="s">
        <v>604</v>
      </c>
    </row>
    <row r="2408" spans="1:11" ht="28.8">
      <c r="A2408" s="9" t="s">
        <v>671</v>
      </c>
      <c r="B2408" s="9" t="s">
        <v>668</v>
      </c>
      <c r="C2408" s="9" t="s">
        <v>677</v>
      </c>
      <c r="D2408" s="12">
        <v>6.8900000000000003E-2</v>
      </c>
      <c r="E2408" s="12">
        <v>-3.2099999999999997E-2</v>
      </c>
      <c r="F2408" s="12">
        <v>1.4800000000000001E-2</v>
      </c>
      <c r="G2408" s="12">
        <v>1.8400000000000003E-2</v>
      </c>
      <c r="H2408" s="12">
        <v>1.72E-2</v>
      </c>
      <c r="I2408" s="12">
        <v>3.8600000000000002E-2</v>
      </c>
      <c r="J2408" s="9" t="s">
        <v>412</v>
      </c>
      <c r="K2408" s="9" t="s">
        <v>604</v>
      </c>
    </row>
    <row r="2409" spans="1:11">
      <c r="A2409" s="9" t="s">
        <v>610</v>
      </c>
      <c r="B2409" s="9" t="s">
        <v>678</v>
      </c>
      <c r="C2409" s="9" t="s">
        <v>667</v>
      </c>
      <c r="D2409" s="12">
        <v>6.1800000000000001E-2</v>
      </c>
      <c r="E2409" s="12">
        <v>3.4000000000000002E-2</v>
      </c>
      <c r="F2409" s="12">
        <v>-2.01E-2</v>
      </c>
      <c r="G2409" s="12">
        <v>4.7899999999999998E-2</v>
      </c>
      <c r="H2409" s="12">
        <v>2.52E-2</v>
      </c>
      <c r="I2409" s="12">
        <v>3.8600000000000002E-2</v>
      </c>
      <c r="J2409" s="9" t="s">
        <v>412</v>
      </c>
      <c r="K2409" s="9" t="s">
        <v>604</v>
      </c>
    </row>
    <row r="2410" spans="1:11" ht="28.8">
      <c r="A2410" s="9" t="s">
        <v>662</v>
      </c>
      <c r="B2410" s="9" t="s">
        <v>672</v>
      </c>
      <c r="C2410" s="9" t="s">
        <v>677</v>
      </c>
      <c r="D2410" s="12">
        <v>1.2200000000000001E-2</v>
      </c>
      <c r="E2410" s="12">
        <v>1.0999999999999999E-2</v>
      </c>
      <c r="F2410" s="12">
        <v>9.2299999999999993E-2</v>
      </c>
      <c r="G2410" s="12">
        <v>1.1599999999999999E-2</v>
      </c>
      <c r="H2410" s="12">
        <v>3.85E-2</v>
      </c>
      <c r="I2410" s="12">
        <v>3.85E-2</v>
      </c>
      <c r="J2410" s="9" t="s">
        <v>412</v>
      </c>
      <c r="K2410" s="9" t="s">
        <v>654</v>
      </c>
    </row>
    <row r="2411" spans="1:11" ht="28.8">
      <c r="A2411" s="9" t="s">
        <v>679</v>
      </c>
      <c r="B2411" s="9" t="s">
        <v>602</v>
      </c>
      <c r="C2411" s="9" t="s">
        <v>659</v>
      </c>
      <c r="D2411" s="12">
        <v>-6.4799999999999996E-2</v>
      </c>
      <c r="E2411" s="12">
        <v>-2.3400000000000001E-2</v>
      </c>
      <c r="F2411" s="12">
        <v>-2.64E-2</v>
      </c>
      <c r="G2411" s="12">
        <v>-4.41E-2</v>
      </c>
      <c r="H2411" s="12">
        <v>-3.8199999999999998E-2</v>
      </c>
      <c r="I2411" s="12">
        <v>3.8199999999999998E-2</v>
      </c>
      <c r="J2411" s="9" t="s">
        <v>412</v>
      </c>
      <c r="K2411" s="9" t="s">
        <v>604</v>
      </c>
    </row>
    <row r="2412" spans="1:11" ht="28.8">
      <c r="A2412" s="9" t="s">
        <v>609</v>
      </c>
      <c r="B2412" s="9" t="s">
        <v>687</v>
      </c>
      <c r="C2412" s="9" t="s">
        <v>690</v>
      </c>
      <c r="D2412" s="12">
        <v>4.9799999999999997E-2</v>
      </c>
      <c r="E2412" s="12">
        <v>-4.5400000000000003E-2</v>
      </c>
      <c r="F2412" s="12">
        <v>-1.78E-2</v>
      </c>
      <c r="G2412" s="12">
        <v>2.1999999999999971E-3</v>
      </c>
      <c r="H2412" s="12">
        <v>-4.4999999999999997E-3</v>
      </c>
      <c r="I2412" s="12">
        <v>3.7699999999999997E-2</v>
      </c>
      <c r="J2412" s="9" t="s">
        <v>412</v>
      </c>
      <c r="K2412" s="9" t="s">
        <v>604</v>
      </c>
    </row>
    <row r="2413" spans="1:11">
      <c r="A2413" s="9" t="s">
        <v>682</v>
      </c>
      <c r="B2413" s="9" t="s">
        <v>686</v>
      </c>
      <c r="C2413" s="9" t="s">
        <v>656</v>
      </c>
      <c r="D2413" s="12">
        <v>-1.9900000000000001E-2</v>
      </c>
      <c r="E2413" s="12">
        <v>-1.6400000000000001E-2</v>
      </c>
      <c r="F2413" s="12">
        <v>7.6300000000000007E-2</v>
      </c>
      <c r="G2413" s="12">
        <v>-1.8149999999999999E-2</v>
      </c>
      <c r="H2413" s="12">
        <v>1.3299999999999999E-2</v>
      </c>
      <c r="I2413" s="12">
        <v>3.7600000000000001E-2</v>
      </c>
      <c r="J2413" s="9" t="s">
        <v>412</v>
      </c>
      <c r="K2413" s="9" t="s">
        <v>604</v>
      </c>
    </row>
    <row r="2414" spans="1:11" ht="28.8">
      <c r="A2414" s="9" t="s">
        <v>662</v>
      </c>
      <c r="B2414" s="9" t="s">
        <v>691</v>
      </c>
      <c r="C2414" s="9" t="s">
        <v>690</v>
      </c>
      <c r="D2414" s="12">
        <v>-3.1300000000000001E-2</v>
      </c>
      <c r="E2414" s="12">
        <v>7.0099999999999996E-2</v>
      </c>
      <c r="F2414" s="12">
        <v>1.0800000000000001E-2</v>
      </c>
      <c r="G2414" s="12">
        <v>1.9399999999999997E-2</v>
      </c>
      <c r="H2414" s="12">
        <v>1.6500000000000001E-2</v>
      </c>
      <c r="I2414" s="12">
        <v>3.7400000000000003E-2</v>
      </c>
      <c r="J2414" s="9" t="s">
        <v>412</v>
      </c>
      <c r="K2414" s="9" t="s">
        <v>604</v>
      </c>
    </row>
    <row r="2415" spans="1:11" ht="28.8">
      <c r="A2415" s="9" t="s">
        <v>682</v>
      </c>
      <c r="B2415" s="9" t="s">
        <v>672</v>
      </c>
      <c r="C2415" s="9" t="s">
        <v>690</v>
      </c>
      <c r="D2415" s="12">
        <v>-7.1099999999999997E-2</v>
      </c>
      <c r="E2415" s="12">
        <v>-2.86E-2</v>
      </c>
      <c r="F2415" s="12">
        <v>1.11E-2</v>
      </c>
      <c r="G2415" s="12">
        <v>-4.9849999999999998E-2</v>
      </c>
      <c r="H2415" s="12">
        <v>-2.9499999999999998E-2</v>
      </c>
      <c r="I2415" s="12">
        <v>3.6900000000000002E-2</v>
      </c>
      <c r="J2415" s="9" t="s">
        <v>412</v>
      </c>
      <c r="K2415" s="9" t="s">
        <v>604</v>
      </c>
    </row>
    <row r="2416" spans="1:11" ht="28.8">
      <c r="A2416" s="9" t="s">
        <v>662</v>
      </c>
      <c r="B2416" s="9" t="s">
        <v>657</v>
      </c>
      <c r="C2416" s="9" t="s">
        <v>690</v>
      </c>
      <c r="D2416" s="12">
        <v>-3.1300000000000001E-2</v>
      </c>
      <c r="E2416" s="12">
        <v>4.3299999999999998E-2</v>
      </c>
      <c r="F2416" s="12">
        <v>3.61E-2</v>
      </c>
      <c r="G2416" s="12">
        <v>5.9999999999999984E-3</v>
      </c>
      <c r="H2416" s="12">
        <v>1.6E-2</v>
      </c>
      <c r="I2416" s="12">
        <v>3.6900000000000002E-2</v>
      </c>
      <c r="J2416" s="9" t="s">
        <v>412</v>
      </c>
      <c r="K2416" s="9" t="s">
        <v>604</v>
      </c>
    </row>
    <row r="2417" spans="1:11" ht="28.8">
      <c r="A2417" s="9" t="s">
        <v>610</v>
      </c>
      <c r="B2417" s="9" t="s">
        <v>689</v>
      </c>
      <c r="C2417" s="9" t="s">
        <v>666</v>
      </c>
      <c r="D2417" s="12">
        <v>9.5000000000000001E-2</v>
      </c>
      <c r="E2417" s="12">
        <v>-1.21E-2</v>
      </c>
      <c r="F2417" s="12">
        <v>3.5000000000000001E-3</v>
      </c>
      <c r="G2417" s="12">
        <v>4.1450000000000001E-2</v>
      </c>
      <c r="H2417" s="12">
        <v>2.8799999999999999E-2</v>
      </c>
      <c r="I2417" s="12">
        <v>3.6799999999999999E-2</v>
      </c>
      <c r="J2417" s="9" t="s">
        <v>412</v>
      </c>
      <c r="K2417" s="9" t="s">
        <v>604</v>
      </c>
    </row>
    <row r="2418" spans="1:11" ht="28.8">
      <c r="A2418" s="9" t="s">
        <v>609</v>
      </c>
      <c r="B2418" s="9" t="s">
        <v>658</v>
      </c>
      <c r="C2418" s="9" t="s">
        <v>677</v>
      </c>
      <c r="D2418" s="12">
        <v>-6.1400000000000003E-2</v>
      </c>
      <c r="E2418" s="12">
        <v>1.5599999999999999E-2</v>
      </c>
      <c r="F2418" s="12">
        <v>-3.3099999999999997E-2</v>
      </c>
      <c r="G2418" s="12">
        <v>-2.2900000000000004E-2</v>
      </c>
      <c r="H2418" s="12">
        <v>-2.63E-2</v>
      </c>
      <c r="I2418" s="12">
        <v>3.6700000000000003E-2</v>
      </c>
      <c r="J2418" s="9" t="s">
        <v>412</v>
      </c>
      <c r="K2418" s="9" t="s">
        <v>604</v>
      </c>
    </row>
    <row r="2419" spans="1:11" ht="28.8">
      <c r="A2419" s="9" t="s">
        <v>609</v>
      </c>
      <c r="B2419" s="9" t="s">
        <v>691</v>
      </c>
      <c r="C2419" s="9" t="s">
        <v>690</v>
      </c>
      <c r="D2419" s="12">
        <v>4.9799999999999997E-2</v>
      </c>
      <c r="E2419" s="12">
        <v>4.9399999999999999E-2</v>
      </c>
      <c r="F2419" s="12">
        <v>1.0800000000000001E-2</v>
      </c>
      <c r="G2419" s="12">
        <v>4.9599999999999998E-2</v>
      </c>
      <c r="H2419" s="12">
        <v>3.6600000000000001E-2</v>
      </c>
      <c r="I2419" s="12">
        <v>3.6600000000000001E-2</v>
      </c>
      <c r="J2419" s="9" t="s">
        <v>412</v>
      </c>
      <c r="K2419" s="9" t="s">
        <v>654</v>
      </c>
    </row>
    <row r="2420" spans="1:11" ht="28.8">
      <c r="A2420" s="9" t="s">
        <v>671</v>
      </c>
      <c r="B2420" s="9" t="s">
        <v>668</v>
      </c>
      <c r="C2420" s="9" t="s">
        <v>666</v>
      </c>
      <c r="D2420" s="12">
        <v>1.34E-2</v>
      </c>
      <c r="E2420" s="12">
        <v>-3.2099999999999997E-2</v>
      </c>
      <c r="F2420" s="12">
        <v>-6.4299999999999996E-2</v>
      </c>
      <c r="G2420" s="12">
        <v>-9.3499999999999972E-3</v>
      </c>
      <c r="H2420" s="12">
        <v>-2.7699999999999999E-2</v>
      </c>
      <c r="I2420" s="12">
        <v>3.6600000000000001E-2</v>
      </c>
      <c r="J2420" s="9" t="s">
        <v>412</v>
      </c>
      <c r="K2420" s="9" t="s">
        <v>604</v>
      </c>
    </row>
    <row r="2421" spans="1:11">
      <c r="A2421" s="9" t="s">
        <v>682</v>
      </c>
      <c r="B2421" s="9" t="s">
        <v>672</v>
      </c>
      <c r="C2421" s="9" t="s">
        <v>656</v>
      </c>
      <c r="D2421" s="12">
        <v>-1.9900000000000001E-2</v>
      </c>
      <c r="E2421" s="12">
        <v>-2.86E-2</v>
      </c>
      <c r="F2421" s="12">
        <v>6.0400000000000002E-2</v>
      </c>
      <c r="G2421" s="12">
        <v>-2.4250000000000001E-2</v>
      </c>
      <c r="H2421" s="12">
        <v>4.0000000000000001E-3</v>
      </c>
      <c r="I2421" s="12">
        <v>3.6299999999999999E-2</v>
      </c>
      <c r="J2421" s="9" t="s">
        <v>412</v>
      </c>
      <c r="K2421" s="9" t="s">
        <v>604</v>
      </c>
    </row>
    <row r="2422" spans="1:11" ht="28.8">
      <c r="A2422" s="9" t="s">
        <v>661</v>
      </c>
      <c r="B2422" s="9" t="s">
        <v>602</v>
      </c>
      <c r="C2422" s="9" t="s">
        <v>664</v>
      </c>
      <c r="D2422" s="12">
        <v>-2.4199999999999999E-2</v>
      </c>
      <c r="E2422" s="12">
        <v>2.06E-2</v>
      </c>
      <c r="F2422" s="12">
        <v>6.3899999999999998E-2</v>
      </c>
      <c r="G2422" s="12">
        <v>-1.7999999999999995E-3</v>
      </c>
      <c r="H2422" s="12">
        <v>2.01E-2</v>
      </c>
      <c r="I2422" s="12">
        <v>3.6200000000000003E-2</v>
      </c>
      <c r="J2422" s="9" t="s">
        <v>412</v>
      </c>
      <c r="K2422" s="9" t="s">
        <v>604</v>
      </c>
    </row>
    <row r="2423" spans="1:11" ht="28.8">
      <c r="A2423" s="9" t="s">
        <v>610</v>
      </c>
      <c r="B2423" s="9" t="s">
        <v>613</v>
      </c>
      <c r="C2423" s="9" t="s">
        <v>675</v>
      </c>
      <c r="D2423" s="12">
        <v>-2.1399999999999999E-2</v>
      </c>
      <c r="E2423" s="12">
        <v>8.9999999999999993E-3</v>
      </c>
      <c r="F2423" s="12">
        <v>7.7100000000000002E-2</v>
      </c>
      <c r="G2423" s="12">
        <v>-6.1999999999999998E-3</v>
      </c>
      <c r="H2423" s="12">
        <v>2.1600000000000001E-2</v>
      </c>
      <c r="I2423" s="12">
        <v>3.5799999999999998E-2</v>
      </c>
      <c r="J2423" s="9" t="s">
        <v>412</v>
      </c>
      <c r="K2423" s="9" t="s">
        <v>604</v>
      </c>
    </row>
    <row r="2424" spans="1:11" ht="28.8">
      <c r="A2424" s="9" t="s">
        <v>610</v>
      </c>
      <c r="B2424" s="9" t="s">
        <v>678</v>
      </c>
      <c r="C2424" s="9" t="s">
        <v>675</v>
      </c>
      <c r="D2424" s="12">
        <v>-2.1399999999999999E-2</v>
      </c>
      <c r="E2424" s="12">
        <v>3.4000000000000002E-2</v>
      </c>
      <c r="F2424" s="12">
        <v>-5.0299999999999997E-2</v>
      </c>
      <c r="G2424" s="12">
        <v>6.3000000000000018E-3</v>
      </c>
      <c r="H2424" s="12">
        <v>-1.26E-2</v>
      </c>
      <c r="I2424" s="12">
        <v>3.5200000000000002E-2</v>
      </c>
      <c r="J2424" s="9" t="s">
        <v>412</v>
      </c>
      <c r="K2424" s="9" t="s">
        <v>604</v>
      </c>
    </row>
    <row r="2425" spans="1:11" ht="28.8">
      <c r="A2425" s="9" t="s">
        <v>671</v>
      </c>
      <c r="B2425" s="9" t="s">
        <v>680</v>
      </c>
      <c r="C2425" s="9" t="s">
        <v>677</v>
      </c>
      <c r="D2425" s="12">
        <v>6.8900000000000003E-2</v>
      </c>
      <c r="E2425" s="12">
        <v>-1.24E-2</v>
      </c>
      <c r="F2425" s="12">
        <v>2.41E-2</v>
      </c>
      <c r="G2425" s="12">
        <v>2.8250000000000001E-2</v>
      </c>
      <c r="H2425" s="12">
        <v>2.69E-2</v>
      </c>
      <c r="I2425" s="12">
        <v>3.5200000000000002E-2</v>
      </c>
      <c r="J2425" s="9" t="s">
        <v>412</v>
      </c>
      <c r="K2425" s="9" t="s">
        <v>604</v>
      </c>
    </row>
    <row r="2426" spans="1:11" ht="28.8">
      <c r="A2426" s="9" t="s">
        <v>671</v>
      </c>
      <c r="B2426" s="9" t="s">
        <v>613</v>
      </c>
      <c r="C2426" s="9" t="s">
        <v>666</v>
      </c>
      <c r="D2426" s="12">
        <v>1.34E-2</v>
      </c>
      <c r="E2426" s="12">
        <v>3.5900000000000001E-2</v>
      </c>
      <c r="F2426" s="12">
        <v>5.6399999999999999E-2</v>
      </c>
      <c r="G2426" s="12">
        <v>2.4650000000000002E-2</v>
      </c>
      <c r="H2426" s="12">
        <v>3.5200000000000002E-2</v>
      </c>
      <c r="I2426" s="12">
        <v>3.5200000000000002E-2</v>
      </c>
      <c r="J2426" s="9" t="s">
        <v>412</v>
      </c>
      <c r="K2426" s="9" t="s">
        <v>654</v>
      </c>
    </row>
    <row r="2427" spans="1:11" ht="28.8">
      <c r="A2427" s="9" t="s">
        <v>609</v>
      </c>
      <c r="B2427" s="9" t="s">
        <v>676</v>
      </c>
      <c r="C2427" s="9" t="s">
        <v>664</v>
      </c>
      <c r="D2427" s="12">
        <v>-6.5699999999999995E-2</v>
      </c>
      <c r="E2427" s="12">
        <v>-3.9E-2</v>
      </c>
      <c r="F2427" s="12">
        <v>-2.9999999999999997E-4</v>
      </c>
      <c r="G2427" s="12">
        <v>-5.2349999999999994E-2</v>
      </c>
      <c r="H2427" s="12">
        <v>-3.5000000000000003E-2</v>
      </c>
      <c r="I2427" s="12">
        <v>3.5000000000000003E-2</v>
      </c>
      <c r="J2427" s="9" t="s">
        <v>412</v>
      </c>
      <c r="K2427" s="9" t="s">
        <v>604</v>
      </c>
    </row>
    <row r="2428" spans="1:11" ht="28.8">
      <c r="A2428" s="9" t="s">
        <v>609</v>
      </c>
      <c r="B2428" s="9" t="s">
        <v>685</v>
      </c>
      <c r="C2428" s="9" t="s">
        <v>677</v>
      </c>
      <c r="D2428" s="12">
        <v>-6.1400000000000003E-2</v>
      </c>
      <c r="E2428" s="12">
        <v>3.8399999999999997E-2</v>
      </c>
      <c r="F2428" s="12">
        <v>4.1999999999999997E-3</v>
      </c>
      <c r="G2428" s="12">
        <v>-1.1500000000000003E-2</v>
      </c>
      <c r="H2428" s="12">
        <v>-6.3E-3</v>
      </c>
      <c r="I2428" s="12">
        <v>3.4700000000000002E-2</v>
      </c>
      <c r="J2428" s="9" t="s">
        <v>412</v>
      </c>
      <c r="K2428" s="9" t="s">
        <v>604</v>
      </c>
    </row>
    <row r="2429" spans="1:11" ht="28.8">
      <c r="A2429" s="9" t="s">
        <v>682</v>
      </c>
      <c r="B2429" s="9" t="s">
        <v>680</v>
      </c>
      <c r="C2429" s="9" t="s">
        <v>677</v>
      </c>
      <c r="D2429" s="12">
        <v>1.23E-2</v>
      </c>
      <c r="E2429" s="12">
        <v>6.7000000000000004E-2</v>
      </c>
      <c r="F2429" s="12">
        <v>2.41E-2</v>
      </c>
      <c r="G2429" s="12">
        <v>3.9650000000000005E-2</v>
      </c>
      <c r="H2429" s="12">
        <v>3.4500000000000003E-2</v>
      </c>
      <c r="I2429" s="12">
        <v>3.4500000000000003E-2</v>
      </c>
      <c r="J2429" s="9" t="s">
        <v>412</v>
      </c>
      <c r="K2429" s="9" t="s">
        <v>654</v>
      </c>
    </row>
    <row r="2430" spans="1:11" ht="28.8">
      <c r="A2430" s="9" t="s">
        <v>661</v>
      </c>
      <c r="B2430" s="9" t="s">
        <v>681</v>
      </c>
      <c r="C2430" s="9" t="s">
        <v>667</v>
      </c>
      <c r="D2430" s="12">
        <v>5.3600000000000002E-2</v>
      </c>
      <c r="E2430" s="12">
        <v>2.3900000000000001E-2</v>
      </c>
      <c r="F2430" s="12">
        <v>2.58E-2</v>
      </c>
      <c r="G2430" s="12">
        <v>3.875E-2</v>
      </c>
      <c r="H2430" s="12">
        <v>3.44E-2</v>
      </c>
      <c r="I2430" s="12">
        <v>3.44E-2</v>
      </c>
      <c r="J2430" s="9" t="s">
        <v>412</v>
      </c>
      <c r="K2430" s="9" t="s">
        <v>654</v>
      </c>
    </row>
    <row r="2431" spans="1:11" ht="28.8">
      <c r="A2431" s="9" t="s">
        <v>662</v>
      </c>
      <c r="B2431" s="9" t="s">
        <v>687</v>
      </c>
      <c r="C2431" s="9" t="s">
        <v>690</v>
      </c>
      <c r="D2431" s="12">
        <v>-3.1300000000000001E-2</v>
      </c>
      <c r="E2431" s="12">
        <v>-5.4199999999999998E-2</v>
      </c>
      <c r="F2431" s="12">
        <v>-1.78E-2</v>
      </c>
      <c r="G2431" s="12">
        <v>-4.2749999999999996E-2</v>
      </c>
      <c r="H2431" s="12">
        <v>-3.44E-2</v>
      </c>
      <c r="I2431" s="12">
        <v>3.44E-2</v>
      </c>
      <c r="J2431" s="9" t="s">
        <v>412</v>
      </c>
      <c r="K2431" s="9" t="s">
        <v>604</v>
      </c>
    </row>
    <row r="2432" spans="1:11" ht="28.8">
      <c r="A2432" s="9" t="s">
        <v>682</v>
      </c>
      <c r="B2432" s="9" t="s">
        <v>613</v>
      </c>
      <c r="C2432" s="9" t="s">
        <v>674</v>
      </c>
      <c r="D2432" s="12">
        <v>4.1999999999999997E-3</v>
      </c>
      <c r="E2432" s="12">
        <v>-1.2999999999999999E-2</v>
      </c>
      <c r="F2432" s="12">
        <v>-8.48E-2</v>
      </c>
      <c r="G2432" s="12">
        <v>-4.3999999999999994E-3</v>
      </c>
      <c r="H2432" s="12">
        <v>-3.1199999999999999E-2</v>
      </c>
      <c r="I2432" s="12">
        <v>3.4000000000000002E-2</v>
      </c>
      <c r="J2432" s="9" t="s">
        <v>412</v>
      </c>
      <c r="K2432" s="9" t="s">
        <v>604</v>
      </c>
    </row>
    <row r="2433" spans="1:11" ht="28.8">
      <c r="A2433" s="9" t="s">
        <v>661</v>
      </c>
      <c r="B2433" s="9" t="s">
        <v>680</v>
      </c>
      <c r="C2433" s="9" t="s">
        <v>677</v>
      </c>
      <c r="D2433" s="12">
        <v>2.5700000000000001E-2</v>
      </c>
      <c r="E2433" s="12">
        <v>5.1799999999999999E-2</v>
      </c>
      <c r="F2433" s="12">
        <v>2.41E-2</v>
      </c>
      <c r="G2433" s="12">
        <v>3.875E-2</v>
      </c>
      <c r="H2433" s="12">
        <v>3.39E-2</v>
      </c>
      <c r="I2433" s="12">
        <v>3.39E-2</v>
      </c>
      <c r="J2433" s="9" t="s">
        <v>412</v>
      </c>
      <c r="K2433" s="9" t="s">
        <v>654</v>
      </c>
    </row>
    <row r="2434" spans="1:11" ht="28.8">
      <c r="A2434" s="9" t="s">
        <v>662</v>
      </c>
      <c r="B2434" s="9" t="s">
        <v>687</v>
      </c>
      <c r="C2434" s="9" t="s">
        <v>677</v>
      </c>
      <c r="D2434" s="12">
        <v>1.2200000000000001E-2</v>
      </c>
      <c r="E2434" s="12">
        <v>-5.4199999999999998E-2</v>
      </c>
      <c r="F2434" s="12">
        <v>3.4500000000000003E-2</v>
      </c>
      <c r="G2434" s="12">
        <v>-2.0999999999999998E-2</v>
      </c>
      <c r="H2434" s="12">
        <v>-2.5000000000000001E-3</v>
      </c>
      <c r="I2434" s="12">
        <v>3.3599999999999998E-2</v>
      </c>
      <c r="J2434" s="9" t="s">
        <v>412</v>
      </c>
      <c r="K2434" s="9" t="s">
        <v>604</v>
      </c>
    </row>
    <row r="2435" spans="1:11" ht="28.8">
      <c r="A2435" s="9" t="s">
        <v>682</v>
      </c>
      <c r="B2435" s="9" t="s">
        <v>658</v>
      </c>
      <c r="C2435" s="9" t="s">
        <v>677</v>
      </c>
      <c r="D2435" s="12">
        <v>1.23E-2</v>
      </c>
      <c r="E2435" s="12">
        <v>-5.5500000000000001E-2</v>
      </c>
      <c r="F2435" s="12">
        <v>-3.3099999999999997E-2</v>
      </c>
      <c r="G2435" s="12">
        <v>-2.1600000000000001E-2</v>
      </c>
      <c r="H2435" s="12">
        <v>-2.5399999999999999E-2</v>
      </c>
      <c r="I2435" s="12">
        <v>3.3599999999999998E-2</v>
      </c>
      <c r="J2435" s="9" t="s">
        <v>412</v>
      </c>
      <c r="K2435" s="9" t="s">
        <v>604</v>
      </c>
    </row>
    <row r="2436" spans="1:11" ht="28.8">
      <c r="A2436" s="9" t="s">
        <v>682</v>
      </c>
      <c r="B2436" s="9" t="s">
        <v>686</v>
      </c>
      <c r="C2436" s="9" t="s">
        <v>675</v>
      </c>
      <c r="D2436" s="12">
        <v>0.06</v>
      </c>
      <c r="E2436" s="12">
        <v>-1.6400000000000001E-2</v>
      </c>
      <c r="F2436" s="12">
        <v>-2.41E-2</v>
      </c>
      <c r="G2436" s="12">
        <v>2.18E-2</v>
      </c>
      <c r="H2436" s="12">
        <v>6.4999999999999997E-3</v>
      </c>
      <c r="I2436" s="12">
        <v>3.3500000000000002E-2</v>
      </c>
      <c r="J2436" s="9" t="s">
        <v>412</v>
      </c>
      <c r="K2436" s="9" t="s">
        <v>604</v>
      </c>
    </row>
    <row r="2437" spans="1:11">
      <c r="A2437" s="9" t="s">
        <v>682</v>
      </c>
      <c r="B2437" s="9" t="s">
        <v>669</v>
      </c>
      <c r="C2437" s="9" t="s">
        <v>667</v>
      </c>
      <c r="D2437" s="12">
        <v>-0.02</v>
      </c>
      <c r="E2437" s="12">
        <v>-1.46E-2</v>
      </c>
      <c r="F2437" s="12">
        <v>6.4399999999999999E-2</v>
      </c>
      <c r="G2437" s="12">
        <v>-1.7299999999999999E-2</v>
      </c>
      <c r="H2437" s="12">
        <v>0.01</v>
      </c>
      <c r="I2437" s="12">
        <v>3.3000000000000002E-2</v>
      </c>
      <c r="J2437" s="9" t="s">
        <v>412</v>
      </c>
      <c r="K2437" s="9" t="s">
        <v>604</v>
      </c>
    </row>
    <row r="2438" spans="1:11" ht="28.8">
      <c r="A2438" s="9" t="s">
        <v>682</v>
      </c>
      <c r="B2438" s="9" t="s">
        <v>686</v>
      </c>
      <c r="C2438" s="9" t="s">
        <v>674</v>
      </c>
      <c r="D2438" s="12">
        <v>4.1999999999999997E-3</v>
      </c>
      <c r="E2438" s="12">
        <v>-1.6400000000000001E-2</v>
      </c>
      <c r="F2438" s="12">
        <v>7.6300000000000007E-2</v>
      </c>
      <c r="G2438" s="12">
        <v>-6.1000000000000013E-3</v>
      </c>
      <c r="H2438" s="12">
        <v>2.1299999999999999E-2</v>
      </c>
      <c r="I2438" s="12">
        <v>3.2300000000000002E-2</v>
      </c>
      <c r="J2438" s="9" t="s">
        <v>412</v>
      </c>
      <c r="K2438" s="9" t="s">
        <v>604</v>
      </c>
    </row>
    <row r="2439" spans="1:11" ht="28.8">
      <c r="A2439" s="9" t="s">
        <v>682</v>
      </c>
      <c r="B2439" s="9" t="s">
        <v>665</v>
      </c>
      <c r="C2439" s="9" t="s">
        <v>683</v>
      </c>
      <c r="D2439" s="12">
        <v>-8.5099999999999995E-2</v>
      </c>
      <c r="E2439" s="12">
        <v>1.1000000000000001E-3</v>
      </c>
      <c r="F2439" s="12">
        <v>1.03E-2</v>
      </c>
      <c r="G2439" s="12">
        <v>-4.1999999999999996E-2</v>
      </c>
      <c r="H2439" s="12">
        <v>-2.46E-2</v>
      </c>
      <c r="I2439" s="12">
        <v>3.2199999999999999E-2</v>
      </c>
      <c r="J2439" s="9" t="s">
        <v>412</v>
      </c>
      <c r="K2439" s="9" t="s">
        <v>604</v>
      </c>
    </row>
    <row r="2440" spans="1:11" ht="28.8">
      <c r="A2440" s="9" t="s">
        <v>609</v>
      </c>
      <c r="B2440" s="9" t="s">
        <v>686</v>
      </c>
      <c r="C2440" s="9" t="s">
        <v>664</v>
      </c>
      <c r="D2440" s="12">
        <v>-6.5699999999999995E-2</v>
      </c>
      <c r="E2440" s="12">
        <v>-8.5000000000000006E-3</v>
      </c>
      <c r="F2440" s="12">
        <v>-2.01E-2</v>
      </c>
      <c r="G2440" s="12">
        <v>-3.7099999999999994E-2</v>
      </c>
      <c r="H2440" s="12">
        <v>-3.1399999999999997E-2</v>
      </c>
      <c r="I2440" s="12">
        <v>3.1399999999999997E-2</v>
      </c>
      <c r="J2440" s="9" t="s">
        <v>412</v>
      </c>
      <c r="K2440" s="9" t="s">
        <v>604</v>
      </c>
    </row>
    <row r="2441" spans="1:11" ht="28.8">
      <c r="A2441" s="9" t="s">
        <v>661</v>
      </c>
      <c r="B2441" s="9" t="s">
        <v>691</v>
      </c>
      <c r="C2441" s="9" t="s">
        <v>690</v>
      </c>
      <c r="D2441" s="12">
        <v>3.3700000000000001E-2</v>
      </c>
      <c r="E2441" s="12">
        <v>4.9000000000000002E-2</v>
      </c>
      <c r="F2441" s="12">
        <v>1.0800000000000001E-2</v>
      </c>
      <c r="G2441" s="12">
        <v>4.1349999999999998E-2</v>
      </c>
      <c r="H2441" s="12">
        <v>3.1199999999999999E-2</v>
      </c>
      <c r="I2441" s="12">
        <v>3.1199999999999999E-2</v>
      </c>
      <c r="J2441" s="9" t="s">
        <v>412</v>
      </c>
      <c r="K2441" s="9" t="s">
        <v>654</v>
      </c>
    </row>
    <row r="2442" spans="1:11" ht="28.8">
      <c r="A2442" s="9" t="s">
        <v>609</v>
      </c>
      <c r="B2442" s="9" t="s">
        <v>686</v>
      </c>
      <c r="C2442" s="9" t="s">
        <v>674</v>
      </c>
      <c r="D2442" s="12">
        <v>-8.6999999999999994E-3</v>
      </c>
      <c r="E2442" s="12">
        <v>-8.5000000000000006E-3</v>
      </c>
      <c r="F2442" s="12">
        <v>7.6300000000000007E-2</v>
      </c>
      <c r="G2442" s="12">
        <v>-8.6E-3</v>
      </c>
      <c r="H2442" s="12">
        <v>1.9699999999999999E-2</v>
      </c>
      <c r="I2442" s="12">
        <v>3.1099999999999999E-2</v>
      </c>
      <c r="J2442" s="9" t="s">
        <v>412</v>
      </c>
      <c r="K2442" s="9" t="s">
        <v>604</v>
      </c>
    </row>
    <row r="2443" spans="1:11" ht="28.8">
      <c r="A2443" s="9" t="s">
        <v>679</v>
      </c>
      <c r="B2443" s="9" t="s">
        <v>602</v>
      </c>
      <c r="C2443" s="9" t="s">
        <v>690</v>
      </c>
      <c r="D2443" s="12">
        <v>-6.6900000000000001E-2</v>
      </c>
      <c r="E2443" s="12">
        <v>-2.3400000000000001E-2</v>
      </c>
      <c r="F2443" s="12">
        <v>1.9E-3</v>
      </c>
      <c r="G2443" s="12">
        <v>-4.5150000000000003E-2</v>
      </c>
      <c r="H2443" s="12">
        <v>-2.9499999999999998E-2</v>
      </c>
      <c r="I2443" s="12">
        <v>3.0700000000000002E-2</v>
      </c>
      <c r="J2443" s="9" t="s">
        <v>412</v>
      </c>
      <c r="K2443" s="9" t="s">
        <v>604</v>
      </c>
    </row>
    <row r="2444" spans="1:11" ht="28.8">
      <c r="A2444" s="9" t="s">
        <v>661</v>
      </c>
      <c r="B2444" s="9" t="s">
        <v>602</v>
      </c>
      <c r="C2444" s="9" t="s">
        <v>659</v>
      </c>
      <c r="D2444" s="12">
        <v>4.3499999999999997E-2</v>
      </c>
      <c r="E2444" s="12">
        <v>2.06E-2</v>
      </c>
      <c r="F2444" s="12">
        <v>-2.64E-2</v>
      </c>
      <c r="G2444" s="12">
        <v>3.2049999999999995E-2</v>
      </c>
      <c r="H2444" s="12">
        <v>1.26E-2</v>
      </c>
      <c r="I2444" s="12">
        <v>3.0200000000000001E-2</v>
      </c>
      <c r="J2444" s="9" t="s">
        <v>412</v>
      </c>
      <c r="K2444" s="9" t="s">
        <v>604</v>
      </c>
    </row>
    <row r="2445" spans="1:11" ht="28.8">
      <c r="A2445" s="9" t="s">
        <v>610</v>
      </c>
      <c r="B2445" s="9" t="s">
        <v>689</v>
      </c>
      <c r="C2445" s="9" t="s">
        <v>675</v>
      </c>
      <c r="D2445" s="12">
        <v>-2.1399999999999999E-2</v>
      </c>
      <c r="E2445" s="12">
        <v>-1.21E-2</v>
      </c>
      <c r="F2445" s="12">
        <v>5.6300000000000003E-2</v>
      </c>
      <c r="G2445" s="12">
        <v>-1.6750000000000001E-2</v>
      </c>
      <c r="H2445" s="12">
        <v>7.6E-3</v>
      </c>
      <c r="I2445" s="12">
        <v>2.9899999999999999E-2</v>
      </c>
      <c r="J2445" s="9" t="s">
        <v>412</v>
      </c>
      <c r="K2445" s="9" t="s">
        <v>604</v>
      </c>
    </row>
    <row r="2446" spans="1:11" ht="28.8">
      <c r="A2446" s="9" t="s">
        <v>610</v>
      </c>
      <c r="B2446" s="9" t="s">
        <v>687</v>
      </c>
      <c r="C2446" s="9" t="s">
        <v>690</v>
      </c>
      <c r="D2446" s="12">
        <v>-5.8599999999999999E-2</v>
      </c>
      <c r="E2446" s="12">
        <v>1.24E-2</v>
      </c>
      <c r="F2446" s="12">
        <v>-1.78E-2</v>
      </c>
      <c r="G2446" s="12">
        <v>-2.3099999999999999E-2</v>
      </c>
      <c r="H2446" s="12">
        <v>-2.1299999999999999E-2</v>
      </c>
      <c r="I2446" s="12">
        <v>2.9600000000000001E-2</v>
      </c>
      <c r="J2446" s="9" t="s">
        <v>412</v>
      </c>
      <c r="K2446" s="9" t="s">
        <v>604</v>
      </c>
    </row>
    <row r="2447" spans="1:11" ht="28.8">
      <c r="A2447" s="9" t="s">
        <v>603</v>
      </c>
      <c r="B2447" s="9" t="s">
        <v>691</v>
      </c>
      <c r="C2447" s="9" t="s">
        <v>690</v>
      </c>
      <c r="D2447" s="12">
        <v>4.1099999999999998E-2</v>
      </c>
      <c r="E2447" s="12">
        <v>3.3000000000000002E-2</v>
      </c>
      <c r="F2447" s="12">
        <v>1.0800000000000001E-2</v>
      </c>
      <c r="G2447" s="12">
        <v>3.705E-2</v>
      </c>
      <c r="H2447" s="12">
        <v>2.8299999999999999E-2</v>
      </c>
      <c r="I2447" s="12">
        <v>2.8299999999999999E-2</v>
      </c>
      <c r="J2447" s="9" t="s">
        <v>412</v>
      </c>
      <c r="K2447" s="9" t="s">
        <v>654</v>
      </c>
    </row>
    <row r="2448" spans="1:11" ht="28.8">
      <c r="A2448" s="9" t="s">
        <v>682</v>
      </c>
      <c r="B2448" s="9" t="s">
        <v>672</v>
      </c>
      <c r="C2448" s="9" t="s">
        <v>674</v>
      </c>
      <c r="D2448" s="12">
        <v>4.1999999999999997E-3</v>
      </c>
      <c r="E2448" s="12">
        <v>-2.86E-2</v>
      </c>
      <c r="F2448" s="12">
        <v>5.2299999999999999E-2</v>
      </c>
      <c r="G2448" s="12">
        <v>-1.2200000000000001E-2</v>
      </c>
      <c r="H2448" s="12">
        <v>9.2999999999999992E-3</v>
      </c>
      <c r="I2448" s="12">
        <v>2.8299999999999999E-2</v>
      </c>
      <c r="J2448" s="9" t="s">
        <v>412</v>
      </c>
      <c r="K2448" s="9" t="s">
        <v>604</v>
      </c>
    </row>
    <row r="2449" spans="1:11" ht="28.8">
      <c r="A2449" s="9" t="s">
        <v>609</v>
      </c>
      <c r="B2449" s="9" t="s">
        <v>658</v>
      </c>
      <c r="C2449" s="9" t="s">
        <v>690</v>
      </c>
      <c r="D2449" s="12">
        <v>4.9799999999999997E-2</v>
      </c>
      <c r="E2449" s="12">
        <v>1.5599999999999999E-2</v>
      </c>
      <c r="F2449" s="12">
        <v>-1.78E-2</v>
      </c>
      <c r="G2449" s="12">
        <v>3.27E-2</v>
      </c>
      <c r="H2449" s="12">
        <v>1.5900000000000001E-2</v>
      </c>
      <c r="I2449" s="12">
        <v>2.7699999999999999E-2</v>
      </c>
      <c r="J2449" s="9" t="s">
        <v>412</v>
      </c>
      <c r="K2449" s="9" t="s">
        <v>604</v>
      </c>
    </row>
    <row r="2450" spans="1:11" ht="28.8">
      <c r="A2450" s="9" t="s">
        <v>609</v>
      </c>
      <c r="B2450" s="9" t="s">
        <v>668</v>
      </c>
      <c r="C2450" s="9" t="s">
        <v>674</v>
      </c>
      <c r="D2450" s="12">
        <v>-8.6999999999999994E-3</v>
      </c>
      <c r="E2450" s="12">
        <v>-4.02E-2</v>
      </c>
      <c r="F2450" s="12">
        <v>3.4000000000000002E-2</v>
      </c>
      <c r="G2450" s="12">
        <v>-2.445E-2</v>
      </c>
      <c r="H2450" s="12">
        <v>-5.0000000000000001E-3</v>
      </c>
      <c r="I2450" s="12">
        <v>2.76E-2</v>
      </c>
      <c r="J2450" s="9" t="s">
        <v>412</v>
      </c>
      <c r="K2450" s="9" t="s">
        <v>604</v>
      </c>
    </row>
    <row r="2451" spans="1:11" ht="28.8">
      <c r="A2451" s="9" t="s">
        <v>662</v>
      </c>
      <c r="B2451" s="9" t="s">
        <v>668</v>
      </c>
      <c r="C2451" s="9" t="s">
        <v>677</v>
      </c>
      <c r="D2451" s="12">
        <v>1.2200000000000001E-2</v>
      </c>
      <c r="E2451" s="12">
        <v>5.5599999999999997E-2</v>
      </c>
      <c r="F2451" s="12">
        <v>1.4800000000000001E-2</v>
      </c>
      <c r="G2451" s="12">
        <v>3.39E-2</v>
      </c>
      <c r="H2451" s="12">
        <v>2.75E-2</v>
      </c>
      <c r="I2451" s="12">
        <v>2.75E-2</v>
      </c>
      <c r="J2451" s="9" t="s">
        <v>412</v>
      </c>
      <c r="K2451" s="9" t="s">
        <v>654</v>
      </c>
    </row>
    <row r="2452" spans="1:11" ht="28.8">
      <c r="A2452" s="9" t="s">
        <v>610</v>
      </c>
      <c r="B2452" s="9" t="s">
        <v>653</v>
      </c>
      <c r="C2452" s="9" t="s">
        <v>690</v>
      </c>
      <c r="D2452" s="12">
        <v>-5.8599999999999999E-2</v>
      </c>
      <c r="E2452" s="12">
        <v>-1.9800000000000002E-2</v>
      </c>
      <c r="F2452" s="12">
        <v>-1.1999999999999999E-3</v>
      </c>
      <c r="G2452" s="12">
        <v>-3.9199999999999999E-2</v>
      </c>
      <c r="H2452" s="12">
        <v>-2.6499999999999999E-2</v>
      </c>
      <c r="I2452" s="12">
        <v>2.6499999999999999E-2</v>
      </c>
      <c r="J2452" s="9" t="s">
        <v>412</v>
      </c>
      <c r="K2452" s="9" t="s">
        <v>604</v>
      </c>
    </row>
    <row r="2453" spans="1:11" ht="28.8">
      <c r="A2453" s="9" t="s">
        <v>682</v>
      </c>
      <c r="B2453" s="9" t="s">
        <v>665</v>
      </c>
      <c r="C2453" s="9" t="s">
        <v>674</v>
      </c>
      <c r="D2453" s="12">
        <v>4.1999999999999997E-3</v>
      </c>
      <c r="E2453" s="12">
        <v>1.1000000000000001E-3</v>
      </c>
      <c r="F2453" s="12">
        <v>7.4200000000000002E-2</v>
      </c>
      <c r="G2453" s="12">
        <v>2.65E-3</v>
      </c>
      <c r="H2453" s="12">
        <v>2.6499999999999999E-2</v>
      </c>
      <c r="I2453" s="12">
        <v>2.6499999999999999E-2</v>
      </c>
      <c r="J2453" s="9" t="s">
        <v>412</v>
      </c>
      <c r="K2453" s="9" t="s">
        <v>654</v>
      </c>
    </row>
    <row r="2454" spans="1:11" ht="28.8">
      <c r="A2454" s="9" t="s">
        <v>603</v>
      </c>
      <c r="B2454" s="9" t="s">
        <v>602</v>
      </c>
      <c r="C2454" s="9" t="s">
        <v>690</v>
      </c>
      <c r="D2454" s="12">
        <v>4.1099999999999998E-2</v>
      </c>
      <c r="E2454" s="12">
        <v>3.5099999999999999E-2</v>
      </c>
      <c r="F2454" s="12">
        <v>1.9E-3</v>
      </c>
      <c r="G2454" s="12">
        <v>3.8099999999999995E-2</v>
      </c>
      <c r="H2454" s="12">
        <v>2.5999999999999999E-2</v>
      </c>
      <c r="I2454" s="12">
        <v>2.5999999999999999E-2</v>
      </c>
      <c r="J2454" s="9" t="s">
        <v>412</v>
      </c>
      <c r="K2454" s="9" t="s">
        <v>654</v>
      </c>
    </row>
    <row r="2455" spans="1:11" ht="28.8">
      <c r="A2455" s="9" t="s">
        <v>609</v>
      </c>
      <c r="B2455" s="9" t="s">
        <v>691</v>
      </c>
      <c r="C2455" s="9" t="s">
        <v>674</v>
      </c>
      <c r="D2455" s="12">
        <v>-8.6999999999999994E-3</v>
      </c>
      <c r="E2455" s="12">
        <v>4.9399999999999999E-2</v>
      </c>
      <c r="F2455" s="12">
        <v>-1.83E-2</v>
      </c>
      <c r="G2455" s="12">
        <v>2.035E-2</v>
      </c>
      <c r="H2455" s="12">
        <v>7.4999999999999997E-3</v>
      </c>
      <c r="I2455" s="12">
        <v>2.5499999999999998E-2</v>
      </c>
      <c r="J2455" s="9" t="s">
        <v>412</v>
      </c>
      <c r="K2455" s="9" t="s">
        <v>604</v>
      </c>
    </row>
    <row r="2456" spans="1:11" ht="28.8">
      <c r="A2456" s="9" t="s">
        <v>662</v>
      </c>
      <c r="B2456" s="9" t="s">
        <v>673</v>
      </c>
      <c r="C2456" s="9" t="s">
        <v>677</v>
      </c>
      <c r="D2456" s="12">
        <v>1.2200000000000001E-2</v>
      </c>
      <c r="E2456" s="12">
        <v>4.2999999999999997E-2</v>
      </c>
      <c r="F2456" s="12">
        <v>-1.6899999999999998E-2</v>
      </c>
      <c r="G2456" s="12">
        <v>2.76E-2</v>
      </c>
      <c r="H2456" s="12">
        <v>1.2800000000000001E-2</v>
      </c>
      <c r="I2456" s="12">
        <v>2.4E-2</v>
      </c>
      <c r="J2456" s="9" t="s">
        <v>412</v>
      </c>
      <c r="K2456" s="9" t="s">
        <v>604</v>
      </c>
    </row>
    <row r="2457" spans="1:11">
      <c r="A2457" s="9" t="s">
        <v>682</v>
      </c>
      <c r="B2457" s="9" t="s">
        <v>665</v>
      </c>
      <c r="C2457" s="9" t="s">
        <v>667</v>
      </c>
      <c r="D2457" s="12">
        <v>-0.02</v>
      </c>
      <c r="E2457" s="12">
        <v>1.1000000000000001E-3</v>
      </c>
      <c r="F2457" s="12">
        <v>-4.9799999999999997E-2</v>
      </c>
      <c r="G2457" s="12">
        <v>-9.4500000000000001E-3</v>
      </c>
      <c r="H2457" s="12">
        <v>-2.29E-2</v>
      </c>
      <c r="I2457" s="12">
        <v>2.3599999999999999E-2</v>
      </c>
      <c r="J2457" s="9" t="s">
        <v>412</v>
      </c>
      <c r="K2457" s="9" t="s">
        <v>604</v>
      </c>
    </row>
    <row r="2458" spans="1:11" ht="28.8">
      <c r="A2458" s="9" t="s">
        <v>610</v>
      </c>
      <c r="B2458" s="9" t="s">
        <v>686</v>
      </c>
      <c r="C2458" s="9" t="s">
        <v>675</v>
      </c>
      <c r="D2458" s="12">
        <v>-2.1399999999999999E-2</v>
      </c>
      <c r="E2458" s="12">
        <v>2.07E-2</v>
      </c>
      <c r="F2458" s="12">
        <v>-2.41E-2</v>
      </c>
      <c r="G2458" s="12">
        <v>-3.4999999999999962E-4</v>
      </c>
      <c r="H2458" s="12">
        <v>-8.3000000000000001E-3</v>
      </c>
      <c r="I2458" s="12">
        <v>2.2100000000000002E-2</v>
      </c>
      <c r="J2458" s="9" t="s">
        <v>412</v>
      </c>
      <c r="K2458" s="9" t="s">
        <v>604</v>
      </c>
    </row>
    <row r="2459" spans="1:11" ht="28.8">
      <c r="A2459" s="9" t="s">
        <v>661</v>
      </c>
      <c r="B2459" s="9" t="s">
        <v>602</v>
      </c>
      <c r="C2459" s="9" t="s">
        <v>690</v>
      </c>
      <c r="D2459" s="12">
        <v>3.3700000000000001E-2</v>
      </c>
      <c r="E2459" s="12">
        <v>2.06E-2</v>
      </c>
      <c r="F2459" s="12">
        <v>1.9E-3</v>
      </c>
      <c r="G2459" s="12">
        <v>2.7150000000000001E-2</v>
      </c>
      <c r="H2459" s="12">
        <v>1.8700000000000001E-2</v>
      </c>
      <c r="I2459" s="12">
        <v>1.8700000000000001E-2</v>
      </c>
      <c r="J2459" s="9" t="s">
        <v>412</v>
      </c>
      <c r="K2459" s="9" t="s">
        <v>654</v>
      </c>
    </row>
    <row r="2460" spans="1:11" ht="28.8">
      <c r="A2460" s="9" t="s">
        <v>662</v>
      </c>
      <c r="B2460" s="9" t="s">
        <v>686</v>
      </c>
      <c r="C2460" s="9" t="s">
        <v>664</v>
      </c>
      <c r="D2460" s="12">
        <v>-2.87E-2</v>
      </c>
      <c r="E2460" s="12">
        <v>6.7000000000000002E-3</v>
      </c>
      <c r="F2460" s="12">
        <v>-2.01E-2</v>
      </c>
      <c r="G2460" s="12">
        <v>-1.0999999999999999E-2</v>
      </c>
      <c r="H2460" s="12">
        <v>-1.4E-2</v>
      </c>
      <c r="I2460" s="12">
        <v>1.8499999999999999E-2</v>
      </c>
      <c r="J2460" s="9" t="s">
        <v>412</v>
      </c>
      <c r="K2460" s="9" t="s">
        <v>604</v>
      </c>
    </row>
    <row r="2461" spans="1:11" ht="28.8">
      <c r="A2461" s="9" t="s">
        <v>662</v>
      </c>
      <c r="B2461" s="9" t="s">
        <v>680</v>
      </c>
      <c r="C2461" s="9" t="s">
        <v>677</v>
      </c>
      <c r="D2461" s="12">
        <v>1.2200000000000001E-2</v>
      </c>
      <c r="E2461" s="12">
        <v>-1.8100000000000002E-2</v>
      </c>
      <c r="F2461" s="12">
        <v>2.41E-2</v>
      </c>
      <c r="G2461" s="12">
        <v>-2.9500000000000004E-3</v>
      </c>
      <c r="H2461" s="12">
        <v>6.1000000000000004E-3</v>
      </c>
      <c r="I2461" s="12">
        <v>1.8200000000000001E-2</v>
      </c>
      <c r="J2461" s="9" t="s">
        <v>412</v>
      </c>
      <c r="K2461" s="9" t="s">
        <v>604</v>
      </c>
    </row>
    <row r="2462" spans="1:11" ht="28.8">
      <c r="A2462" s="9" t="s">
        <v>662</v>
      </c>
      <c r="B2462" s="9" t="s">
        <v>672</v>
      </c>
      <c r="C2462" s="9" t="s">
        <v>690</v>
      </c>
      <c r="D2462" s="12">
        <v>-3.1300000000000001E-2</v>
      </c>
      <c r="E2462" s="12">
        <v>1.0999999999999999E-2</v>
      </c>
      <c r="F2462" s="12">
        <v>1.11E-2</v>
      </c>
      <c r="G2462" s="12">
        <v>-1.0150000000000001E-2</v>
      </c>
      <c r="H2462" s="12">
        <v>-3.0999999999999999E-3</v>
      </c>
      <c r="I2462" s="12">
        <v>1.78E-2</v>
      </c>
      <c r="J2462" s="9" t="s">
        <v>412</v>
      </c>
      <c r="K2462" s="9" t="s">
        <v>604</v>
      </c>
    </row>
    <row r="2463" spans="1:11" ht="28.8">
      <c r="A2463" s="9" t="s">
        <v>682</v>
      </c>
      <c r="B2463" s="9" t="s">
        <v>668</v>
      </c>
      <c r="C2463" s="9" t="s">
        <v>674</v>
      </c>
      <c r="D2463" s="12">
        <v>4.1999999999999997E-3</v>
      </c>
      <c r="E2463" s="12">
        <v>7.3000000000000001E-3</v>
      </c>
      <c r="F2463" s="12">
        <v>3.4000000000000002E-2</v>
      </c>
      <c r="G2463" s="12">
        <v>5.7499999999999999E-3</v>
      </c>
      <c r="H2463" s="12">
        <v>1.52E-2</v>
      </c>
      <c r="I2463" s="12">
        <v>1.52E-2</v>
      </c>
      <c r="J2463" s="9" t="s">
        <v>412</v>
      </c>
      <c r="K2463" s="9" t="s">
        <v>654</v>
      </c>
    </row>
    <row r="2464" spans="1:11" ht="28.8">
      <c r="A2464" s="9" t="s">
        <v>682</v>
      </c>
      <c r="B2464" s="9" t="s">
        <v>673</v>
      </c>
      <c r="C2464" s="9" t="s">
        <v>677</v>
      </c>
      <c r="D2464" s="12">
        <v>1.23E-2</v>
      </c>
      <c r="E2464" s="12">
        <v>-1.3899999999999999E-2</v>
      </c>
      <c r="F2464" s="12">
        <v>-1.6899999999999998E-2</v>
      </c>
      <c r="G2464" s="12">
        <v>-7.999999999999995E-4</v>
      </c>
      <c r="H2464" s="12">
        <v>-6.1999999999999998E-3</v>
      </c>
      <c r="I2464" s="12">
        <v>1.44E-2</v>
      </c>
      <c r="J2464" s="9" t="s">
        <v>412</v>
      </c>
      <c r="K2464" s="9" t="s">
        <v>604</v>
      </c>
    </row>
    <row r="2465" spans="1:11" ht="28.8">
      <c r="A2465" s="9" t="s">
        <v>682</v>
      </c>
      <c r="B2465" s="9" t="s">
        <v>668</v>
      </c>
      <c r="C2465" s="9" t="s">
        <v>677</v>
      </c>
      <c r="D2465" s="12">
        <v>1.23E-2</v>
      </c>
      <c r="E2465" s="12">
        <v>7.3000000000000001E-3</v>
      </c>
      <c r="F2465" s="12">
        <v>1.4800000000000001E-2</v>
      </c>
      <c r="G2465" s="12">
        <v>9.7999999999999997E-3</v>
      </c>
      <c r="H2465" s="12">
        <v>1.15E-2</v>
      </c>
      <c r="I2465" s="12">
        <v>1.15E-2</v>
      </c>
      <c r="J2465" s="9" t="s">
        <v>412</v>
      </c>
      <c r="K2465" s="9" t="s">
        <v>654</v>
      </c>
    </row>
  </sheetData>
  <conditionalFormatting sqref="I2:I2465">
    <cfRule type="colorScale" priority="1">
      <colorScale>
        <cfvo type="min"/>
        <cfvo type="percentile" val="50"/>
        <cfvo type="max"/>
        <color rgb="FFF2F2F2"/>
        <color rgb="FFFFF2CC"/>
        <color rgb="FFD9EAD3"/>
      </colorScale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06579-A420-4240-A1EB-45F597933CDC}">
  <dimension ref="A1:AB153"/>
  <sheetViews>
    <sheetView workbookViewId="0">
      <selection sqref="A1:XFD1048576"/>
    </sheetView>
  </sheetViews>
  <sheetFormatPr baseColWidth="10" defaultColWidth="8.88671875" defaultRowHeight="14.4"/>
  <cols>
    <col min="1" max="1" width="12" customWidth="1"/>
    <col min="2" max="2" width="44" customWidth="1"/>
    <col min="3" max="3" width="28" customWidth="1"/>
    <col min="4" max="5" width="45" customWidth="1"/>
    <col min="6" max="6" width="30" customWidth="1"/>
    <col min="7" max="7" width="70" customWidth="1"/>
    <col min="8" max="8" width="26" customWidth="1"/>
    <col min="9" max="9" width="62" customWidth="1"/>
    <col min="10" max="10" width="25" customWidth="1"/>
    <col min="11" max="11" width="40" customWidth="1"/>
    <col min="12" max="12" width="70" customWidth="1"/>
    <col min="13" max="13" width="28" customWidth="1"/>
    <col min="14" max="14" width="24" customWidth="1"/>
    <col min="15" max="15" width="23" customWidth="1"/>
    <col min="16" max="16" width="21" customWidth="1"/>
    <col min="17" max="17" width="52" customWidth="1"/>
    <col min="18" max="18" width="32" customWidth="1"/>
    <col min="19" max="19" width="52" customWidth="1"/>
    <col min="20" max="20" width="29" customWidth="1"/>
    <col min="21" max="21" width="28" customWidth="1"/>
    <col min="22" max="22" width="21" customWidth="1"/>
    <col min="23" max="23" width="70" customWidth="1"/>
    <col min="24" max="24" width="58" customWidth="1"/>
    <col min="25" max="25" width="64" customWidth="1"/>
    <col min="26" max="26" width="54" customWidth="1"/>
    <col min="27" max="27" width="60" customWidth="1"/>
    <col min="28" max="28" width="61" customWidth="1"/>
  </cols>
  <sheetData>
    <row r="1" spans="1:28">
      <c r="A1" s="19" t="s">
        <v>1</v>
      </c>
      <c r="B1" s="19" t="s">
        <v>2</v>
      </c>
      <c r="C1" s="19" t="s">
        <v>3</v>
      </c>
      <c r="D1" s="19" t="s">
        <v>692</v>
      </c>
      <c r="E1" s="19" t="s">
        <v>693</v>
      </c>
      <c r="F1" s="19" t="s">
        <v>694</v>
      </c>
      <c r="G1" s="19" t="s">
        <v>695</v>
      </c>
      <c r="H1" s="19" t="s">
        <v>696</v>
      </c>
      <c r="I1" s="19" t="s">
        <v>697</v>
      </c>
      <c r="J1" s="19" t="s">
        <v>698</v>
      </c>
      <c r="K1" s="19" t="s">
        <v>699</v>
      </c>
      <c r="L1" s="19" t="s">
        <v>700</v>
      </c>
      <c r="M1" s="19" t="s">
        <v>701</v>
      </c>
      <c r="N1" s="19" t="s">
        <v>702</v>
      </c>
      <c r="O1" s="19" t="s">
        <v>703</v>
      </c>
      <c r="P1" s="19" t="s">
        <v>704</v>
      </c>
      <c r="Q1" s="19" t="s">
        <v>705</v>
      </c>
      <c r="R1" s="19" t="s">
        <v>706</v>
      </c>
      <c r="S1" s="19" t="s">
        <v>707</v>
      </c>
      <c r="T1" s="19" t="s">
        <v>708</v>
      </c>
      <c r="U1" s="19" t="s">
        <v>709</v>
      </c>
      <c r="V1" s="19" t="s">
        <v>710</v>
      </c>
      <c r="W1" s="19" t="s">
        <v>711</v>
      </c>
      <c r="X1" s="19" t="s">
        <v>712</v>
      </c>
      <c r="Y1" s="19" t="s">
        <v>713</v>
      </c>
      <c r="Z1" s="19" t="s">
        <v>714</v>
      </c>
      <c r="AA1" s="19" t="s">
        <v>715</v>
      </c>
      <c r="AB1" s="19" t="s">
        <v>716</v>
      </c>
    </row>
    <row r="2" spans="1:28" ht="27.6">
      <c r="A2" s="20" t="s">
        <v>54</v>
      </c>
      <c r="B2" s="20" t="s">
        <v>55</v>
      </c>
      <c r="C2" s="20" t="s">
        <v>56</v>
      </c>
      <c r="D2" s="20" t="s">
        <v>717</v>
      </c>
      <c r="E2" s="20" t="s">
        <v>718</v>
      </c>
      <c r="F2" s="20" t="s">
        <v>717</v>
      </c>
      <c r="G2" s="20" t="s">
        <v>719</v>
      </c>
      <c r="H2" s="20" t="s">
        <v>720</v>
      </c>
      <c r="I2" s="20" t="s">
        <v>601</v>
      </c>
      <c r="J2" s="21">
        <v>0.80429257271957078</v>
      </c>
      <c r="K2" s="20" t="s">
        <v>602</v>
      </c>
      <c r="L2" s="20" t="s">
        <v>603</v>
      </c>
      <c r="M2" s="22">
        <v>-0.41089999999999999</v>
      </c>
      <c r="N2" s="22">
        <v>0.45390000000000003</v>
      </c>
      <c r="O2" s="22">
        <v>3.5099999999999999E-2</v>
      </c>
      <c r="P2" s="22">
        <v>0.3</v>
      </c>
      <c r="Q2" s="20" t="s">
        <v>721</v>
      </c>
      <c r="R2" s="21">
        <v>0.45833333333333331</v>
      </c>
      <c r="S2" s="20" t="s">
        <v>722</v>
      </c>
      <c r="T2" s="21">
        <v>0.29861111111111122</v>
      </c>
      <c r="U2" s="21">
        <v>0.54166666666666674</v>
      </c>
      <c r="V2" s="20" t="s">
        <v>131</v>
      </c>
      <c r="W2" s="20" t="s">
        <v>723</v>
      </c>
      <c r="X2" s="21">
        <v>0.45833333333333331</v>
      </c>
      <c r="Y2" s="21">
        <v>0.29861111111111122</v>
      </c>
      <c r="Z2" s="21">
        <v>0.13194444444444439</v>
      </c>
      <c r="AA2" s="21">
        <v>4.8611111111111119E-2</v>
      </c>
      <c r="AB2" s="21">
        <v>6.25E-2</v>
      </c>
    </row>
    <row r="3" spans="1:28" ht="27.6">
      <c r="A3" s="20" t="s">
        <v>78</v>
      </c>
      <c r="B3" s="20" t="s">
        <v>55</v>
      </c>
      <c r="C3" s="20" t="s">
        <v>79</v>
      </c>
      <c r="D3" s="20" t="s">
        <v>717</v>
      </c>
      <c r="E3" s="20" t="s">
        <v>718</v>
      </c>
      <c r="F3" s="20" t="s">
        <v>717</v>
      </c>
      <c r="G3" s="20" t="s">
        <v>719</v>
      </c>
      <c r="H3" s="20" t="s">
        <v>720</v>
      </c>
      <c r="I3" s="20" t="s">
        <v>601</v>
      </c>
      <c r="J3" s="21">
        <v>0.74100719424460426</v>
      </c>
      <c r="K3" s="20" t="s">
        <v>602</v>
      </c>
      <c r="L3" s="20" t="s">
        <v>603</v>
      </c>
      <c r="M3" s="22">
        <v>-0.41089999999999999</v>
      </c>
      <c r="N3" s="22">
        <v>0.45390000000000003</v>
      </c>
      <c r="O3" s="22">
        <v>3.5099999999999999E-2</v>
      </c>
      <c r="P3" s="22">
        <v>0.3</v>
      </c>
      <c r="Q3" s="20" t="s">
        <v>721</v>
      </c>
      <c r="R3" s="21">
        <v>0.45833333333333331</v>
      </c>
      <c r="S3" s="20" t="s">
        <v>722</v>
      </c>
      <c r="T3" s="21">
        <v>0.29861111111111122</v>
      </c>
      <c r="U3" s="21">
        <v>0.54166666666666674</v>
      </c>
      <c r="V3" s="20" t="s">
        <v>131</v>
      </c>
      <c r="W3" s="20" t="s">
        <v>723</v>
      </c>
      <c r="X3" s="21">
        <v>0.45833333333333331</v>
      </c>
      <c r="Y3" s="21">
        <v>0.29861111111111122</v>
      </c>
      <c r="Z3" s="21">
        <v>0.13194444444444439</v>
      </c>
      <c r="AA3" s="21">
        <v>4.8611111111111119E-2</v>
      </c>
      <c r="AB3" s="21">
        <v>6.25E-2</v>
      </c>
    </row>
    <row r="4" spans="1:28" ht="27.6">
      <c r="A4" s="20" t="s">
        <v>80</v>
      </c>
      <c r="B4" s="20" t="s">
        <v>55</v>
      </c>
      <c r="C4" s="20" t="s">
        <v>81</v>
      </c>
      <c r="D4" s="20" t="s">
        <v>717</v>
      </c>
      <c r="E4" s="20" t="s">
        <v>718</v>
      </c>
      <c r="F4" s="20" t="s">
        <v>724</v>
      </c>
      <c r="G4" s="20" t="s">
        <v>725</v>
      </c>
      <c r="H4" s="20" t="s">
        <v>726</v>
      </c>
      <c r="I4" s="20" t="s">
        <v>601</v>
      </c>
      <c r="J4" s="21">
        <v>0.64867380176826428</v>
      </c>
      <c r="K4" s="20" t="s">
        <v>602</v>
      </c>
      <c r="L4" s="20" t="s">
        <v>603</v>
      </c>
      <c r="M4" s="22">
        <v>-0.41089999999999999</v>
      </c>
      <c r="N4" s="22">
        <v>0.45390000000000003</v>
      </c>
      <c r="O4" s="22">
        <v>3.5099999999999999E-2</v>
      </c>
      <c r="P4" s="22">
        <v>0.3</v>
      </c>
      <c r="Q4" s="20" t="s">
        <v>727</v>
      </c>
      <c r="R4" s="21">
        <v>0.3125</v>
      </c>
      <c r="S4" s="20" t="s">
        <v>721</v>
      </c>
      <c r="T4" s="21">
        <v>0.27777777777777768</v>
      </c>
      <c r="U4" s="21">
        <v>0.6875</v>
      </c>
      <c r="V4" s="20" t="s">
        <v>60</v>
      </c>
      <c r="W4" s="20" t="s">
        <v>728</v>
      </c>
      <c r="X4" s="21">
        <v>0.27777777777777768</v>
      </c>
      <c r="Y4" s="21">
        <v>0.21527777777777779</v>
      </c>
      <c r="Z4" s="21">
        <v>0.3125</v>
      </c>
      <c r="AA4" s="21">
        <v>0.1041666666666667</v>
      </c>
      <c r="AB4" s="21">
        <v>9.0277777777777776E-2</v>
      </c>
    </row>
    <row r="5" spans="1:28" ht="27.6">
      <c r="A5" s="20" t="s">
        <v>86</v>
      </c>
      <c r="B5" s="20" t="s">
        <v>55</v>
      </c>
      <c r="C5" s="20" t="s">
        <v>87</v>
      </c>
      <c r="D5" s="20" t="s">
        <v>717</v>
      </c>
      <c r="E5" s="20" t="s">
        <v>718</v>
      </c>
      <c r="F5" s="20" t="s">
        <v>724</v>
      </c>
      <c r="G5" s="20" t="s">
        <v>725</v>
      </c>
      <c r="H5" s="20" t="s">
        <v>726</v>
      </c>
      <c r="I5" s="20" t="s">
        <v>601</v>
      </c>
      <c r="J5" s="21">
        <v>0.62880403178910638</v>
      </c>
      <c r="K5" s="20" t="s">
        <v>602</v>
      </c>
      <c r="L5" s="20" t="s">
        <v>603</v>
      </c>
      <c r="M5" s="22">
        <v>-0.41089999999999999</v>
      </c>
      <c r="N5" s="22">
        <v>0.45390000000000003</v>
      </c>
      <c r="O5" s="22">
        <v>3.5099999999999999E-2</v>
      </c>
      <c r="P5" s="22">
        <v>0.3</v>
      </c>
      <c r="Q5" s="20" t="s">
        <v>727</v>
      </c>
      <c r="R5" s="21">
        <v>0.3125</v>
      </c>
      <c r="S5" s="20" t="s">
        <v>721</v>
      </c>
      <c r="T5" s="21">
        <v>0.27777777777777768</v>
      </c>
      <c r="U5" s="21">
        <v>0.6875</v>
      </c>
      <c r="V5" s="20" t="s">
        <v>60</v>
      </c>
      <c r="W5" s="20" t="s">
        <v>728</v>
      </c>
      <c r="X5" s="21">
        <v>0.27777777777777768</v>
      </c>
      <c r="Y5" s="21">
        <v>0.21527777777777779</v>
      </c>
      <c r="Z5" s="21">
        <v>0.3125</v>
      </c>
      <c r="AA5" s="21">
        <v>0.1041666666666667</v>
      </c>
      <c r="AB5" s="21">
        <v>9.0277777777777776E-2</v>
      </c>
    </row>
    <row r="6" spans="1:28" ht="27.6">
      <c r="A6" s="20" t="s">
        <v>88</v>
      </c>
      <c r="B6" s="20" t="s">
        <v>55</v>
      </c>
      <c r="C6" s="20" t="s">
        <v>89</v>
      </c>
      <c r="D6" s="20" t="s">
        <v>717</v>
      </c>
      <c r="E6" s="20" t="s">
        <v>718</v>
      </c>
      <c r="F6" s="20" t="s">
        <v>717</v>
      </c>
      <c r="G6" s="20" t="s">
        <v>719</v>
      </c>
      <c r="H6" s="20" t="s">
        <v>720</v>
      </c>
      <c r="I6" s="20" t="s">
        <v>601</v>
      </c>
      <c r="J6" s="21">
        <v>0.73126843657817109</v>
      </c>
      <c r="K6" s="20" t="s">
        <v>602</v>
      </c>
      <c r="L6" s="20" t="s">
        <v>603</v>
      </c>
      <c r="M6" s="22">
        <v>-0.41089999999999999</v>
      </c>
      <c r="N6" s="22">
        <v>0.45390000000000003</v>
      </c>
      <c r="O6" s="22">
        <v>3.5099999999999999E-2</v>
      </c>
      <c r="P6" s="22">
        <v>0.3</v>
      </c>
      <c r="Q6" s="20" t="s">
        <v>721</v>
      </c>
      <c r="R6" s="21">
        <v>0.45833333333333331</v>
      </c>
      <c r="S6" s="20" t="s">
        <v>722</v>
      </c>
      <c r="T6" s="21">
        <v>0.29861111111111122</v>
      </c>
      <c r="U6" s="21">
        <v>0.54166666666666674</v>
      </c>
      <c r="V6" s="20" t="s">
        <v>131</v>
      </c>
      <c r="W6" s="20" t="s">
        <v>723</v>
      </c>
      <c r="X6" s="21">
        <v>0.45833333333333331</v>
      </c>
      <c r="Y6" s="21">
        <v>0.29861111111111122</v>
      </c>
      <c r="Z6" s="21">
        <v>0.13194444444444439</v>
      </c>
      <c r="AA6" s="21">
        <v>4.8611111111111119E-2</v>
      </c>
      <c r="AB6" s="21">
        <v>6.25E-2</v>
      </c>
    </row>
    <row r="7" spans="1:28" ht="27.6">
      <c r="A7" s="20" t="s">
        <v>90</v>
      </c>
      <c r="B7" s="20" t="s">
        <v>55</v>
      </c>
      <c r="C7" s="20" t="s">
        <v>91</v>
      </c>
      <c r="D7" s="20" t="s">
        <v>717</v>
      </c>
      <c r="E7" s="20" t="s">
        <v>718</v>
      </c>
      <c r="F7" s="20" t="s">
        <v>717</v>
      </c>
      <c r="G7" s="20" t="s">
        <v>719</v>
      </c>
      <c r="H7" s="20" t="s">
        <v>720</v>
      </c>
      <c r="I7" s="20" t="s">
        <v>601</v>
      </c>
      <c r="J7" s="21">
        <v>0.76441611127209508</v>
      </c>
      <c r="K7" s="20" t="s">
        <v>602</v>
      </c>
      <c r="L7" s="20" t="s">
        <v>603</v>
      </c>
      <c r="M7" s="22">
        <v>-0.41089999999999999</v>
      </c>
      <c r="N7" s="22">
        <v>0.45390000000000003</v>
      </c>
      <c r="O7" s="22">
        <v>3.5099999999999999E-2</v>
      </c>
      <c r="P7" s="22">
        <v>0.3</v>
      </c>
      <c r="Q7" s="20" t="s">
        <v>721</v>
      </c>
      <c r="R7" s="21">
        <v>0.45833333333333331</v>
      </c>
      <c r="S7" s="20" t="s">
        <v>722</v>
      </c>
      <c r="T7" s="21">
        <v>0.29861111111111122</v>
      </c>
      <c r="U7" s="21">
        <v>0.54166666666666674</v>
      </c>
      <c r="V7" s="20" t="s">
        <v>131</v>
      </c>
      <c r="W7" s="20" t="s">
        <v>723</v>
      </c>
      <c r="X7" s="21">
        <v>0.45833333333333331</v>
      </c>
      <c r="Y7" s="21">
        <v>0.29861111111111122</v>
      </c>
      <c r="Z7" s="21">
        <v>0.13194444444444439</v>
      </c>
      <c r="AA7" s="21">
        <v>4.8611111111111119E-2</v>
      </c>
      <c r="AB7" s="21">
        <v>6.25E-2</v>
      </c>
    </row>
    <row r="8" spans="1:28" ht="27.6">
      <c r="A8" s="20" t="s">
        <v>92</v>
      </c>
      <c r="B8" s="20" t="s">
        <v>55</v>
      </c>
      <c r="C8" s="20" t="s">
        <v>55</v>
      </c>
      <c r="D8" s="20" t="s">
        <v>717</v>
      </c>
      <c r="E8" s="20" t="s">
        <v>718</v>
      </c>
      <c r="F8" s="20" t="s">
        <v>717</v>
      </c>
      <c r="G8" s="20" t="s">
        <v>719</v>
      </c>
      <c r="H8" s="20" t="s">
        <v>720</v>
      </c>
      <c r="I8" s="20" t="s">
        <v>601</v>
      </c>
      <c r="J8" s="21">
        <v>0.75804050029779635</v>
      </c>
      <c r="K8" s="20" t="s">
        <v>602</v>
      </c>
      <c r="L8" s="20" t="s">
        <v>603</v>
      </c>
      <c r="M8" s="22">
        <v>-0.41089999999999999</v>
      </c>
      <c r="N8" s="22">
        <v>0.45390000000000003</v>
      </c>
      <c r="O8" s="22">
        <v>3.5099999999999999E-2</v>
      </c>
      <c r="P8" s="22">
        <v>0.3</v>
      </c>
      <c r="Q8" s="20" t="s">
        <v>721</v>
      </c>
      <c r="R8" s="21">
        <v>0.45833333333333331</v>
      </c>
      <c r="S8" s="20" t="s">
        <v>722</v>
      </c>
      <c r="T8" s="21">
        <v>0.29861111111111122</v>
      </c>
      <c r="U8" s="21">
        <v>0.54166666666666674</v>
      </c>
      <c r="V8" s="20" t="s">
        <v>131</v>
      </c>
      <c r="W8" s="20" t="s">
        <v>723</v>
      </c>
      <c r="X8" s="21">
        <v>0.45833333333333331</v>
      </c>
      <c r="Y8" s="21">
        <v>0.29861111111111122</v>
      </c>
      <c r="Z8" s="21">
        <v>0.13194444444444439</v>
      </c>
      <c r="AA8" s="21">
        <v>4.8611111111111119E-2</v>
      </c>
      <c r="AB8" s="21">
        <v>6.25E-2</v>
      </c>
    </row>
    <row r="9" spans="1:28" ht="27.6">
      <c r="A9" s="20" t="s">
        <v>93</v>
      </c>
      <c r="B9" s="20" t="s">
        <v>55</v>
      </c>
      <c r="C9" s="20" t="s">
        <v>94</v>
      </c>
      <c r="D9" s="20" t="s">
        <v>717</v>
      </c>
      <c r="E9" s="20" t="s">
        <v>718</v>
      </c>
      <c r="F9" s="20" t="s">
        <v>717</v>
      </c>
      <c r="G9" s="20" t="s">
        <v>719</v>
      </c>
      <c r="H9" s="20" t="s">
        <v>720</v>
      </c>
      <c r="I9" s="20" t="s">
        <v>601</v>
      </c>
      <c r="J9" s="21">
        <v>0.74832455720440405</v>
      </c>
      <c r="K9" s="20" t="s">
        <v>602</v>
      </c>
      <c r="L9" s="20" t="s">
        <v>603</v>
      </c>
      <c r="M9" s="22">
        <v>-0.41089999999999999</v>
      </c>
      <c r="N9" s="22">
        <v>0.45390000000000003</v>
      </c>
      <c r="O9" s="22">
        <v>3.5099999999999999E-2</v>
      </c>
      <c r="P9" s="22">
        <v>0.3</v>
      </c>
      <c r="Q9" s="20" t="s">
        <v>721</v>
      </c>
      <c r="R9" s="21">
        <v>0.45833333333333331</v>
      </c>
      <c r="S9" s="20" t="s">
        <v>722</v>
      </c>
      <c r="T9" s="21">
        <v>0.29861111111111122</v>
      </c>
      <c r="U9" s="21">
        <v>0.54166666666666674</v>
      </c>
      <c r="V9" s="20" t="s">
        <v>131</v>
      </c>
      <c r="W9" s="20" t="s">
        <v>723</v>
      </c>
      <c r="X9" s="21">
        <v>0.45833333333333331</v>
      </c>
      <c r="Y9" s="21">
        <v>0.29861111111111122</v>
      </c>
      <c r="Z9" s="21">
        <v>0.13194444444444439</v>
      </c>
      <c r="AA9" s="21">
        <v>4.8611111111111119E-2</v>
      </c>
      <c r="AB9" s="21">
        <v>6.25E-2</v>
      </c>
    </row>
    <row r="10" spans="1:28" ht="27.6">
      <c r="A10" s="20" t="s">
        <v>95</v>
      </c>
      <c r="B10" s="20" t="s">
        <v>96</v>
      </c>
      <c r="C10" s="20" t="s">
        <v>97</v>
      </c>
      <c r="D10" s="20" t="s">
        <v>717</v>
      </c>
      <c r="E10" s="20" t="s">
        <v>717</v>
      </c>
      <c r="F10" s="20" t="s">
        <v>717</v>
      </c>
      <c r="G10" s="20" t="s">
        <v>729</v>
      </c>
      <c r="H10" s="20" t="s">
        <v>730</v>
      </c>
      <c r="I10" s="20" t="s">
        <v>601</v>
      </c>
      <c r="J10" s="21">
        <v>0.87050572896088507</v>
      </c>
      <c r="K10" s="20" t="s">
        <v>602</v>
      </c>
      <c r="L10" s="20" t="s">
        <v>603</v>
      </c>
      <c r="M10" s="22">
        <v>-0.41089999999999999</v>
      </c>
      <c r="N10" s="22">
        <v>0.45390000000000003</v>
      </c>
      <c r="O10" s="22">
        <v>3.5099999999999999E-2</v>
      </c>
      <c r="P10" s="22">
        <v>0.3</v>
      </c>
      <c r="Q10" s="20" t="s">
        <v>721</v>
      </c>
      <c r="R10" s="21">
        <v>0.59285714285714286</v>
      </c>
      <c r="S10" s="20" t="s">
        <v>722</v>
      </c>
      <c r="T10" s="21">
        <v>0.17857142857142849</v>
      </c>
      <c r="U10" s="21">
        <v>0.40714285714285708</v>
      </c>
      <c r="V10" s="20" t="s">
        <v>131</v>
      </c>
      <c r="W10" s="20" t="s">
        <v>723</v>
      </c>
      <c r="X10" s="21">
        <v>0.59285714285714286</v>
      </c>
      <c r="Y10" s="21">
        <v>0.17857142857142849</v>
      </c>
      <c r="Z10" s="21">
        <v>0.1142857142857143</v>
      </c>
      <c r="AA10" s="21">
        <v>0.05</v>
      </c>
      <c r="AB10" s="21">
        <v>6.4285714285714279E-2</v>
      </c>
    </row>
    <row r="11" spans="1:28" ht="27.6">
      <c r="A11" s="20" t="s">
        <v>104</v>
      </c>
      <c r="B11" s="20" t="s">
        <v>96</v>
      </c>
      <c r="C11" s="20" t="s">
        <v>105</v>
      </c>
      <c r="D11" s="20" t="s">
        <v>717</v>
      </c>
      <c r="E11" s="20" t="s">
        <v>731</v>
      </c>
      <c r="F11" s="20" t="s">
        <v>717</v>
      </c>
      <c r="G11" s="20" t="s">
        <v>732</v>
      </c>
      <c r="H11" s="20" t="s">
        <v>720</v>
      </c>
      <c r="I11" s="20" t="s">
        <v>601</v>
      </c>
      <c r="J11" s="21">
        <v>0.77689799720540287</v>
      </c>
      <c r="K11" s="20" t="s">
        <v>602</v>
      </c>
      <c r="L11" s="20" t="s">
        <v>603</v>
      </c>
      <c r="M11" s="22">
        <v>-0.41089999999999999</v>
      </c>
      <c r="N11" s="22">
        <v>0.45390000000000003</v>
      </c>
      <c r="O11" s="22">
        <v>3.5099999999999999E-2</v>
      </c>
      <c r="P11" s="22">
        <v>0.3</v>
      </c>
      <c r="Q11" s="20" t="s">
        <v>721</v>
      </c>
      <c r="R11" s="21">
        <v>0.51079136690647486</v>
      </c>
      <c r="S11" s="20" t="s">
        <v>722</v>
      </c>
      <c r="T11" s="21">
        <v>0.17985611510791369</v>
      </c>
      <c r="U11" s="21">
        <v>0.48920863309352508</v>
      </c>
      <c r="V11" s="20" t="s">
        <v>131</v>
      </c>
      <c r="W11" s="20" t="s">
        <v>723</v>
      </c>
      <c r="X11" s="21">
        <v>0.51079136690647486</v>
      </c>
      <c r="Y11" s="21">
        <v>0.17985611510791369</v>
      </c>
      <c r="Z11" s="21">
        <v>0.1366906474820144</v>
      </c>
      <c r="AA11" s="21">
        <v>0.1079136690647482</v>
      </c>
      <c r="AB11" s="21">
        <v>6.4748201438848921E-2</v>
      </c>
    </row>
    <row r="12" spans="1:28" ht="27.6">
      <c r="A12" s="20" t="s">
        <v>106</v>
      </c>
      <c r="B12" s="20" t="s">
        <v>96</v>
      </c>
      <c r="C12" s="20" t="s">
        <v>96</v>
      </c>
      <c r="D12" s="20" t="s">
        <v>717</v>
      </c>
      <c r="E12" s="20" t="s">
        <v>718</v>
      </c>
      <c r="F12" s="20" t="s">
        <v>717</v>
      </c>
      <c r="G12" s="20" t="s">
        <v>719</v>
      </c>
      <c r="H12" s="20" t="s">
        <v>720</v>
      </c>
      <c r="I12" s="20" t="s">
        <v>601</v>
      </c>
      <c r="J12" s="21">
        <v>0.80717628705148203</v>
      </c>
      <c r="K12" s="20" t="s">
        <v>602</v>
      </c>
      <c r="L12" s="20" t="s">
        <v>603</v>
      </c>
      <c r="M12" s="22">
        <v>-0.41089999999999999</v>
      </c>
      <c r="N12" s="22">
        <v>0.45390000000000003</v>
      </c>
      <c r="O12" s="22">
        <v>3.5099999999999999E-2</v>
      </c>
      <c r="P12" s="22">
        <v>0.3</v>
      </c>
      <c r="Q12" s="20" t="s">
        <v>721</v>
      </c>
      <c r="R12" s="21">
        <v>0.45833333333333331</v>
      </c>
      <c r="S12" s="20" t="s">
        <v>722</v>
      </c>
      <c r="T12" s="21">
        <v>0.29861111111111122</v>
      </c>
      <c r="U12" s="21">
        <v>0.54166666666666674</v>
      </c>
      <c r="V12" s="20" t="s">
        <v>131</v>
      </c>
      <c r="W12" s="20" t="s">
        <v>723</v>
      </c>
      <c r="X12" s="21">
        <v>0.45833333333333331</v>
      </c>
      <c r="Y12" s="21">
        <v>0.29861111111111122</v>
      </c>
      <c r="Z12" s="21">
        <v>0.13194444444444439</v>
      </c>
      <c r="AA12" s="21">
        <v>4.8611111111111119E-2</v>
      </c>
      <c r="AB12" s="21">
        <v>6.25E-2</v>
      </c>
    </row>
    <row r="13" spans="1:28" ht="27.6">
      <c r="A13" s="20" t="s">
        <v>107</v>
      </c>
      <c r="B13" s="20" t="s">
        <v>96</v>
      </c>
      <c r="C13" s="20" t="s">
        <v>108</v>
      </c>
      <c r="D13" s="20" t="s">
        <v>717</v>
      </c>
      <c r="E13" s="20" t="s">
        <v>731</v>
      </c>
      <c r="F13" s="20" t="s">
        <v>717</v>
      </c>
      <c r="G13" s="20" t="s">
        <v>732</v>
      </c>
      <c r="H13" s="20" t="s">
        <v>720</v>
      </c>
      <c r="I13" s="20" t="s">
        <v>601</v>
      </c>
      <c r="J13" s="21">
        <v>0.83265464417296875</v>
      </c>
      <c r="K13" s="20" t="s">
        <v>602</v>
      </c>
      <c r="L13" s="20" t="s">
        <v>603</v>
      </c>
      <c r="M13" s="22">
        <v>-0.41089999999999999</v>
      </c>
      <c r="N13" s="22">
        <v>0.45390000000000003</v>
      </c>
      <c r="O13" s="22">
        <v>3.5099999999999999E-2</v>
      </c>
      <c r="P13" s="22">
        <v>0.3</v>
      </c>
      <c r="Q13" s="20" t="s">
        <v>721</v>
      </c>
      <c r="R13" s="21">
        <v>0.51079136690647486</v>
      </c>
      <c r="S13" s="20" t="s">
        <v>722</v>
      </c>
      <c r="T13" s="21">
        <v>0.17985611510791369</v>
      </c>
      <c r="U13" s="21">
        <v>0.48920863309352508</v>
      </c>
      <c r="V13" s="20" t="s">
        <v>131</v>
      </c>
      <c r="W13" s="20" t="s">
        <v>723</v>
      </c>
      <c r="X13" s="21">
        <v>0.51079136690647486</v>
      </c>
      <c r="Y13" s="21">
        <v>0.17985611510791369</v>
      </c>
      <c r="Z13" s="21">
        <v>0.1366906474820144</v>
      </c>
      <c r="AA13" s="21">
        <v>0.1079136690647482</v>
      </c>
      <c r="AB13" s="21">
        <v>6.4748201438848921E-2</v>
      </c>
    </row>
    <row r="14" spans="1:28" ht="27.6">
      <c r="A14" s="20" t="s">
        <v>109</v>
      </c>
      <c r="B14" s="20" t="s">
        <v>96</v>
      </c>
      <c r="C14" s="20" t="s">
        <v>110</v>
      </c>
      <c r="D14" s="20" t="s">
        <v>717</v>
      </c>
      <c r="E14" s="20" t="s">
        <v>717</v>
      </c>
      <c r="F14" s="20" t="s">
        <v>717</v>
      </c>
      <c r="G14" s="20" t="s">
        <v>729</v>
      </c>
      <c r="H14" s="20" t="s">
        <v>730</v>
      </c>
      <c r="I14" s="20" t="s">
        <v>601</v>
      </c>
      <c r="J14" s="21">
        <v>0.84602873407427492</v>
      </c>
      <c r="K14" s="20" t="s">
        <v>602</v>
      </c>
      <c r="L14" s="20" t="s">
        <v>603</v>
      </c>
      <c r="M14" s="22">
        <v>-0.41089999999999999</v>
      </c>
      <c r="N14" s="22">
        <v>0.45390000000000003</v>
      </c>
      <c r="O14" s="22">
        <v>3.5099999999999999E-2</v>
      </c>
      <c r="P14" s="22">
        <v>0.3</v>
      </c>
      <c r="Q14" s="20" t="s">
        <v>721</v>
      </c>
      <c r="R14" s="21">
        <v>0.59285714285714286</v>
      </c>
      <c r="S14" s="20" t="s">
        <v>722</v>
      </c>
      <c r="T14" s="21">
        <v>0.17857142857142849</v>
      </c>
      <c r="U14" s="21">
        <v>0.40714285714285708</v>
      </c>
      <c r="V14" s="20" t="s">
        <v>131</v>
      </c>
      <c r="W14" s="20" t="s">
        <v>723</v>
      </c>
      <c r="X14" s="21">
        <v>0.59285714285714286</v>
      </c>
      <c r="Y14" s="21">
        <v>0.17857142857142849</v>
      </c>
      <c r="Z14" s="21">
        <v>0.1142857142857143</v>
      </c>
      <c r="AA14" s="21">
        <v>0.05</v>
      </c>
      <c r="AB14" s="21">
        <v>6.4285714285714279E-2</v>
      </c>
    </row>
    <row r="15" spans="1:28" ht="27.6">
      <c r="A15" s="20" t="s">
        <v>111</v>
      </c>
      <c r="B15" s="20" t="s">
        <v>96</v>
      </c>
      <c r="C15" s="20" t="s">
        <v>112</v>
      </c>
      <c r="D15" s="20" t="s">
        <v>717</v>
      </c>
      <c r="E15" s="20" t="s">
        <v>718</v>
      </c>
      <c r="F15" s="20" t="s">
        <v>717</v>
      </c>
      <c r="G15" s="20" t="s">
        <v>719</v>
      </c>
      <c r="H15" s="20" t="s">
        <v>720</v>
      </c>
      <c r="I15" s="20" t="s">
        <v>601</v>
      </c>
      <c r="J15" s="21">
        <v>0.79225023342670398</v>
      </c>
      <c r="K15" s="20" t="s">
        <v>602</v>
      </c>
      <c r="L15" s="20" t="s">
        <v>603</v>
      </c>
      <c r="M15" s="22">
        <v>-0.41089999999999999</v>
      </c>
      <c r="N15" s="22">
        <v>0.45390000000000003</v>
      </c>
      <c r="O15" s="22">
        <v>3.5099999999999999E-2</v>
      </c>
      <c r="P15" s="22">
        <v>0.3</v>
      </c>
      <c r="Q15" s="20" t="s">
        <v>721</v>
      </c>
      <c r="R15" s="21">
        <v>0.45833333333333331</v>
      </c>
      <c r="S15" s="20" t="s">
        <v>722</v>
      </c>
      <c r="T15" s="21">
        <v>0.29861111111111122</v>
      </c>
      <c r="U15" s="21">
        <v>0.54166666666666674</v>
      </c>
      <c r="V15" s="20" t="s">
        <v>131</v>
      </c>
      <c r="W15" s="20" t="s">
        <v>723</v>
      </c>
      <c r="X15" s="21">
        <v>0.45833333333333331</v>
      </c>
      <c r="Y15" s="21">
        <v>0.29861111111111122</v>
      </c>
      <c r="Z15" s="21">
        <v>0.13194444444444439</v>
      </c>
      <c r="AA15" s="21">
        <v>4.8611111111111119E-2</v>
      </c>
      <c r="AB15" s="21">
        <v>6.25E-2</v>
      </c>
    </row>
    <row r="16" spans="1:28" ht="27.6">
      <c r="A16" s="20" t="s">
        <v>113</v>
      </c>
      <c r="B16" s="20" t="s">
        <v>96</v>
      </c>
      <c r="C16" s="20" t="s">
        <v>114</v>
      </c>
      <c r="D16" s="20" t="s">
        <v>717</v>
      </c>
      <c r="E16" s="20" t="s">
        <v>718</v>
      </c>
      <c r="F16" s="20" t="s">
        <v>717</v>
      </c>
      <c r="G16" s="20" t="s">
        <v>719</v>
      </c>
      <c r="H16" s="20" t="s">
        <v>720</v>
      </c>
      <c r="I16" s="20" t="s">
        <v>601</v>
      </c>
      <c r="J16" s="21">
        <v>0.80662380201382988</v>
      </c>
      <c r="K16" s="20" t="s">
        <v>602</v>
      </c>
      <c r="L16" s="20" t="s">
        <v>603</v>
      </c>
      <c r="M16" s="22">
        <v>-0.41089999999999999</v>
      </c>
      <c r="N16" s="22">
        <v>0.45390000000000003</v>
      </c>
      <c r="O16" s="22">
        <v>3.5099999999999999E-2</v>
      </c>
      <c r="P16" s="22">
        <v>0.3</v>
      </c>
      <c r="Q16" s="20" t="s">
        <v>721</v>
      </c>
      <c r="R16" s="21">
        <v>0.45833333333333331</v>
      </c>
      <c r="S16" s="20" t="s">
        <v>722</v>
      </c>
      <c r="T16" s="21">
        <v>0.29861111111111122</v>
      </c>
      <c r="U16" s="21">
        <v>0.54166666666666674</v>
      </c>
      <c r="V16" s="20" t="s">
        <v>131</v>
      </c>
      <c r="W16" s="20" t="s">
        <v>723</v>
      </c>
      <c r="X16" s="21">
        <v>0.45833333333333331</v>
      </c>
      <c r="Y16" s="21">
        <v>0.29861111111111122</v>
      </c>
      <c r="Z16" s="21">
        <v>0.13194444444444439</v>
      </c>
      <c r="AA16" s="21">
        <v>4.8611111111111119E-2</v>
      </c>
      <c r="AB16" s="21">
        <v>6.25E-2</v>
      </c>
    </row>
    <row r="17" spans="1:28" ht="27.6">
      <c r="A17" s="20" t="s">
        <v>115</v>
      </c>
      <c r="B17" s="20" t="s">
        <v>96</v>
      </c>
      <c r="C17" s="20" t="s">
        <v>116</v>
      </c>
      <c r="D17" s="20" t="s">
        <v>717</v>
      </c>
      <c r="E17" s="20" t="s">
        <v>717</v>
      </c>
      <c r="F17" s="20" t="s">
        <v>717</v>
      </c>
      <c r="G17" s="20" t="s">
        <v>729</v>
      </c>
      <c r="H17" s="20" t="s">
        <v>730</v>
      </c>
      <c r="I17" s="20" t="s">
        <v>601</v>
      </c>
      <c r="J17" s="21">
        <v>0.87354596622889302</v>
      </c>
      <c r="K17" s="20" t="s">
        <v>602</v>
      </c>
      <c r="L17" s="20" t="s">
        <v>603</v>
      </c>
      <c r="M17" s="22">
        <v>-0.41089999999999999</v>
      </c>
      <c r="N17" s="22">
        <v>0.45390000000000003</v>
      </c>
      <c r="O17" s="22">
        <v>3.5099999999999999E-2</v>
      </c>
      <c r="P17" s="22">
        <v>0.3</v>
      </c>
      <c r="Q17" s="20" t="s">
        <v>721</v>
      </c>
      <c r="R17" s="21">
        <v>0.59285714285714286</v>
      </c>
      <c r="S17" s="20" t="s">
        <v>722</v>
      </c>
      <c r="T17" s="21">
        <v>0.17857142857142849</v>
      </c>
      <c r="U17" s="21">
        <v>0.40714285714285708</v>
      </c>
      <c r="V17" s="20" t="s">
        <v>131</v>
      </c>
      <c r="W17" s="20" t="s">
        <v>723</v>
      </c>
      <c r="X17" s="21">
        <v>0.59285714285714286</v>
      </c>
      <c r="Y17" s="21">
        <v>0.17857142857142849</v>
      </c>
      <c r="Z17" s="21">
        <v>0.1142857142857143</v>
      </c>
      <c r="AA17" s="21">
        <v>0.05</v>
      </c>
      <c r="AB17" s="21">
        <v>6.4285714285714279E-2</v>
      </c>
    </row>
    <row r="18" spans="1:28" ht="27.6">
      <c r="A18" s="20" t="s">
        <v>117</v>
      </c>
      <c r="B18" s="20" t="s">
        <v>96</v>
      </c>
      <c r="C18" s="20" t="s">
        <v>118</v>
      </c>
      <c r="D18" s="20" t="s">
        <v>717</v>
      </c>
      <c r="E18" s="20" t="s">
        <v>718</v>
      </c>
      <c r="F18" s="20" t="s">
        <v>717</v>
      </c>
      <c r="G18" s="20" t="s">
        <v>719</v>
      </c>
      <c r="H18" s="20" t="s">
        <v>720</v>
      </c>
      <c r="I18" s="20" t="s">
        <v>601</v>
      </c>
      <c r="J18" s="21">
        <v>0.83604206500956024</v>
      </c>
      <c r="K18" s="20" t="s">
        <v>602</v>
      </c>
      <c r="L18" s="20" t="s">
        <v>603</v>
      </c>
      <c r="M18" s="22">
        <v>-0.41089999999999999</v>
      </c>
      <c r="N18" s="22">
        <v>0.45390000000000003</v>
      </c>
      <c r="O18" s="22">
        <v>3.5099999999999999E-2</v>
      </c>
      <c r="P18" s="22">
        <v>0.3</v>
      </c>
      <c r="Q18" s="20" t="s">
        <v>721</v>
      </c>
      <c r="R18" s="21">
        <v>0.45833333333333331</v>
      </c>
      <c r="S18" s="20" t="s">
        <v>722</v>
      </c>
      <c r="T18" s="21">
        <v>0.29861111111111122</v>
      </c>
      <c r="U18" s="21">
        <v>0.54166666666666674</v>
      </c>
      <c r="V18" s="20" t="s">
        <v>131</v>
      </c>
      <c r="W18" s="20" t="s">
        <v>723</v>
      </c>
      <c r="X18" s="21">
        <v>0.45833333333333331</v>
      </c>
      <c r="Y18" s="21">
        <v>0.29861111111111122</v>
      </c>
      <c r="Z18" s="21">
        <v>0.13194444444444439</v>
      </c>
      <c r="AA18" s="21">
        <v>4.8611111111111119E-2</v>
      </c>
      <c r="AB18" s="21">
        <v>6.25E-2</v>
      </c>
    </row>
    <row r="19" spans="1:28" ht="27.6">
      <c r="A19" s="20" t="s">
        <v>119</v>
      </c>
      <c r="B19" s="20" t="s">
        <v>96</v>
      </c>
      <c r="C19" s="20" t="s">
        <v>120</v>
      </c>
      <c r="D19" s="20" t="s">
        <v>717</v>
      </c>
      <c r="E19" s="20" t="s">
        <v>731</v>
      </c>
      <c r="F19" s="20" t="s">
        <v>717</v>
      </c>
      <c r="G19" s="20" t="s">
        <v>732</v>
      </c>
      <c r="H19" s="20" t="s">
        <v>720</v>
      </c>
      <c r="I19" s="20" t="s">
        <v>601</v>
      </c>
      <c r="J19" s="21">
        <v>0.82155185351943572</v>
      </c>
      <c r="K19" s="20" t="s">
        <v>602</v>
      </c>
      <c r="L19" s="20" t="s">
        <v>603</v>
      </c>
      <c r="M19" s="22">
        <v>-0.41089999999999999</v>
      </c>
      <c r="N19" s="22">
        <v>0.45390000000000003</v>
      </c>
      <c r="O19" s="22">
        <v>3.5099999999999999E-2</v>
      </c>
      <c r="P19" s="22">
        <v>0.3</v>
      </c>
      <c r="Q19" s="20" t="s">
        <v>721</v>
      </c>
      <c r="R19" s="21">
        <v>0.51079136690647486</v>
      </c>
      <c r="S19" s="20" t="s">
        <v>722</v>
      </c>
      <c r="T19" s="21">
        <v>0.17985611510791369</v>
      </c>
      <c r="U19" s="21">
        <v>0.48920863309352508</v>
      </c>
      <c r="V19" s="20" t="s">
        <v>131</v>
      </c>
      <c r="W19" s="20" t="s">
        <v>723</v>
      </c>
      <c r="X19" s="21">
        <v>0.51079136690647486</v>
      </c>
      <c r="Y19" s="21">
        <v>0.17985611510791369</v>
      </c>
      <c r="Z19" s="21">
        <v>0.1366906474820144</v>
      </c>
      <c r="AA19" s="21">
        <v>0.1079136690647482</v>
      </c>
      <c r="AB19" s="21">
        <v>6.4748201438848921E-2</v>
      </c>
    </row>
    <row r="20" spans="1:28" ht="27.6">
      <c r="A20" s="20" t="s">
        <v>121</v>
      </c>
      <c r="B20" s="20" t="s">
        <v>96</v>
      </c>
      <c r="C20" s="20" t="s">
        <v>122</v>
      </c>
      <c r="D20" s="20" t="s">
        <v>717</v>
      </c>
      <c r="E20" s="20" t="s">
        <v>718</v>
      </c>
      <c r="F20" s="20" t="s">
        <v>717</v>
      </c>
      <c r="G20" s="20" t="s">
        <v>719</v>
      </c>
      <c r="H20" s="20" t="s">
        <v>720</v>
      </c>
      <c r="I20" s="20" t="s">
        <v>601</v>
      </c>
      <c r="J20" s="21">
        <v>0.82307500622975327</v>
      </c>
      <c r="K20" s="20" t="s">
        <v>602</v>
      </c>
      <c r="L20" s="20" t="s">
        <v>603</v>
      </c>
      <c r="M20" s="22">
        <v>-0.41089999999999999</v>
      </c>
      <c r="N20" s="22">
        <v>0.45390000000000003</v>
      </c>
      <c r="O20" s="22">
        <v>3.5099999999999999E-2</v>
      </c>
      <c r="P20" s="22">
        <v>0.3</v>
      </c>
      <c r="Q20" s="20" t="s">
        <v>721</v>
      </c>
      <c r="R20" s="21">
        <v>0.45833333333333331</v>
      </c>
      <c r="S20" s="20" t="s">
        <v>722</v>
      </c>
      <c r="T20" s="21">
        <v>0.29861111111111122</v>
      </c>
      <c r="U20" s="21">
        <v>0.54166666666666674</v>
      </c>
      <c r="V20" s="20" t="s">
        <v>131</v>
      </c>
      <c r="W20" s="20" t="s">
        <v>723</v>
      </c>
      <c r="X20" s="21">
        <v>0.45833333333333331</v>
      </c>
      <c r="Y20" s="21">
        <v>0.29861111111111122</v>
      </c>
      <c r="Z20" s="21">
        <v>0.13194444444444439</v>
      </c>
      <c r="AA20" s="21">
        <v>4.8611111111111119E-2</v>
      </c>
      <c r="AB20" s="21">
        <v>6.25E-2</v>
      </c>
    </row>
    <row r="21" spans="1:28" ht="27.6">
      <c r="A21" s="20" t="s">
        <v>123</v>
      </c>
      <c r="B21" s="20" t="s">
        <v>96</v>
      </c>
      <c r="C21" s="20" t="s">
        <v>124</v>
      </c>
      <c r="D21" s="20" t="s">
        <v>717</v>
      </c>
      <c r="E21" s="20" t="s">
        <v>717</v>
      </c>
      <c r="F21" s="20" t="s">
        <v>717</v>
      </c>
      <c r="G21" s="20" t="s">
        <v>729</v>
      </c>
      <c r="H21" s="20" t="s">
        <v>730</v>
      </c>
      <c r="I21" s="20" t="s">
        <v>601</v>
      </c>
      <c r="J21" s="21">
        <v>0.82437516796560062</v>
      </c>
      <c r="K21" s="20" t="s">
        <v>602</v>
      </c>
      <c r="L21" s="20" t="s">
        <v>603</v>
      </c>
      <c r="M21" s="22">
        <v>-0.41089999999999999</v>
      </c>
      <c r="N21" s="22">
        <v>0.45390000000000003</v>
      </c>
      <c r="O21" s="22">
        <v>3.5099999999999999E-2</v>
      </c>
      <c r="P21" s="22">
        <v>0.3</v>
      </c>
      <c r="Q21" s="20" t="s">
        <v>721</v>
      </c>
      <c r="R21" s="21">
        <v>0.59285714285714286</v>
      </c>
      <c r="S21" s="20" t="s">
        <v>722</v>
      </c>
      <c r="T21" s="21">
        <v>0.17857142857142849</v>
      </c>
      <c r="U21" s="21">
        <v>0.40714285714285708</v>
      </c>
      <c r="V21" s="20" t="s">
        <v>131</v>
      </c>
      <c r="W21" s="20" t="s">
        <v>723</v>
      </c>
      <c r="X21" s="21">
        <v>0.59285714285714286</v>
      </c>
      <c r="Y21" s="21">
        <v>0.17857142857142849</v>
      </c>
      <c r="Z21" s="21">
        <v>0.1142857142857143</v>
      </c>
      <c r="AA21" s="21">
        <v>0.05</v>
      </c>
      <c r="AB21" s="21">
        <v>6.4285714285714279E-2</v>
      </c>
    </row>
    <row r="22" spans="1:28" ht="27.6">
      <c r="A22" s="20" t="s">
        <v>125</v>
      </c>
      <c r="B22" s="20" t="s">
        <v>96</v>
      </c>
      <c r="C22" s="20" t="s">
        <v>126</v>
      </c>
      <c r="D22" s="20" t="s">
        <v>717</v>
      </c>
      <c r="E22" s="20" t="s">
        <v>717</v>
      </c>
      <c r="F22" s="20" t="s">
        <v>717</v>
      </c>
      <c r="G22" s="20" t="s">
        <v>729</v>
      </c>
      <c r="H22" s="20" t="s">
        <v>730</v>
      </c>
      <c r="I22" s="20" t="s">
        <v>601</v>
      </c>
      <c r="J22" s="21">
        <v>0.86676069581570292</v>
      </c>
      <c r="K22" s="20" t="s">
        <v>602</v>
      </c>
      <c r="L22" s="20" t="s">
        <v>603</v>
      </c>
      <c r="M22" s="22">
        <v>-0.41089999999999999</v>
      </c>
      <c r="N22" s="22">
        <v>0.45390000000000003</v>
      </c>
      <c r="O22" s="22">
        <v>3.5099999999999999E-2</v>
      </c>
      <c r="P22" s="22">
        <v>0.3</v>
      </c>
      <c r="Q22" s="20" t="s">
        <v>721</v>
      </c>
      <c r="R22" s="21">
        <v>0.59285714285714286</v>
      </c>
      <c r="S22" s="20" t="s">
        <v>722</v>
      </c>
      <c r="T22" s="21">
        <v>0.17857142857142849</v>
      </c>
      <c r="U22" s="21">
        <v>0.40714285714285708</v>
      </c>
      <c r="V22" s="20" t="s">
        <v>131</v>
      </c>
      <c r="W22" s="20" t="s">
        <v>723</v>
      </c>
      <c r="X22" s="21">
        <v>0.59285714285714286</v>
      </c>
      <c r="Y22" s="21">
        <v>0.17857142857142849</v>
      </c>
      <c r="Z22" s="21">
        <v>0.1142857142857143</v>
      </c>
      <c r="AA22" s="21">
        <v>0.05</v>
      </c>
      <c r="AB22" s="21">
        <v>6.4285714285714279E-2</v>
      </c>
    </row>
    <row r="23" spans="1:28" ht="27.6">
      <c r="A23" s="20" t="s">
        <v>127</v>
      </c>
      <c r="B23" s="20" t="s">
        <v>128</v>
      </c>
      <c r="C23" s="20" t="s">
        <v>129</v>
      </c>
      <c r="D23" s="20" t="s">
        <v>718</v>
      </c>
      <c r="E23" s="20" t="s">
        <v>724</v>
      </c>
      <c r="F23" s="20" t="s">
        <v>717</v>
      </c>
      <c r="G23" s="20" t="s">
        <v>733</v>
      </c>
      <c r="H23" s="20" t="s">
        <v>726</v>
      </c>
      <c r="I23" s="20" t="s">
        <v>601</v>
      </c>
      <c r="J23" s="21">
        <v>0.72420634920634919</v>
      </c>
      <c r="K23" s="20" t="s">
        <v>602</v>
      </c>
      <c r="L23" s="20" t="s">
        <v>603</v>
      </c>
      <c r="M23" s="22">
        <v>-0.41089999999999999</v>
      </c>
      <c r="N23" s="22">
        <v>0.45390000000000003</v>
      </c>
      <c r="O23" s="22">
        <v>3.5099999999999999E-2</v>
      </c>
      <c r="P23" s="22">
        <v>0.3</v>
      </c>
      <c r="Q23" s="20" t="s">
        <v>721</v>
      </c>
      <c r="R23" s="21">
        <v>0.47333333333333327</v>
      </c>
      <c r="S23" s="20" t="s">
        <v>722</v>
      </c>
      <c r="T23" s="21">
        <v>0.22000000000000011</v>
      </c>
      <c r="U23" s="21">
        <v>0.52666666666666662</v>
      </c>
      <c r="V23" s="20" t="s">
        <v>131</v>
      </c>
      <c r="W23" s="20" t="s">
        <v>723</v>
      </c>
      <c r="X23" s="21">
        <v>0.47333333333333327</v>
      </c>
      <c r="Y23" s="21">
        <v>0.22000000000000011</v>
      </c>
      <c r="Z23" s="21">
        <v>0.14000000000000001</v>
      </c>
      <c r="AA23" s="21">
        <v>0.08</v>
      </c>
      <c r="AB23" s="21">
        <v>8.666666666666667E-2</v>
      </c>
    </row>
    <row r="24" spans="1:28" ht="27.6">
      <c r="A24" s="20" t="s">
        <v>138</v>
      </c>
      <c r="B24" s="20" t="s">
        <v>128</v>
      </c>
      <c r="C24" s="20" t="s">
        <v>139</v>
      </c>
      <c r="D24" s="20" t="s">
        <v>718</v>
      </c>
      <c r="E24" s="20" t="s">
        <v>718</v>
      </c>
      <c r="F24" s="20" t="s">
        <v>717</v>
      </c>
      <c r="G24" s="20" t="s">
        <v>734</v>
      </c>
      <c r="H24" s="20" t="s">
        <v>720</v>
      </c>
      <c r="I24" s="20" t="s">
        <v>601</v>
      </c>
      <c r="J24" s="21">
        <v>0.77458150495693157</v>
      </c>
      <c r="K24" s="20" t="s">
        <v>602</v>
      </c>
      <c r="L24" s="20" t="s">
        <v>603</v>
      </c>
      <c r="M24" s="22">
        <v>-0.41089999999999999</v>
      </c>
      <c r="N24" s="22">
        <v>0.45390000000000003</v>
      </c>
      <c r="O24" s="22">
        <v>3.5099999999999999E-2</v>
      </c>
      <c r="P24" s="22">
        <v>0.3</v>
      </c>
      <c r="Q24" s="20" t="s">
        <v>721</v>
      </c>
      <c r="R24" s="21">
        <v>0.48529411764705871</v>
      </c>
      <c r="S24" s="20" t="s">
        <v>722</v>
      </c>
      <c r="T24" s="21">
        <v>0.25735294117647062</v>
      </c>
      <c r="U24" s="21">
        <v>0.51470588235294135</v>
      </c>
      <c r="V24" s="20" t="s">
        <v>131</v>
      </c>
      <c r="W24" s="20" t="s">
        <v>723</v>
      </c>
      <c r="X24" s="21">
        <v>0.48529411764705871</v>
      </c>
      <c r="Y24" s="21">
        <v>0.25735294117647062</v>
      </c>
      <c r="Z24" s="21">
        <v>0.13970588235294121</v>
      </c>
      <c r="AA24" s="21">
        <v>5.1470588235294122E-2</v>
      </c>
      <c r="AB24" s="21">
        <v>6.6176470588235281E-2</v>
      </c>
    </row>
    <row r="25" spans="1:28" ht="27.6">
      <c r="A25" s="20" t="s">
        <v>140</v>
      </c>
      <c r="B25" s="20" t="s">
        <v>128</v>
      </c>
      <c r="C25" s="20" t="s">
        <v>141</v>
      </c>
      <c r="D25" s="20" t="s">
        <v>731</v>
      </c>
      <c r="E25" s="20" t="s">
        <v>718</v>
      </c>
      <c r="F25" s="20" t="s">
        <v>717</v>
      </c>
      <c r="G25" s="20" t="s">
        <v>735</v>
      </c>
      <c r="H25" s="20" t="s">
        <v>726</v>
      </c>
      <c r="I25" s="20" t="s">
        <v>601</v>
      </c>
      <c r="J25" s="21">
        <v>0.75553818087047175</v>
      </c>
      <c r="K25" s="20" t="s">
        <v>602</v>
      </c>
      <c r="L25" s="20" t="s">
        <v>603</v>
      </c>
      <c r="M25" s="22">
        <v>-0.41089999999999999</v>
      </c>
      <c r="N25" s="22">
        <v>0.45390000000000003</v>
      </c>
      <c r="O25" s="22">
        <v>3.5099999999999999E-2</v>
      </c>
      <c r="P25" s="22">
        <v>0.3</v>
      </c>
      <c r="Q25" s="20" t="s">
        <v>721</v>
      </c>
      <c r="R25" s="21">
        <v>0.41772151898734172</v>
      </c>
      <c r="S25" s="20" t="s">
        <v>722</v>
      </c>
      <c r="T25" s="21">
        <v>0.27215189873417722</v>
      </c>
      <c r="U25" s="21">
        <v>0.58227848101265822</v>
      </c>
      <c r="V25" s="20" t="s">
        <v>60</v>
      </c>
      <c r="W25" s="20" t="s">
        <v>723</v>
      </c>
      <c r="X25" s="21">
        <v>0.41772151898734172</v>
      </c>
      <c r="Y25" s="21">
        <v>0.27215189873417722</v>
      </c>
      <c r="Z25" s="21">
        <v>0.1012658227848101</v>
      </c>
      <c r="AA25" s="21">
        <v>0.12658227848101269</v>
      </c>
      <c r="AB25" s="21">
        <v>8.2278481012658222E-2</v>
      </c>
    </row>
    <row r="26" spans="1:28" ht="27.6">
      <c r="A26" s="20" t="s">
        <v>142</v>
      </c>
      <c r="B26" s="20" t="s">
        <v>128</v>
      </c>
      <c r="C26" s="20" t="s">
        <v>128</v>
      </c>
      <c r="D26" s="20" t="s">
        <v>731</v>
      </c>
      <c r="E26" s="20" t="s">
        <v>731</v>
      </c>
      <c r="F26" s="20" t="s">
        <v>717</v>
      </c>
      <c r="G26" s="20" t="s">
        <v>736</v>
      </c>
      <c r="H26" s="20" t="s">
        <v>720</v>
      </c>
      <c r="I26" s="20" t="s">
        <v>601</v>
      </c>
      <c r="J26" s="21">
        <v>0.78486055776892427</v>
      </c>
      <c r="K26" s="20" t="s">
        <v>602</v>
      </c>
      <c r="L26" s="20" t="s">
        <v>603</v>
      </c>
      <c r="M26" s="22">
        <v>-0.41089999999999999</v>
      </c>
      <c r="N26" s="22">
        <v>0.45390000000000003</v>
      </c>
      <c r="O26" s="22">
        <v>3.5099999999999999E-2</v>
      </c>
      <c r="P26" s="22">
        <v>0.3</v>
      </c>
      <c r="Q26" s="20" t="s">
        <v>721</v>
      </c>
      <c r="R26" s="21">
        <v>0.51079136690647486</v>
      </c>
      <c r="S26" s="20" t="s">
        <v>722</v>
      </c>
      <c r="T26" s="21">
        <v>0.17985611510791369</v>
      </c>
      <c r="U26" s="21">
        <v>0.48920863309352508</v>
      </c>
      <c r="V26" s="20" t="s">
        <v>131</v>
      </c>
      <c r="W26" s="20" t="s">
        <v>723</v>
      </c>
      <c r="X26" s="21">
        <v>0.51079136690647486</v>
      </c>
      <c r="Y26" s="21">
        <v>0.17985611510791369</v>
      </c>
      <c r="Z26" s="21">
        <v>0.1366906474820144</v>
      </c>
      <c r="AA26" s="21">
        <v>0.1079136690647482</v>
      </c>
      <c r="AB26" s="21">
        <v>6.4748201438848921E-2</v>
      </c>
    </row>
    <row r="27" spans="1:28" ht="27.6">
      <c r="A27" s="20" t="s">
        <v>143</v>
      </c>
      <c r="B27" s="20" t="s">
        <v>128</v>
      </c>
      <c r="C27" s="20" t="s">
        <v>144</v>
      </c>
      <c r="D27" s="20" t="s">
        <v>731</v>
      </c>
      <c r="E27" s="20" t="s">
        <v>718</v>
      </c>
      <c r="F27" s="20" t="s">
        <v>717</v>
      </c>
      <c r="G27" s="20" t="s">
        <v>735</v>
      </c>
      <c r="H27" s="20" t="s">
        <v>726</v>
      </c>
      <c r="I27" s="20" t="s">
        <v>601</v>
      </c>
      <c r="J27" s="21">
        <v>0.77626373626373624</v>
      </c>
      <c r="K27" s="20" t="s">
        <v>602</v>
      </c>
      <c r="L27" s="20" t="s">
        <v>603</v>
      </c>
      <c r="M27" s="22">
        <v>-0.41089999999999999</v>
      </c>
      <c r="N27" s="22">
        <v>0.45390000000000003</v>
      </c>
      <c r="O27" s="22">
        <v>3.5099999999999999E-2</v>
      </c>
      <c r="P27" s="22">
        <v>0.3</v>
      </c>
      <c r="Q27" s="20" t="s">
        <v>721</v>
      </c>
      <c r="R27" s="21">
        <v>0.41772151898734172</v>
      </c>
      <c r="S27" s="20" t="s">
        <v>722</v>
      </c>
      <c r="T27" s="21">
        <v>0.27215189873417722</v>
      </c>
      <c r="U27" s="21">
        <v>0.58227848101265822</v>
      </c>
      <c r="V27" s="20" t="s">
        <v>60</v>
      </c>
      <c r="W27" s="20" t="s">
        <v>723</v>
      </c>
      <c r="X27" s="21">
        <v>0.41772151898734172</v>
      </c>
      <c r="Y27" s="21">
        <v>0.27215189873417722</v>
      </c>
      <c r="Z27" s="21">
        <v>0.1012658227848101</v>
      </c>
      <c r="AA27" s="21">
        <v>0.12658227848101269</v>
      </c>
      <c r="AB27" s="21">
        <v>8.2278481012658222E-2</v>
      </c>
    </row>
    <row r="28" spans="1:28" ht="27.6">
      <c r="A28" s="20" t="s">
        <v>145</v>
      </c>
      <c r="B28" s="20" t="s">
        <v>128</v>
      </c>
      <c r="C28" s="20" t="s">
        <v>146</v>
      </c>
      <c r="D28" s="20" t="s">
        <v>718</v>
      </c>
      <c r="E28" s="20" t="s">
        <v>718</v>
      </c>
      <c r="F28" s="20" t="s">
        <v>717</v>
      </c>
      <c r="G28" s="20" t="s">
        <v>734</v>
      </c>
      <c r="H28" s="20" t="s">
        <v>720</v>
      </c>
      <c r="I28" s="20" t="s">
        <v>601</v>
      </c>
      <c r="J28" s="21">
        <v>0.78574954747408265</v>
      </c>
      <c r="K28" s="20" t="s">
        <v>602</v>
      </c>
      <c r="L28" s="20" t="s">
        <v>603</v>
      </c>
      <c r="M28" s="22">
        <v>-0.41089999999999999</v>
      </c>
      <c r="N28" s="22">
        <v>0.45390000000000003</v>
      </c>
      <c r="O28" s="22">
        <v>3.5099999999999999E-2</v>
      </c>
      <c r="P28" s="22">
        <v>0.3</v>
      </c>
      <c r="Q28" s="20" t="s">
        <v>721</v>
      </c>
      <c r="R28" s="21">
        <v>0.48529411764705871</v>
      </c>
      <c r="S28" s="20" t="s">
        <v>722</v>
      </c>
      <c r="T28" s="21">
        <v>0.25735294117647062</v>
      </c>
      <c r="U28" s="21">
        <v>0.51470588235294135</v>
      </c>
      <c r="V28" s="20" t="s">
        <v>131</v>
      </c>
      <c r="W28" s="20" t="s">
        <v>723</v>
      </c>
      <c r="X28" s="21">
        <v>0.48529411764705871</v>
      </c>
      <c r="Y28" s="21">
        <v>0.25735294117647062</v>
      </c>
      <c r="Z28" s="21">
        <v>0.13970588235294121</v>
      </c>
      <c r="AA28" s="21">
        <v>5.1470588235294122E-2</v>
      </c>
      <c r="AB28" s="21">
        <v>6.6176470588235281E-2</v>
      </c>
    </row>
    <row r="29" spans="1:28" ht="27.6">
      <c r="A29" s="20" t="s">
        <v>147</v>
      </c>
      <c r="B29" s="20" t="s">
        <v>128</v>
      </c>
      <c r="C29" s="20" t="s">
        <v>148</v>
      </c>
      <c r="D29" s="20" t="s">
        <v>718</v>
      </c>
      <c r="E29" s="20" t="s">
        <v>718</v>
      </c>
      <c r="F29" s="20" t="s">
        <v>717</v>
      </c>
      <c r="G29" s="20" t="s">
        <v>734</v>
      </c>
      <c r="H29" s="20" t="s">
        <v>720</v>
      </c>
      <c r="I29" s="20" t="s">
        <v>601</v>
      </c>
      <c r="J29" s="21">
        <v>0.76042880447448147</v>
      </c>
      <c r="K29" s="20" t="s">
        <v>602</v>
      </c>
      <c r="L29" s="20" t="s">
        <v>603</v>
      </c>
      <c r="M29" s="22">
        <v>-0.41089999999999999</v>
      </c>
      <c r="N29" s="22">
        <v>0.45390000000000003</v>
      </c>
      <c r="O29" s="22">
        <v>3.5099999999999999E-2</v>
      </c>
      <c r="P29" s="22">
        <v>0.3</v>
      </c>
      <c r="Q29" s="20" t="s">
        <v>721</v>
      </c>
      <c r="R29" s="21">
        <v>0.48529411764705871</v>
      </c>
      <c r="S29" s="20" t="s">
        <v>722</v>
      </c>
      <c r="T29" s="21">
        <v>0.25735294117647062</v>
      </c>
      <c r="U29" s="21">
        <v>0.51470588235294135</v>
      </c>
      <c r="V29" s="20" t="s">
        <v>131</v>
      </c>
      <c r="W29" s="20" t="s">
        <v>723</v>
      </c>
      <c r="X29" s="21">
        <v>0.48529411764705871</v>
      </c>
      <c r="Y29" s="21">
        <v>0.25735294117647062</v>
      </c>
      <c r="Z29" s="21">
        <v>0.13970588235294121</v>
      </c>
      <c r="AA29" s="21">
        <v>5.1470588235294122E-2</v>
      </c>
      <c r="AB29" s="21">
        <v>6.6176470588235281E-2</v>
      </c>
    </row>
    <row r="30" spans="1:28" ht="27.6">
      <c r="A30" s="20" t="s">
        <v>149</v>
      </c>
      <c r="B30" s="20" t="s">
        <v>150</v>
      </c>
      <c r="C30" s="20" t="s">
        <v>151</v>
      </c>
      <c r="D30" s="20" t="s">
        <v>717</v>
      </c>
      <c r="E30" s="20" t="s">
        <v>718</v>
      </c>
      <c r="F30" s="20" t="s">
        <v>717</v>
      </c>
      <c r="G30" s="20" t="s">
        <v>719</v>
      </c>
      <c r="H30" s="20" t="s">
        <v>720</v>
      </c>
      <c r="I30" s="20" t="s">
        <v>601</v>
      </c>
      <c r="J30" s="21">
        <v>0.78607403676655752</v>
      </c>
      <c r="K30" s="20" t="s">
        <v>602</v>
      </c>
      <c r="L30" s="20" t="s">
        <v>603</v>
      </c>
      <c r="M30" s="22">
        <v>-0.41089999999999999</v>
      </c>
      <c r="N30" s="22">
        <v>0.45390000000000003</v>
      </c>
      <c r="O30" s="22">
        <v>3.5099999999999999E-2</v>
      </c>
      <c r="P30" s="22">
        <v>0.3</v>
      </c>
      <c r="Q30" s="20" t="s">
        <v>721</v>
      </c>
      <c r="R30" s="21">
        <v>0.45833333333333331</v>
      </c>
      <c r="S30" s="20" t="s">
        <v>722</v>
      </c>
      <c r="T30" s="21">
        <v>0.29861111111111122</v>
      </c>
      <c r="U30" s="21">
        <v>0.54166666666666674</v>
      </c>
      <c r="V30" s="20" t="s">
        <v>131</v>
      </c>
      <c r="W30" s="20" t="s">
        <v>723</v>
      </c>
      <c r="X30" s="21">
        <v>0.45833333333333331</v>
      </c>
      <c r="Y30" s="21">
        <v>0.29861111111111122</v>
      </c>
      <c r="Z30" s="21">
        <v>0.13194444444444439</v>
      </c>
      <c r="AA30" s="21">
        <v>4.8611111111111119E-2</v>
      </c>
      <c r="AB30" s="21">
        <v>6.25E-2</v>
      </c>
    </row>
    <row r="31" spans="1:28" ht="27.6">
      <c r="A31" s="20" t="s">
        <v>158</v>
      </c>
      <c r="B31" s="20" t="s">
        <v>150</v>
      </c>
      <c r="C31" s="20" t="s">
        <v>159</v>
      </c>
      <c r="D31" s="20" t="s">
        <v>717</v>
      </c>
      <c r="E31" s="20" t="s">
        <v>718</v>
      </c>
      <c r="F31" s="20" t="s">
        <v>717</v>
      </c>
      <c r="G31" s="20" t="s">
        <v>719</v>
      </c>
      <c r="H31" s="20" t="s">
        <v>720</v>
      </c>
      <c r="I31" s="20" t="s">
        <v>601</v>
      </c>
      <c r="J31" s="21">
        <v>0.80812003530450127</v>
      </c>
      <c r="K31" s="20" t="s">
        <v>602</v>
      </c>
      <c r="L31" s="20" t="s">
        <v>603</v>
      </c>
      <c r="M31" s="22">
        <v>-0.41089999999999999</v>
      </c>
      <c r="N31" s="22">
        <v>0.45390000000000003</v>
      </c>
      <c r="O31" s="22">
        <v>3.5099999999999999E-2</v>
      </c>
      <c r="P31" s="22">
        <v>0.3</v>
      </c>
      <c r="Q31" s="20" t="s">
        <v>721</v>
      </c>
      <c r="R31" s="21">
        <v>0.45833333333333331</v>
      </c>
      <c r="S31" s="20" t="s">
        <v>722</v>
      </c>
      <c r="T31" s="21">
        <v>0.29861111111111122</v>
      </c>
      <c r="U31" s="21">
        <v>0.54166666666666674</v>
      </c>
      <c r="V31" s="20" t="s">
        <v>131</v>
      </c>
      <c r="W31" s="20" t="s">
        <v>723</v>
      </c>
      <c r="X31" s="21">
        <v>0.45833333333333331</v>
      </c>
      <c r="Y31" s="21">
        <v>0.29861111111111122</v>
      </c>
      <c r="Z31" s="21">
        <v>0.13194444444444439</v>
      </c>
      <c r="AA31" s="21">
        <v>4.8611111111111119E-2</v>
      </c>
      <c r="AB31" s="21">
        <v>6.25E-2</v>
      </c>
    </row>
    <row r="32" spans="1:28" ht="27.6">
      <c r="A32" s="20" t="s">
        <v>160</v>
      </c>
      <c r="B32" s="20" t="s">
        <v>150</v>
      </c>
      <c r="C32" s="20" t="s">
        <v>161</v>
      </c>
      <c r="D32" s="20" t="s">
        <v>717</v>
      </c>
      <c r="E32" s="20" t="s">
        <v>718</v>
      </c>
      <c r="F32" s="20" t="s">
        <v>717</v>
      </c>
      <c r="G32" s="20" t="s">
        <v>719</v>
      </c>
      <c r="H32" s="20" t="s">
        <v>720</v>
      </c>
      <c r="I32" s="20" t="s">
        <v>601</v>
      </c>
      <c r="J32" s="21">
        <v>0.7496865858754701</v>
      </c>
      <c r="K32" s="20" t="s">
        <v>602</v>
      </c>
      <c r="L32" s="20" t="s">
        <v>603</v>
      </c>
      <c r="M32" s="22">
        <v>-0.41089999999999999</v>
      </c>
      <c r="N32" s="22">
        <v>0.45390000000000003</v>
      </c>
      <c r="O32" s="22">
        <v>3.5099999999999999E-2</v>
      </c>
      <c r="P32" s="22">
        <v>0.3</v>
      </c>
      <c r="Q32" s="20" t="s">
        <v>721</v>
      </c>
      <c r="R32" s="21">
        <v>0.45833333333333331</v>
      </c>
      <c r="S32" s="20" t="s">
        <v>722</v>
      </c>
      <c r="T32" s="21">
        <v>0.29861111111111122</v>
      </c>
      <c r="U32" s="21">
        <v>0.54166666666666674</v>
      </c>
      <c r="V32" s="20" t="s">
        <v>131</v>
      </c>
      <c r="W32" s="20" t="s">
        <v>723</v>
      </c>
      <c r="X32" s="21">
        <v>0.45833333333333331</v>
      </c>
      <c r="Y32" s="21">
        <v>0.29861111111111122</v>
      </c>
      <c r="Z32" s="21">
        <v>0.13194444444444439</v>
      </c>
      <c r="AA32" s="21">
        <v>4.8611111111111119E-2</v>
      </c>
      <c r="AB32" s="21">
        <v>6.25E-2</v>
      </c>
    </row>
    <row r="33" spans="1:28">
      <c r="A33" s="20" t="s">
        <v>162</v>
      </c>
      <c r="B33" s="20" t="s">
        <v>150</v>
      </c>
      <c r="C33" s="20" t="s">
        <v>163</v>
      </c>
      <c r="D33" s="20" t="s">
        <v>717</v>
      </c>
      <c r="E33" s="20" t="s">
        <v>718</v>
      </c>
      <c r="F33" s="20" t="s">
        <v>717</v>
      </c>
      <c r="G33" s="20" t="s">
        <v>719</v>
      </c>
      <c r="H33" s="20" t="s">
        <v>720</v>
      </c>
      <c r="I33" s="20" t="s">
        <v>601</v>
      </c>
      <c r="J33" s="21">
        <v>0.73442117435436205</v>
      </c>
      <c r="K33" s="20" t="s">
        <v>602</v>
      </c>
      <c r="L33" s="20" t="s">
        <v>610</v>
      </c>
      <c r="M33" s="22">
        <v>-0.41089999999999999</v>
      </c>
      <c r="N33" s="22">
        <v>8.48E-2</v>
      </c>
      <c r="O33" s="22">
        <v>-0.19400000000000001</v>
      </c>
      <c r="P33" s="22">
        <v>0.22989999999999999</v>
      </c>
      <c r="Q33" s="20" t="s">
        <v>721</v>
      </c>
      <c r="R33" s="21">
        <v>0.46093749999999989</v>
      </c>
      <c r="S33" s="20" t="s">
        <v>722</v>
      </c>
      <c r="T33" s="21">
        <v>0.32031250000000011</v>
      </c>
      <c r="U33" s="21">
        <v>0.5390625</v>
      </c>
      <c r="V33" s="20" t="s">
        <v>131</v>
      </c>
      <c r="W33" s="20" t="s">
        <v>723</v>
      </c>
      <c r="X33" s="21">
        <v>0.46093749999999989</v>
      </c>
      <c r="Y33" s="21">
        <v>0.32031250000000011</v>
      </c>
      <c r="Z33" s="21">
        <v>0.125</v>
      </c>
      <c r="AA33" s="21">
        <v>5.4687500000000007E-2</v>
      </c>
      <c r="AB33" s="21">
        <v>3.9062500000000007E-2</v>
      </c>
    </row>
    <row r="34" spans="1:28" ht="27.6">
      <c r="A34" s="20" t="s">
        <v>164</v>
      </c>
      <c r="B34" s="20" t="s">
        <v>150</v>
      </c>
      <c r="C34" s="20" t="s">
        <v>165</v>
      </c>
      <c r="D34" s="20" t="s">
        <v>717</v>
      </c>
      <c r="E34" s="20" t="s">
        <v>731</v>
      </c>
      <c r="F34" s="20" t="s">
        <v>717</v>
      </c>
      <c r="G34" s="20" t="s">
        <v>732</v>
      </c>
      <c r="H34" s="20" t="s">
        <v>720</v>
      </c>
      <c r="I34" s="20" t="s">
        <v>601</v>
      </c>
      <c r="J34" s="21">
        <v>0.77026441265713053</v>
      </c>
      <c r="K34" s="20" t="s">
        <v>602</v>
      </c>
      <c r="L34" s="20" t="s">
        <v>603</v>
      </c>
      <c r="M34" s="22">
        <v>-0.41089999999999999</v>
      </c>
      <c r="N34" s="22">
        <v>0.45390000000000003</v>
      </c>
      <c r="O34" s="22">
        <v>3.5099999999999999E-2</v>
      </c>
      <c r="P34" s="22">
        <v>0.3</v>
      </c>
      <c r="Q34" s="20" t="s">
        <v>721</v>
      </c>
      <c r="R34" s="21">
        <v>0.51079136690647486</v>
      </c>
      <c r="S34" s="20" t="s">
        <v>722</v>
      </c>
      <c r="T34" s="21">
        <v>0.17985611510791369</v>
      </c>
      <c r="U34" s="21">
        <v>0.48920863309352508</v>
      </c>
      <c r="V34" s="20" t="s">
        <v>131</v>
      </c>
      <c r="W34" s="20" t="s">
        <v>723</v>
      </c>
      <c r="X34" s="21">
        <v>0.51079136690647486</v>
      </c>
      <c r="Y34" s="21">
        <v>0.17985611510791369</v>
      </c>
      <c r="Z34" s="21">
        <v>0.1366906474820144</v>
      </c>
      <c r="AA34" s="21">
        <v>0.1079136690647482</v>
      </c>
      <c r="AB34" s="21">
        <v>6.4748201438848921E-2</v>
      </c>
    </row>
    <row r="35" spans="1:28" ht="27.6">
      <c r="A35" s="20" t="s">
        <v>166</v>
      </c>
      <c r="B35" s="20" t="s">
        <v>150</v>
      </c>
      <c r="C35" s="20" t="s">
        <v>167</v>
      </c>
      <c r="D35" s="20" t="s">
        <v>717</v>
      </c>
      <c r="E35" s="20" t="s">
        <v>718</v>
      </c>
      <c r="F35" s="20" t="s">
        <v>717</v>
      </c>
      <c r="G35" s="20" t="s">
        <v>719</v>
      </c>
      <c r="H35" s="20" t="s">
        <v>720</v>
      </c>
      <c r="I35" s="20" t="s">
        <v>601</v>
      </c>
      <c r="J35" s="21">
        <v>0.77147450620119429</v>
      </c>
      <c r="K35" s="20" t="s">
        <v>602</v>
      </c>
      <c r="L35" s="20" t="s">
        <v>603</v>
      </c>
      <c r="M35" s="22">
        <v>-0.41089999999999999</v>
      </c>
      <c r="N35" s="22">
        <v>0.45390000000000003</v>
      </c>
      <c r="O35" s="22">
        <v>3.5099999999999999E-2</v>
      </c>
      <c r="P35" s="22">
        <v>0.3</v>
      </c>
      <c r="Q35" s="20" t="s">
        <v>721</v>
      </c>
      <c r="R35" s="21">
        <v>0.45833333333333331</v>
      </c>
      <c r="S35" s="20" t="s">
        <v>722</v>
      </c>
      <c r="T35" s="21">
        <v>0.29861111111111122</v>
      </c>
      <c r="U35" s="21">
        <v>0.54166666666666674</v>
      </c>
      <c r="V35" s="20" t="s">
        <v>131</v>
      </c>
      <c r="W35" s="20" t="s">
        <v>723</v>
      </c>
      <c r="X35" s="21">
        <v>0.45833333333333331</v>
      </c>
      <c r="Y35" s="21">
        <v>0.29861111111111122</v>
      </c>
      <c r="Z35" s="21">
        <v>0.13194444444444439</v>
      </c>
      <c r="AA35" s="21">
        <v>4.8611111111111119E-2</v>
      </c>
      <c r="AB35" s="21">
        <v>6.25E-2</v>
      </c>
    </row>
    <row r="36" spans="1:28" ht="27.6">
      <c r="A36" s="20" t="s">
        <v>168</v>
      </c>
      <c r="B36" s="20" t="s">
        <v>150</v>
      </c>
      <c r="C36" s="20" t="s">
        <v>169</v>
      </c>
      <c r="D36" s="20" t="s">
        <v>717</v>
      </c>
      <c r="E36" s="20" t="s">
        <v>724</v>
      </c>
      <c r="F36" s="20" t="s">
        <v>717</v>
      </c>
      <c r="G36" s="20" t="s">
        <v>737</v>
      </c>
      <c r="H36" s="20" t="s">
        <v>720</v>
      </c>
      <c r="I36" s="20" t="s">
        <v>601</v>
      </c>
      <c r="J36" s="21">
        <v>0.73365785813630047</v>
      </c>
      <c r="K36" s="20" t="s">
        <v>602</v>
      </c>
      <c r="L36" s="20" t="s">
        <v>610</v>
      </c>
      <c r="M36" s="22">
        <v>-0.41089999999999999</v>
      </c>
      <c r="N36" s="22">
        <v>8.48E-2</v>
      </c>
      <c r="O36" s="22">
        <v>-0.19400000000000001</v>
      </c>
      <c r="P36" s="22">
        <v>0.22989999999999999</v>
      </c>
      <c r="Q36" s="20" t="s">
        <v>721</v>
      </c>
      <c r="R36" s="21">
        <v>0.53333333333333333</v>
      </c>
      <c r="S36" s="20" t="s">
        <v>722</v>
      </c>
      <c r="T36" s="21">
        <v>0.19166666666666671</v>
      </c>
      <c r="U36" s="21">
        <v>0.46666666666666667</v>
      </c>
      <c r="V36" s="20" t="s">
        <v>131</v>
      </c>
      <c r="W36" s="20" t="s">
        <v>723</v>
      </c>
      <c r="X36" s="21">
        <v>0.53333333333333333</v>
      </c>
      <c r="Y36" s="21">
        <v>0.19166666666666671</v>
      </c>
      <c r="Z36" s="21">
        <v>0.17499999999999999</v>
      </c>
      <c r="AA36" s="21">
        <v>5.8333333333333341E-2</v>
      </c>
      <c r="AB36" s="21">
        <v>4.1666666666666671E-2</v>
      </c>
    </row>
    <row r="37" spans="1:28" ht="27.6">
      <c r="A37" s="20" t="s">
        <v>171</v>
      </c>
      <c r="B37" s="20" t="s">
        <v>172</v>
      </c>
      <c r="C37" s="20" t="s">
        <v>173</v>
      </c>
      <c r="D37" s="20" t="s">
        <v>724</v>
      </c>
      <c r="E37" s="20" t="s">
        <v>731</v>
      </c>
      <c r="F37" s="20" t="s">
        <v>717</v>
      </c>
      <c r="G37" s="20" t="s">
        <v>738</v>
      </c>
      <c r="H37" s="20" t="s">
        <v>726</v>
      </c>
      <c r="I37" s="20" t="s">
        <v>601</v>
      </c>
      <c r="J37" s="21">
        <v>0.74626865671641796</v>
      </c>
      <c r="K37" s="20" t="s">
        <v>602</v>
      </c>
      <c r="L37" s="20" t="s">
        <v>603</v>
      </c>
      <c r="M37" s="22">
        <v>-0.41089999999999999</v>
      </c>
      <c r="N37" s="22">
        <v>0.45390000000000003</v>
      </c>
      <c r="O37" s="22">
        <v>3.5099999999999999E-2</v>
      </c>
      <c r="P37" s="22">
        <v>0.3</v>
      </c>
      <c r="Q37" s="20" t="s">
        <v>721</v>
      </c>
      <c r="R37" s="21">
        <v>0.44936708860759489</v>
      </c>
      <c r="S37" s="20" t="s">
        <v>722</v>
      </c>
      <c r="T37" s="21">
        <v>0.20886075949367089</v>
      </c>
      <c r="U37" s="21">
        <v>0.55063291139240511</v>
      </c>
      <c r="V37" s="20" t="s">
        <v>60</v>
      </c>
      <c r="W37" s="20" t="s">
        <v>723</v>
      </c>
      <c r="X37" s="21">
        <v>0.44936708860759489</v>
      </c>
      <c r="Y37" s="21">
        <v>0.20886075949367089</v>
      </c>
      <c r="Z37" s="21">
        <v>0.13291139240506331</v>
      </c>
      <c r="AA37" s="21">
        <v>0.12658227848101269</v>
      </c>
      <c r="AB37" s="21">
        <v>8.2278481012658222E-2</v>
      </c>
    </row>
    <row r="38" spans="1:28" ht="27.6">
      <c r="A38" s="20" t="s">
        <v>178</v>
      </c>
      <c r="B38" s="20" t="s">
        <v>179</v>
      </c>
      <c r="C38" s="20" t="s">
        <v>180</v>
      </c>
      <c r="D38" s="20" t="s">
        <v>724</v>
      </c>
      <c r="E38" s="20" t="s">
        <v>718</v>
      </c>
      <c r="F38" s="20" t="s">
        <v>718</v>
      </c>
      <c r="G38" s="20" t="s">
        <v>739</v>
      </c>
      <c r="H38" s="20" t="s">
        <v>720</v>
      </c>
      <c r="I38" s="20" t="s">
        <v>601</v>
      </c>
      <c r="J38" s="21">
        <v>0.68935292601185871</v>
      </c>
      <c r="K38" s="20" t="s">
        <v>602</v>
      </c>
      <c r="L38" s="20" t="s">
        <v>603</v>
      </c>
      <c r="M38" s="22">
        <v>-0.41089999999999999</v>
      </c>
      <c r="N38" s="22">
        <v>0.45390000000000003</v>
      </c>
      <c r="O38" s="22">
        <v>3.5099999999999999E-2</v>
      </c>
      <c r="P38" s="22">
        <v>0.3</v>
      </c>
      <c r="Q38" s="20" t="s">
        <v>722</v>
      </c>
      <c r="R38" s="21">
        <v>0.37692307692307692</v>
      </c>
      <c r="S38" s="20" t="s">
        <v>721</v>
      </c>
      <c r="T38" s="21">
        <v>0.23846153846153839</v>
      </c>
      <c r="U38" s="21">
        <v>0.62307692307692308</v>
      </c>
      <c r="V38" s="20" t="s">
        <v>60</v>
      </c>
      <c r="W38" s="20" t="s">
        <v>740</v>
      </c>
      <c r="X38" s="21">
        <v>0.23846153846153839</v>
      </c>
      <c r="Y38" s="21">
        <v>0.37692307692307692</v>
      </c>
      <c r="Z38" s="21">
        <v>0.1846153846153846</v>
      </c>
      <c r="AA38" s="21">
        <v>9.2307692307692299E-2</v>
      </c>
      <c r="AB38" s="21">
        <v>0.1076923076923077</v>
      </c>
    </row>
    <row r="39" spans="1:28" ht="27.6">
      <c r="A39" s="20" t="s">
        <v>181</v>
      </c>
      <c r="B39" s="20" t="s">
        <v>182</v>
      </c>
      <c r="C39" s="20" t="s">
        <v>183</v>
      </c>
      <c r="D39" s="20" t="s">
        <v>724</v>
      </c>
      <c r="E39" s="20" t="s">
        <v>717</v>
      </c>
      <c r="F39" s="20" t="s">
        <v>718</v>
      </c>
      <c r="G39" s="20" t="s">
        <v>741</v>
      </c>
      <c r="H39" s="20" t="s">
        <v>726</v>
      </c>
      <c r="I39" s="20" t="s">
        <v>601</v>
      </c>
      <c r="J39" s="21">
        <v>0.40740740740740738</v>
      </c>
      <c r="K39" s="20" t="s">
        <v>602</v>
      </c>
      <c r="L39" s="20" t="s">
        <v>603</v>
      </c>
      <c r="M39" s="22">
        <v>-0.41089999999999999</v>
      </c>
      <c r="N39" s="22">
        <v>0.45390000000000003</v>
      </c>
      <c r="O39" s="22">
        <v>3.5099999999999999E-2</v>
      </c>
      <c r="P39" s="22">
        <v>0.3</v>
      </c>
      <c r="Q39" s="20" t="s">
        <v>722</v>
      </c>
      <c r="R39" s="21">
        <v>0.40789473684210531</v>
      </c>
      <c r="S39" s="20" t="s">
        <v>721</v>
      </c>
      <c r="T39" s="21">
        <v>0.2039473684210526</v>
      </c>
      <c r="U39" s="21">
        <v>0.59210526315789469</v>
      </c>
      <c r="V39" s="20" t="s">
        <v>60</v>
      </c>
      <c r="W39" s="20" t="s">
        <v>740</v>
      </c>
      <c r="X39" s="21">
        <v>0.2039473684210526</v>
      </c>
      <c r="Y39" s="21">
        <v>0.40789473684210531</v>
      </c>
      <c r="Z39" s="21">
        <v>0.13815789473684209</v>
      </c>
      <c r="AA39" s="21">
        <v>0.1118421052631579</v>
      </c>
      <c r="AB39" s="21">
        <v>0.13815789473684209</v>
      </c>
    </row>
    <row r="40" spans="1:28" ht="27.6">
      <c r="A40" s="20" t="s">
        <v>184</v>
      </c>
      <c r="B40" s="20" t="s">
        <v>185</v>
      </c>
      <c r="C40" s="20" t="s">
        <v>186</v>
      </c>
      <c r="D40" s="20" t="s">
        <v>724</v>
      </c>
      <c r="E40" s="20" t="s">
        <v>731</v>
      </c>
      <c r="F40" s="20" t="s">
        <v>718</v>
      </c>
      <c r="G40" s="20" t="s">
        <v>742</v>
      </c>
      <c r="H40" s="20" t="s">
        <v>726</v>
      </c>
      <c r="I40" s="20" t="s">
        <v>601</v>
      </c>
      <c r="J40" s="21">
        <v>0.75904605263157898</v>
      </c>
      <c r="K40" s="20" t="s">
        <v>602</v>
      </c>
      <c r="L40" s="20" t="s">
        <v>610</v>
      </c>
      <c r="M40" s="22">
        <v>-0.41089999999999999</v>
      </c>
      <c r="N40" s="22">
        <v>8.48E-2</v>
      </c>
      <c r="O40" s="22">
        <v>-0.19400000000000001</v>
      </c>
      <c r="P40" s="22">
        <v>0.22989999999999999</v>
      </c>
      <c r="Q40" s="20" t="s">
        <v>722</v>
      </c>
      <c r="R40" s="21">
        <v>0.38732394366197181</v>
      </c>
      <c r="S40" s="20" t="s">
        <v>721</v>
      </c>
      <c r="T40" s="21">
        <v>0.21126760563380281</v>
      </c>
      <c r="U40" s="21">
        <v>0.61267605633802824</v>
      </c>
      <c r="V40" s="20" t="s">
        <v>60</v>
      </c>
      <c r="W40" s="20" t="s">
        <v>740</v>
      </c>
      <c r="X40" s="21">
        <v>0.21126760563380281</v>
      </c>
      <c r="Y40" s="21">
        <v>0.38732394366197181</v>
      </c>
      <c r="Z40" s="21">
        <v>0.12676056338028169</v>
      </c>
      <c r="AA40" s="21">
        <v>0.176056338028169</v>
      </c>
      <c r="AB40" s="21">
        <v>9.8591549295774641E-2</v>
      </c>
    </row>
    <row r="41" spans="1:28" ht="27.6">
      <c r="A41" s="20" t="s">
        <v>187</v>
      </c>
      <c r="B41" s="20" t="s">
        <v>188</v>
      </c>
      <c r="C41" s="20" t="s">
        <v>189</v>
      </c>
      <c r="D41" s="20" t="s">
        <v>724</v>
      </c>
      <c r="E41" s="20" t="s">
        <v>743</v>
      </c>
      <c r="F41" s="20" t="s">
        <v>717</v>
      </c>
      <c r="G41" s="20" t="s">
        <v>744</v>
      </c>
      <c r="H41" s="20" t="s">
        <v>726</v>
      </c>
      <c r="I41" s="20" t="s">
        <v>601</v>
      </c>
      <c r="J41" s="21">
        <v>0.75496517926231621</v>
      </c>
      <c r="K41" s="20" t="s">
        <v>602</v>
      </c>
      <c r="L41" s="20" t="s">
        <v>603</v>
      </c>
      <c r="M41" s="22">
        <v>-0.41089999999999999</v>
      </c>
      <c r="N41" s="22">
        <v>0.45390000000000003</v>
      </c>
      <c r="O41" s="22">
        <v>3.5099999999999999E-2</v>
      </c>
      <c r="P41" s="22">
        <v>0.3</v>
      </c>
      <c r="Q41" s="20" t="s">
        <v>721</v>
      </c>
      <c r="R41" s="21">
        <v>0.44936708860759489</v>
      </c>
      <c r="S41" s="20" t="s">
        <v>722</v>
      </c>
      <c r="T41" s="21">
        <v>0.20886075949367089</v>
      </c>
      <c r="U41" s="21">
        <v>0.55063291139240511</v>
      </c>
      <c r="V41" s="20" t="s">
        <v>60</v>
      </c>
      <c r="W41" s="20" t="s">
        <v>723</v>
      </c>
      <c r="X41" s="21">
        <v>0.44936708860759489</v>
      </c>
      <c r="Y41" s="21">
        <v>0.20886075949367089</v>
      </c>
      <c r="Z41" s="21">
        <v>0.13291139240506331</v>
      </c>
      <c r="AA41" s="21">
        <v>7.5949367088607597E-2</v>
      </c>
      <c r="AB41" s="21">
        <v>0.13291139240506331</v>
      </c>
    </row>
    <row r="42" spans="1:28" ht="27.6">
      <c r="A42" s="20" t="s">
        <v>190</v>
      </c>
      <c r="B42" s="20" t="s">
        <v>191</v>
      </c>
      <c r="C42" s="20" t="s">
        <v>192</v>
      </c>
      <c r="D42" s="20" t="s">
        <v>717</v>
      </c>
      <c r="E42" s="20" t="s">
        <v>731</v>
      </c>
      <c r="F42" s="20" t="s">
        <v>717</v>
      </c>
      <c r="G42" s="20" t="s">
        <v>732</v>
      </c>
      <c r="H42" s="20" t="s">
        <v>720</v>
      </c>
      <c r="I42" s="20" t="s">
        <v>601</v>
      </c>
      <c r="J42" s="21">
        <v>0.78889757623143075</v>
      </c>
      <c r="K42" s="20" t="s">
        <v>602</v>
      </c>
      <c r="L42" s="20" t="s">
        <v>603</v>
      </c>
      <c r="M42" s="22">
        <v>-0.41089999999999999</v>
      </c>
      <c r="N42" s="22">
        <v>0.45390000000000003</v>
      </c>
      <c r="O42" s="22">
        <v>3.5099999999999999E-2</v>
      </c>
      <c r="P42" s="22">
        <v>0.3</v>
      </c>
      <c r="Q42" s="20" t="s">
        <v>721</v>
      </c>
      <c r="R42" s="21">
        <v>0.51079136690647486</v>
      </c>
      <c r="S42" s="20" t="s">
        <v>722</v>
      </c>
      <c r="T42" s="21">
        <v>0.17985611510791369</v>
      </c>
      <c r="U42" s="21">
        <v>0.48920863309352508</v>
      </c>
      <c r="V42" s="20" t="s">
        <v>131</v>
      </c>
      <c r="W42" s="20" t="s">
        <v>723</v>
      </c>
      <c r="X42" s="21">
        <v>0.51079136690647486</v>
      </c>
      <c r="Y42" s="21">
        <v>0.17985611510791369</v>
      </c>
      <c r="Z42" s="21">
        <v>0.1366906474820144</v>
      </c>
      <c r="AA42" s="21">
        <v>0.1079136690647482</v>
      </c>
      <c r="AB42" s="21">
        <v>6.4748201438848921E-2</v>
      </c>
    </row>
    <row r="43" spans="1:28" ht="27.6">
      <c r="A43" s="20" t="s">
        <v>195</v>
      </c>
      <c r="B43" s="20" t="s">
        <v>191</v>
      </c>
      <c r="C43" s="20" t="s">
        <v>196</v>
      </c>
      <c r="D43" s="20" t="s">
        <v>717</v>
      </c>
      <c r="E43" s="20" t="s">
        <v>718</v>
      </c>
      <c r="F43" s="20" t="s">
        <v>718</v>
      </c>
      <c r="G43" s="20" t="s">
        <v>745</v>
      </c>
      <c r="H43" s="20" t="s">
        <v>720</v>
      </c>
      <c r="I43" s="20" t="s">
        <v>601</v>
      </c>
      <c r="J43" s="21">
        <v>0.75741427247451343</v>
      </c>
      <c r="K43" s="20" t="s">
        <v>602</v>
      </c>
      <c r="L43" s="20" t="s">
        <v>603</v>
      </c>
      <c r="M43" s="22">
        <v>-0.41089999999999999</v>
      </c>
      <c r="N43" s="22">
        <v>0.45390000000000003</v>
      </c>
      <c r="O43" s="22">
        <v>3.5099999999999999E-2</v>
      </c>
      <c r="P43" s="22">
        <v>0.3</v>
      </c>
      <c r="Q43" s="20" t="s">
        <v>722</v>
      </c>
      <c r="R43" s="21">
        <v>0.37404580152671751</v>
      </c>
      <c r="S43" s="20" t="s">
        <v>721</v>
      </c>
      <c r="T43" s="21">
        <v>0.28244274809160302</v>
      </c>
      <c r="U43" s="21">
        <v>0.62595419847328249</v>
      </c>
      <c r="V43" s="20" t="s">
        <v>60</v>
      </c>
      <c r="W43" s="20" t="s">
        <v>740</v>
      </c>
      <c r="X43" s="21">
        <v>0.28244274809160302</v>
      </c>
      <c r="Y43" s="21">
        <v>0.37404580152671751</v>
      </c>
      <c r="Z43" s="21">
        <v>0.14503816793893129</v>
      </c>
      <c r="AA43" s="21">
        <v>9.160305343511449E-2</v>
      </c>
      <c r="AB43" s="21">
        <v>0.1068702290076336</v>
      </c>
    </row>
    <row r="44" spans="1:28" ht="27.6">
      <c r="A44" s="20" t="s">
        <v>197</v>
      </c>
      <c r="B44" s="20" t="s">
        <v>191</v>
      </c>
      <c r="C44" s="20" t="s">
        <v>198</v>
      </c>
      <c r="D44" s="20" t="s">
        <v>717</v>
      </c>
      <c r="E44" s="20" t="s">
        <v>718</v>
      </c>
      <c r="F44" s="20" t="s">
        <v>717</v>
      </c>
      <c r="G44" s="20" t="s">
        <v>719</v>
      </c>
      <c r="H44" s="20" t="s">
        <v>720</v>
      </c>
      <c r="I44" s="20" t="s">
        <v>601</v>
      </c>
      <c r="J44" s="21">
        <v>0.73229085222830337</v>
      </c>
      <c r="K44" s="20" t="s">
        <v>602</v>
      </c>
      <c r="L44" s="20" t="s">
        <v>603</v>
      </c>
      <c r="M44" s="22">
        <v>-0.41089999999999999</v>
      </c>
      <c r="N44" s="22">
        <v>0.45390000000000003</v>
      </c>
      <c r="O44" s="22">
        <v>3.5099999999999999E-2</v>
      </c>
      <c r="P44" s="22">
        <v>0.3</v>
      </c>
      <c r="Q44" s="20" t="s">
        <v>721</v>
      </c>
      <c r="R44" s="21">
        <v>0.45833333333333331</v>
      </c>
      <c r="S44" s="20" t="s">
        <v>722</v>
      </c>
      <c r="T44" s="21">
        <v>0.29861111111111122</v>
      </c>
      <c r="U44" s="21">
        <v>0.54166666666666674</v>
      </c>
      <c r="V44" s="20" t="s">
        <v>131</v>
      </c>
      <c r="W44" s="20" t="s">
        <v>723</v>
      </c>
      <c r="X44" s="21">
        <v>0.45833333333333331</v>
      </c>
      <c r="Y44" s="21">
        <v>0.29861111111111122</v>
      </c>
      <c r="Z44" s="21">
        <v>0.13194444444444439</v>
      </c>
      <c r="AA44" s="21">
        <v>4.8611111111111119E-2</v>
      </c>
      <c r="AB44" s="21">
        <v>6.25E-2</v>
      </c>
    </row>
    <row r="45" spans="1:28" ht="27.6">
      <c r="A45" s="20" t="s">
        <v>199</v>
      </c>
      <c r="B45" s="20" t="s">
        <v>191</v>
      </c>
      <c r="C45" s="20" t="s">
        <v>200</v>
      </c>
      <c r="D45" s="20" t="s">
        <v>717</v>
      </c>
      <c r="E45" s="20" t="s">
        <v>731</v>
      </c>
      <c r="F45" s="20" t="s">
        <v>717</v>
      </c>
      <c r="G45" s="20" t="s">
        <v>732</v>
      </c>
      <c r="H45" s="20" t="s">
        <v>720</v>
      </c>
      <c r="I45" s="20" t="s">
        <v>601</v>
      </c>
      <c r="J45" s="21">
        <v>0.76139531379492198</v>
      </c>
      <c r="K45" s="20" t="s">
        <v>602</v>
      </c>
      <c r="L45" s="20" t="s">
        <v>603</v>
      </c>
      <c r="M45" s="22">
        <v>-0.41089999999999999</v>
      </c>
      <c r="N45" s="22">
        <v>0.45390000000000003</v>
      </c>
      <c r="O45" s="22">
        <v>3.5099999999999999E-2</v>
      </c>
      <c r="P45" s="22">
        <v>0.3</v>
      </c>
      <c r="Q45" s="20" t="s">
        <v>721</v>
      </c>
      <c r="R45" s="21">
        <v>0.51079136690647486</v>
      </c>
      <c r="S45" s="20" t="s">
        <v>722</v>
      </c>
      <c r="T45" s="21">
        <v>0.17985611510791369</v>
      </c>
      <c r="U45" s="21">
        <v>0.48920863309352508</v>
      </c>
      <c r="V45" s="20" t="s">
        <v>131</v>
      </c>
      <c r="W45" s="20" t="s">
        <v>723</v>
      </c>
      <c r="X45" s="21">
        <v>0.51079136690647486</v>
      </c>
      <c r="Y45" s="21">
        <v>0.17985611510791369</v>
      </c>
      <c r="Z45" s="21">
        <v>0.1366906474820144</v>
      </c>
      <c r="AA45" s="21">
        <v>0.1079136690647482</v>
      </c>
      <c r="AB45" s="21">
        <v>6.4748201438848921E-2</v>
      </c>
    </row>
    <row r="46" spans="1:28" ht="27.6">
      <c r="A46" s="20" t="s">
        <v>201</v>
      </c>
      <c r="B46" s="20" t="s">
        <v>191</v>
      </c>
      <c r="C46" s="20" t="s">
        <v>202</v>
      </c>
      <c r="D46" s="20" t="s">
        <v>717</v>
      </c>
      <c r="E46" s="20" t="s">
        <v>718</v>
      </c>
      <c r="F46" s="20" t="s">
        <v>717</v>
      </c>
      <c r="G46" s="20" t="s">
        <v>719</v>
      </c>
      <c r="H46" s="20" t="s">
        <v>720</v>
      </c>
      <c r="I46" s="20" t="s">
        <v>601</v>
      </c>
      <c r="J46" s="21">
        <v>0.78362391033623913</v>
      </c>
      <c r="K46" s="20" t="s">
        <v>602</v>
      </c>
      <c r="L46" s="20" t="s">
        <v>603</v>
      </c>
      <c r="M46" s="22">
        <v>-0.41089999999999999</v>
      </c>
      <c r="N46" s="22">
        <v>0.45390000000000003</v>
      </c>
      <c r="O46" s="22">
        <v>3.5099999999999999E-2</v>
      </c>
      <c r="P46" s="22">
        <v>0.3</v>
      </c>
      <c r="Q46" s="20" t="s">
        <v>721</v>
      </c>
      <c r="R46" s="21">
        <v>0.45833333333333331</v>
      </c>
      <c r="S46" s="20" t="s">
        <v>722</v>
      </c>
      <c r="T46" s="21">
        <v>0.29861111111111122</v>
      </c>
      <c r="U46" s="21">
        <v>0.54166666666666674</v>
      </c>
      <c r="V46" s="20" t="s">
        <v>131</v>
      </c>
      <c r="W46" s="20" t="s">
        <v>723</v>
      </c>
      <c r="X46" s="21">
        <v>0.45833333333333331</v>
      </c>
      <c r="Y46" s="21">
        <v>0.29861111111111122</v>
      </c>
      <c r="Z46" s="21">
        <v>0.13194444444444439</v>
      </c>
      <c r="AA46" s="21">
        <v>4.8611111111111119E-2</v>
      </c>
      <c r="AB46" s="21">
        <v>6.25E-2</v>
      </c>
    </row>
    <row r="47" spans="1:28" ht="27.6">
      <c r="A47" s="20" t="s">
        <v>203</v>
      </c>
      <c r="B47" s="20" t="s">
        <v>191</v>
      </c>
      <c r="C47" s="20" t="s">
        <v>204</v>
      </c>
      <c r="D47" s="20" t="s">
        <v>717</v>
      </c>
      <c r="E47" s="20" t="s">
        <v>718</v>
      </c>
      <c r="F47" s="20" t="s">
        <v>717</v>
      </c>
      <c r="G47" s="20" t="s">
        <v>719</v>
      </c>
      <c r="H47" s="20" t="s">
        <v>720</v>
      </c>
      <c r="I47" s="20" t="s">
        <v>601</v>
      </c>
      <c r="J47" s="21">
        <v>0.76730152743729962</v>
      </c>
      <c r="K47" s="20" t="s">
        <v>602</v>
      </c>
      <c r="L47" s="20" t="s">
        <v>603</v>
      </c>
      <c r="M47" s="22">
        <v>-0.41089999999999999</v>
      </c>
      <c r="N47" s="22">
        <v>0.45390000000000003</v>
      </c>
      <c r="O47" s="22">
        <v>3.5099999999999999E-2</v>
      </c>
      <c r="P47" s="22">
        <v>0.3</v>
      </c>
      <c r="Q47" s="20" t="s">
        <v>721</v>
      </c>
      <c r="R47" s="21">
        <v>0.45833333333333331</v>
      </c>
      <c r="S47" s="20" t="s">
        <v>722</v>
      </c>
      <c r="T47" s="21">
        <v>0.29861111111111122</v>
      </c>
      <c r="U47" s="21">
        <v>0.54166666666666674</v>
      </c>
      <c r="V47" s="20" t="s">
        <v>131</v>
      </c>
      <c r="W47" s="20" t="s">
        <v>723</v>
      </c>
      <c r="X47" s="21">
        <v>0.45833333333333331</v>
      </c>
      <c r="Y47" s="21">
        <v>0.29861111111111122</v>
      </c>
      <c r="Z47" s="21">
        <v>0.13194444444444439</v>
      </c>
      <c r="AA47" s="21">
        <v>4.8611111111111119E-2</v>
      </c>
      <c r="AB47" s="21">
        <v>6.25E-2</v>
      </c>
    </row>
    <row r="48" spans="1:28" ht="27.6">
      <c r="A48" s="20" t="s">
        <v>205</v>
      </c>
      <c r="B48" s="20" t="s">
        <v>206</v>
      </c>
      <c r="C48" s="20" t="s">
        <v>207</v>
      </c>
      <c r="D48" s="20" t="s">
        <v>724</v>
      </c>
      <c r="E48" s="20" t="s">
        <v>717</v>
      </c>
      <c r="F48" s="20" t="s">
        <v>717</v>
      </c>
      <c r="G48" s="20" t="s">
        <v>746</v>
      </c>
      <c r="H48" s="20" t="s">
        <v>720</v>
      </c>
      <c r="I48" s="20" t="s">
        <v>601</v>
      </c>
      <c r="J48" s="21">
        <v>0.95527843474521612</v>
      </c>
      <c r="K48" s="20" t="s">
        <v>602</v>
      </c>
      <c r="L48" s="20" t="s">
        <v>603</v>
      </c>
      <c r="M48" s="22">
        <v>-0.41089999999999999</v>
      </c>
      <c r="N48" s="22">
        <v>0.45390000000000003</v>
      </c>
      <c r="O48" s="22">
        <v>3.5099999999999999E-2</v>
      </c>
      <c r="P48" s="22">
        <v>0.3</v>
      </c>
      <c r="Q48" s="20" t="s">
        <v>721</v>
      </c>
      <c r="R48" s="21">
        <v>0.5220588235294118</v>
      </c>
      <c r="S48" s="20" t="s">
        <v>722</v>
      </c>
      <c r="T48" s="21">
        <v>0.18382352941176469</v>
      </c>
      <c r="U48" s="21">
        <v>0.4779411764705882</v>
      </c>
      <c r="V48" s="20" t="s">
        <v>131</v>
      </c>
      <c r="W48" s="20" t="s">
        <v>723</v>
      </c>
      <c r="X48" s="21">
        <v>0.5220588235294118</v>
      </c>
      <c r="Y48" s="21">
        <v>0.18382352941176469</v>
      </c>
      <c r="Z48" s="21">
        <v>0.1764705882352941</v>
      </c>
      <c r="AA48" s="21">
        <v>5.1470588235294129E-2</v>
      </c>
      <c r="AB48" s="21">
        <v>6.6176470588235295E-2</v>
      </c>
    </row>
    <row r="49" spans="1:28" ht="27.6">
      <c r="A49" s="20" t="s">
        <v>214</v>
      </c>
      <c r="B49" s="20" t="s">
        <v>206</v>
      </c>
      <c r="C49" s="20" t="s">
        <v>215</v>
      </c>
      <c r="D49" s="20" t="s">
        <v>724</v>
      </c>
      <c r="E49" s="20" t="s">
        <v>717</v>
      </c>
      <c r="F49" s="20" t="s">
        <v>717</v>
      </c>
      <c r="G49" s="20" t="s">
        <v>746</v>
      </c>
      <c r="H49" s="20" t="s">
        <v>720</v>
      </c>
      <c r="I49" s="20" t="s">
        <v>601</v>
      </c>
      <c r="J49" s="21">
        <v>0.95140863272163345</v>
      </c>
      <c r="K49" s="20" t="s">
        <v>602</v>
      </c>
      <c r="L49" s="20" t="s">
        <v>603</v>
      </c>
      <c r="M49" s="22">
        <v>-0.41089999999999999</v>
      </c>
      <c r="N49" s="22">
        <v>0.45390000000000003</v>
      </c>
      <c r="O49" s="22">
        <v>3.5099999999999999E-2</v>
      </c>
      <c r="P49" s="22">
        <v>0.3</v>
      </c>
      <c r="Q49" s="20" t="s">
        <v>721</v>
      </c>
      <c r="R49" s="21">
        <v>0.5220588235294118</v>
      </c>
      <c r="S49" s="20" t="s">
        <v>722</v>
      </c>
      <c r="T49" s="21">
        <v>0.18382352941176469</v>
      </c>
      <c r="U49" s="21">
        <v>0.4779411764705882</v>
      </c>
      <c r="V49" s="20" t="s">
        <v>131</v>
      </c>
      <c r="W49" s="20" t="s">
        <v>723</v>
      </c>
      <c r="X49" s="21">
        <v>0.5220588235294118</v>
      </c>
      <c r="Y49" s="21">
        <v>0.18382352941176469</v>
      </c>
      <c r="Z49" s="21">
        <v>0.1764705882352941</v>
      </c>
      <c r="AA49" s="21">
        <v>5.1470588235294129E-2</v>
      </c>
      <c r="AB49" s="21">
        <v>6.6176470588235295E-2</v>
      </c>
    </row>
    <row r="50" spans="1:28" ht="27.6">
      <c r="A50" s="20" t="s">
        <v>216</v>
      </c>
      <c r="B50" s="20" t="s">
        <v>206</v>
      </c>
      <c r="C50" s="20" t="s">
        <v>217</v>
      </c>
      <c r="D50" s="20" t="s">
        <v>724</v>
      </c>
      <c r="E50" s="20" t="s">
        <v>717</v>
      </c>
      <c r="F50" s="20" t="s">
        <v>717</v>
      </c>
      <c r="G50" s="20" t="s">
        <v>746</v>
      </c>
      <c r="H50" s="20" t="s">
        <v>720</v>
      </c>
      <c r="I50" s="20" t="s">
        <v>601</v>
      </c>
      <c r="J50" s="21">
        <v>0.88526082997268118</v>
      </c>
      <c r="K50" s="20" t="s">
        <v>602</v>
      </c>
      <c r="L50" s="20" t="s">
        <v>603</v>
      </c>
      <c r="M50" s="22">
        <v>-0.41089999999999999</v>
      </c>
      <c r="N50" s="22">
        <v>0.45390000000000003</v>
      </c>
      <c r="O50" s="22">
        <v>3.5099999999999999E-2</v>
      </c>
      <c r="P50" s="22">
        <v>0.3</v>
      </c>
      <c r="Q50" s="20" t="s">
        <v>721</v>
      </c>
      <c r="R50" s="21">
        <v>0.5220588235294118</v>
      </c>
      <c r="S50" s="20" t="s">
        <v>722</v>
      </c>
      <c r="T50" s="21">
        <v>0.18382352941176469</v>
      </c>
      <c r="U50" s="21">
        <v>0.4779411764705882</v>
      </c>
      <c r="V50" s="20" t="s">
        <v>131</v>
      </c>
      <c r="W50" s="20" t="s">
        <v>723</v>
      </c>
      <c r="X50" s="21">
        <v>0.5220588235294118</v>
      </c>
      <c r="Y50" s="21">
        <v>0.18382352941176469</v>
      </c>
      <c r="Z50" s="21">
        <v>0.1764705882352941</v>
      </c>
      <c r="AA50" s="21">
        <v>5.1470588235294129E-2</v>
      </c>
      <c r="AB50" s="21">
        <v>6.6176470588235295E-2</v>
      </c>
    </row>
    <row r="51" spans="1:28" ht="27.6">
      <c r="A51" s="20" t="s">
        <v>218</v>
      </c>
      <c r="B51" s="20" t="s">
        <v>206</v>
      </c>
      <c r="C51" s="20" t="s">
        <v>219</v>
      </c>
      <c r="D51" s="20" t="s">
        <v>724</v>
      </c>
      <c r="E51" s="20" t="s">
        <v>717</v>
      </c>
      <c r="F51" s="20" t="s">
        <v>717</v>
      </c>
      <c r="G51" s="20" t="s">
        <v>746</v>
      </c>
      <c r="H51" s="20" t="s">
        <v>720</v>
      </c>
      <c r="I51" s="20" t="s">
        <v>601</v>
      </c>
      <c r="J51" s="21">
        <v>0.92843483803673876</v>
      </c>
      <c r="K51" s="20" t="s">
        <v>602</v>
      </c>
      <c r="L51" s="20" t="s">
        <v>603</v>
      </c>
      <c r="M51" s="22">
        <v>-0.41089999999999999</v>
      </c>
      <c r="N51" s="22">
        <v>0.45390000000000003</v>
      </c>
      <c r="O51" s="22">
        <v>3.5099999999999999E-2</v>
      </c>
      <c r="P51" s="22">
        <v>0.3</v>
      </c>
      <c r="Q51" s="20" t="s">
        <v>721</v>
      </c>
      <c r="R51" s="21">
        <v>0.5220588235294118</v>
      </c>
      <c r="S51" s="20" t="s">
        <v>722</v>
      </c>
      <c r="T51" s="21">
        <v>0.18382352941176469</v>
      </c>
      <c r="U51" s="21">
        <v>0.4779411764705882</v>
      </c>
      <c r="V51" s="20" t="s">
        <v>131</v>
      </c>
      <c r="W51" s="20" t="s">
        <v>723</v>
      </c>
      <c r="X51" s="21">
        <v>0.5220588235294118</v>
      </c>
      <c r="Y51" s="21">
        <v>0.18382352941176469</v>
      </c>
      <c r="Z51" s="21">
        <v>0.1764705882352941</v>
      </c>
      <c r="AA51" s="21">
        <v>5.1470588235294129E-2</v>
      </c>
      <c r="AB51" s="21">
        <v>6.6176470588235295E-2</v>
      </c>
    </row>
    <row r="52" spans="1:28" ht="27.6">
      <c r="A52" s="20" t="s">
        <v>220</v>
      </c>
      <c r="B52" s="20" t="s">
        <v>221</v>
      </c>
      <c r="C52" s="20" t="s">
        <v>222</v>
      </c>
      <c r="D52" s="20" t="s">
        <v>731</v>
      </c>
      <c r="E52" s="20" t="s">
        <v>731</v>
      </c>
      <c r="F52" s="20" t="s">
        <v>717</v>
      </c>
      <c r="G52" s="20" t="s">
        <v>736</v>
      </c>
      <c r="H52" s="20" t="s">
        <v>720</v>
      </c>
      <c r="I52" s="20" t="s">
        <v>601</v>
      </c>
      <c r="J52" s="21">
        <v>0.8207240948813983</v>
      </c>
      <c r="K52" s="20" t="s">
        <v>602</v>
      </c>
      <c r="L52" s="20" t="s">
        <v>603</v>
      </c>
      <c r="M52" s="22">
        <v>-0.41089999999999999</v>
      </c>
      <c r="N52" s="22">
        <v>0.45390000000000003</v>
      </c>
      <c r="O52" s="22">
        <v>3.5099999999999999E-2</v>
      </c>
      <c r="P52" s="22">
        <v>0.3</v>
      </c>
      <c r="Q52" s="20" t="s">
        <v>721</v>
      </c>
      <c r="R52" s="21">
        <v>0.51079136690647486</v>
      </c>
      <c r="S52" s="20" t="s">
        <v>722</v>
      </c>
      <c r="T52" s="21">
        <v>0.17985611510791369</v>
      </c>
      <c r="U52" s="21">
        <v>0.48920863309352508</v>
      </c>
      <c r="V52" s="20" t="s">
        <v>131</v>
      </c>
      <c r="W52" s="20" t="s">
        <v>723</v>
      </c>
      <c r="X52" s="21">
        <v>0.51079136690647486</v>
      </c>
      <c r="Y52" s="21">
        <v>0.17985611510791369</v>
      </c>
      <c r="Z52" s="21">
        <v>0.1366906474820144</v>
      </c>
      <c r="AA52" s="21">
        <v>0.1079136690647482</v>
      </c>
      <c r="AB52" s="21">
        <v>6.4748201438848921E-2</v>
      </c>
    </row>
    <row r="53" spans="1:28" ht="27.6">
      <c r="A53" s="20" t="s">
        <v>229</v>
      </c>
      <c r="B53" s="20" t="s">
        <v>221</v>
      </c>
      <c r="C53" s="20" t="s">
        <v>230</v>
      </c>
      <c r="D53" s="20" t="s">
        <v>731</v>
      </c>
      <c r="E53" s="20" t="s">
        <v>724</v>
      </c>
      <c r="F53" s="20" t="s">
        <v>717</v>
      </c>
      <c r="G53" s="20" t="s">
        <v>747</v>
      </c>
      <c r="H53" s="20" t="s">
        <v>726</v>
      </c>
      <c r="I53" s="20" t="s">
        <v>601</v>
      </c>
      <c r="J53" s="21">
        <v>0.79964982491245618</v>
      </c>
      <c r="K53" s="20" t="s">
        <v>602</v>
      </c>
      <c r="L53" s="20" t="s">
        <v>603</v>
      </c>
      <c r="M53" s="22">
        <v>-0.41089999999999999</v>
      </c>
      <c r="N53" s="22">
        <v>0.45390000000000003</v>
      </c>
      <c r="O53" s="22">
        <v>3.5099999999999999E-2</v>
      </c>
      <c r="P53" s="22">
        <v>0.3</v>
      </c>
      <c r="Q53" s="20" t="s">
        <v>721</v>
      </c>
      <c r="R53" s="21">
        <v>0.44936708860759489</v>
      </c>
      <c r="S53" s="20" t="s">
        <v>722</v>
      </c>
      <c r="T53" s="21">
        <v>0.20886075949367089</v>
      </c>
      <c r="U53" s="21">
        <v>0.55063291139240511</v>
      </c>
      <c r="V53" s="20" t="s">
        <v>60</v>
      </c>
      <c r="W53" s="20" t="s">
        <v>723</v>
      </c>
      <c r="X53" s="21">
        <v>0.44936708860759489</v>
      </c>
      <c r="Y53" s="21">
        <v>0.20886075949367089</v>
      </c>
      <c r="Z53" s="21">
        <v>0.13291139240506331</v>
      </c>
      <c r="AA53" s="21">
        <v>0.12658227848101269</v>
      </c>
      <c r="AB53" s="21">
        <v>8.2278481012658222E-2</v>
      </c>
    </row>
    <row r="54" spans="1:28" ht="27.6">
      <c r="A54" s="20" t="s">
        <v>231</v>
      </c>
      <c r="B54" s="20" t="s">
        <v>221</v>
      </c>
      <c r="C54" s="20" t="s">
        <v>232</v>
      </c>
      <c r="D54" s="20" t="s">
        <v>731</v>
      </c>
      <c r="E54" s="20" t="s">
        <v>718</v>
      </c>
      <c r="F54" s="20" t="s">
        <v>717</v>
      </c>
      <c r="G54" s="20" t="s">
        <v>735</v>
      </c>
      <c r="H54" s="20" t="s">
        <v>726</v>
      </c>
      <c r="I54" s="20" t="s">
        <v>601</v>
      </c>
      <c r="J54" s="21">
        <v>0.82567478604344968</v>
      </c>
      <c r="K54" s="20" t="s">
        <v>602</v>
      </c>
      <c r="L54" s="20" t="s">
        <v>603</v>
      </c>
      <c r="M54" s="22">
        <v>-0.41089999999999999</v>
      </c>
      <c r="N54" s="22">
        <v>0.45390000000000003</v>
      </c>
      <c r="O54" s="22">
        <v>3.5099999999999999E-2</v>
      </c>
      <c r="P54" s="22">
        <v>0.3</v>
      </c>
      <c r="Q54" s="20" t="s">
        <v>721</v>
      </c>
      <c r="R54" s="21">
        <v>0.41772151898734172</v>
      </c>
      <c r="S54" s="20" t="s">
        <v>722</v>
      </c>
      <c r="T54" s="21">
        <v>0.27215189873417722</v>
      </c>
      <c r="U54" s="21">
        <v>0.58227848101265822</v>
      </c>
      <c r="V54" s="20" t="s">
        <v>60</v>
      </c>
      <c r="W54" s="20" t="s">
        <v>723</v>
      </c>
      <c r="X54" s="21">
        <v>0.41772151898734172</v>
      </c>
      <c r="Y54" s="21">
        <v>0.27215189873417722</v>
      </c>
      <c r="Z54" s="21">
        <v>0.1012658227848101</v>
      </c>
      <c r="AA54" s="21">
        <v>0.12658227848101269</v>
      </c>
      <c r="AB54" s="21">
        <v>8.2278481012658222E-2</v>
      </c>
    </row>
    <row r="55" spans="1:28" ht="27.6">
      <c r="A55" s="20" t="s">
        <v>233</v>
      </c>
      <c r="B55" s="20" t="s">
        <v>221</v>
      </c>
      <c r="C55" s="20" t="s">
        <v>234</v>
      </c>
      <c r="D55" s="20" t="s">
        <v>731</v>
      </c>
      <c r="E55" s="20" t="s">
        <v>718</v>
      </c>
      <c r="F55" s="20" t="s">
        <v>717</v>
      </c>
      <c r="G55" s="20" t="s">
        <v>735</v>
      </c>
      <c r="H55" s="20" t="s">
        <v>726</v>
      </c>
      <c r="I55" s="20" t="s">
        <v>601</v>
      </c>
      <c r="J55" s="21">
        <v>0.79241540256709453</v>
      </c>
      <c r="K55" s="20" t="s">
        <v>602</v>
      </c>
      <c r="L55" s="20" t="s">
        <v>603</v>
      </c>
      <c r="M55" s="22">
        <v>-0.41089999999999999</v>
      </c>
      <c r="N55" s="22">
        <v>0.45390000000000003</v>
      </c>
      <c r="O55" s="22">
        <v>3.5099999999999999E-2</v>
      </c>
      <c r="P55" s="22">
        <v>0.3</v>
      </c>
      <c r="Q55" s="20" t="s">
        <v>721</v>
      </c>
      <c r="R55" s="21">
        <v>0.41772151898734172</v>
      </c>
      <c r="S55" s="20" t="s">
        <v>722</v>
      </c>
      <c r="T55" s="21">
        <v>0.27215189873417722</v>
      </c>
      <c r="U55" s="21">
        <v>0.58227848101265822</v>
      </c>
      <c r="V55" s="20" t="s">
        <v>60</v>
      </c>
      <c r="W55" s="20" t="s">
        <v>723</v>
      </c>
      <c r="X55" s="21">
        <v>0.41772151898734172</v>
      </c>
      <c r="Y55" s="21">
        <v>0.27215189873417722</v>
      </c>
      <c r="Z55" s="21">
        <v>0.1012658227848101</v>
      </c>
      <c r="AA55" s="21">
        <v>0.12658227848101269</v>
      </c>
      <c r="AB55" s="21">
        <v>8.2278481012658222E-2</v>
      </c>
    </row>
    <row r="56" spans="1:28" ht="27.6">
      <c r="A56" s="20" t="s">
        <v>235</v>
      </c>
      <c r="B56" s="20" t="s">
        <v>236</v>
      </c>
      <c r="C56" s="20" t="s">
        <v>237</v>
      </c>
      <c r="D56" s="20" t="s">
        <v>731</v>
      </c>
      <c r="E56" s="20" t="s">
        <v>718</v>
      </c>
      <c r="F56" s="20" t="s">
        <v>717</v>
      </c>
      <c r="G56" s="20" t="s">
        <v>735</v>
      </c>
      <c r="H56" s="20" t="s">
        <v>726</v>
      </c>
      <c r="I56" s="20" t="s">
        <v>601</v>
      </c>
      <c r="J56" s="21">
        <v>0.79048790487904874</v>
      </c>
      <c r="K56" s="20" t="s">
        <v>602</v>
      </c>
      <c r="L56" s="20" t="s">
        <v>603</v>
      </c>
      <c r="M56" s="22">
        <v>-0.41089999999999999</v>
      </c>
      <c r="N56" s="22">
        <v>0.45390000000000003</v>
      </c>
      <c r="O56" s="22">
        <v>3.5099999999999999E-2</v>
      </c>
      <c r="P56" s="22">
        <v>0.3</v>
      </c>
      <c r="Q56" s="20" t="s">
        <v>721</v>
      </c>
      <c r="R56" s="21">
        <v>0.41772151898734172</v>
      </c>
      <c r="S56" s="20" t="s">
        <v>722</v>
      </c>
      <c r="T56" s="21">
        <v>0.27215189873417722</v>
      </c>
      <c r="U56" s="21">
        <v>0.58227848101265822</v>
      </c>
      <c r="V56" s="20" t="s">
        <v>60</v>
      </c>
      <c r="W56" s="20" t="s">
        <v>723</v>
      </c>
      <c r="X56" s="21">
        <v>0.41772151898734172</v>
      </c>
      <c r="Y56" s="21">
        <v>0.27215189873417722</v>
      </c>
      <c r="Z56" s="21">
        <v>0.1012658227848101</v>
      </c>
      <c r="AA56" s="21">
        <v>0.12658227848101269</v>
      </c>
      <c r="AB56" s="21">
        <v>8.2278481012658222E-2</v>
      </c>
    </row>
    <row r="57" spans="1:28" ht="27.6">
      <c r="A57" s="20" t="s">
        <v>242</v>
      </c>
      <c r="B57" s="20" t="s">
        <v>236</v>
      </c>
      <c r="C57" s="20" t="s">
        <v>236</v>
      </c>
      <c r="D57" s="20" t="s">
        <v>724</v>
      </c>
      <c r="E57" s="20" t="s">
        <v>718</v>
      </c>
      <c r="F57" s="20" t="s">
        <v>717</v>
      </c>
      <c r="G57" s="20" t="s">
        <v>748</v>
      </c>
      <c r="H57" s="20" t="s">
        <v>726</v>
      </c>
      <c r="I57" s="20" t="s">
        <v>601</v>
      </c>
      <c r="J57" s="21">
        <v>0.79685966633954852</v>
      </c>
      <c r="K57" s="20" t="s">
        <v>602</v>
      </c>
      <c r="L57" s="20" t="s">
        <v>603</v>
      </c>
      <c r="M57" s="22">
        <v>-0.41089999999999999</v>
      </c>
      <c r="N57" s="22">
        <v>0.45390000000000003</v>
      </c>
      <c r="O57" s="22">
        <v>3.5099999999999999E-2</v>
      </c>
      <c r="P57" s="22">
        <v>0.3</v>
      </c>
      <c r="Q57" s="20" t="s">
        <v>721</v>
      </c>
      <c r="R57" s="21">
        <v>0.42580645161290309</v>
      </c>
      <c r="S57" s="20" t="s">
        <v>722</v>
      </c>
      <c r="T57" s="21">
        <v>0.27741935483870972</v>
      </c>
      <c r="U57" s="21">
        <v>0.5741935483870968</v>
      </c>
      <c r="V57" s="20" t="s">
        <v>60</v>
      </c>
      <c r="W57" s="20" t="s">
        <v>723</v>
      </c>
      <c r="X57" s="21">
        <v>0.42580645161290309</v>
      </c>
      <c r="Y57" s="21">
        <v>0.27741935483870972</v>
      </c>
      <c r="Z57" s="21">
        <v>0.13548387096774189</v>
      </c>
      <c r="AA57" s="21">
        <v>7.7419354838709681E-2</v>
      </c>
      <c r="AB57" s="21">
        <v>8.387096774193549E-2</v>
      </c>
    </row>
    <row r="58" spans="1:28" ht="27.6">
      <c r="A58" s="20" t="s">
        <v>243</v>
      </c>
      <c r="B58" s="20" t="s">
        <v>236</v>
      </c>
      <c r="C58" s="20" t="s">
        <v>244</v>
      </c>
      <c r="D58" s="20" t="s">
        <v>724</v>
      </c>
      <c r="E58" s="20" t="s">
        <v>731</v>
      </c>
      <c r="F58" s="20" t="s">
        <v>717</v>
      </c>
      <c r="G58" s="20" t="s">
        <v>738</v>
      </c>
      <c r="H58" s="20" t="s">
        <v>726</v>
      </c>
      <c r="I58" s="20" t="s">
        <v>601</v>
      </c>
      <c r="J58" s="21">
        <v>0.80999114018946361</v>
      </c>
      <c r="K58" s="20" t="s">
        <v>602</v>
      </c>
      <c r="L58" s="20" t="s">
        <v>603</v>
      </c>
      <c r="M58" s="22">
        <v>-0.41089999999999999</v>
      </c>
      <c r="N58" s="22">
        <v>0.45390000000000003</v>
      </c>
      <c r="O58" s="22">
        <v>3.5099999999999999E-2</v>
      </c>
      <c r="P58" s="22">
        <v>0.3</v>
      </c>
      <c r="Q58" s="20" t="s">
        <v>721</v>
      </c>
      <c r="R58" s="21">
        <v>0.44936708860759489</v>
      </c>
      <c r="S58" s="20" t="s">
        <v>722</v>
      </c>
      <c r="T58" s="21">
        <v>0.20886075949367089</v>
      </c>
      <c r="U58" s="21">
        <v>0.55063291139240511</v>
      </c>
      <c r="V58" s="20" t="s">
        <v>60</v>
      </c>
      <c r="W58" s="20" t="s">
        <v>723</v>
      </c>
      <c r="X58" s="21">
        <v>0.44936708860759489</v>
      </c>
      <c r="Y58" s="21">
        <v>0.20886075949367089</v>
      </c>
      <c r="Z58" s="21">
        <v>0.13291139240506331</v>
      </c>
      <c r="AA58" s="21">
        <v>0.12658227848101269</v>
      </c>
      <c r="AB58" s="21">
        <v>8.2278481012658222E-2</v>
      </c>
    </row>
    <row r="59" spans="1:28" ht="27.6">
      <c r="A59" s="20" t="s">
        <v>245</v>
      </c>
      <c r="B59" s="20" t="s">
        <v>236</v>
      </c>
      <c r="C59" s="20" t="s">
        <v>246</v>
      </c>
      <c r="D59" s="20" t="s">
        <v>731</v>
      </c>
      <c r="E59" s="20" t="s">
        <v>731</v>
      </c>
      <c r="F59" s="20" t="s">
        <v>717</v>
      </c>
      <c r="G59" s="20" t="s">
        <v>736</v>
      </c>
      <c r="H59" s="20" t="s">
        <v>720</v>
      </c>
      <c r="I59" s="20" t="s">
        <v>601</v>
      </c>
      <c r="J59" s="21">
        <v>0.80281195079086121</v>
      </c>
      <c r="K59" s="20" t="s">
        <v>602</v>
      </c>
      <c r="L59" s="20" t="s">
        <v>603</v>
      </c>
      <c r="M59" s="22">
        <v>-0.41089999999999999</v>
      </c>
      <c r="N59" s="22">
        <v>0.45390000000000003</v>
      </c>
      <c r="O59" s="22">
        <v>3.5099999999999999E-2</v>
      </c>
      <c r="P59" s="22">
        <v>0.3</v>
      </c>
      <c r="Q59" s="20" t="s">
        <v>721</v>
      </c>
      <c r="R59" s="21">
        <v>0.51079136690647486</v>
      </c>
      <c r="S59" s="20" t="s">
        <v>722</v>
      </c>
      <c r="T59" s="21">
        <v>0.17985611510791369</v>
      </c>
      <c r="U59" s="21">
        <v>0.48920863309352508</v>
      </c>
      <c r="V59" s="20" t="s">
        <v>131</v>
      </c>
      <c r="W59" s="20" t="s">
        <v>723</v>
      </c>
      <c r="X59" s="21">
        <v>0.51079136690647486</v>
      </c>
      <c r="Y59" s="21">
        <v>0.17985611510791369</v>
      </c>
      <c r="Z59" s="21">
        <v>0.1366906474820144</v>
      </c>
      <c r="AA59" s="21">
        <v>0.1079136690647482</v>
      </c>
      <c r="AB59" s="21">
        <v>6.4748201438848921E-2</v>
      </c>
    </row>
    <row r="60" spans="1:28" ht="27.6">
      <c r="A60" s="20" t="s">
        <v>247</v>
      </c>
      <c r="B60" s="20" t="s">
        <v>236</v>
      </c>
      <c r="C60" s="20" t="s">
        <v>248</v>
      </c>
      <c r="D60" s="20" t="s">
        <v>724</v>
      </c>
      <c r="E60" s="20" t="s">
        <v>718</v>
      </c>
      <c r="F60" s="20" t="s">
        <v>717</v>
      </c>
      <c r="G60" s="20" t="s">
        <v>748</v>
      </c>
      <c r="H60" s="20" t="s">
        <v>726</v>
      </c>
      <c r="I60" s="20" t="s">
        <v>601</v>
      </c>
      <c r="J60" s="21">
        <v>0.73670668953687823</v>
      </c>
      <c r="K60" s="20" t="s">
        <v>602</v>
      </c>
      <c r="L60" s="20" t="s">
        <v>603</v>
      </c>
      <c r="M60" s="22">
        <v>-0.41089999999999999</v>
      </c>
      <c r="N60" s="22">
        <v>0.45390000000000003</v>
      </c>
      <c r="O60" s="22">
        <v>3.5099999999999999E-2</v>
      </c>
      <c r="P60" s="22">
        <v>0.3</v>
      </c>
      <c r="Q60" s="20" t="s">
        <v>721</v>
      </c>
      <c r="R60" s="21">
        <v>0.42580645161290309</v>
      </c>
      <c r="S60" s="20" t="s">
        <v>722</v>
      </c>
      <c r="T60" s="21">
        <v>0.27741935483870972</v>
      </c>
      <c r="U60" s="21">
        <v>0.5741935483870968</v>
      </c>
      <c r="V60" s="20" t="s">
        <v>60</v>
      </c>
      <c r="W60" s="20" t="s">
        <v>723</v>
      </c>
      <c r="X60" s="21">
        <v>0.42580645161290309</v>
      </c>
      <c r="Y60" s="21">
        <v>0.27741935483870972</v>
      </c>
      <c r="Z60" s="21">
        <v>0.13548387096774189</v>
      </c>
      <c r="AA60" s="21">
        <v>7.7419354838709681E-2</v>
      </c>
      <c r="AB60" s="21">
        <v>8.387096774193549E-2</v>
      </c>
    </row>
    <row r="61" spans="1:28" ht="27.6">
      <c r="A61" s="20" t="s">
        <v>249</v>
      </c>
      <c r="B61" s="20" t="s">
        <v>236</v>
      </c>
      <c r="C61" s="20" t="s">
        <v>250</v>
      </c>
      <c r="D61" s="20" t="s">
        <v>724</v>
      </c>
      <c r="E61" s="20" t="s">
        <v>731</v>
      </c>
      <c r="F61" s="20" t="s">
        <v>717</v>
      </c>
      <c r="G61" s="20" t="s">
        <v>738</v>
      </c>
      <c r="H61" s="20" t="s">
        <v>726</v>
      </c>
      <c r="I61" s="20" t="s">
        <v>601</v>
      </c>
      <c r="J61" s="21">
        <v>0.784867306606437</v>
      </c>
      <c r="K61" s="20" t="s">
        <v>602</v>
      </c>
      <c r="L61" s="20" t="s">
        <v>603</v>
      </c>
      <c r="M61" s="22">
        <v>-0.41089999999999999</v>
      </c>
      <c r="N61" s="22">
        <v>0.45390000000000003</v>
      </c>
      <c r="O61" s="22">
        <v>3.5099999999999999E-2</v>
      </c>
      <c r="P61" s="22">
        <v>0.3</v>
      </c>
      <c r="Q61" s="20" t="s">
        <v>721</v>
      </c>
      <c r="R61" s="21">
        <v>0.44936708860759489</v>
      </c>
      <c r="S61" s="20" t="s">
        <v>722</v>
      </c>
      <c r="T61" s="21">
        <v>0.20886075949367089</v>
      </c>
      <c r="U61" s="21">
        <v>0.55063291139240511</v>
      </c>
      <c r="V61" s="20" t="s">
        <v>60</v>
      </c>
      <c r="W61" s="20" t="s">
        <v>723</v>
      </c>
      <c r="X61" s="21">
        <v>0.44936708860759489</v>
      </c>
      <c r="Y61" s="21">
        <v>0.20886075949367089</v>
      </c>
      <c r="Z61" s="21">
        <v>0.13291139240506331</v>
      </c>
      <c r="AA61" s="21">
        <v>0.12658227848101269</v>
      </c>
      <c r="AB61" s="21">
        <v>8.2278481012658222E-2</v>
      </c>
    </row>
    <row r="62" spans="1:28" ht="27.6">
      <c r="A62" s="20" t="s">
        <v>251</v>
      </c>
      <c r="B62" s="20" t="s">
        <v>236</v>
      </c>
      <c r="C62" s="20" t="s">
        <v>252</v>
      </c>
      <c r="D62" s="20" t="s">
        <v>724</v>
      </c>
      <c r="E62" s="20" t="s">
        <v>717</v>
      </c>
      <c r="F62" s="20" t="s">
        <v>717</v>
      </c>
      <c r="G62" s="20" t="s">
        <v>746</v>
      </c>
      <c r="H62" s="20" t="s">
        <v>720</v>
      </c>
      <c r="I62" s="20" t="s">
        <v>601</v>
      </c>
      <c r="J62" s="21">
        <v>0.84972632277326254</v>
      </c>
      <c r="K62" s="20" t="s">
        <v>602</v>
      </c>
      <c r="L62" s="20" t="s">
        <v>603</v>
      </c>
      <c r="M62" s="22">
        <v>-0.41089999999999999</v>
      </c>
      <c r="N62" s="22">
        <v>0.45390000000000003</v>
      </c>
      <c r="O62" s="22">
        <v>3.5099999999999999E-2</v>
      </c>
      <c r="P62" s="22">
        <v>0.3</v>
      </c>
      <c r="Q62" s="20" t="s">
        <v>721</v>
      </c>
      <c r="R62" s="21">
        <v>0.5220588235294118</v>
      </c>
      <c r="S62" s="20" t="s">
        <v>722</v>
      </c>
      <c r="T62" s="21">
        <v>0.18382352941176469</v>
      </c>
      <c r="U62" s="21">
        <v>0.4779411764705882</v>
      </c>
      <c r="V62" s="20" t="s">
        <v>131</v>
      </c>
      <c r="W62" s="20" t="s">
        <v>723</v>
      </c>
      <c r="X62" s="21">
        <v>0.5220588235294118</v>
      </c>
      <c r="Y62" s="21">
        <v>0.18382352941176469</v>
      </c>
      <c r="Z62" s="21">
        <v>0.1764705882352941</v>
      </c>
      <c r="AA62" s="21">
        <v>5.1470588235294129E-2</v>
      </c>
      <c r="AB62" s="21">
        <v>6.6176470588235295E-2</v>
      </c>
    </row>
    <row r="63" spans="1:28" ht="27.6">
      <c r="A63" s="20" t="s">
        <v>253</v>
      </c>
      <c r="B63" s="20" t="s">
        <v>236</v>
      </c>
      <c r="C63" s="20" t="s">
        <v>254</v>
      </c>
      <c r="D63" s="20" t="s">
        <v>724</v>
      </c>
      <c r="E63" s="20" t="s">
        <v>717</v>
      </c>
      <c r="F63" s="20" t="s">
        <v>717</v>
      </c>
      <c r="G63" s="20" t="s">
        <v>746</v>
      </c>
      <c r="H63" s="20" t="s">
        <v>720</v>
      </c>
      <c r="I63" s="20" t="s">
        <v>601</v>
      </c>
      <c r="J63" s="21">
        <v>0.83461002785515326</v>
      </c>
      <c r="K63" s="20" t="s">
        <v>602</v>
      </c>
      <c r="L63" s="20" t="s">
        <v>603</v>
      </c>
      <c r="M63" s="22">
        <v>-0.41089999999999999</v>
      </c>
      <c r="N63" s="22">
        <v>0.45390000000000003</v>
      </c>
      <c r="O63" s="22">
        <v>3.5099999999999999E-2</v>
      </c>
      <c r="P63" s="22">
        <v>0.3</v>
      </c>
      <c r="Q63" s="20" t="s">
        <v>721</v>
      </c>
      <c r="R63" s="21">
        <v>0.5220588235294118</v>
      </c>
      <c r="S63" s="20" t="s">
        <v>722</v>
      </c>
      <c r="T63" s="21">
        <v>0.18382352941176469</v>
      </c>
      <c r="U63" s="21">
        <v>0.4779411764705882</v>
      </c>
      <c r="V63" s="20" t="s">
        <v>131</v>
      </c>
      <c r="W63" s="20" t="s">
        <v>723</v>
      </c>
      <c r="X63" s="21">
        <v>0.5220588235294118</v>
      </c>
      <c r="Y63" s="21">
        <v>0.18382352941176469</v>
      </c>
      <c r="Z63" s="21">
        <v>0.1764705882352941</v>
      </c>
      <c r="AA63" s="21">
        <v>5.1470588235294129E-2</v>
      </c>
      <c r="AB63" s="21">
        <v>6.6176470588235295E-2</v>
      </c>
    </row>
    <row r="64" spans="1:28" ht="27.6">
      <c r="A64" s="20" t="s">
        <v>255</v>
      </c>
      <c r="B64" s="20" t="s">
        <v>236</v>
      </c>
      <c r="C64" s="20" t="s">
        <v>256</v>
      </c>
      <c r="D64" s="20" t="s">
        <v>724</v>
      </c>
      <c r="E64" s="20" t="s">
        <v>717</v>
      </c>
      <c r="F64" s="20" t="s">
        <v>717</v>
      </c>
      <c r="G64" s="20" t="s">
        <v>746</v>
      </c>
      <c r="H64" s="20" t="s">
        <v>720</v>
      </c>
      <c r="I64" s="20" t="s">
        <v>601</v>
      </c>
      <c r="J64" s="21">
        <v>0.86976351351351355</v>
      </c>
      <c r="K64" s="20" t="s">
        <v>602</v>
      </c>
      <c r="L64" s="20" t="s">
        <v>603</v>
      </c>
      <c r="M64" s="22">
        <v>-0.41089999999999999</v>
      </c>
      <c r="N64" s="22">
        <v>0.45390000000000003</v>
      </c>
      <c r="O64" s="22">
        <v>3.5099999999999999E-2</v>
      </c>
      <c r="P64" s="22">
        <v>0.3</v>
      </c>
      <c r="Q64" s="20" t="s">
        <v>721</v>
      </c>
      <c r="R64" s="21">
        <v>0.5220588235294118</v>
      </c>
      <c r="S64" s="20" t="s">
        <v>722</v>
      </c>
      <c r="T64" s="21">
        <v>0.18382352941176469</v>
      </c>
      <c r="U64" s="21">
        <v>0.4779411764705882</v>
      </c>
      <c r="V64" s="20" t="s">
        <v>131</v>
      </c>
      <c r="W64" s="20" t="s">
        <v>723</v>
      </c>
      <c r="X64" s="21">
        <v>0.5220588235294118</v>
      </c>
      <c r="Y64" s="21">
        <v>0.18382352941176469</v>
      </c>
      <c r="Z64" s="21">
        <v>0.1764705882352941</v>
      </c>
      <c r="AA64" s="21">
        <v>5.1470588235294129E-2</v>
      </c>
      <c r="AB64" s="21">
        <v>6.6176470588235295E-2</v>
      </c>
    </row>
    <row r="65" spans="1:28" ht="27.6">
      <c r="A65" s="20" t="s">
        <v>257</v>
      </c>
      <c r="B65" s="20" t="s">
        <v>258</v>
      </c>
      <c r="C65" s="20" t="s">
        <v>259</v>
      </c>
      <c r="D65" s="20" t="s">
        <v>731</v>
      </c>
      <c r="E65" s="20" t="s">
        <v>731</v>
      </c>
      <c r="F65" s="20" t="s">
        <v>717</v>
      </c>
      <c r="G65" s="20" t="s">
        <v>736</v>
      </c>
      <c r="H65" s="20" t="s">
        <v>720</v>
      </c>
      <c r="I65" s="20" t="s">
        <v>601</v>
      </c>
      <c r="J65" s="21">
        <v>0.73678141986493162</v>
      </c>
      <c r="K65" s="20" t="s">
        <v>602</v>
      </c>
      <c r="L65" s="20" t="s">
        <v>603</v>
      </c>
      <c r="M65" s="22">
        <v>-0.41089999999999999</v>
      </c>
      <c r="N65" s="22">
        <v>0.45390000000000003</v>
      </c>
      <c r="O65" s="22">
        <v>3.5099999999999999E-2</v>
      </c>
      <c r="P65" s="22">
        <v>0.3</v>
      </c>
      <c r="Q65" s="20" t="s">
        <v>721</v>
      </c>
      <c r="R65" s="21">
        <v>0.51079136690647486</v>
      </c>
      <c r="S65" s="20" t="s">
        <v>722</v>
      </c>
      <c r="T65" s="21">
        <v>0.17985611510791369</v>
      </c>
      <c r="U65" s="21">
        <v>0.48920863309352508</v>
      </c>
      <c r="V65" s="20" t="s">
        <v>131</v>
      </c>
      <c r="W65" s="20" t="s">
        <v>723</v>
      </c>
      <c r="X65" s="21">
        <v>0.51079136690647486</v>
      </c>
      <c r="Y65" s="21">
        <v>0.17985611510791369</v>
      </c>
      <c r="Z65" s="21">
        <v>0.1366906474820144</v>
      </c>
      <c r="AA65" s="21">
        <v>0.1079136690647482</v>
      </c>
      <c r="AB65" s="21">
        <v>6.4748201438848921E-2</v>
      </c>
    </row>
    <row r="66" spans="1:28" ht="27.6">
      <c r="A66" s="20" t="s">
        <v>264</v>
      </c>
      <c r="B66" s="20" t="s">
        <v>258</v>
      </c>
      <c r="C66" s="20" t="s">
        <v>265</v>
      </c>
      <c r="D66" s="20" t="s">
        <v>731</v>
      </c>
      <c r="E66" s="20" t="s">
        <v>718</v>
      </c>
      <c r="F66" s="20" t="s">
        <v>717</v>
      </c>
      <c r="G66" s="20" t="s">
        <v>735</v>
      </c>
      <c r="H66" s="20" t="s">
        <v>726</v>
      </c>
      <c r="I66" s="20" t="s">
        <v>601</v>
      </c>
      <c r="J66" s="21">
        <v>0.76096121416526141</v>
      </c>
      <c r="K66" s="20" t="s">
        <v>602</v>
      </c>
      <c r="L66" s="20" t="s">
        <v>603</v>
      </c>
      <c r="M66" s="22">
        <v>-0.41089999999999999</v>
      </c>
      <c r="N66" s="22">
        <v>0.45390000000000003</v>
      </c>
      <c r="O66" s="22">
        <v>3.5099999999999999E-2</v>
      </c>
      <c r="P66" s="22">
        <v>0.3</v>
      </c>
      <c r="Q66" s="20" t="s">
        <v>721</v>
      </c>
      <c r="R66" s="21">
        <v>0.41772151898734172</v>
      </c>
      <c r="S66" s="20" t="s">
        <v>722</v>
      </c>
      <c r="T66" s="21">
        <v>0.27215189873417722</v>
      </c>
      <c r="U66" s="21">
        <v>0.58227848101265822</v>
      </c>
      <c r="V66" s="20" t="s">
        <v>60</v>
      </c>
      <c r="W66" s="20" t="s">
        <v>723</v>
      </c>
      <c r="X66" s="21">
        <v>0.41772151898734172</v>
      </c>
      <c r="Y66" s="21">
        <v>0.27215189873417722</v>
      </c>
      <c r="Z66" s="21">
        <v>0.1012658227848101</v>
      </c>
      <c r="AA66" s="21">
        <v>0.12658227848101269</v>
      </c>
      <c r="AB66" s="21">
        <v>8.2278481012658222E-2</v>
      </c>
    </row>
    <row r="67" spans="1:28" ht="27.6">
      <c r="A67" s="20" t="s">
        <v>266</v>
      </c>
      <c r="B67" s="20" t="s">
        <v>258</v>
      </c>
      <c r="C67" s="20" t="s">
        <v>267</v>
      </c>
      <c r="D67" s="20" t="s">
        <v>731</v>
      </c>
      <c r="E67" s="20" t="s">
        <v>718</v>
      </c>
      <c r="F67" s="20" t="s">
        <v>717</v>
      </c>
      <c r="G67" s="20" t="s">
        <v>735</v>
      </c>
      <c r="H67" s="20" t="s">
        <v>726</v>
      </c>
      <c r="I67" s="20" t="s">
        <v>601</v>
      </c>
      <c r="J67" s="21">
        <v>0.74145591250854403</v>
      </c>
      <c r="K67" s="20" t="s">
        <v>602</v>
      </c>
      <c r="L67" s="20" t="s">
        <v>603</v>
      </c>
      <c r="M67" s="22">
        <v>-0.41089999999999999</v>
      </c>
      <c r="N67" s="22">
        <v>0.45390000000000003</v>
      </c>
      <c r="O67" s="22">
        <v>3.5099999999999999E-2</v>
      </c>
      <c r="P67" s="22">
        <v>0.3</v>
      </c>
      <c r="Q67" s="20" t="s">
        <v>721</v>
      </c>
      <c r="R67" s="21">
        <v>0.41772151898734172</v>
      </c>
      <c r="S67" s="20" t="s">
        <v>722</v>
      </c>
      <c r="T67" s="21">
        <v>0.27215189873417722</v>
      </c>
      <c r="U67" s="21">
        <v>0.58227848101265822</v>
      </c>
      <c r="V67" s="20" t="s">
        <v>60</v>
      </c>
      <c r="W67" s="20" t="s">
        <v>723</v>
      </c>
      <c r="X67" s="21">
        <v>0.41772151898734172</v>
      </c>
      <c r="Y67" s="21">
        <v>0.27215189873417722</v>
      </c>
      <c r="Z67" s="21">
        <v>0.1012658227848101</v>
      </c>
      <c r="AA67" s="21">
        <v>0.12658227848101269</v>
      </c>
      <c r="AB67" s="21">
        <v>8.2278481012658222E-2</v>
      </c>
    </row>
    <row r="68" spans="1:28" ht="27.6">
      <c r="A68" s="20" t="s">
        <v>268</v>
      </c>
      <c r="B68" s="20" t="s">
        <v>258</v>
      </c>
      <c r="C68" s="20" t="s">
        <v>269</v>
      </c>
      <c r="D68" s="20" t="s">
        <v>731</v>
      </c>
      <c r="E68" s="20" t="s">
        <v>717</v>
      </c>
      <c r="F68" s="20" t="s">
        <v>717</v>
      </c>
      <c r="G68" s="20" t="s">
        <v>749</v>
      </c>
      <c r="H68" s="20" t="s">
        <v>720</v>
      </c>
      <c r="I68" s="20" t="s">
        <v>601</v>
      </c>
      <c r="J68" s="21">
        <v>0.78631375080697219</v>
      </c>
      <c r="K68" s="20" t="s">
        <v>602</v>
      </c>
      <c r="L68" s="20" t="s">
        <v>603</v>
      </c>
      <c r="M68" s="22">
        <v>-0.41089999999999999</v>
      </c>
      <c r="N68" s="22">
        <v>0.45390000000000003</v>
      </c>
      <c r="O68" s="22">
        <v>3.5099999999999999E-2</v>
      </c>
      <c r="P68" s="22">
        <v>0.3</v>
      </c>
      <c r="Q68" s="20" t="s">
        <v>721</v>
      </c>
      <c r="R68" s="21">
        <v>0.51079136690647486</v>
      </c>
      <c r="S68" s="20" t="s">
        <v>722</v>
      </c>
      <c r="T68" s="21">
        <v>0.17985611510791369</v>
      </c>
      <c r="U68" s="21">
        <v>0.48920863309352508</v>
      </c>
      <c r="V68" s="20" t="s">
        <v>131</v>
      </c>
      <c r="W68" s="20" t="s">
        <v>723</v>
      </c>
      <c r="X68" s="21">
        <v>0.51079136690647486</v>
      </c>
      <c r="Y68" s="21">
        <v>0.17985611510791369</v>
      </c>
      <c r="Z68" s="21">
        <v>0.1366906474820144</v>
      </c>
      <c r="AA68" s="21">
        <v>0.1079136690647482</v>
      </c>
      <c r="AB68" s="21">
        <v>6.4748201438848921E-2</v>
      </c>
    </row>
    <row r="69" spans="1:28" ht="27.6">
      <c r="A69" s="20" t="s">
        <v>270</v>
      </c>
      <c r="B69" s="20" t="s">
        <v>258</v>
      </c>
      <c r="C69" s="20" t="s">
        <v>271</v>
      </c>
      <c r="D69" s="20" t="s">
        <v>731</v>
      </c>
      <c r="E69" s="20" t="s">
        <v>743</v>
      </c>
      <c r="F69" s="20" t="s">
        <v>717</v>
      </c>
      <c r="G69" s="20" t="s">
        <v>750</v>
      </c>
      <c r="H69" s="20" t="s">
        <v>726</v>
      </c>
      <c r="I69" s="20" t="s">
        <v>601</v>
      </c>
      <c r="J69" s="21">
        <v>0.86350531862014113</v>
      </c>
      <c r="K69" s="20" t="s">
        <v>602</v>
      </c>
      <c r="L69" s="20" t="s">
        <v>603</v>
      </c>
      <c r="M69" s="22">
        <v>-0.41089999999999999</v>
      </c>
      <c r="N69" s="22">
        <v>0.45390000000000003</v>
      </c>
      <c r="O69" s="22">
        <v>3.5099999999999999E-2</v>
      </c>
      <c r="P69" s="22">
        <v>0.3</v>
      </c>
      <c r="Q69" s="20" t="s">
        <v>721</v>
      </c>
      <c r="R69" s="21">
        <v>0.44099378881987572</v>
      </c>
      <c r="S69" s="20" t="s">
        <v>722</v>
      </c>
      <c r="T69" s="21">
        <v>0.20496894409937891</v>
      </c>
      <c r="U69" s="21">
        <v>0.55900621118012428</v>
      </c>
      <c r="V69" s="20" t="s">
        <v>60</v>
      </c>
      <c r="W69" s="20" t="s">
        <v>723</v>
      </c>
      <c r="X69" s="21">
        <v>0.44099378881987572</v>
      </c>
      <c r="Y69" s="21">
        <v>0.20496894409937891</v>
      </c>
      <c r="Z69" s="21">
        <v>9.9378881987577633E-2</v>
      </c>
      <c r="AA69" s="21">
        <v>0.12422360248447201</v>
      </c>
      <c r="AB69" s="21">
        <v>0.13043478260869559</v>
      </c>
    </row>
    <row r="70" spans="1:28" ht="27.6">
      <c r="A70" s="20" t="s">
        <v>272</v>
      </c>
      <c r="B70" s="20" t="s">
        <v>258</v>
      </c>
      <c r="C70" s="20" t="s">
        <v>273</v>
      </c>
      <c r="D70" s="20" t="s">
        <v>731</v>
      </c>
      <c r="E70" s="20" t="s">
        <v>724</v>
      </c>
      <c r="F70" s="20" t="s">
        <v>717</v>
      </c>
      <c r="G70" s="20" t="s">
        <v>747</v>
      </c>
      <c r="H70" s="20" t="s">
        <v>726</v>
      </c>
      <c r="I70" s="20" t="s">
        <v>601</v>
      </c>
      <c r="J70" s="21">
        <v>0.87510741907762823</v>
      </c>
      <c r="K70" s="20" t="s">
        <v>602</v>
      </c>
      <c r="L70" s="20" t="s">
        <v>603</v>
      </c>
      <c r="M70" s="22">
        <v>-0.41089999999999999</v>
      </c>
      <c r="N70" s="22">
        <v>0.45390000000000003</v>
      </c>
      <c r="O70" s="22">
        <v>3.5099999999999999E-2</v>
      </c>
      <c r="P70" s="22">
        <v>0.3</v>
      </c>
      <c r="Q70" s="20" t="s">
        <v>721</v>
      </c>
      <c r="R70" s="21">
        <v>0.44936708860759489</v>
      </c>
      <c r="S70" s="20" t="s">
        <v>722</v>
      </c>
      <c r="T70" s="21">
        <v>0.20886075949367089</v>
      </c>
      <c r="U70" s="21">
        <v>0.55063291139240511</v>
      </c>
      <c r="V70" s="20" t="s">
        <v>60</v>
      </c>
      <c r="W70" s="20" t="s">
        <v>723</v>
      </c>
      <c r="X70" s="21">
        <v>0.44936708860759489</v>
      </c>
      <c r="Y70" s="21">
        <v>0.20886075949367089</v>
      </c>
      <c r="Z70" s="21">
        <v>0.13291139240506331</v>
      </c>
      <c r="AA70" s="21">
        <v>0.12658227848101269</v>
      </c>
      <c r="AB70" s="21">
        <v>8.2278481012658222E-2</v>
      </c>
    </row>
    <row r="71" spans="1:28" ht="27.6">
      <c r="A71" s="20" t="s">
        <v>274</v>
      </c>
      <c r="B71" s="20" t="s">
        <v>258</v>
      </c>
      <c r="C71" s="20" t="s">
        <v>275</v>
      </c>
      <c r="D71" s="20" t="s">
        <v>731</v>
      </c>
      <c r="E71" s="20" t="s">
        <v>717</v>
      </c>
      <c r="F71" s="20" t="s">
        <v>717</v>
      </c>
      <c r="G71" s="20" t="s">
        <v>749</v>
      </c>
      <c r="H71" s="20" t="s">
        <v>720</v>
      </c>
      <c r="I71" s="20" t="s">
        <v>601</v>
      </c>
      <c r="J71" s="21">
        <v>0.77491439899080916</v>
      </c>
      <c r="K71" s="20" t="s">
        <v>602</v>
      </c>
      <c r="L71" s="20" t="s">
        <v>603</v>
      </c>
      <c r="M71" s="22">
        <v>-0.41089999999999999</v>
      </c>
      <c r="N71" s="22">
        <v>0.45390000000000003</v>
      </c>
      <c r="O71" s="22">
        <v>3.5099999999999999E-2</v>
      </c>
      <c r="P71" s="22">
        <v>0.3</v>
      </c>
      <c r="Q71" s="20" t="s">
        <v>721</v>
      </c>
      <c r="R71" s="21">
        <v>0.51079136690647486</v>
      </c>
      <c r="S71" s="20" t="s">
        <v>722</v>
      </c>
      <c r="T71" s="21">
        <v>0.17985611510791369</v>
      </c>
      <c r="U71" s="21">
        <v>0.48920863309352508</v>
      </c>
      <c r="V71" s="20" t="s">
        <v>131</v>
      </c>
      <c r="W71" s="20" t="s">
        <v>723</v>
      </c>
      <c r="X71" s="21">
        <v>0.51079136690647486</v>
      </c>
      <c r="Y71" s="21">
        <v>0.17985611510791369</v>
      </c>
      <c r="Z71" s="21">
        <v>0.1366906474820144</v>
      </c>
      <c r="AA71" s="21">
        <v>0.1079136690647482</v>
      </c>
      <c r="AB71" s="21">
        <v>6.4748201438848921E-2</v>
      </c>
    </row>
    <row r="72" spans="1:28" ht="27.6">
      <c r="A72" s="20" t="s">
        <v>276</v>
      </c>
      <c r="B72" s="20" t="s">
        <v>277</v>
      </c>
      <c r="C72" s="20" t="s">
        <v>278</v>
      </c>
      <c r="D72" s="20" t="s">
        <v>724</v>
      </c>
      <c r="E72" s="20" t="s">
        <v>743</v>
      </c>
      <c r="F72" s="20" t="s">
        <v>717</v>
      </c>
      <c r="G72" s="20" t="s">
        <v>744</v>
      </c>
      <c r="H72" s="20" t="s">
        <v>726</v>
      </c>
      <c r="I72" s="20" t="s">
        <v>601</v>
      </c>
      <c r="J72" s="21">
        <v>0.79338691998538546</v>
      </c>
      <c r="K72" s="20" t="s">
        <v>602</v>
      </c>
      <c r="L72" s="20" t="s">
        <v>603</v>
      </c>
      <c r="M72" s="22">
        <v>-0.41089999999999999</v>
      </c>
      <c r="N72" s="22">
        <v>0.45390000000000003</v>
      </c>
      <c r="O72" s="22">
        <v>3.5099999999999999E-2</v>
      </c>
      <c r="P72" s="22">
        <v>0.3</v>
      </c>
      <c r="Q72" s="20" t="s">
        <v>721</v>
      </c>
      <c r="R72" s="21">
        <v>0.44936708860759489</v>
      </c>
      <c r="S72" s="20" t="s">
        <v>722</v>
      </c>
      <c r="T72" s="21">
        <v>0.20886075949367089</v>
      </c>
      <c r="U72" s="21">
        <v>0.55063291139240511</v>
      </c>
      <c r="V72" s="20" t="s">
        <v>60</v>
      </c>
      <c r="W72" s="20" t="s">
        <v>723</v>
      </c>
      <c r="X72" s="21">
        <v>0.44936708860759489</v>
      </c>
      <c r="Y72" s="21">
        <v>0.20886075949367089</v>
      </c>
      <c r="Z72" s="21">
        <v>0.13291139240506331</v>
      </c>
      <c r="AA72" s="21">
        <v>7.5949367088607597E-2</v>
      </c>
      <c r="AB72" s="21">
        <v>0.13291139240506331</v>
      </c>
    </row>
    <row r="73" spans="1:28" ht="27.6">
      <c r="A73" s="20" t="s">
        <v>280</v>
      </c>
      <c r="B73" s="20" t="s">
        <v>277</v>
      </c>
      <c r="C73" s="20" t="s">
        <v>281</v>
      </c>
      <c r="D73" s="20" t="s">
        <v>724</v>
      </c>
      <c r="E73" s="20" t="s">
        <v>743</v>
      </c>
      <c r="F73" s="20" t="s">
        <v>717</v>
      </c>
      <c r="G73" s="20" t="s">
        <v>744</v>
      </c>
      <c r="H73" s="20" t="s">
        <v>726</v>
      </c>
      <c r="I73" s="20" t="s">
        <v>601</v>
      </c>
      <c r="J73" s="21">
        <v>0.79110865663399144</v>
      </c>
      <c r="K73" s="20" t="s">
        <v>602</v>
      </c>
      <c r="L73" s="20" t="s">
        <v>603</v>
      </c>
      <c r="M73" s="22">
        <v>-0.41089999999999999</v>
      </c>
      <c r="N73" s="22">
        <v>0.45390000000000003</v>
      </c>
      <c r="O73" s="22">
        <v>3.5099999999999999E-2</v>
      </c>
      <c r="P73" s="22">
        <v>0.3</v>
      </c>
      <c r="Q73" s="20" t="s">
        <v>721</v>
      </c>
      <c r="R73" s="21">
        <v>0.44936708860759489</v>
      </c>
      <c r="S73" s="20" t="s">
        <v>722</v>
      </c>
      <c r="T73" s="21">
        <v>0.20886075949367089</v>
      </c>
      <c r="U73" s="21">
        <v>0.55063291139240511</v>
      </c>
      <c r="V73" s="20" t="s">
        <v>60</v>
      </c>
      <c r="W73" s="20" t="s">
        <v>723</v>
      </c>
      <c r="X73" s="21">
        <v>0.44936708860759489</v>
      </c>
      <c r="Y73" s="21">
        <v>0.20886075949367089</v>
      </c>
      <c r="Z73" s="21">
        <v>0.13291139240506331</v>
      </c>
      <c r="AA73" s="21">
        <v>7.5949367088607597E-2</v>
      </c>
      <c r="AB73" s="21">
        <v>0.13291139240506331</v>
      </c>
    </row>
    <row r="74" spans="1:28" ht="27.6">
      <c r="A74" s="20" t="s">
        <v>282</v>
      </c>
      <c r="B74" s="20" t="s">
        <v>277</v>
      </c>
      <c r="C74" s="20" t="s">
        <v>283</v>
      </c>
      <c r="D74" s="20" t="s">
        <v>724</v>
      </c>
      <c r="E74" s="20" t="s">
        <v>717</v>
      </c>
      <c r="F74" s="20" t="s">
        <v>717</v>
      </c>
      <c r="G74" s="20" t="s">
        <v>746</v>
      </c>
      <c r="H74" s="20" t="s">
        <v>720</v>
      </c>
      <c r="I74" s="20" t="s">
        <v>601</v>
      </c>
      <c r="J74" s="21">
        <v>0.86617297011372651</v>
      </c>
      <c r="K74" s="20" t="s">
        <v>602</v>
      </c>
      <c r="L74" s="20" t="s">
        <v>603</v>
      </c>
      <c r="M74" s="22">
        <v>-0.41089999999999999</v>
      </c>
      <c r="N74" s="22">
        <v>0.45390000000000003</v>
      </c>
      <c r="O74" s="22">
        <v>3.5099999999999999E-2</v>
      </c>
      <c r="P74" s="22">
        <v>0.3</v>
      </c>
      <c r="Q74" s="20" t="s">
        <v>721</v>
      </c>
      <c r="R74" s="21">
        <v>0.5220588235294118</v>
      </c>
      <c r="S74" s="20" t="s">
        <v>722</v>
      </c>
      <c r="T74" s="21">
        <v>0.18382352941176469</v>
      </c>
      <c r="U74" s="21">
        <v>0.4779411764705882</v>
      </c>
      <c r="V74" s="20" t="s">
        <v>131</v>
      </c>
      <c r="W74" s="20" t="s">
        <v>723</v>
      </c>
      <c r="X74" s="21">
        <v>0.5220588235294118</v>
      </c>
      <c r="Y74" s="21">
        <v>0.18382352941176469</v>
      </c>
      <c r="Z74" s="21">
        <v>0.1764705882352941</v>
      </c>
      <c r="AA74" s="21">
        <v>5.1470588235294129E-2</v>
      </c>
      <c r="AB74" s="21">
        <v>6.6176470588235295E-2</v>
      </c>
    </row>
    <row r="75" spans="1:28" ht="27.6">
      <c r="A75" s="20" t="s">
        <v>284</v>
      </c>
      <c r="B75" s="20" t="s">
        <v>277</v>
      </c>
      <c r="C75" s="20" t="s">
        <v>285</v>
      </c>
      <c r="D75" s="20" t="s">
        <v>724</v>
      </c>
      <c r="E75" s="20" t="s">
        <v>743</v>
      </c>
      <c r="F75" s="20" t="s">
        <v>717</v>
      </c>
      <c r="G75" s="20" t="s">
        <v>744</v>
      </c>
      <c r="H75" s="20" t="s">
        <v>726</v>
      </c>
      <c r="I75" s="20" t="s">
        <v>601</v>
      </c>
      <c r="J75" s="21">
        <v>0.87536800785083413</v>
      </c>
      <c r="K75" s="20" t="s">
        <v>602</v>
      </c>
      <c r="L75" s="20" t="s">
        <v>603</v>
      </c>
      <c r="M75" s="22">
        <v>-0.41089999999999999</v>
      </c>
      <c r="N75" s="22">
        <v>0.45390000000000003</v>
      </c>
      <c r="O75" s="22">
        <v>3.5099999999999999E-2</v>
      </c>
      <c r="P75" s="22">
        <v>0.3</v>
      </c>
      <c r="Q75" s="20" t="s">
        <v>721</v>
      </c>
      <c r="R75" s="21">
        <v>0.44936708860759489</v>
      </c>
      <c r="S75" s="20" t="s">
        <v>722</v>
      </c>
      <c r="T75" s="21">
        <v>0.20886075949367089</v>
      </c>
      <c r="U75" s="21">
        <v>0.55063291139240511</v>
      </c>
      <c r="V75" s="20" t="s">
        <v>60</v>
      </c>
      <c r="W75" s="20" t="s">
        <v>723</v>
      </c>
      <c r="X75" s="21">
        <v>0.44936708860759489</v>
      </c>
      <c r="Y75" s="21">
        <v>0.20886075949367089</v>
      </c>
      <c r="Z75" s="21">
        <v>0.13291139240506331</v>
      </c>
      <c r="AA75" s="21">
        <v>7.5949367088607597E-2</v>
      </c>
      <c r="AB75" s="21">
        <v>0.13291139240506331</v>
      </c>
    </row>
    <row r="76" spans="1:28" ht="27.6">
      <c r="A76" s="20" t="s">
        <v>286</v>
      </c>
      <c r="B76" s="20" t="s">
        <v>277</v>
      </c>
      <c r="C76" s="20" t="s">
        <v>287</v>
      </c>
      <c r="D76" s="20" t="s">
        <v>724</v>
      </c>
      <c r="E76" s="20" t="s">
        <v>717</v>
      </c>
      <c r="F76" s="20" t="s">
        <v>717</v>
      </c>
      <c r="G76" s="20" t="s">
        <v>746</v>
      </c>
      <c r="H76" s="20" t="s">
        <v>720</v>
      </c>
      <c r="I76" s="20" t="s">
        <v>601</v>
      </c>
      <c r="J76" s="21">
        <v>0.9055268693822911</v>
      </c>
      <c r="K76" s="20" t="s">
        <v>602</v>
      </c>
      <c r="L76" s="20" t="s">
        <v>603</v>
      </c>
      <c r="M76" s="22">
        <v>-0.41089999999999999</v>
      </c>
      <c r="N76" s="22">
        <v>0.45390000000000003</v>
      </c>
      <c r="O76" s="22">
        <v>3.5099999999999999E-2</v>
      </c>
      <c r="P76" s="22">
        <v>0.3</v>
      </c>
      <c r="Q76" s="20" t="s">
        <v>721</v>
      </c>
      <c r="R76" s="21">
        <v>0.5220588235294118</v>
      </c>
      <c r="S76" s="20" t="s">
        <v>722</v>
      </c>
      <c r="T76" s="21">
        <v>0.18382352941176469</v>
      </c>
      <c r="U76" s="21">
        <v>0.4779411764705882</v>
      </c>
      <c r="V76" s="20" t="s">
        <v>131</v>
      </c>
      <c r="W76" s="20" t="s">
        <v>723</v>
      </c>
      <c r="X76" s="21">
        <v>0.5220588235294118</v>
      </c>
      <c r="Y76" s="21">
        <v>0.18382352941176469</v>
      </c>
      <c r="Z76" s="21">
        <v>0.1764705882352941</v>
      </c>
      <c r="AA76" s="21">
        <v>5.1470588235294129E-2</v>
      </c>
      <c r="AB76" s="21">
        <v>6.6176470588235295E-2</v>
      </c>
    </row>
    <row r="77" spans="1:28" ht="27.6">
      <c r="A77" s="20" t="s">
        <v>288</v>
      </c>
      <c r="B77" s="20" t="s">
        <v>277</v>
      </c>
      <c r="C77" s="20" t="s">
        <v>289</v>
      </c>
      <c r="D77" s="20" t="s">
        <v>724</v>
      </c>
      <c r="E77" s="20" t="s">
        <v>717</v>
      </c>
      <c r="F77" s="20" t="s">
        <v>717</v>
      </c>
      <c r="G77" s="20" t="s">
        <v>746</v>
      </c>
      <c r="H77" s="20" t="s">
        <v>720</v>
      </c>
      <c r="I77" s="20" t="s">
        <v>601</v>
      </c>
      <c r="J77" s="21">
        <v>0.84582773239582254</v>
      </c>
      <c r="K77" s="20" t="s">
        <v>602</v>
      </c>
      <c r="L77" s="20" t="s">
        <v>603</v>
      </c>
      <c r="M77" s="22">
        <v>-0.41089999999999999</v>
      </c>
      <c r="N77" s="22">
        <v>0.45390000000000003</v>
      </c>
      <c r="O77" s="22">
        <v>3.5099999999999999E-2</v>
      </c>
      <c r="P77" s="22">
        <v>0.3</v>
      </c>
      <c r="Q77" s="20" t="s">
        <v>721</v>
      </c>
      <c r="R77" s="21">
        <v>0.5220588235294118</v>
      </c>
      <c r="S77" s="20" t="s">
        <v>722</v>
      </c>
      <c r="T77" s="21">
        <v>0.18382352941176469</v>
      </c>
      <c r="U77" s="21">
        <v>0.4779411764705882</v>
      </c>
      <c r="V77" s="20" t="s">
        <v>131</v>
      </c>
      <c r="W77" s="20" t="s">
        <v>723</v>
      </c>
      <c r="X77" s="21">
        <v>0.5220588235294118</v>
      </c>
      <c r="Y77" s="21">
        <v>0.18382352941176469</v>
      </c>
      <c r="Z77" s="21">
        <v>0.1764705882352941</v>
      </c>
      <c r="AA77" s="21">
        <v>5.1470588235294129E-2</v>
      </c>
      <c r="AB77" s="21">
        <v>6.6176470588235295E-2</v>
      </c>
    </row>
    <row r="78" spans="1:28" ht="27.6">
      <c r="A78" s="20" t="s">
        <v>290</v>
      </c>
      <c r="B78" s="20" t="s">
        <v>277</v>
      </c>
      <c r="C78" s="20" t="s">
        <v>291</v>
      </c>
      <c r="D78" s="20" t="s">
        <v>724</v>
      </c>
      <c r="E78" s="20" t="s">
        <v>718</v>
      </c>
      <c r="F78" s="20" t="s">
        <v>717</v>
      </c>
      <c r="G78" s="20" t="s">
        <v>748</v>
      </c>
      <c r="H78" s="20" t="s">
        <v>726</v>
      </c>
      <c r="I78" s="20" t="s">
        <v>601</v>
      </c>
      <c r="J78" s="21">
        <v>0.81233377659574468</v>
      </c>
      <c r="K78" s="20" t="s">
        <v>602</v>
      </c>
      <c r="L78" s="20" t="s">
        <v>603</v>
      </c>
      <c r="M78" s="22">
        <v>-0.41089999999999999</v>
      </c>
      <c r="N78" s="22">
        <v>0.45390000000000003</v>
      </c>
      <c r="O78" s="22">
        <v>3.5099999999999999E-2</v>
      </c>
      <c r="P78" s="22">
        <v>0.3</v>
      </c>
      <c r="Q78" s="20" t="s">
        <v>721</v>
      </c>
      <c r="R78" s="21">
        <v>0.42580645161290309</v>
      </c>
      <c r="S78" s="20" t="s">
        <v>722</v>
      </c>
      <c r="T78" s="21">
        <v>0.27741935483870972</v>
      </c>
      <c r="U78" s="21">
        <v>0.5741935483870968</v>
      </c>
      <c r="V78" s="20" t="s">
        <v>60</v>
      </c>
      <c r="W78" s="20" t="s">
        <v>723</v>
      </c>
      <c r="X78" s="21">
        <v>0.42580645161290309</v>
      </c>
      <c r="Y78" s="21">
        <v>0.27741935483870972</v>
      </c>
      <c r="Z78" s="21">
        <v>0.13548387096774189</v>
      </c>
      <c r="AA78" s="21">
        <v>7.7419354838709681E-2</v>
      </c>
      <c r="AB78" s="21">
        <v>8.387096774193549E-2</v>
      </c>
    </row>
    <row r="79" spans="1:28" ht="27.6">
      <c r="A79" s="20" t="s">
        <v>292</v>
      </c>
      <c r="B79" s="20" t="s">
        <v>277</v>
      </c>
      <c r="C79" s="20" t="s">
        <v>293</v>
      </c>
      <c r="D79" s="20" t="s">
        <v>724</v>
      </c>
      <c r="E79" s="20" t="s">
        <v>717</v>
      </c>
      <c r="F79" s="20" t="s">
        <v>717</v>
      </c>
      <c r="G79" s="20" t="s">
        <v>746</v>
      </c>
      <c r="H79" s="20" t="s">
        <v>720</v>
      </c>
      <c r="I79" s="20" t="s">
        <v>601</v>
      </c>
      <c r="J79" s="21">
        <v>0.82921200131882622</v>
      </c>
      <c r="K79" s="20" t="s">
        <v>602</v>
      </c>
      <c r="L79" s="20" t="s">
        <v>603</v>
      </c>
      <c r="M79" s="22">
        <v>-0.41089999999999999</v>
      </c>
      <c r="N79" s="22">
        <v>0.45390000000000003</v>
      </c>
      <c r="O79" s="22">
        <v>3.5099999999999999E-2</v>
      </c>
      <c r="P79" s="22">
        <v>0.3</v>
      </c>
      <c r="Q79" s="20" t="s">
        <v>721</v>
      </c>
      <c r="R79" s="21">
        <v>0.5220588235294118</v>
      </c>
      <c r="S79" s="20" t="s">
        <v>722</v>
      </c>
      <c r="T79" s="21">
        <v>0.18382352941176469</v>
      </c>
      <c r="U79" s="21">
        <v>0.4779411764705882</v>
      </c>
      <c r="V79" s="20" t="s">
        <v>131</v>
      </c>
      <c r="W79" s="20" t="s">
        <v>723</v>
      </c>
      <c r="X79" s="21">
        <v>0.5220588235294118</v>
      </c>
      <c r="Y79" s="21">
        <v>0.18382352941176469</v>
      </c>
      <c r="Z79" s="21">
        <v>0.1764705882352941</v>
      </c>
      <c r="AA79" s="21">
        <v>5.1470588235294129E-2</v>
      </c>
      <c r="AB79" s="21">
        <v>6.6176470588235295E-2</v>
      </c>
    </row>
    <row r="80" spans="1:28" ht="27.6">
      <c r="A80" s="20" t="s">
        <v>294</v>
      </c>
      <c r="B80" s="20" t="s">
        <v>295</v>
      </c>
      <c r="C80" s="20" t="s">
        <v>296</v>
      </c>
      <c r="D80" s="20" t="s">
        <v>731</v>
      </c>
      <c r="E80" s="20" t="s">
        <v>718</v>
      </c>
      <c r="F80" s="20" t="s">
        <v>717</v>
      </c>
      <c r="G80" s="20" t="s">
        <v>735</v>
      </c>
      <c r="H80" s="20" t="s">
        <v>726</v>
      </c>
      <c r="I80" s="20" t="s">
        <v>601</v>
      </c>
      <c r="J80" s="21">
        <v>0.7553077745532305</v>
      </c>
      <c r="K80" s="20" t="s">
        <v>602</v>
      </c>
      <c r="L80" s="20" t="s">
        <v>603</v>
      </c>
      <c r="M80" s="22">
        <v>-0.41089999999999999</v>
      </c>
      <c r="N80" s="22">
        <v>0.45390000000000003</v>
      </c>
      <c r="O80" s="22">
        <v>3.5099999999999999E-2</v>
      </c>
      <c r="P80" s="22">
        <v>0.3</v>
      </c>
      <c r="Q80" s="20" t="s">
        <v>721</v>
      </c>
      <c r="R80" s="21">
        <v>0.41772151898734172</v>
      </c>
      <c r="S80" s="20" t="s">
        <v>722</v>
      </c>
      <c r="T80" s="21">
        <v>0.27215189873417722</v>
      </c>
      <c r="U80" s="21">
        <v>0.58227848101265822</v>
      </c>
      <c r="V80" s="20" t="s">
        <v>60</v>
      </c>
      <c r="W80" s="20" t="s">
        <v>723</v>
      </c>
      <c r="X80" s="21">
        <v>0.41772151898734172</v>
      </c>
      <c r="Y80" s="21">
        <v>0.27215189873417722</v>
      </c>
      <c r="Z80" s="21">
        <v>0.1012658227848101</v>
      </c>
      <c r="AA80" s="21">
        <v>0.12658227848101269</v>
      </c>
      <c r="AB80" s="21">
        <v>8.2278481012658222E-2</v>
      </c>
    </row>
    <row r="81" spans="1:28" ht="27.6">
      <c r="A81" s="20" t="s">
        <v>299</v>
      </c>
      <c r="B81" s="20" t="s">
        <v>295</v>
      </c>
      <c r="C81" s="20" t="s">
        <v>300</v>
      </c>
      <c r="D81" s="20" t="s">
        <v>731</v>
      </c>
      <c r="E81" s="20" t="s">
        <v>718</v>
      </c>
      <c r="F81" s="20" t="s">
        <v>717</v>
      </c>
      <c r="G81" s="20" t="s">
        <v>735</v>
      </c>
      <c r="H81" s="20" t="s">
        <v>726</v>
      </c>
      <c r="I81" s="20" t="s">
        <v>601</v>
      </c>
      <c r="J81" s="21">
        <v>0.75112205009410737</v>
      </c>
      <c r="K81" s="20" t="s">
        <v>602</v>
      </c>
      <c r="L81" s="20" t="s">
        <v>603</v>
      </c>
      <c r="M81" s="22">
        <v>-0.41089999999999999</v>
      </c>
      <c r="N81" s="22">
        <v>0.45390000000000003</v>
      </c>
      <c r="O81" s="22">
        <v>3.5099999999999999E-2</v>
      </c>
      <c r="P81" s="22">
        <v>0.3</v>
      </c>
      <c r="Q81" s="20" t="s">
        <v>721</v>
      </c>
      <c r="R81" s="21">
        <v>0.41772151898734172</v>
      </c>
      <c r="S81" s="20" t="s">
        <v>722</v>
      </c>
      <c r="T81" s="21">
        <v>0.27215189873417722</v>
      </c>
      <c r="U81" s="21">
        <v>0.58227848101265822</v>
      </c>
      <c r="V81" s="20" t="s">
        <v>60</v>
      </c>
      <c r="W81" s="20" t="s">
        <v>723</v>
      </c>
      <c r="X81" s="21">
        <v>0.41772151898734172</v>
      </c>
      <c r="Y81" s="21">
        <v>0.27215189873417722</v>
      </c>
      <c r="Z81" s="21">
        <v>0.1012658227848101</v>
      </c>
      <c r="AA81" s="21">
        <v>0.12658227848101269</v>
      </c>
      <c r="AB81" s="21">
        <v>8.2278481012658222E-2</v>
      </c>
    </row>
    <row r="82" spans="1:28" ht="27.6">
      <c r="A82" s="20" t="s">
        <v>301</v>
      </c>
      <c r="B82" s="20" t="s">
        <v>295</v>
      </c>
      <c r="C82" s="20" t="s">
        <v>302</v>
      </c>
      <c r="D82" s="20" t="s">
        <v>731</v>
      </c>
      <c r="E82" s="20" t="s">
        <v>718</v>
      </c>
      <c r="F82" s="20" t="s">
        <v>717</v>
      </c>
      <c r="G82" s="20" t="s">
        <v>735</v>
      </c>
      <c r="H82" s="20" t="s">
        <v>726</v>
      </c>
      <c r="I82" s="20" t="s">
        <v>601</v>
      </c>
      <c r="J82" s="21">
        <v>0.74550241333918388</v>
      </c>
      <c r="K82" s="20" t="s">
        <v>602</v>
      </c>
      <c r="L82" s="20" t="s">
        <v>603</v>
      </c>
      <c r="M82" s="22">
        <v>-0.41089999999999999</v>
      </c>
      <c r="N82" s="22">
        <v>0.45390000000000003</v>
      </c>
      <c r="O82" s="22">
        <v>3.5099999999999999E-2</v>
      </c>
      <c r="P82" s="22">
        <v>0.3</v>
      </c>
      <c r="Q82" s="20" t="s">
        <v>721</v>
      </c>
      <c r="R82" s="21">
        <v>0.41772151898734172</v>
      </c>
      <c r="S82" s="20" t="s">
        <v>722</v>
      </c>
      <c r="T82" s="21">
        <v>0.27215189873417722</v>
      </c>
      <c r="U82" s="21">
        <v>0.58227848101265822</v>
      </c>
      <c r="V82" s="20" t="s">
        <v>60</v>
      </c>
      <c r="W82" s="20" t="s">
        <v>723</v>
      </c>
      <c r="X82" s="21">
        <v>0.41772151898734172</v>
      </c>
      <c r="Y82" s="21">
        <v>0.27215189873417722</v>
      </c>
      <c r="Z82" s="21">
        <v>0.1012658227848101</v>
      </c>
      <c r="AA82" s="21">
        <v>0.12658227848101269</v>
      </c>
      <c r="AB82" s="21">
        <v>8.2278481012658222E-2</v>
      </c>
    </row>
    <row r="83" spans="1:28" ht="27.6">
      <c r="A83" s="20" t="s">
        <v>303</v>
      </c>
      <c r="B83" s="20" t="s">
        <v>295</v>
      </c>
      <c r="C83" s="20" t="s">
        <v>304</v>
      </c>
      <c r="D83" s="20" t="s">
        <v>731</v>
      </c>
      <c r="E83" s="20" t="s">
        <v>718</v>
      </c>
      <c r="F83" s="20" t="s">
        <v>718</v>
      </c>
      <c r="G83" s="20" t="s">
        <v>751</v>
      </c>
      <c r="H83" s="20" t="s">
        <v>720</v>
      </c>
      <c r="I83" s="20" t="s">
        <v>601</v>
      </c>
      <c r="J83" s="21">
        <v>0.62413576367064738</v>
      </c>
      <c r="K83" s="20" t="s">
        <v>602</v>
      </c>
      <c r="L83" s="20" t="s">
        <v>603</v>
      </c>
      <c r="M83" s="22">
        <v>-0.41089999999999999</v>
      </c>
      <c r="N83" s="22">
        <v>0.45390000000000003</v>
      </c>
      <c r="O83" s="22">
        <v>3.5099999999999999E-2</v>
      </c>
      <c r="P83" s="22">
        <v>0.3</v>
      </c>
      <c r="Q83" s="20" t="s">
        <v>722</v>
      </c>
      <c r="R83" s="21">
        <v>0.36842105263157893</v>
      </c>
      <c r="S83" s="20" t="s">
        <v>721</v>
      </c>
      <c r="T83" s="21">
        <v>0.23308270676691731</v>
      </c>
      <c r="U83" s="21">
        <v>0.63157894736842102</v>
      </c>
      <c r="V83" s="20" t="s">
        <v>60</v>
      </c>
      <c r="W83" s="20" t="s">
        <v>740</v>
      </c>
      <c r="X83" s="21">
        <v>0.23308270676691731</v>
      </c>
      <c r="Y83" s="21">
        <v>0.36842105263157893</v>
      </c>
      <c r="Z83" s="21">
        <v>0.14285714285714279</v>
      </c>
      <c r="AA83" s="21">
        <v>0.15037593984962411</v>
      </c>
      <c r="AB83" s="21">
        <v>0.10526315789473691</v>
      </c>
    </row>
    <row r="84" spans="1:28" ht="27.6">
      <c r="A84" s="20" t="s">
        <v>305</v>
      </c>
      <c r="B84" s="20" t="s">
        <v>295</v>
      </c>
      <c r="C84" s="20" t="s">
        <v>306</v>
      </c>
      <c r="D84" s="20" t="s">
        <v>731</v>
      </c>
      <c r="E84" s="20" t="s">
        <v>718</v>
      </c>
      <c r="F84" s="20" t="s">
        <v>717</v>
      </c>
      <c r="G84" s="20" t="s">
        <v>735</v>
      </c>
      <c r="H84" s="20" t="s">
        <v>726</v>
      </c>
      <c r="I84" s="20" t="s">
        <v>601</v>
      </c>
      <c r="J84" s="21">
        <v>0.75198187995469989</v>
      </c>
      <c r="K84" s="20" t="s">
        <v>602</v>
      </c>
      <c r="L84" s="20" t="s">
        <v>603</v>
      </c>
      <c r="M84" s="22">
        <v>-0.41089999999999999</v>
      </c>
      <c r="N84" s="22">
        <v>0.45390000000000003</v>
      </c>
      <c r="O84" s="22">
        <v>3.5099999999999999E-2</v>
      </c>
      <c r="P84" s="22">
        <v>0.3</v>
      </c>
      <c r="Q84" s="20" t="s">
        <v>721</v>
      </c>
      <c r="R84" s="21">
        <v>0.41772151898734172</v>
      </c>
      <c r="S84" s="20" t="s">
        <v>722</v>
      </c>
      <c r="T84" s="21">
        <v>0.27215189873417722</v>
      </c>
      <c r="U84" s="21">
        <v>0.58227848101265822</v>
      </c>
      <c r="V84" s="20" t="s">
        <v>60</v>
      </c>
      <c r="W84" s="20" t="s">
        <v>723</v>
      </c>
      <c r="X84" s="21">
        <v>0.41772151898734172</v>
      </c>
      <c r="Y84" s="21">
        <v>0.27215189873417722</v>
      </c>
      <c r="Z84" s="21">
        <v>0.1012658227848101</v>
      </c>
      <c r="AA84" s="21">
        <v>0.12658227848101269</v>
      </c>
      <c r="AB84" s="21">
        <v>8.2278481012658222E-2</v>
      </c>
    </row>
    <row r="85" spans="1:28" ht="27.6">
      <c r="A85" s="20" t="s">
        <v>307</v>
      </c>
      <c r="B85" s="20" t="s">
        <v>295</v>
      </c>
      <c r="C85" s="20" t="s">
        <v>308</v>
      </c>
      <c r="D85" s="20" t="s">
        <v>731</v>
      </c>
      <c r="E85" s="20" t="s">
        <v>718</v>
      </c>
      <c r="F85" s="20" t="s">
        <v>717</v>
      </c>
      <c r="G85" s="20" t="s">
        <v>735</v>
      </c>
      <c r="H85" s="20" t="s">
        <v>726</v>
      </c>
      <c r="I85" s="20" t="s">
        <v>601</v>
      </c>
      <c r="J85" s="21">
        <v>0.76592099959693671</v>
      </c>
      <c r="K85" s="20" t="s">
        <v>602</v>
      </c>
      <c r="L85" s="20" t="s">
        <v>603</v>
      </c>
      <c r="M85" s="22">
        <v>-0.41089999999999999</v>
      </c>
      <c r="N85" s="22">
        <v>0.45390000000000003</v>
      </c>
      <c r="O85" s="22">
        <v>3.5099999999999999E-2</v>
      </c>
      <c r="P85" s="22">
        <v>0.3</v>
      </c>
      <c r="Q85" s="20" t="s">
        <v>721</v>
      </c>
      <c r="R85" s="21">
        <v>0.41772151898734172</v>
      </c>
      <c r="S85" s="20" t="s">
        <v>722</v>
      </c>
      <c r="T85" s="21">
        <v>0.27215189873417722</v>
      </c>
      <c r="U85" s="21">
        <v>0.58227848101265822</v>
      </c>
      <c r="V85" s="20" t="s">
        <v>60</v>
      </c>
      <c r="W85" s="20" t="s">
        <v>723</v>
      </c>
      <c r="X85" s="21">
        <v>0.41772151898734172</v>
      </c>
      <c r="Y85" s="21">
        <v>0.27215189873417722</v>
      </c>
      <c r="Z85" s="21">
        <v>0.1012658227848101</v>
      </c>
      <c r="AA85" s="21">
        <v>0.12658227848101269</v>
      </c>
      <c r="AB85" s="21">
        <v>8.2278481012658222E-2</v>
      </c>
    </row>
    <row r="86" spans="1:28" ht="27.6">
      <c r="A86" s="20" t="s">
        <v>309</v>
      </c>
      <c r="B86" s="20" t="s">
        <v>295</v>
      </c>
      <c r="C86" s="20" t="s">
        <v>310</v>
      </c>
      <c r="D86" s="20" t="s">
        <v>731</v>
      </c>
      <c r="E86" s="20" t="s">
        <v>718</v>
      </c>
      <c r="F86" s="20" t="s">
        <v>717</v>
      </c>
      <c r="G86" s="20" t="s">
        <v>735</v>
      </c>
      <c r="H86" s="20" t="s">
        <v>726</v>
      </c>
      <c r="I86" s="20" t="s">
        <v>601</v>
      </c>
      <c r="J86" s="21">
        <v>0.71437598736176933</v>
      </c>
      <c r="K86" s="20" t="s">
        <v>602</v>
      </c>
      <c r="L86" s="20" t="s">
        <v>603</v>
      </c>
      <c r="M86" s="22">
        <v>-0.41089999999999999</v>
      </c>
      <c r="N86" s="22">
        <v>0.45390000000000003</v>
      </c>
      <c r="O86" s="22">
        <v>3.5099999999999999E-2</v>
      </c>
      <c r="P86" s="22">
        <v>0.3</v>
      </c>
      <c r="Q86" s="20" t="s">
        <v>721</v>
      </c>
      <c r="R86" s="21">
        <v>0.41772151898734172</v>
      </c>
      <c r="S86" s="20" t="s">
        <v>722</v>
      </c>
      <c r="T86" s="21">
        <v>0.27215189873417722</v>
      </c>
      <c r="U86" s="21">
        <v>0.58227848101265822</v>
      </c>
      <c r="V86" s="20" t="s">
        <v>60</v>
      </c>
      <c r="W86" s="20" t="s">
        <v>723</v>
      </c>
      <c r="X86" s="21">
        <v>0.41772151898734172</v>
      </c>
      <c r="Y86" s="21">
        <v>0.27215189873417722</v>
      </c>
      <c r="Z86" s="21">
        <v>0.1012658227848101</v>
      </c>
      <c r="AA86" s="21">
        <v>0.12658227848101269</v>
      </c>
      <c r="AB86" s="21">
        <v>8.2278481012658222E-2</v>
      </c>
    </row>
    <row r="87" spans="1:28" ht="27.6">
      <c r="A87" s="20" t="s">
        <v>311</v>
      </c>
      <c r="B87" s="20" t="s">
        <v>312</v>
      </c>
      <c r="C87" s="20" t="s">
        <v>313</v>
      </c>
      <c r="D87" s="20" t="s">
        <v>717</v>
      </c>
      <c r="E87" s="20" t="s">
        <v>718</v>
      </c>
      <c r="F87" s="20" t="s">
        <v>718</v>
      </c>
      <c r="G87" s="20" t="s">
        <v>745</v>
      </c>
      <c r="H87" s="20" t="s">
        <v>720</v>
      </c>
      <c r="I87" s="20" t="s">
        <v>601</v>
      </c>
      <c r="J87" s="21">
        <v>0.70979381443298972</v>
      </c>
      <c r="K87" s="20" t="s">
        <v>602</v>
      </c>
      <c r="L87" s="20" t="s">
        <v>603</v>
      </c>
      <c r="M87" s="22">
        <v>-0.41089999999999999</v>
      </c>
      <c r="N87" s="22">
        <v>0.45390000000000003</v>
      </c>
      <c r="O87" s="22">
        <v>3.5099999999999999E-2</v>
      </c>
      <c r="P87" s="22">
        <v>0.3</v>
      </c>
      <c r="Q87" s="20" t="s">
        <v>722</v>
      </c>
      <c r="R87" s="21">
        <v>0.37404580152671751</v>
      </c>
      <c r="S87" s="20" t="s">
        <v>721</v>
      </c>
      <c r="T87" s="21">
        <v>0.28244274809160302</v>
      </c>
      <c r="U87" s="21">
        <v>0.62595419847328249</v>
      </c>
      <c r="V87" s="20" t="s">
        <v>60</v>
      </c>
      <c r="W87" s="20" t="s">
        <v>740</v>
      </c>
      <c r="X87" s="21">
        <v>0.28244274809160302</v>
      </c>
      <c r="Y87" s="21">
        <v>0.37404580152671751</v>
      </c>
      <c r="Z87" s="21">
        <v>0.14503816793893129</v>
      </c>
      <c r="AA87" s="21">
        <v>9.160305343511449E-2</v>
      </c>
      <c r="AB87" s="21">
        <v>0.1068702290076336</v>
      </c>
    </row>
    <row r="88" spans="1:28">
      <c r="A88" s="20" t="s">
        <v>315</v>
      </c>
      <c r="B88" s="20" t="s">
        <v>312</v>
      </c>
      <c r="C88" s="20" t="s">
        <v>312</v>
      </c>
      <c r="D88" s="20" t="s">
        <v>717</v>
      </c>
      <c r="E88" s="20" t="s">
        <v>718</v>
      </c>
      <c r="F88" s="20" t="s">
        <v>724</v>
      </c>
      <c r="G88" s="20" t="s">
        <v>725</v>
      </c>
      <c r="H88" s="20" t="s">
        <v>726</v>
      </c>
      <c r="I88" s="20" t="s">
        <v>601</v>
      </c>
      <c r="J88" s="21">
        <v>0.68593576965669989</v>
      </c>
      <c r="K88" s="20" t="s">
        <v>602</v>
      </c>
      <c r="L88" s="20" t="s">
        <v>610</v>
      </c>
      <c r="M88" s="22">
        <v>-0.41089999999999999</v>
      </c>
      <c r="N88" s="22">
        <v>8.48E-2</v>
      </c>
      <c r="O88" s="22">
        <v>-0.19400000000000001</v>
      </c>
      <c r="P88" s="22">
        <v>0.22989999999999999</v>
      </c>
      <c r="Q88" s="20" t="s">
        <v>727</v>
      </c>
      <c r="R88" s="21">
        <v>0.328125</v>
      </c>
      <c r="S88" s="20" t="s">
        <v>721</v>
      </c>
      <c r="T88" s="21">
        <v>0.2578125</v>
      </c>
      <c r="U88" s="21">
        <v>0.671875</v>
      </c>
      <c r="V88" s="20" t="s">
        <v>60</v>
      </c>
      <c r="W88" s="20" t="s">
        <v>728</v>
      </c>
      <c r="X88" s="21">
        <v>0.2578125</v>
      </c>
      <c r="Y88" s="21">
        <v>0.2265625</v>
      </c>
      <c r="Z88" s="21">
        <v>0.328125</v>
      </c>
      <c r="AA88" s="21">
        <v>0.1171875</v>
      </c>
      <c r="AB88" s="21">
        <v>7.03125E-2</v>
      </c>
    </row>
    <row r="89" spans="1:28">
      <c r="A89" s="20" t="s">
        <v>316</v>
      </c>
      <c r="B89" s="20" t="s">
        <v>312</v>
      </c>
      <c r="C89" s="20" t="s">
        <v>317</v>
      </c>
      <c r="D89" s="20" t="s">
        <v>717</v>
      </c>
      <c r="E89" s="20" t="s">
        <v>718</v>
      </c>
      <c r="F89" s="20" t="s">
        <v>718</v>
      </c>
      <c r="G89" s="20" t="s">
        <v>745</v>
      </c>
      <c r="H89" s="20" t="s">
        <v>720</v>
      </c>
      <c r="I89" s="20" t="s">
        <v>601</v>
      </c>
      <c r="J89" s="21">
        <v>0.670654296875</v>
      </c>
      <c r="K89" s="20" t="s">
        <v>602</v>
      </c>
      <c r="L89" s="20" t="s">
        <v>610</v>
      </c>
      <c r="M89" s="22">
        <v>-0.41089999999999999</v>
      </c>
      <c r="N89" s="22">
        <v>8.48E-2</v>
      </c>
      <c r="O89" s="22">
        <v>-0.19400000000000001</v>
      </c>
      <c r="P89" s="22">
        <v>0.22989999999999999</v>
      </c>
      <c r="Q89" s="20" t="s">
        <v>722</v>
      </c>
      <c r="R89" s="21">
        <v>0.43119266055045868</v>
      </c>
      <c r="S89" s="20" t="s">
        <v>721</v>
      </c>
      <c r="T89" s="21">
        <v>0.22018348623853209</v>
      </c>
      <c r="U89" s="21">
        <v>0.5688073394495412</v>
      </c>
      <c r="V89" s="20" t="s">
        <v>60</v>
      </c>
      <c r="W89" s="20" t="s">
        <v>740</v>
      </c>
      <c r="X89" s="21">
        <v>0.22018348623853209</v>
      </c>
      <c r="Y89" s="21">
        <v>0.43119266055045868</v>
      </c>
      <c r="Z89" s="21">
        <v>0.14678899082568811</v>
      </c>
      <c r="AA89" s="21">
        <v>0.1100917431192661</v>
      </c>
      <c r="AB89" s="21">
        <v>9.1743119266055065E-2</v>
      </c>
    </row>
    <row r="90" spans="1:28" ht="27.6">
      <c r="A90" s="20" t="s">
        <v>318</v>
      </c>
      <c r="B90" s="20" t="s">
        <v>312</v>
      </c>
      <c r="C90" s="20" t="s">
        <v>319</v>
      </c>
      <c r="D90" s="20" t="s">
        <v>717</v>
      </c>
      <c r="E90" s="20" t="s">
        <v>731</v>
      </c>
      <c r="F90" s="20" t="s">
        <v>717</v>
      </c>
      <c r="G90" s="20" t="s">
        <v>732</v>
      </c>
      <c r="H90" s="20" t="s">
        <v>720</v>
      </c>
      <c r="I90" s="20" t="s">
        <v>601</v>
      </c>
      <c r="J90" s="21">
        <v>0.76391259815636736</v>
      </c>
      <c r="K90" s="20" t="s">
        <v>613</v>
      </c>
      <c r="L90" s="20" t="s">
        <v>603</v>
      </c>
      <c r="M90" s="22">
        <v>-0.30580000000000002</v>
      </c>
      <c r="N90" s="22">
        <v>0.45390000000000003</v>
      </c>
      <c r="O90" s="22">
        <v>-0.35630000000000001</v>
      </c>
      <c r="P90" s="22">
        <v>0.372</v>
      </c>
      <c r="Q90" s="20" t="s">
        <v>721</v>
      </c>
      <c r="R90" s="21">
        <v>0.53383458646616533</v>
      </c>
      <c r="S90" s="20" t="s">
        <v>722</v>
      </c>
      <c r="T90" s="21">
        <v>0.17293233082706769</v>
      </c>
      <c r="U90" s="21">
        <v>0.46616541353383473</v>
      </c>
      <c r="V90" s="20" t="s">
        <v>131</v>
      </c>
      <c r="W90" s="20" t="s">
        <v>723</v>
      </c>
      <c r="X90" s="21">
        <v>0.53383458646616533</v>
      </c>
      <c r="Y90" s="21">
        <v>0.17293233082706769</v>
      </c>
      <c r="Z90" s="21">
        <v>0.14285714285714279</v>
      </c>
      <c r="AA90" s="21">
        <v>0.11278195488721809</v>
      </c>
      <c r="AB90" s="21">
        <v>3.7593984962406013E-2</v>
      </c>
    </row>
    <row r="91" spans="1:28" ht="27.6">
      <c r="A91" s="20" t="s">
        <v>320</v>
      </c>
      <c r="B91" s="20" t="s">
        <v>312</v>
      </c>
      <c r="C91" s="20" t="s">
        <v>321</v>
      </c>
      <c r="D91" s="20" t="s">
        <v>717</v>
      </c>
      <c r="E91" s="20" t="s">
        <v>731</v>
      </c>
      <c r="F91" s="20" t="s">
        <v>717</v>
      </c>
      <c r="G91" s="20" t="s">
        <v>732</v>
      </c>
      <c r="H91" s="20" t="s">
        <v>720</v>
      </c>
      <c r="I91" s="20" t="s">
        <v>601</v>
      </c>
      <c r="J91" s="21">
        <v>0.73844049247606014</v>
      </c>
      <c r="K91" s="20" t="s">
        <v>602</v>
      </c>
      <c r="L91" s="20" t="s">
        <v>610</v>
      </c>
      <c r="M91" s="22">
        <v>-0.41089999999999999</v>
      </c>
      <c r="N91" s="22">
        <v>8.48E-2</v>
      </c>
      <c r="O91" s="22">
        <v>-0.19400000000000001</v>
      </c>
      <c r="P91" s="22">
        <v>0.22989999999999999</v>
      </c>
      <c r="Q91" s="20" t="s">
        <v>721</v>
      </c>
      <c r="R91" s="21">
        <v>0.52032520325203246</v>
      </c>
      <c r="S91" s="20" t="s">
        <v>722</v>
      </c>
      <c r="T91" s="21">
        <v>0.18699186991869921</v>
      </c>
      <c r="U91" s="21">
        <v>0.47967479674796748</v>
      </c>
      <c r="V91" s="20" t="s">
        <v>131</v>
      </c>
      <c r="W91" s="20" t="s">
        <v>723</v>
      </c>
      <c r="X91" s="21">
        <v>0.52032520325203246</v>
      </c>
      <c r="Y91" s="21">
        <v>0.18699186991869921</v>
      </c>
      <c r="Z91" s="21">
        <v>0.13008130081300809</v>
      </c>
      <c r="AA91" s="21">
        <v>0.12195121951219511</v>
      </c>
      <c r="AB91" s="21">
        <v>4.0650406504065047E-2</v>
      </c>
    </row>
    <row r="92" spans="1:28" ht="27.6">
      <c r="A92" s="20" t="s">
        <v>322</v>
      </c>
      <c r="B92" s="20" t="s">
        <v>312</v>
      </c>
      <c r="C92" s="20" t="s">
        <v>323</v>
      </c>
      <c r="D92" s="20" t="s">
        <v>717</v>
      </c>
      <c r="E92" s="20" t="s">
        <v>718</v>
      </c>
      <c r="F92" s="20" t="s">
        <v>718</v>
      </c>
      <c r="G92" s="20" t="s">
        <v>745</v>
      </c>
      <c r="H92" s="20" t="s">
        <v>720</v>
      </c>
      <c r="I92" s="20" t="s">
        <v>601</v>
      </c>
      <c r="J92" s="21">
        <v>0.68962042324487738</v>
      </c>
      <c r="K92" s="20" t="s">
        <v>602</v>
      </c>
      <c r="L92" s="20" t="s">
        <v>603</v>
      </c>
      <c r="M92" s="22">
        <v>-0.41089999999999999</v>
      </c>
      <c r="N92" s="22">
        <v>0.45390000000000003</v>
      </c>
      <c r="O92" s="22">
        <v>3.5099999999999999E-2</v>
      </c>
      <c r="P92" s="22">
        <v>0.3</v>
      </c>
      <c r="Q92" s="20" t="s">
        <v>722</v>
      </c>
      <c r="R92" s="21">
        <v>0.39200000000000002</v>
      </c>
      <c r="S92" s="20" t="s">
        <v>721</v>
      </c>
      <c r="T92" s="21">
        <v>0.248</v>
      </c>
      <c r="U92" s="21">
        <v>0.60799999999999998</v>
      </c>
      <c r="V92" s="20" t="s">
        <v>60</v>
      </c>
      <c r="W92" s="20" t="s">
        <v>740</v>
      </c>
      <c r="X92" s="21">
        <v>0.248</v>
      </c>
      <c r="Y92" s="21">
        <v>0.39200000000000002</v>
      </c>
      <c r="Z92" s="21">
        <v>0.152</v>
      </c>
      <c r="AA92" s="21">
        <v>9.6000000000000002E-2</v>
      </c>
      <c r="AB92" s="21">
        <v>0.112</v>
      </c>
    </row>
    <row r="93" spans="1:28" ht="27.6">
      <c r="A93" s="20" t="s">
        <v>324</v>
      </c>
      <c r="B93" s="20" t="s">
        <v>325</v>
      </c>
      <c r="C93" s="20" t="s">
        <v>326</v>
      </c>
      <c r="D93" s="20" t="s">
        <v>717</v>
      </c>
      <c r="E93" s="20" t="s">
        <v>718</v>
      </c>
      <c r="F93" s="20" t="s">
        <v>717</v>
      </c>
      <c r="G93" s="20" t="s">
        <v>719</v>
      </c>
      <c r="H93" s="20" t="s">
        <v>720</v>
      </c>
      <c r="I93" s="20" t="s">
        <v>601</v>
      </c>
      <c r="J93" s="21">
        <v>0.75401816911250874</v>
      </c>
      <c r="K93" s="20" t="s">
        <v>602</v>
      </c>
      <c r="L93" s="20" t="s">
        <v>603</v>
      </c>
      <c r="M93" s="22">
        <v>-0.41089999999999999</v>
      </c>
      <c r="N93" s="22">
        <v>0.45390000000000003</v>
      </c>
      <c r="O93" s="22">
        <v>3.5099999999999999E-2</v>
      </c>
      <c r="P93" s="22">
        <v>0.3</v>
      </c>
      <c r="Q93" s="20" t="s">
        <v>721</v>
      </c>
      <c r="R93" s="21">
        <v>0.45833333333333331</v>
      </c>
      <c r="S93" s="20" t="s">
        <v>722</v>
      </c>
      <c r="T93" s="21">
        <v>0.29861111111111122</v>
      </c>
      <c r="U93" s="21">
        <v>0.54166666666666674</v>
      </c>
      <c r="V93" s="20" t="s">
        <v>131</v>
      </c>
      <c r="W93" s="20" t="s">
        <v>723</v>
      </c>
      <c r="X93" s="21">
        <v>0.45833333333333331</v>
      </c>
      <c r="Y93" s="21">
        <v>0.29861111111111122</v>
      </c>
      <c r="Z93" s="21">
        <v>0.13194444444444439</v>
      </c>
      <c r="AA93" s="21">
        <v>4.8611111111111119E-2</v>
      </c>
      <c r="AB93" s="21">
        <v>6.25E-2</v>
      </c>
    </row>
    <row r="94" spans="1:28" ht="27.6">
      <c r="A94" s="20" t="s">
        <v>328</v>
      </c>
      <c r="B94" s="20" t="s">
        <v>325</v>
      </c>
      <c r="C94" s="20" t="s">
        <v>329</v>
      </c>
      <c r="D94" s="20" t="s">
        <v>717</v>
      </c>
      <c r="E94" s="20" t="s">
        <v>718</v>
      </c>
      <c r="F94" s="20" t="s">
        <v>717</v>
      </c>
      <c r="G94" s="20" t="s">
        <v>719</v>
      </c>
      <c r="H94" s="20" t="s">
        <v>720</v>
      </c>
      <c r="I94" s="20" t="s">
        <v>601</v>
      </c>
      <c r="J94" s="21">
        <v>0.75435816164817748</v>
      </c>
      <c r="K94" s="20" t="s">
        <v>602</v>
      </c>
      <c r="L94" s="20" t="s">
        <v>603</v>
      </c>
      <c r="M94" s="22">
        <v>-0.41089999999999999</v>
      </c>
      <c r="N94" s="22">
        <v>0.45390000000000003</v>
      </c>
      <c r="O94" s="22">
        <v>3.5099999999999999E-2</v>
      </c>
      <c r="P94" s="22">
        <v>0.3</v>
      </c>
      <c r="Q94" s="20" t="s">
        <v>721</v>
      </c>
      <c r="R94" s="21">
        <v>0.45833333333333331</v>
      </c>
      <c r="S94" s="20" t="s">
        <v>722</v>
      </c>
      <c r="T94" s="21">
        <v>0.29861111111111122</v>
      </c>
      <c r="U94" s="21">
        <v>0.54166666666666674</v>
      </c>
      <c r="V94" s="20" t="s">
        <v>131</v>
      </c>
      <c r="W94" s="20" t="s">
        <v>723</v>
      </c>
      <c r="X94" s="21">
        <v>0.45833333333333331</v>
      </c>
      <c r="Y94" s="21">
        <v>0.29861111111111122</v>
      </c>
      <c r="Z94" s="21">
        <v>0.13194444444444439</v>
      </c>
      <c r="AA94" s="21">
        <v>4.8611111111111119E-2</v>
      </c>
      <c r="AB94" s="21">
        <v>6.25E-2</v>
      </c>
    </row>
    <row r="95" spans="1:28" ht="27.6">
      <c r="A95" s="20" t="s">
        <v>330</v>
      </c>
      <c r="B95" s="20" t="s">
        <v>325</v>
      </c>
      <c r="C95" s="20" t="s">
        <v>331</v>
      </c>
      <c r="D95" s="20" t="s">
        <v>717</v>
      </c>
      <c r="E95" s="20" t="s">
        <v>718</v>
      </c>
      <c r="F95" s="20" t="s">
        <v>717</v>
      </c>
      <c r="G95" s="20" t="s">
        <v>719</v>
      </c>
      <c r="H95" s="20" t="s">
        <v>720</v>
      </c>
      <c r="I95" s="20" t="s">
        <v>601</v>
      </c>
      <c r="J95" s="21">
        <v>0.7682539682539683</v>
      </c>
      <c r="K95" s="20" t="s">
        <v>602</v>
      </c>
      <c r="L95" s="20" t="s">
        <v>603</v>
      </c>
      <c r="M95" s="22">
        <v>-0.41089999999999999</v>
      </c>
      <c r="N95" s="22">
        <v>0.45390000000000003</v>
      </c>
      <c r="O95" s="22">
        <v>3.5099999999999999E-2</v>
      </c>
      <c r="P95" s="22">
        <v>0.3</v>
      </c>
      <c r="Q95" s="20" t="s">
        <v>721</v>
      </c>
      <c r="R95" s="21">
        <v>0.45833333333333331</v>
      </c>
      <c r="S95" s="20" t="s">
        <v>722</v>
      </c>
      <c r="T95" s="21">
        <v>0.29861111111111122</v>
      </c>
      <c r="U95" s="21">
        <v>0.54166666666666674</v>
      </c>
      <c r="V95" s="20" t="s">
        <v>131</v>
      </c>
      <c r="W95" s="20" t="s">
        <v>723</v>
      </c>
      <c r="X95" s="21">
        <v>0.45833333333333331</v>
      </c>
      <c r="Y95" s="21">
        <v>0.29861111111111122</v>
      </c>
      <c r="Z95" s="21">
        <v>0.13194444444444439</v>
      </c>
      <c r="AA95" s="21">
        <v>4.8611111111111119E-2</v>
      </c>
      <c r="AB95" s="21">
        <v>6.25E-2</v>
      </c>
    </row>
    <row r="96" spans="1:28" ht="27.6">
      <c r="A96" s="20" t="s">
        <v>332</v>
      </c>
      <c r="B96" s="20" t="s">
        <v>325</v>
      </c>
      <c r="C96" s="20" t="s">
        <v>333</v>
      </c>
      <c r="D96" s="20" t="s">
        <v>717</v>
      </c>
      <c r="E96" s="20" t="s">
        <v>731</v>
      </c>
      <c r="F96" s="20" t="s">
        <v>717</v>
      </c>
      <c r="G96" s="20" t="s">
        <v>732</v>
      </c>
      <c r="H96" s="20" t="s">
        <v>720</v>
      </c>
      <c r="I96" s="20" t="s">
        <v>601</v>
      </c>
      <c r="J96" s="21">
        <v>0.71927042030134813</v>
      </c>
      <c r="K96" s="20" t="s">
        <v>602</v>
      </c>
      <c r="L96" s="20" t="s">
        <v>603</v>
      </c>
      <c r="M96" s="22">
        <v>-0.41089999999999999</v>
      </c>
      <c r="N96" s="22">
        <v>0.45390000000000003</v>
      </c>
      <c r="O96" s="22">
        <v>3.5099999999999999E-2</v>
      </c>
      <c r="P96" s="22">
        <v>0.3</v>
      </c>
      <c r="Q96" s="20" t="s">
        <v>721</v>
      </c>
      <c r="R96" s="21">
        <v>0.51079136690647486</v>
      </c>
      <c r="S96" s="20" t="s">
        <v>722</v>
      </c>
      <c r="T96" s="21">
        <v>0.17985611510791369</v>
      </c>
      <c r="U96" s="21">
        <v>0.48920863309352508</v>
      </c>
      <c r="V96" s="20" t="s">
        <v>131</v>
      </c>
      <c r="W96" s="20" t="s">
        <v>723</v>
      </c>
      <c r="X96" s="21">
        <v>0.51079136690647486</v>
      </c>
      <c r="Y96" s="21">
        <v>0.17985611510791369</v>
      </c>
      <c r="Z96" s="21">
        <v>0.1366906474820144</v>
      </c>
      <c r="AA96" s="21">
        <v>0.1079136690647482</v>
      </c>
      <c r="AB96" s="21">
        <v>6.4748201438848921E-2</v>
      </c>
    </row>
    <row r="97" spans="1:28" ht="27.6">
      <c r="A97" s="20" t="s">
        <v>334</v>
      </c>
      <c r="B97" s="20" t="s">
        <v>325</v>
      </c>
      <c r="C97" s="20" t="s">
        <v>335</v>
      </c>
      <c r="D97" s="20" t="s">
        <v>717</v>
      </c>
      <c r="E97" s="20" t="s">
        <v>718</v>
      </c>
      <c r="F97" s="20" t="s">
        <v>717</v>
      </c>
      <c r="G97" s="20" t="s">
        <v>719</v>
      </c>
      <c r="H97" s="20" t="s">
        <v>720</v>
      </c>
      <c r="I97" s="20" t="s">
        <v>601</v>
      </c>
      <c r="J97" s="21">
        <v>0.75723807540095811</v>
      </c>
      <c r="K97" s="20" t="s">
        <v>602</v>
      </c>
      <c r="L97" s="20" t="s">
        <v>603</v>
      </c>
      <c r="M97" s="22">
        <v>-0.41089999999999999</v>
      </c>
      <c r="N97" s="22">
        <v>0.45390000000000003</v>
      </c>
      <c r="O97" s="22">
        <v>3.5099999999999999E-2</v>
      </c>
      <c r="P97" s="22">
        <v>0.3</v>
      </c>
      <c r="Q97" s="20" t="s">
        <v>721</v>
      </c>
      <c r="R97" s="21">
        <v>0.45833333333333331</v>
      </c>
      <c r="S97" s="20" t="s">
        <v>722</v>
      </c>
      <c r="T97" s="21">
        <v>0.29861111111111122</v>
      </c>
      <c r="U97" s="21">
        <v>0.54166666666666674</v>
      </c>
      <c r="V97" s="20" t="s">
        <v>131</v>
      </c>
      <c r="W97" s="20" t="s">
        <v>723</v>
      </c>
      <c r="X97" s="21">
        <v>0.45833333333333331</v>
      </c>
      <c r="Y97" s="21">
        <v>0.29861111111111122</v>
      </c>
      <c r="Z97" s="21">
        <v>0.13194444444444439</v>
      </c>
      <c r="AA97" s="21">
        <v>4.8611111111111119E-2</v>
      </c>
      <c r="AB97" s="21">
        <v>6.25E-2</v>
      </c>
    </row>
    <row r="98" spans="1:28" ht="27.6">
      <c r="A98" s="20" t="s">
        <v>336</v>
      </c>
      <c r="B98" s="20" t="s">
        <v>325</v>
      </c>
      <c r="C98" s="20" t="s">
        <v>337</v>
      </c>
      <c r="D98" s="20" t="s">
        <v>717</v>
      </c>
      <c r="E98" s="20" t="s">
        <v>718</v>
      </c>
      <c r="F98" s="20" t="s">
        <v>717</v>
      </c>
      <c r="G98" s="20" t="s">
        <v>719</v>
      </c>
      <c r="H98" s="20" t="s">
        <v>720</v>
      </c>
      <c r="I98" s="20" t="s">
        <v>601</v>
      </c>
      <c r="J98" s="21">
        <v>0.71401416969068598</v>
      </c>
      <c r="K98" s="20" t="s">
        <v>602</v>
      </c>
      <c r="L98" s="20" t="s">
        <v>603</v>
      </c>
      <c r="M98" s="22">
        <v>-0.41089999999999999</v>
      </c>
      <c r="N98" s="22">
        <v>0.45390000000000003</v>
      </c>
      <c r="O98" s="22">
        <v>3.5099999999999999E-2</v>
      </c>
      <c r="P98" s="22">
        <v>0.3</v>
      </c>
      <c r="Q98" s="20" t="s">
        <v>721</v>
      </c>
      <c r="R98" s="21">
        <v>0.45833333333333331</v>
      </c>
      <c r="S98" s="20" t="s">
        <v>722</v>
      </c>
      <c r="T98" s="21">
        <v>0.29861111111111122</v>
      </c>
      <c r="U98" s="21">
        <v>0.54166666666666674</v>
      </c>
      <c r="V98" s="20" t="s">
        <v>131</v>
      </c>
      <c r="W98" s="20" t="s">
        <v>723</v>
      </c>
      <c r="X98" s="21">
        <v>0.45833333333333331</v>
      </c>
      <c r="Y98" s="21">
        <v>0.29861111111111122</v>
      </c>
      <c r="Z98" s="21">
        <v>0.13194444444444439</v>
      </c>
      <c r="AA98" s="21">
        <v>4.8611111111111119E-2</v>
      </c>
      <c r="AB98" s="21">
        <v>6.25E-2</v>
      </c>
    </row>
    <row r="99" spans="1:28" ht="27.6">
      <c r="A99" s="20" t="s">
        <v>338</v>
      </c>
      <c r="B99" s="20" t="s">
        <v>325</v>
      </c>
      <c r="C99" s="20" t="s">
        <v>325</v>
      </c>
      <c r="D99" s="20" t="s">
        <v>717</v>
      </c>
      <c r="E99" s="20" t="s">
        <v>718</v>
      </c>
      <c r="F99" s="20" t="s">
        <v>717</v>
      </c>
      <c r="G99" s="20" t="s">
        <v>719</v>
      </c>
      <c r="H99" s="20" t="s">
        <v>720</v>
      </c>
      <c r="I99" s="20" t="s">
        <v>601</v>
      </c>
      <c r="J99" s="21">
        <v>0.76680367504835589</v>
      </c>
      <c r="K99" s="20" t="s">
        <v>602</v>
      </c>
      <c r="L99" s="20" t="s">
        <v>603</v>
      </c>
      <c r="M99" s="22">
        <v>-0.41089999999999999</v>
      </c>
      <c r="N99" s="22">
        <v>0.45390000000000003</v>
      </c>
      <c r="O99" s="22">
        <v>3.5099999999999999E-2</v>
      </c>
      <c r="P99" s="22">
        <v>0.3</v>
      </c>
      <c r="Q99" s="20" t="s">
        <v>721</v>
      </c>
      <c r="R99" s="21">
        <v>0.45833333333333331</v>
      </c>
      <c r="S99" s="20" t="s">
        <v>722</v>
      </c>
      <c r="T99" s="21">
        <v>0.29861111111111122</v>
      </c>
      <c r="U99" s="21">
        <v>0.54166666666666674</v>
      </c>
      <c r="V99" s="20" t="s">
        <v>131</v>
      </c>
      <c r="W99" s="20" t="s">
        <v>723</v>
      </c>
      <c r="X99" s="21">
        <v>0.45833333333333331</v>
      </c>
      <c r="Y99" s="21">
        <v>0.29861111111111122</v>
      </c>
      <c r="Z99" s="21">
        <v>0.13194444444444439</v>
      </c>
      <c r="AA99" s="21">
        <v>4.8611111111111119E-2</v>
      </c>
      <c r="AB99" s="21">
        <v>6.25E-2</v>
      </c>
    </row>
    <row r="100" spans="1:28" ht="27.6">
      <c r="A100" s="20" t="s">
        <v>339</v>
      </c>
      <c r="B100" s="20" t="s">
        <v>325</v>
      </c>
      <c r="C100" s="20" t="s">
        <v>340</v>
      </c>
      <c r="D100" s="20" t="s">
        <v>717</v>
      </c>
      <c r="E100" s="20" t="s">
        <v>718</v>
      </c>
      <c r="F100" s="20" t="s">
        <v>717</v>
      </c>
      <c r="G100" s="20" t="s">
        <v>719</v>
      </c>
      <c r="H100" s="20" t="s">
        <v>720</v>
      </c>
      <c r="I100" s="20" t="s">
        <v>601</v>
      </c>
      <c r="J100" s="21">
        <v>0.7068473609129815</v>
      </c>
      <c r="K100" s="20" t="s">
        <v>602</v>
      </c>
      <c r="L100" s="20" t="s">
        <v>603</v>
      </c>
      <c r="M100" s="22">
        <v>-0.41089999999999999</v>
      </c>
      <c r="N100" s="22">
        <v>0.45390000000000003</v>
      </c>
      <c r="O100" s="22">
        <v>3.5099999999999999E-2</v>
      </c>
      <c r="P100" s="22">
        <v>0.3</v>
      </c>
      <c r="Q100" s="20" t="s">
        <v>721</v>
      </c>
      <c r="R100" s="21">
        <v>0.45833333333333331</v>
      </c>
      <c r="S100" s="20" t="s">
        <v>722</v>
      </c>
      <c r="T100" s="21">
        <v>0.29861111111111122</v>
      </c>
      <c r="U100" s="21">
        <v>0.54166666666666674</v>
      </c>
      <c r="V100" s="20" t="s">
        <v>131</v>
      </c>
      <c r="W100" s="20" t="s">
        <v>723</v>
      </c>
      <c r="X100" s="21">
        <v>0.45833333333333331</v>
      </c>
      <c r="Y100" s="21">
        <v>0.29861111111111122</v>
      </c>
      <c r="Z100" s="21">
        <v>0.13194444444444439</v>
      </c>
      <c r="AA100" s="21">
        <v>4.8611111111111119E-2</v>
      </c>
      <c r="AB100" s="21">
        <v>6.25E-2</v>
      </c>
    </row>
    <row r="101" spans="1:28">
      <c r="A101" s="20" t="s">
        <v>341</v>
      </c>
      <c r="B101" s="20" t="s">
        <v>325</v>
      </c>
      <c r="C101" s="20" t="s">
        <v>342</v>
      </c>
      <c r="D101" s="20" t="s">
        <v>717</v>
      </c>
      <c r="E101" s="20" t="s">
        <v>718</v>
      </c>
      <c r="F101" s="20" t="s">
        <v>717</v>
      </c>
      <c r="G101" s="20" t="s">
        <v>719</v>
      </c>
      <c r="H101" s="20" t="s">
        <v>720</v>
      </c>
      <c r="I101" s="20" t="s">
        <v>601</v>
      </c>
      <c r="J101" s="21">
        <v>0.7700922266139657</v>
      </c>
      <c r="K101" s="20" t="s">
        <v>602</v>
      </c>
      <c r="L101" s="20" t="s">
        <v>610</v>
      </c>
      <c r="M101" s="22">
        <v>-0.41089999999999999</v>
      </c>
      <c r="N101" s="22">
        <v>8.48E-2</v>
      </c>
      <c r="O101" s="22">
        <v>-0.19400000000000001</v>
      </c>
      <c r="P101" s="22">
        <v>0.22989999999999999</v>
      </c>
      <c r="Q101" s="20" t="s">
        <v>721</v>
      </c>
      <c r="R101" s="21">
        <v>0.46093749999999989</v>
      </c>
      <c r="S101" s="20" t="s">
        <v>722</v>
      </c>
      <c r="T101" s="21">
        <v>0.32031250000000011</v>
      </c>
      <c r="U101" s="21">
        <v>0.5390625</v>
      </c>
      <c r="V101" s="20" t="s">
        <v>131</v>
      </c>
      <c r="W101" s="20" t="s">
        <v>723</v>
      </c>
      <c r="X101" s="21">
        <v>0.46093749999999989</v>
      </c>
      <c r="Y101" s="21">
        <v>0.32031250000000011</v>
      </c>
      <c r="Z101" s="21">
        <v>0.125</v>
      </c>
      <c r="AA101" s="21">
        <v>5.4687500000000007E-2</v>
      </c>
      <c r="AB101" s="21">
        <v>3.9062500000000007E-2</v>
      </c>
    </row>
    <row r="102" spans="1:28" ht="27.6">
      <c r="A102" s="20" t="s">
        <v>343</v>
      </c>
      <c r="B102" s="20" t="s">
        <v>325</v>
      </c>
      <c r="C102" s="20" t="s">
        <v>344</v>
      </c>
      <c r="D102" s="20" t="s">
        <v>717</v>
      </c>
      <c r="E102" s="20" t="s">
        <v>718</v>
      </c>
      <c r="F102" s="20" t="s">
        <v>717</v>
      </c>
      <c r="G102" s="20" t="s">
        <v>719</v>
      </c>
      <c r="H102" s="20" t="s">
        <v>720</v>
      </c>
      <c r="I102" s="20" t="s">
        <v>601</v>
      </c>
      <c r="J102" s="21">
        <v>0.70454545454545459</v>
      </c>
      <c r="K102" s="20" t="s">
        <v>602</v>
      </c>
      <c r="L102" s="20" t="s">
        <v>603</v>
      </c>
      <c r="M102" s="22">
        <v>-0.41089999999999999</v>
      </c>
      <c r="N102" s="22">
        <v>0.45390000000000003</v>
      </c>
      <c r="O102" s="22">
        <v>3.5099999999999999E-2</v>
      </c>
      <c r="P102" s="22">
        <v>0.3</v>
      </c>
      <c r="Q102" s="20" t="s">
        <v>721</v>
      </c>
      <c r="R102" s="21">
        <v>0.45833333333333331</v>
      </c>
      <c r="S102" s="20" t="s">
        <v>722</v>
      </c>
      <c r="T102" s="21">
        <v>0.29861111111111122</v>
      </c>
      <c r="U102" s="21">
        <v>0.54166666666666674</v>
      </c>
      <c r="V102" s="20" t="s">
        <v>131</v>
      </c>
      <c r="W102" s="20" t="s">
        <v>723</v>
      </c>
      <c r="X102" s="21">
        <v>0.45833333333333331</v>
      </c>
      <c r="Y102" s="21">
        <v>0.29861111111111122</v>
      </c>
      <c r="Z102" s="21">
        <v>0.13194444444444439</v>
      </c>
      <c r="AA102" s="21">
        <v>4.8611111111111119E-2</v>
      </c>
      <c r="AB102" s="21">
        <v>6.25E-2</v>
      </c>
    </row>
    <row r="103" spans="1:28" ht="27.6">
      <c r="A103" s="20" t="s">
        <v>345</v>
      </c>
      <c r="B103" s="20" t="s">
        <v>346</v>
      </c>
      <c r="C103" s="20" t="s">
        <v>347</v>
      </c>
      <c r="D103" s="20" t="s">
        <v>717</v>
      </c>
      <c r="E103" s="20" t="s">
        <v>743</v>
      </c>
      <c r="F103" s="20" t="s">
        <v>717</v>
      </c>
      <c r="G103" s="20" t="s">
        <v>752</v>
      </c>
      <c r="H103" s="20" t="s">
        <v>720</v>
      </c>
      <c r="I103" s="20" t="s">
        <v>601</v>
      </c>
      <c r="J103" s="21">
        <v>0.73656429942418422</v>
      </c>
      <c r="K103" s="20" t="s">
        <v>602</v>
      </c>
      <c r="L103" s="20" t="s">
        <v>609</v>
      </c>
      <c r="M103" s="22">
        <v>-0.41089999999999999</v>
      </c>
      <c r="N103" s="22">
        <v>-0.1671</v>
      </c>
      <c r="O103" s="22">
        <v>-0.2089</v>
      </c>
      <c r="P103" s="22">
        <v>0.26229999999999998</v>
      </c>
      <c r="Q103" s="20" t="s">
        <v>721</v>
      </c>
      <c r="R103" s="21">
        <v>0.52032520325203246</v>
      </c>
      <c r="S103" s="20" t="s">
        <v>722</v>
      </c>
      <c r="T103" s="21">
        <v>0.18699186991869921</v>
      </c>
      <c r="U103" s="21">
        <v>0.47967479674796748</v>
      </c>
      <c r="V103" s="20" t="s">
        <v>131</v>
      </c>
      <c r="W103" s="20" t="s">
        <v>723</v>
      </c>
      <c r="X103" s="21">
        <v>0.52032520325203246</v>
      </c>
      <c r="Y103" s="21">
        <v>0.18699186991869921</v>
      </c>
      <c r="Z103" s="21">
        <v>0.13008130081300809</v>
      </c>
      <c r="AA103" s="21">
        <v>5.6910569105691061E-2</v>
      </c>
      <c r="AB103" s="21">
        <v>0.1056910569105691</v>
      </c>
    </row>
    <row r="104" spans="1:28" ht="27.6">
      <c r="A104" s="20" t="s">
        <v>350</v>
      </c>
      <c r="B104" s="20" t="s">
        <v>346</v>
      </c>
      <c r="C104" s="20" t="s">
        <v>351</v>
      </c>
      <c r="D104" s="20" t="s">
        <v>717</v>
      </c>
      <c r="E104" s="20" t="s">
        <v>731</v>
      </c>
      <c r="F104" s="20" t="s">
        <v>717</v>
      </c>
      <c r="G104" s="20" t="s">
        <v>732</v>
      </c>
      <c r="H104" s="20" t="s">
        <v>720</v>
      </c>
      <c r="I104" s="20" t="s">
        <v>601</v>
      </c>
      <c r="J104" s="21">
        <v>0.81726190476190474</v>
      </c>
      <c r="K104" s="20" t="s">
        <v>602</v>
      </c>
      <c r="L104" s="20" t="s">
        <v>603</v>
      </c>
      <c r="M104" s="22">
        <v>-0.41089999999999999</v>
      </c>
      <c r="N104" s="22">
        <v>0.45390000000000003</v>
      </c>
      <c r="O104" s="22">
        <v>3.5099999999999999E-2</v>
      </c>
      <c r="P104" s="22">
        <v>0.3</v>
      </c>
      <c r="Q104" s="20" t="s">
        <v>721</v>
      </c>
      <c r="R104" s="21">
        <v>0.51079136690647486</v>
      </c>
      <c r="S104" s="20" t="s">
        <v>722</v>
      </c>
      <c r="T104" s="21">
        <v>0.17985611510791369</v>
      </c>
      <c r="U104" s="21">
        <v>0.48920863309352508</v>
      </c>
      <c r="V104" s="20" t="s">
        <v>131</v>
      </c>
      <c r="W104" s="20" t="s">
        <v>723</v>
      </c>
      <c r="X104" s="21">
        <v>0.51079136690647486</v>
      </c>
      <c r="Y104" s="21">
        <v>0.17985611510791369</v>
      </c>
      <c r="Z104" s="21">
        <v>0.1366906474820144</v>
      </c>
      <c r="AA104" s="21">
        <v>0.1079136690647482</v>
      </c>
      <c r="AB104" s="21">
        <v>6.4748201438848921E-2</v>
      </c>
    </row>
    <row r="105" spans="1:28" ht="27.6">
      <c r="A105" s="20" t="s">
        <v>352</v>
      </c>
      <c r="B105" s="20" t="s">
        <v>346</v>
      </c>
      <c r="C105" s="20" t="s">
        <v>353</v>
      </c>
      <c r="D105" s="20" t="s">
        <v>717</v>
      </c>
      <c r="E105" s="20" t="s">
        <v>718</v>
      </c>
      <c r="F105" s="20" t="s">
        <v>717</v>
      </c>
      <c r="G105" s="20" t="s">
        <v>719</v>
      </c>
      <c r="H105" s="20" t="s">
        <v>720</v>
      </c>
      <c r="I105" s="20" t="s">
        <v>601</v>
      </c>
      <c r="J105" s="21">
        <v>0.72869837950862515</v>
      </c>
      <c r="K105" s="20" t="s">
        <v>602</v>
      </c>
      <c r="L105" s="20" t="s">
        <v>603</v>
      </c>
      <c r="M105" s="22">
        <v>-0.41089999999999999</v>
      </c>
      <c r="N105" s="22">
        <v>0.45390000000000003</v>
      </c>
      <c r="O105" s="22">
        <v>3.5099999999999999E-2</v>
      </c>
      <c r="P105" s="22">
        <v>0.3</v>
      </c>
      <c r="Q105" s="20" t="s">
        <v>721</v>
      </c>
      <c r="R105" s="21">
        <v>0.45833333333333331</v>
      </c>
      <c r="S105" s="20" t="s">
        <v>722</v>
      </c>
      <c r="T105" s="21">
        <v>0.29861111111111122</v>
      </c>
      <c r="U105" s="21">
        <v>0.54166666666666674</v>
      </c>
      <c r="V105" s="20" t="s">
        <v>131</v>
      </c>
      <c r="W105" s="20" t="s">
        <v>723</v>
      </c>
      <c r="X105" s="21">
        <v>0.45833333333333331</v>
      </c>
      <c r="Y105" s="21">
        <v>0.29861111111111122</v>
      </c>
      <c r="Z105" s="21">
        <v>0.13194444444444439</v>
      </c>
      <c r="AA105" s="21">
        <v>4.8611111111111119E-2</v>
      </c>
      <c r="AB105" s="21">
        <v>6.25E-2</v>
      </c>
    </row>
    <row r="106" spans="1:28">
      <c r="A106" s="20" t="s">
        <v>354</v>
      </c>
      <c r="B106" s="20" t="s">
        <v>346</v>
      </c>
      <c r="C106" s="20" t="s">
        <v>355</v>
      </c>
      <c r="D106" s="20" t="s">
        <v>717</v>
      </c>
      <c r="E106" s="20" t="s">
        <v>718</v>
      </c>
      <c r="F106" s="20" t="s">
        <v>717</v>
      </c>
      <c r="G106" s="20" t="s">
        <v>719</v>
      </c>
      <c r="H106" s="20" t="s">
        <v>720</v>
      </c>
      <c r="I106" s="20" t="s">
        <v>601</v>
      </c>
      <c r="J106" s="21">
        <v>0.68619791666666663</v>
      </c>
      <c r="K106" s="20" t="s">
        <v>602</v>
      </c>
      <c r="L106" s="20" t="s">
        <v>610</v>
      </c>
      <c r="M106" s="22">
        <v>-0.41089999999999999</v>
      </c>
      <c r="N106" s="22">
        <v>8.48E-2</v>
      </c>
      <c r="O106" s="22">
        <v>-0.19400000000000001</v>
      </c>
      <c r="P106" s="22">
        <v>0.22989999999999999</v>
      </c>
      <c r="Q106" s="20" t="s">
        <v>721</v>
      </c>
      <c r="R106" s="21">
        <v>0.43442622950819659</v>
      </c>
      <c r="S106" s="20" t="s">
        <v>722</v>
      </c>
      <c r="T106" s="21">
        <v>0.33606557377049179</v>
      </c>
      <c r="U106" s="21">
        <v>0.56557377049180335</v>
      </c>
      <c r="V106" s="20" t="s">
        <v>60</v>
      </c>
      <c r="W106" s="20" t="s">
        <v>723</v>
      </c>
      <c r="X106" s="21">
        <v>0.43442622950819659</v>
      </c>
      <c r="Y106" s="21">
        <v>0.33606557377049179</v>
      </c>
      <c r="Z106" s="21">
        <v>0.13114754098360659</v>
      </c>
      <c r="AA106" s="21">
        <v>5.7377049180327877E-2</v>
      </c>
      <c r="AB106" s="21">
        <v>4.0983606557377053E-2</v>
      </c>
    </row>
    <row r="107" spans="1:28" ht="27.6">
      <c r="A107" s="20" t="s">
        <v>356</v>
      </c>
      <c r="B107" s="20" t="s">
        <v>346</v>
      </c>
      <c r="C107" s="20" t="s">
        <v>357</v>
      </c>
      <c r="D107" s="20" t="s">
        <v>717</v>
      </c>
      <c r="E107" s="20" t="s">
        <v>731</v>
      </c>
      <c r="F107" s="20" t="s">
        <v>717</v>
      </c>
      <c r="G107" s="20" t="s">
        <v>732</v>
      </c>
      <c r="H107" s="20" t="s">
        <v>720</v>
      </c>
      <c r="I107" s="20" t="s">
        <v>601</v>
      </c>
      <c r="J107" s="21">
        <v>0.79190376719729161</v>
      </c>
      <c r="K107" s="20" t="s">
        <v>602</v>
      </c>
      <c r="L107" s="20" t="s">
        <v>603</v>
      </c>
      <c r="M107" s="22">
        <v>-0.41089999999999999</v>
      </c>
      <c r="N107" s="22">
        <v>0.45390000000000003</v>
      </c>
      <c r="O107" s="22">
        <v>3.5099999999999999E-2</v>
      </c>
      <c r="P107" s="22">
        <v>0.3</v>
      </c>
      <c r="Q107" s="20" t="s">
        <v>721</v>
      </c>
      <c r="R107" s="21">
        <v>0.51079136690647486</v>
      </c>
      <c r="S107" s="20" t="s">
        <v>722</v>
      </c>
      <c r="T107" s="21">
        <v>0.17985611510791369</v>
      </c>
      <c r="U107" s="21">
        <v>0.48920863309352508</v>
      </c>
      <c r="V107" s="20" t="s">
        <v>131</v>
      </c>
      <c r="W107" s="20" t="s">
        <v>723</v>
      </c>
      <c r="X107" s="21">
        <v>0.51079136690647486</v>
      </c>
      <c r="Y107" s="21">
        <v>0.17985611510791369</v>
      </c>
      <c r="Z107" s="21">
        <v>0.1366906474820144</v>
      </c>
      <c r="AA107" s="21">
        <v>0.1079136690647482</v>
      </c>
      <c r="AB107" s="21">
        <v>6.4748201438848921E-2</v>
      </c>
    </row>
    <row r="108" spans="1:28" ht="27.6">
      <c r="A108" s="20" t="s">
        <v>358</v>
      </c>
      <c r="B108" s="20" t="s">
        <v>346</v>
      </c>
      <c r="C108" s="20" t="s">
        <v>359</v>
      </c>
      <c r="D108" s="20" t="s">
        <v>717</v>
      </c>
      <c r="E108" s="20" t="s">
        <v>731</v>
      </c>
      <c r="F108" s="20" t="s">
        <v>717</v>
      </c>
      <c r="G108" s="20" t="s">
        <v>732</v>
      </c>
      <c r="H108" s="20" t="s">
        <v>720</v>
      </c>
      <c r="I108" s="20" t="s">
        <v>601</v>
      </c>
      <c r="J108" s="21">
        <v>0.76866485013623975</v>
      </c>
      <c r="K108" s="20" t="s">
        <v>602</v>
      </c>
      <c r="L108" s="20" t="s">
        <v>603</v>
      </c>
      <c r="M108" s="22">
        <v>-0.41089999999999999</v>
      </c>
      <c r="N108" s="22">
        <v>0.45390000000000003</v>
      </c>
      <c r="O108" s="22">
        <v>3.5099999999999999E-2</v>
      </c>
      <c r="P108" s="22">
        <v>0.3</v>
      </c>
      <c r="Q108" s="20" t="s">
        <v>721</v>
      </c>
      <c r="R108" s="21">
        <v>0.51079136690647486</v>
      </c>
      <c r="S108" s="20" t="s">
        <v>722</v>
      </c>
      <c r="T108" s="21">
        <v>0.17985611510791369</v>
      </c>
      <c r="U108" s="21">
        <v>0.48920863309352508</v>
      </c>
      <c r="V108" s="20" t="s">
        <v>131</v>
      </c>
      <c r="W108" s="20" t="s">
        <v>723</v>
      </c>
      <c r="X108" s="21">
        <v>0.51079136690647486</v>
      </c>
      <c r="Y108" s="21">
        <v>0.17985611510791369</v>
      </c>
      <c r="Z108" s="21">
        <v>0.1366906474820144</v>
      </c>
      <c r="AA108" s="21">
        <v>0.1079136690647482</v>
      </c>
      <c r="AB108" s="21">
        <v>6.4748201438848921E-2</v>
      </c>
    </row>
    <row r="109" spans="1:28">
      <c r="A109" s="20" t="s">
        <v>360</v>
      </c>
      <c r="B109" s="20" t="s">
        <v>346</v>
      </c>
      <c r="C109" s="20" t="s">
        <v>361</v>
      </c>
      <c r="D109" s="20" t="s">
        <v>717</v>
      </c>
      <c r="E109" s="20" t="s">
        <v>718</v>
      </c>
      <c r="F109" s="20" t="s">
        <v>717</v>
      </c>
      <c r="G109" s="20" t="s">
        <v>719</v>
      </c>
      <c r="H109" s="20" t="s">
        <v>720</v>
      </c>
      <c r="I109" s="20" t="s">
        <v>601</v>
      </c>
      <c r="J109" s="21">
        <v>0.83563584838823945</v>
      </c>
      <c r="K109" s="20" t="s">
        <v>602</v>
      </c>
      <c r="L109" s="20" t="s">
        <v>610</v>
      </c>
      <c r="M109" s="22">
        <v>-0.41089999999999999</v>
      </c>
      <c r="N109" s="22">
        <v>8.48E-2</v>
      </c>
      <c r="O109" s="22">
        <v>-0.19400000000000001</v>
      </c>
      <c r="P109" s="22">
        <v>0.22989999999999999</v>
      </c>
      <c r="Q109" s="20" t="s">
        <v>721</v>
      </c>
      <c r="R109" s="21">
        <v>0.46093749999999989</v>
      </c>
      <c r="S109" s="20" t="s">
        <v>722</v>
      </c>
      <c r="T109" s="21">
        <v>0.32031250000000011</v>
      </c>
      <c r="U109" s="21">
        <v>0.5390625</v>
      </c>
      <c r="V109" s="20" t="s">
        <v>131</v>
      </c>
      <c r="W109" s="20" t="s">
        <v>723</v>
      </c>
      <c r="X109" s="21">
        <v>0.46093749999999989</v>
      </c>
      <c r="Y109" s="21">
        <v>0.32031250000000011</v>
      </c>
      <c r="Z109" s="21">
        <v>0.125</v>
      </c>
      <c r="AA109" s="21">
        <v>5.4687500000000007E-2</v>
      </c>
      <c r="AB109" s="21">
        <v>3.9062500000000007E-2</v>
      </c>
    </row>
    <row r="110" spans="1:28" ht="27.6">
      <c r="A110" s="20" t="s">
        <v>362</v>
      </c>
      <c r="B110" s="20" t="s">
        <v>346</v>
      </c>
      <c r="C110" s="20" t="s">
        <v>363</v>
      </c>
      <c r="D110" s="20" t="s">
        <v>717</v>
      </c>
      <c r="E110" s="20" t="s">
        <v>724</v>
      </c>
      <c r="F110" s="20" t="s">
        <v>717</v>
      </c>
      <c r="G110" s="20" t="s">
        <v>737</v>
      </c>
      <c r="H110" s="20" t="s">
        <v>720</v>
      </c>
      <c r="I110" s="20" t="s">
        <v>601</v>
      </c>
      <c r="J110" s="21">
        <v>0.75</v>
      </c>
      <c r="K110" s="20" t="s">
        <v>602</v>
      </c>
      <c r="L110" s="20" t="s">
        <v>603</v>
      </c>
      <c r="M110" s="22">
        <v>-0.41089999999999999</v>
      </c>
      <c r="N110" s="22">
        <v>0.45390000000000003</v>
      </c>
      <c r="O110" s="22">
        <v>3.5099999999999999E-2</v>
      </c>
      <c r="P110" s="22">
        <v>0.3</v>
      </c>
      <c r="Q110" s="20" t="s">
        <v>721</v>
      </c>
      <c r="R110" s="21">
        <v>0.5220588235294118</v>
      </c>
      <c r="S110" s="20" t="s">
        <v>722</v>
      </c>
      <c r="T110" s="21">
        <v>0.18382352941176469</v>
      </c>
      <c r="U110" s="21">
        <v>0.4779411764705882</v>
      </c>
      <c r="V110" s="20" t="s">
        <v>131</v>
      </c>
      <c r="W110" s="20" t="s">
        <v>723</v>
      </c>
      <c r="X110" s="21">
        <v>0.5220588235294118</v>
      </c>
      <c r="Y110" s="21">
        <v>0.18382352941176469</v>
      </c>
      <c r="Z110" s="21">
        <v>0.1764705882352941</v>
      </c>
      <c r="AA110" s="21">
        <v>5.1470588235294129E-2</v>
      </c>
      <c r="AB110" s="21">
        <v>6.6176470588235295E-2</v>
      </c>
    </row>
    <row r="111" spans="1:28" ht="27.6">
      <c r="A111" s="20" t="s">
        <v>364</v>
      </c>
      <c r="B111" s="20" t="s">
        <v>346</v>
      </c>
      <c r="C111" s="20" t="s">
        <v>365</v>
      </c>
      <c r="D111" s="20" t="s">
        <v>717</v>
      </c>
      <c r="E111" s="20" t="s">
        <v>718</v>
      </c>
      <c r="F111" s="20" t="s">
        <v>717</v>
      </c>
      <c r="G111" s="20" t="s">
        <v>719</v>
      </c>
      <c r="H111" s="20" t="s">
        <v>720</v>
      </c>
      <c r="I111" s="20" t="s">
        <v>601</v>
      </c>
      <c r="J111" s="21">
        <v>0.77476780185758509</v>
      </c>
      <c r="K111" s="20" t="s">
        <v>602</v>
      </c>
      <c r="L111" s="20" t="s">
        <v>603</v>
      </c>
      <c r="M111" s="22">
        <v>-0.41089999999999999</v>
      </c>
      <c r="N111" s="22">
        <v>0.45390000000000003</v>
      </c>
      <c r="O111" s="22">
        <v>3.5099999999999999E-2</v>
      </c>
      <c r="P111" s="22">
        <v>0.3</v>
      </c>
      <c r="Q111" s="20" t="s">
        <v>721</v>
      </c>
      <c r="R111" s="21">
        <v>0.45833333333333331</v>
      </c>
      <c r="S111" s="20" t="s">
        <v>722</v>
      </c>
      <c r="T111" s="21">
        <v>0.29861111111111122</v>
      </c>
      <c r="U111" s="21">
        <v>0.54166666666666674</v>
      </c>
      <c r="V111" s="20" t="s">
        <v>131</v>
      </c>
      <c r="W111" s="20" t="s">
        <v>723</v>
      </c>
      <c r="X111" s="21">
        <v>0.45833333333333331</v>
      </c>
      <c r="Y111" s="21">
        <v>0.29861111111111122</v>
      </c>
      <c r="Z111" s="21">
        <v>0.13194444444444439</v>
      </c>
      <c r="AA111" s="21">
        <v>4.8611111111111119E-2</v>
      </c>
      <c r="AB111" s="21">
        <v>6.25E-2</v>
      </c>
    </row>
    <row r="112" spans="1:28" ht="27.6">
      <c r="A112" s="20" t="s">
        <v>366</v>
      </c>
      <c r="B112" s="20" t="s">
        <v>367</v>
      </c>
      <c r="C112" s="20" t="s">
        <v>368</v>
      </c>
      <c r="D112" s="20" t="s">
        <v>731</v>
      </c>
      <c r="E112" s="20" t="s">
        <v>718</v>
      </c>
      <c r="F112" s="20" t="s">
        <v>718</v>
      </c>
      <c r="G112" s="20" t="s">
        <v>751</v>
      </c>
      <c r="H112" s="20" t="s">
        <v>720</v>
      </c>
      <c r="I112" s="20" t="s">
        <v>601</v>
      </c>
      <c r="J112" s="21">
        <v>0.72615606936416188</v>
      </c>
      <c r="K112" s="20" t="s">
        <v>602</v>
      </c>
      <c r="L112" s="20" t="s">
        <v>603</v>
      </c>
      <c r="M112" s="22">
        <v>-0.41089999999999999</v>
      </c>
      <c r="N112" s="22">
        <v>0.45390000000000003</v>
      </c>
      <c r="O112" s="22">
        <v>3.5099999999999999E-2</v>
      </c>
      <c r="P112" s="22">
        <v>0.3</v>
      </c>
      <c r="Q112" s="20" t="s">
        <v>722</v>
      </c>
      <c r="R112" s="21">
        <v>0.35251798561151082</v>
      </c>
      <c r="S112" s="20" t="s">
        <v>721</v>
      </c>
      <c r="T112" s="21">
        <v>0.26618705035971219</v>
      </c>
      <c r="U112" s="21">
        <v>0.64748201438848918</v>
      </c>
      <c r="V112" s="20" t="s">
        <v>60</v>
      </c>
      <c r="W112" s="20" t="s">
        <v>740</v>
      </c>
      <c r="X112" s="21">
        <v>0.26618705035971219</v>
      </c>
      <c r="Y112" s="21">
        <v>0.35251798561151082</v>
      </c>
      <c r="Z112" s="21">
        <v>0.1366906474820144</v>
      </c>
      <c r="AA112" s="21">
        <v>0.14388489208633101</v>
      </c>
      <c r="AB112" s="21">
        <v>0.10071942446043169</v>
      </c>
    </row>
    <row r="113" spans="1:28" ht="27.6">
      <c r="A113" s="20" t="s">
        <v>373</v>
      </c>
      <c r="B113" s="20" t="s">
        <v>367</v>
      </c>
      <c r="C113" s="20" t="s">
        <v>374</v>
      </c>
      <c r="D113" s="20" t="s">
        <v>731</v>
      </c>
      <c r="E113" s="20" t="s">
        <v>718</v>
      </c>
      <c r="F113" s="20" t="s">
        <v>717</v>
      </c>
      <c r="G113" s="20" t="s">
        <v>735</v>
      </c>
      <c r="H113" s="20" t="s">
        <v>726</v>
      </c>
      <c r="I113" s="20" t="s">
        <v>601</v>
      </c>
      <c r="J113" s="21">
        <v>0.70220390611001615</v>
      </c>
      <c r="K113" s="20" t="s">
        <v>602</v>
      </c>
      <c r="L113" s="20" t="s">
        <v>603</v>
      </c>
      <c r="M113" s="22">
        <v>-0.41089999999999999</v>
      </c>
      <c r="N113" s="22">
        <v>0.45390000000000003</v>
      </c>
      <c r="O113" s="22">
        <v>3.5099999999999999E-2</v>
      </c>
      <c r="P113" s="22">
        <v>0.3</v>
      </c>
      <c r="Q113" s="20" t="s">
        <v>721</v>
      </c>
      <c r="R113" s="21">
        <v>0.41772151898734172</v>
      </c>
      <c r="S113" s="20" t="s">
        <v>722</v>
      </c>
      <c r="T113" s="21">
        <v>0.27215189873417722</v>
      </c>
      <c r="U113" s="21">
        <v>0.58227848101265822</v>
      </c>
      <c r="V113" s="20" t="s">
        <v>60</v>
      </c>
      <c r="W113" s="20" t="s">
        <v>723</v>
      </c>
      <c r="X113" s="21">
        <v>0.41772151898734172</v>
      </c>
      <c r="Y113" s="21">
        <v>0.27215189873417722</v>
      </c>
      <c r="Z113" s="21">
        <v>0.1012658227848101</v>
      </c>
      <c r="AA113" s="21">
        <v>0.12658227848101269</v>
      </c>
      <c r="AB113" s="21">
        <v>8.2278481012658222E-2</v>
      </c>
    </row>
    <row r="114" spans="1:28" ht="27.6">
      <c r="A114" s="20" t="s">
        <v>375</v>
      </c>
      <c r="B114" s="20" t="s">
        <v>367</v>
      </c>
      <c r="C114" s="20" t="s">
        <v>376</v>
      </c>
      <c r="D114" s="20" t="s">
        <v>731</v>
      </c>
      <c r="E114" s="20" t="s">
        <v>731</v>
      </c>
      <c r="F114" s="20" t="s">
        <v>717</v>
      </c>
      <c r="G114" s="20" t="s">
        <v>736</v>
      </c>
      <c r="H114" s="20" t="s">
        <v>720</v>
      </c>
      <c r="I114" s="20" t="s">
        <v>601</v>
      </c>
      <c r="J114" s="21">
        <v>0.74453362856352057</v>
      </c>
      <c r="K114" s="20" t="s">
        <v>602</v>
      </c>
      <c r="L114" s="20" t="s">
        <v>610</v>
      </c>
      <c r="M114" s="22">
        <v>-0.41089999999999999</v>
      </c>
      <c r="N114" s="22">
        <v>8.48E-2</v>
      </c>
      <c r="O114" s="22">
        <v>-0.19400000000000001</v>
      </c>
      <c r="P114" s="22">
        <v>0.22989999999999999</v>
      </c>
      <c r="Q114" s="20" t="s">
        <v>721</v>
      </c>
      <c r="R114" s="21">
        <v>0.52032520325203246</v>
      </c>
      <c r="S114" s="20" t="s">
        <v>722</v>
      </c>
      <c r="T114" s="21">
        <v>0.18699186991869921</v>
      </c>
      <c r="U114" s="21">
        <v>0.47967479674796748</v>
      </c>
      <c r="V114" s="20" t="s">
        <v>131</v>
      </c>
      <c r="W114" s="20" t="s">
        <v>723</v>
      </c>
      <c r="X114" s="21">
        <v>0.52032520325203246</v>
      </c>
      <c r="Y114" s="21">
        <v>0.18699186991869921</v>
      </c>
      <c r="Z114" s="21">
        <v>0.13008130081300809</v>
      </c>
      <c r="AA114" s="21">
        <v>0.12195121951219511</v>
      </c>
      <c r="AB114" s="21">
        <v>4.0650406504065047E-2</v>
      </c>
    </row>
    <row r="115" spans="1:28" ht="27.6">
      <c r="A115" s="20" t="s">
        <v>377</v>
      </c>
      <c r="B115" s="20" t="s">
        <v>367</v>
      </c>
      <c r="C115" s="20" t="s">
        <v>378</v>
      </c>
      <c r="D115" s="20" t="s">
        <v>731</v>
      </c>
      <c r="E115" s="20" t="s">
        <v>731</v>
      </c>
      <c r="F115" s="20" t="s">
        <v>717</v>
      </c>
      <c r="G115" s="20" t="s">
        <v>736</v>
      </c>
      <c r="H115" s="20" t="s">
        <v>720</v>
      </c>
      <c r="I115" s="20" t="s">
        <v>601</v>
      </c>
      <c r="J115" s="21">
        <v>0.7526586211016848</v>
      </c>
      <c r="K115" s="20" t="s">
        <v>602</v>
      </c>
      <c r="L115" s="20" t="s">
        <v>603</v>
      </c>
      <c r="M115" s="22">
        <v>-0.41089999999999999</v>
      </c>
      <c r="N115" s="22">
        <v>0.45390000000000003</v>
      </c>
      <c r="O115" s="22">
        <v>3.5099999999999999E-2</v>
      </c>
      <c r="P115" s="22">
        <v>0.3</v>
      </c>
      <c r="Q115" s="20" t="s">
        <v>721</v>
      </c>
      <c r="R115" s="21">
        <v>0.51079136690647486</v>
      </c>
      <c r="S115" s="20" t="s">
        <v>722</v>
      </c>
      <c r="T115" s="21">
        <v>0.17985611510791369</v>
      </c>
      <c r="U115" s="21">
        <v>0.48920863309352508</v>
      </c>
      <c r="V115" s="20" t="s">
        <v>131</v>
      </c>
      <c r="W115" s="20" t="s">
        <v>723</v>
      </c>
      <c r="X115" s="21">
        <v>0.51079136690647486</v>
      </c>
      <c r="Y115" s="21">
        <v>0.17985611510791369</v>
      </c>
      <c r="Z115" s="21">
        <v>0.1366906474820144</v>
      </c>
      <c r="AA115" s="21">
        <v>0.1079136690647482</v>
      </c>
      <c r="AB115" s="21">
        <v>6.4748201438848921E-2</v>
      </c>
    </row>
    <row r="116" spans="1:28" ht="27.6">
      <c r="A116" s="20" t="s">
        <v>379</v>
      </c>
      <c r="B116" s="20" t="s">
        <v>367</v>
      </c>
      <c r="C116" s="20" t="s">
        <v>380</v>
      </c>
      <c r="D116" s="20" t="s">
        <v>731</v>
      </c>
      <c r="E116" s="20" t="s">
        <v>718</v>
      </c>
      <c r="F116" s="20" t="s">
        <v>717</v>
      </c>
      <c r="G116" s="20" t="s">
        <v>735</v>
      </c>
      <c r="H116" s="20" t="s">
        <v>726</v>
      </c>
      <c r="I116" s="20" t="s">
        <v>601</v>
      </c>
      <c r="J116" s="21">
        <v>0.74602774274905426</v>
      </c>
      <c r="K116" s="20" t="s">
        <v>602</v>
      </c>
      <c r="L116" s="20" t="s">
        <v>603</v>
      </c>
      <c r="M116" s="22">
        <v>-0.41089999999999999</v>
      </c>
      <c r="N116" s="22">
        <v>0.45390000000000003</v>
      </c>
      <c r="O116" s="22">
        <v>3.5099999999999999E-2</v>
      </c>
      <c r="P116" s="22">
        <v>0.3</v>
      </c>
      <c r="Q116" s="20" t="s">
        <v>721</v>
      </c>
      <c r="R116" s="21">
        <v>0.41772151898734172</v>
      </c>
      <c r="S116" s="20" t="s">
        <v>722</v>
      </c>
      <c r="T116" s="21">
        <v>0.27215189873417722</v>
      </c>
      <c r="U116" s="21">
        <v>0.58227848101265822</v>
      </c>
      <c r="V116" s="20" t="s">
        <v>60</v>
      </c>
      <c r="W116" s="20" t="s">
        <v>723</v>
      </c>
      <c r="X116" s="21">
        <v>0.41772151898734172</v>
      </c>
      <c r="Y116" s="21">
        <v>0.27215189873417722</v>
      </c>
      <c r="Z116" s="21">
        <v>0.1012658227848101</v>
      </c>
      <c r="AA116" s="21">
        <v>0.12658227848101269</v>
      </c>
      <c r="AB116" s="21">
        <v>8.2278481012658222E-2</v>
      </c>
    </row>
    <row r="117" spans="1:28" ht="27.6">
      <c r="A117" s="20" t="s">
        <v>381</v>
      </c>
      <c r="B117" s="20" t="s">
        <v>382</v>
      </c>
      <c r="C117" s="20" t="s">
        <v>382</v>
      </c>
      <c r="D117" s="20" t="s">
        <v>717</v>
      </c>
      <c r="E117" s="20" t="s">
        <v>718</v>
      </c>
      <c r="F117" s="20" t="s">
        <v>717</v>
      </c>
      <c r="G117" s="20" t="s">
        <v>719</v>
      </c>
      <c r="H117" s="20" t="s">
        <v>720</v>
      </c>
      <c r="I117" s="20" t="s">
        <v>601</v>
      </c>
      <c r="J117" s="21">
        <v>0.79555125725338494</v>
      </c>
      <c r="K117" s="20" t="s">
        <v>602</v>
      </c>
      <c r="L117" s="20" t="s">
        <v>603</v>
      </c>
      <c r="M117" s="22">
        <v>-0.41089999999999999</v>
      </c>
      <c r="N117" s="22">
        <v>0.45390000000000003</v>
      </c>
      <c r="O117" s="22">
        <v>3.5099999999999999E-2</v>
      </c>
      <c r="P117" s="22">
        <v>0.3</v>
      </c>
      <c r="Q117" s="20" t="s">
        <v>721</v>
      </c>
      <c r="R117" s="21">
        <v>0.45833333333333331</v>
      </c>
      <c r="S117" s="20" t="s">
        <v>722</v>
      </c>
      <c r="T117" s="21">
        <v>0.29861111111111122</v>
      </c>
      <c r="U117" s="21">
        <v>0.54166666666666674</v>
      </c>
      <c r="V117" s="20" t="s">
        <v>131</v>
      </c>
      <c r="W117" s="20" t="s">
        <v>723</v>
      </c>
      <c r="X117" s="21">
        <v>0.45833333333333331</v>
      </c>
      <c r="Y117" s="21">
        <v>0.29861111111111122</v>
      </c>
      <c r="Z117" s="21">
        <v>0.13194444444444439</v>
      </c>
      <c r="AA117" s="21">
        <v>4.8611111111111119E-2</v>
      </c>
      <c r="AB117" s="21">
        <v>6.25E-2</v>
      </c>
    </row>
    <row r="118" spans="1:28" ht="27.6">
      <c r="A118" s="20" t="s">
        <v>385</v>
      </c>
      <c r="B118" s="20" t="s">
        <v>382</v>
      </c>
      <c r="C118" s="20" t="s">
        <v>386</v>
      </c>
      <c r="D118" s="20" t="s">
        <v>717</v>
      </c>
      <c r="E118" s="20" t="s">
        <v>718</v>
      </c>
      <c r="F118" s="20" t="s">
        <v>717</v>
      </c>
      <c r="G118" s="20" t="s">
        <v>719</v>
      </c>
      <c r="H118" s="20" t="s">
        <v>720</v>
      </c>
      <c r="I118" s="20" t="s">
        <v>601</v>
      </c>
      <c r="J118" s="21">
        <v>0.75209030100334451</v>
      </c>
      <c r="K118" s="20" t="s">
        <v>602</v>
      </c>
      <c r="L118" s="20" t="s">
        <v>603</v>
      </c>
      <c r="M118" s="22">
        <v>-0.41089999999999999</v>
      </c>
      <c r="N118" s="22">
        <v>0.45390000000000003</v>
      </c>
      <c r="O118" s="22">
        <v>3.5099999999999999E-2</v>
      </c>
      <c r="P118" s="22">
        <v>0.3</v>
      </c>
      <c r="Q118" s="20" t="s">
        <v>721</v>
      </c>
      <c r="R118" s="21">
        <v>0.45833333333333331</v>
      </c>
      <c r="S118" s="20" t="s">
        <v>722</v>
      </c>
      <c r="T118" s="21">
        <v>0.29861111111111122</v>
      </c>
      <c r="U118" s="21">
        <v>0.54166666666666674</v>
      </c>
      <c r="V118" s="20" t="s">
        <v>131</v>
      </c>
      <c r="W118" s="20" t="s">
        <v>723</v>
      </c>
      <c r="X118" s="21">
        <v>0.45833333333333331</v>
      </c>
      <c r="Y118" s="21">
        <v>0.29861111111111122</v>
      </c>
      <c r="Z118" s="21">
        <v>0.13194444444444439</v>
      </c>
      <c r="AA118" s="21">
        <v>4.8611111111111119E-2</v>
      </c>
      <c r="AB118" s="21">
        <v>6.25E-2</v>
      </c>
    </row>
    <row r="119" spans="1:28" ht="27.6">
      <c r="A119" s="20" t="s">
        <v>387</v>
      </c>
      <c r="B119" s="20" t="s">
        <v>382</v>
      </c>
      <c r="C119" s="20" t="s">
        <v>388</v>
      </c>
      <c r="D119" s="20" t="s">
        <v>717</v>
      </c>
      <c r="E119" s="20" t="s">
        <v>718</v>
      </c>
      <c r="F119" s="20" t="s">
        <v>717</v>
      </c>
      <c r="G119" s="20" t="s">
        <v>719</v>
      </c>
      <c r="H119" s="20" t="s">
        <v>720</v>
      </c>
      <c r="I119" s="20" t="s">
        <v>601</v>
      </c>
      <c r="J119" s="21">
        <v>0.79634551495016614</v>
      </c>
      <c r="K119" s="20" t="s">
        <v>602</v>
      </c>
      <c r="L119" s="20" t="s">
        <v>603</v>
      </c>
      <c r="M119" s="22">
        <v>-0.41089999999999999</v>
      </c>
      <c r="N119" s="22">
        <v>0.45390000000000003</v>
      </c>
      <c r="O119" s="22">
        <v>3.5099999999999999E-2</v>
      </c>
      <c r="P119" s="22">
        <v>0.3</v>
      </c>
      <c r="Q119" s="20" t="s">
        <v>721</v>
      </c>
      <c r="R119" s="21">
        <v>0.45833333333333331</v>
      </c>
      <c r="S119" s="20" t="s">
        <v>722</v>
      </c>
      <c r="T119" s="21">
        <v>0.29861111111111122</v>
      </c>
      <c r="U119" s="21">
        <v>0.54166666666666674</v>
      </c>
      <c r="V119" s="20" t="s">
        <v>131</v>
      </c>
      <c r="W119" s="20" t="s">
        <v>723</v>
      </c>
      <c r="X119" s="21">
        <v>0.45833333333333331</v>
      </c>
      <c r="Y119" s="21">
        <v>0.29861111111111122</v>
      </c>
      <c r="Z119" s="21">
        <v>0.13194444444444439</v>
      </c>
      <c r="AA119" s="21">
        <v>4.8611111111111119E-2</v>
      </c>
      <c r="AB119" s="21">
        <v>6.25E-2</v>
      </c>
    </row>
    <row r="120" spans="1:28" ht="27.6">
      <c r="A120" s="20" t="s">
        <v>389</v>
      </c>
      <c r="B120" s="20" t="s">
        <v>382</v>
      </c>
      <c r="C120" s="20" t="s">
        <v>390</v>
      </c>
      <c r="D120" s="20" t="s">
        <v>717</v>
      </c>
      <c r="E120" s="20" t="s">
        <v>718</v>
      </c>
      <c r="F120" s="20" t="s">
        <v>717</v>
      </c>
      <c r="G120" s="20" t="s">
        <v>719</v>
      </c>
      <c r="H120" s="20" t="s">
        <v>720</v>
      </c>
      <c r="I120" s="20" t="s">
        <v>601</v>
      </c>
      <c r="J120" s="21">
        <v>0.69176993962503974</v>
      </c>
      <c r="K120" s="20" t="s">
        <v>602</v>
      </c>
      <c r="L120" s="20" t="s">
        <v>603</v>
      </c>
      <c r="M120" s="22">
        <v>-0.41089999999999999</v>
      </c>
      <c r="N120" s="22">
        <v>0.45390000000000003</v>
      </c>
      <c r="O120" s="22">
        <v>3.5099999999999999E-2</v>
      </c>
      <c r="P120" s="22">
        <v>0.3</v>
      </c>
      <c r="Q120" s="20" t="s">
        <v>721</v>
      </c>
      <c r="R120" s="21">
        <v>0.43478260869565211</v>
      </c>
      <c r="S120" s="20" t="s">
        <v>722</v>
      </c>
      <c r="T120" s="21">
        <v>0.31159420289855072</v>
      </c>
      <c r="U120" s="21">
        <v>0.56521739130434789</v>
      </c>
      <c r="V120" s="20" t="s">
        <v>60</v>
      </c>
      <c r="W120" s="20" t="s">
        <v>723</v>
      </c>
      <c r="X120" s="21">
        <v>0.43478260869565211</v>
      </c>
      <c r="Y120" s="21">
        <v>0.31159420289855072</v>
      </c>
      <c r="Z120" s="21">
        <v>0.13768115942028991</v>
      </c>
      <c r="AA120" s="21">
        <v>5.0724637681159417E-2</v>
      </c>
      <c r="AB120" s="21">
        <v>6.5217391304347824E-2</v>
      </c>
    </row>
    <row r="121" spans="1:28" ht="27.6">
      <c r="A121" s="20" t="s">
        <v>391</v>
      </c>
      <c r="B121" s="20" t="s">
        <v>382</v>
      </c>
      <c r="C121" s="20" t="s">
        <v>392</v>
      </c>
      <c r="D121" s="20" t="s">
        <v>717</v>
      </c>
      <c r="E121" s="20" t="s">
        <v>718</v>
      </c>
      <c r="F121" s="20" t="s">
        <v>717</v>
      </c>
      <c r="G121" s="20" t="s">
        <v>719</v>
      </c>
      <c r="H121" s="20" t="s">
        <v>720</v>
      </c>
      <c r="I121" s="20" t="s">
        <v>601</v>
      </c>
      <c r="J121" s="21">
        <v>0.77345152603231593</v>
      </c>
      <c r="K121" s="20" t="s">
        <v>602</v>
      </c>
      <c r="L121" s="20" t="s">
        <v>603</v>
      </c>
      <c r="M121" s="22">
        <v>-0.41089999999999999</v>
      </c>
      <c r="N121" s="22">
        <v>0.45390000000000003</v>
      </c>
      <c r="O121" s="22">
        <v>3.5099999999999999E-2</v>
      </c>
      <c r="P121" s="22">
        <v>0.3</v>
      </c>
      <c r="Q121" s="20" t="s">
        <v>721</v>
      </c>
      <c r="R121" s="21">
        <v>0.45833333333333331</v>
      </c>
      <c r="S121" s="20" t="s">
        <v>722</v>
      </c>
      <c r="T121" s="21">
        <v>0.29861111111111122</v>
      </c>
      <c r="U121" s="21">
        <v>0.54166666666666674</v>
      </c>
      <c r="V121" s="20" t="s">
        <v>131</v>
      </c>
      <c r="W121" s="20" t="s">
        <v>723</v>
      </c>
      <c r="X121" s="21">
        <v>0.45833333333333331</v>
      </c>
      <c r="Y121" s="21">
        <v>0.29861111111111122</v>
      </c>
      <c r="Z121" s="21">
        <v>0.13194444444444439</v>
      </c>
      <c r="AA121" s="21">
        <v>4.8611111111111119E-2</v>
      </c>
      <c r="AB121" s="21">
        <v>6.25E-2</v>
      </c>
    </row>
    <row r="122" spans="1:28" ht="27.6">
      <c r="A122" s="20" t="s">
        <v>393</v>
      </c>
      <c r="B122" s="20" t="s">
        <v>382</v>
      </c>
      <c r="C122" s="20" t="s">
        <v>394</v>
      </c>
      <c r="D122" s="20" t="s">
        <v>717</v>
      </c>
      <c r="E122" s="20" t="s">
        <v>718</v>
      </c>
      <c r="F122" s="20" t="s">
        <v>724</v>
      </c>
      <c r="G122" s="20" t="s">
        <v>725</v>
      </c>
      <c r="H122" s="20" t="s">
        <v>726</v>
      </c>
      <c r="I122" s="20" t="s">
        <v>601</v>
      </c>
      <c r="J122" s="21">
        <v>0.6631779257849667</v>
      </c>
      <c r="K122" s="20" t="s">
        <v>602</v>
      </c>
      <c r="L122" s="20" t="s">
        <v>603</v>
      </c>
      <c r="M122" s="22">
        <v>-0.41089999999999999</v>
      </c>
      <c r="N122" s="22">
        <v>0.45390000000000003</v>
      </c>
      <c r="O122" s="22">
        <v>3.5099999999999999E-2</v>
      </c>
      <c r="P122" s="22">
        <v>0.3</v>
      </c>
      <c r="Q122" s="20" t="s">
        <v>727</v>
      </c>
      <c r="R122" s="21">
        <v>0.3125</v>
      </c>
      <c r="S122" s="20" t="s">
        <v>721</v>
      </c>
      <c r="T122" s="21">
        <v>0.27777777777777768</v>
      </c>
      <c r="U122" s="21">
        <v>0.6875</v>
      </c>
      <c r="V122" s="20" t="s">
        <v>60</v>
      </c>
      <c r="W122" s="20" t="s">
        <v>728</v>
      </c>
      <c r="X122" s="21">
        <v>0.27777777777777768</v>
      </c>
      <c r="Y122" s="21">
        <v>0.21527777777777779</v>
      </c>
      <c r="Z122" s="21">
        <v>0.3125</v>
      </c>
      <c r="AA122" s="21">
        <v>0.1041666666666667</v>
      </c>
      <c r="AB122" s="21">
        <v>9.0277777777777776E-2</v>
      </c>
    </row>
    <row r="123" spans="1:28" ht="27.6">
      <c r="A123" s="20" t="s">
        <v>395</v>
      </c>
      <c r="B123" s="20" t="s">
        <v>382</v>
      </c>
      <c r="C123" s="20" t="s">
        <v>396</v>
      </c>
      <c r="D123" s="20" t="s">
        <v>717</v>
      </c>
      <c r="E123" s="20" t="s">
        <v>731</v>
      </c>
      <c r="F123" s="20" t="s">
        <v>717</v>
      </c>
      <c r="G123" s="20" t="s">
        <v>732</v>
      </c>
      <c r="H123" s="20" t="s">
        <v>720</v>
      </c>
      <c r="I123" s="20" t="s">
        <v>601</v>
      </c>
      <c r="J123" s="21">
        <v>0.75133057362507394</v>
      </c>
      <c r="K123" s="20" t="s">
        <v>602</v>
      </c>
      <c r="L123" s="20" t="s">
        <v>603</v>
      </c>
      <c r="M123" s="22">
        <v>-0.41089999999999999</v>
      </c>
      <c r="N123" s="22">
        <v>0.45390000000000003</v>
      </c>
      <c r="O123" s="22">
        <v>3.5099999999999999E-2</v>
      </c>
      <c r="P123" s="22">
        <v>0.3</v>
      </c>
      <c r="Q123" s="20" t="s">
        <v>721</v>
      </c>
      <c r="R123" s="21">
        <v>0.51079136690647486</v>
      </c>
      <c r="S123" s="20" t="s">
        <v>722</v>
      </c>
      <c r="T123" s="21">
        <v>0.17985611510791369</v>
      </c>
      <c r="U123" s="21">
        <v>0.48920863309352508</v>
      </c>
      <c r="V123" s="20" t="s">
        <v>131</v>
      </c>
      <c r="W123" s="20" t="s">
        <v>723</v>
      </c>
      <c r="X123" s="21">
        <v>0.51079136690647486</v>
      </c>
      <c r="Y123" s="21">
        <v>0.17985611510791369</v>
      </c>
      <c r="Z123" s="21">
        <v>0.1366906474820144</v>
      </c>
      <c r="AA123" s="21">
        <v>0.1079136690647482</v>
      </c>
      <c r="AB123" s="21">
        <v>6.4748201438848921E-2</v>
      </c>
    </row>
    <row r="124" spans="1:28" ht="27.6">
      <c r="A124" s="20" t="s">
        <v>397</v>
      </c>
      <c r="B124" s="20" t="s">
        <v>382</v>
      </c>
      <c r="C124" s="20" t="s">
        <v>398</v>
      </c>
      <c r="D124" s="20" t="s">
        <v>717</v>
      </c>
      <c r="E124" s="20" t="s">
        <v>718</v>
      </c>
      <c r="F124" s="20" t="s">
        <v>718</v>
      </c>
      <c r="G124" s="20" t="s">
        <v>745</v>
      </c>
      <c r="H124" s="20" t="s">
        <v>720</v>
      </c>
      <c r="I124" s="20" t="s">
        <v>601</v>
      </c>
      <c r="J124" s="21">
        <v>0.68550368550368546</v>
      </c>
      <c r="K124" s="20" t="s">
        <v>602</v>
      </c>
      <c r="L124" s="20" t="s">
        <v>603</v>
      </c>
      <c r="M124" s="22">
        <v>-0.41089999999999999</v>
      </c>
      <c r="N124" s="22">
        <v>0.45390000000000003</v>
      </c>
      <c r="O124" s="22">
        <v>3.5099999999999999E-2</v>
      </c>
      <c r="P124" s="22">
        <v>0.3</v>
      </c>
      <c r="Q124" s="20" t="s">
        <v>722</v>
      </c>
      <c r="R124" s="21">
        <v>0.39200000000000002</v>
      </c>
      <c r="S124" s="20" t="s">
        <v>721</v>
      </c>
      <c r="T124" s="21">
        <v>0.248</v>
      </c>
      <c r="U124" s="21">
        <v>0.60799999999999998</v>
      </c>
      <c r="V124" s="20" t="s">
        <v>60</v>
      </c>
      <c r="W124" s="20" t="s">
        <v>740</v>
      </c>
      <c r="X124" s="21">
        <v>0.248</v>
      </c>
      <c r="Y124" s="21">
        <v>0.39200000000000002</v>
      </c>
      <c r="Z124" s="21">
        <v>0.152</v>
      </c>
      <c r="AA124" s="21">
        <v>9.6000000000000002E-2</v>
      </c>
      <c r="AB124" s="21">
        <v>0.112</v>
      </c>
    </row>
    <row r="125" spans="1:28" ht="27.6">
      <c r="A125" s="20" t="s">
        <v>399</v>
      </c>
      <c r="B125" s="20" t="s">
        <v>382</v>
      </c>
      <c r="C125" s="20" t="s">
        <v>400</v>
      </c>
      <c r="D125" s="20" t="s">
        <v>717</v>
      </c>
      <c r="E125" s="20" t="s">
        <v>718</v>
      </c>
      <c r="F125" s="20" t="s">
        <v>717</v>
      </c>
      <c r="G125" s="20" t="s">
        <v>719</v>
      </c>
      <c r="H125" s="20" t="s">
        <v>720</v>
      </c>
      <c r="I125" s="20" t="s">
        <v>601</v>
      </c>
      <c r="J125" s="21">
        <v>0.7954177897574124</v>
      </c>
      <c r="K125" s="20" t="s">
        <v>602</v>
      </c>
      <c r="L125" s="20" t="s">
        <v>603</v>
      </c>
      <c r="M125" s="22">
        <v>-0.41089999999999999</v>
      </c>
      <c r="N125" s="22">
        <v>0.45390000000000003</v>
      </c>
      <c r="O125" s="22">
        <v>3.5099999999999999E-2</v>
      </c>
      <c r="P125" s="22">
        <v>0.3</v>
      </c>
      <c r="Q125" s="20" t="s">
        <v>721</v>
      </c>
      <c r="R125" s="21">
        <v>0.45833333333333331</v>
      </c>
      <c r="S125" s="20" t="s">
        <v>722</v>
      </c>
      <c r="T125" s="21">
        <v>0.29861111111111122</v>
      </c>
      <c r="U125" s="21">
        <v>0.54166666666666674</v>
      </c>
      <c r="V125" s="20" t="s">
        <v>131</v>
      </c>
      <c r="W125" s="20" t="s">
        <v>723</v>
      </c>
      <c r="X125" s="21">
        <v>0.45833333333333331</v>
      </c>
      <c r="Y125" s="21">
        <v>0.29861111111111122</v>
      </c>
      <c r="Z125" s="21">
        <v>0.13194444444444439</v>
      </c>
      <c r="AA125" s="21">
        <v>4.8611111111111119E-2</v>
      </c>
      <c r="AB125" s="21">
        <v>6.25E-2</v>
      </c>
    </row>
    <row r="126" spans="1:28" ht="27.6">
      <c r="A126" s="20" t="s">
        <v>401</v>
      </c>
      <c r="B126" s="20" t="s">
        <v>382</v>
      </c>
      <c r="C126" s="20" t="s">
        <v>402</v>
      </c>
      <c r="D126" s="20" t="s">
        <v>717</v>
      </c>
      <c r="E126" s="20" t="s">
        <v>718</v>
      </c>
      <c r="F126" s="20" t="s">
        <v>718</v>
      </c>
      <c r="G126" s="20" t="s">
        <v>745</v>
      </c>
      <c r="H126" s="20" t="s">
        <v>720</v>
      </c>
      <c r="I126" s="20" t="s">
        <v>601</v>
      </c>
      <c r="J126" s="21">
        <v>0.73630831643002026</v>
      </c>
      <c r="K126" s="20" t="s">
        <v>602</v>
      </c>
      <c r="L126" s="20" t="s">
        <v>603</v>
      </c>
      <c r="M126" s="22">
        <v>-0.41089999999999999</v>
      </c>
      <c r="N126" s="22">
        <v>0.45390000000000003</v>
      </c>
      <c r="O126" s="22">
        <v>3.5099999999999999E-2</v>
      </c>
      <c r="P126" s="22">
        <v>0.3</v>
      </c>
      <c r="Q126" s="20" t="s">
        <v>722</v>
      </c>
      <c r="R126" s="21">
        <v>0.37404580152671751</v>
      </c>
      <c r="S126" s="20" t="s">
        <v>721</v>
      </c>
      <c r="T126" s="21">
        <v>0.28244274809160302</v>
      </c>
      <c r="U126" s="21">
        <v>0.62595419847328249</v>
      </c>
      <c r="V126" s="20" t="s">
        <v>60</v>
      </c>
      <c r="W126" s="20" t="s">
        <v>740</v>
      </c>
      <c r="X126" s="21">
        <v>0.28244274809160302</v>
      </c>
      <c r="Y126" s="21">
        <v>0.37404580152671751</v>
      </c>
      <c r="Z126" s="21">
        <v>0.14503816793893129</v>
      </c>
      <c r="AA126" s="21">
        <v>9.160305343511449E-2</v>
      </c>
      <c r="AB126" s="21">
        <v>0.1068702290076336</v>
      </c>
    </row>
    <row r="127" spans="1:28" ht="27.6">
      <c r="A127" s="20" t="s">
        <v>496</v>
      </c>
      <c r="B127" s="20" t="s">
        <v>96</v>
      </c>
      <c r="C127" s="20" t="s">
        <v>497</v>
      </c>
      <c r="D127" s="20"/>
      <c r="E127" s="20" t="s">
        <v>717</v>
      </c>
      <c r="F127" s="20" t="s">
        <v>717</v>
      </c>
      <c r="G127" s="20" t="s">
        <v>753</v>
      </c>
      <c r="H127" s="20" t="s">
        <v>730</v>
      </c>
      <c r="I127" s="20" t="s">
        <v>601</v>
      </c>
      <c r="J127" s="21">
        <v>0.824585635359116</v>
      </c>
      <c r="K127" s="20" t="s">
        <v>602</v>
      </c>
      <c r="L127" s="20" t="s">
        <v>603</v>
      </c>
      <c r="M127" s="22">
        <v>-0.41089999999999999</v>
      </c>
      <c r="N127" s="22">
        <v>0.45390000000000003</v>
      </c>
      <c r="O127" s="22">
        <v>3.5099999999999999E-2</v>
      </c>
      <c r="P127" s="22">
        <v>0.3</v>
      </c>
      <c r="Q127" s="20" t="s">
        <v>721</v>
      </c>
      <c r="R127" s="21">
        <v>0.59285714285714286</v>
      </c>
      <c r="S127" s="20" t="s">
        <v>722</v>
      </c>
      <c r="T127" s="21">
        <v>0.17857142857142849</v>
      </c>
      <c r="U127" s="21">
        <v>0.40714285714285708</v>
      </c>
      <c r="V127" s="20" t="s">
        <v>131</v>
      </c>
      <c r="W127" s="20" t="s">
        <v>723</v>
      </c>
      <c r="X127" s="21">
        <v>0.59285714285714286</v>
      </c>
      <c r="Y127" s="21">
        <v>0.17857142857142849</v>
      </c>
      <c r="Z127" s="21">
        <v>0.1142857142857143</v>
      </c>
      <c r="AA127" s="21">
        <v>0.05</v>
      </c>
      <c r="AB127" s="21">
        <v>6.4285714285714279E-2</v>
      </c>
    </row>
    <row r="128" spans="1:28" ht="27.6">
      <c r="A128" s="20" t="s">
        <v>503</v>
      </c>
      <c r="B128" s="20" t="s">
        <v>128</v>
      </c>
      <c r="C128" s="20" t="s">
        <v>504</v>
      </c>
      <c r="D128" s="20"/>
      <c r="E128" s="20" t="s">
        <v>724</v>
      </c>
      <c r="F128" s="20" t="s">
        <v>724</v>
      </c>
      <c r="G128" s="20" t="s">
        <v>754</v>
      </c>
      <c r="H128" s="20" t="s">
        <v>730</v>
      </c>
      <c r="I128" s="20" t="s">
        <v>601</v>
      </c>
      <c r="J128" s="21">
        <v>0.61306532663316582</v>
      </c>
      <c r="K128" s="20" t="s">
        <v>602</v>
      </c>
      <c r="L128" s="20" t="s">
        <v>603</v>
      </c>
      <c r="M128" s="22">
        <v>-0.41089999999999999</v>
      </c>
      <c r="N128" s="22">
        <v>0.45390000000000003</v>
      </c>
      <c r="O128" s="22">
        <v>3.5099999999999999E-2</v>
      </c>
      <c r="P128" s="22">
        <v>0.3</v>
      </c>
      <c r="Q128" s="20" t="s">
        <v>727</v>
      </c>
      <c r="R128" s="21">
        <v>0.41007194244604322</v>
      </c>
      <c r="S128" s="20" t="s">
        <v>721</v>
      </c>
      <c r="T128" s="21">
        <v>0.2877697841726618</v>
      </c>
      <c r="U128" s="21">
        <v>0.58992805755395683</v>
      </c>
      <c r="V128" s="20" t="s">
        <v>60</v>
      </c>
      <c r="W128" s="20" t="s">
        <v>728</v>
      </c>
      <c r="X128" s="21">
        <v>0.2877697841726618</v>
      </c>
      <c r="Y128" s="21">
        <v>0.16546762589928049</v>
      </c>
      <c r="Z128" s="21">
        <v>0.41007194244604322</v>
      </c>
      <c r="AA128" s="21">
        <v>7.1942446043165464E-2</v>
      </c>
      <c r="AB128" s="21">
        <v>6.4748201438848907E-2</v>
      </c>
    </row>
    <row r="129" spans="1:28" ht="27.6">
      <c r="A129" s="20" t="s">
        <v>507</v>
      </c>
      <c r="B129" s="20" t="s">
        <v>150</v>
      </c>
      <c r="C129" s="20" t="s">
        <v>508</v>
      </c>
      <c r="D129" s="20"/>
      <c r="E129" s="20" t="s">
        <v>724</v>
      </c>
      <c r="F129" s="20" t="s">
        <v>724</v>
      </c>
      <c r="G129" s="20" t="s">
        <v>754</v>
      </c>
      <c r="H129" s="20" t="s">
        <v>730</v>
      </c>
      <c r="I129" s="20" t="s">
        <v>601</v>
      </c>
      <c r="J129" s="21">
        <v>0.70217917675544794</v>
      </c>
      <c r="K129" s="20" t="s">
        <v>602</v>
      </c>
      <c r="L129" s="20" t="s">
        <v>603</v>
      </c>
      <c r="M129" s="22">
        <v>-0.41089999999999999</v>
      </c>
      <c r="N129" s="22">
        <v>0.45390000000000003</v>
      </c>
      <c r="O129" s="22">
        <v>3.5099999999999999E-2</v>
      </c>
      <c r="P129" s="22">
        <v>0.3</v>
      </c>
      <c r="Q129" s="20" t="s">
        <v>727</v>
      </c>
      <c r="R129" s="21">
        <v>0.39310344827586208</v>
      </c>
      <c r="S129" s="20" t="s">
        <v>721</v>
      </c>
      <c r="T129" s="21">
        <v>0.3172413793103448</v>
      </c>
      <c r="U129" s="21">
        <v>0.60689655172413792</v>
      </c>
      <c r="V129" s="20" t="s">
        <v>60</v>
      </c>
      <c r="W129" s="20" t="s">
        <v>728</v>
      </c>
      <c r="X129" s="21">
        <v>0.3172413793103448</v>
      </c>
      <c r="Y129" s="21">
        <v>0.1586206896551724</v>
      </c>
      <c r="Z129" s="21">
        <v>0.39310344827586208</v>
      </c>
      <c r="AA129" s="21">
        <v>6.8965517241379309E-2</v>
      </c>
      <c r="AB129" s="21">
        <v>6.2068965517241372E-2</v>
      </c>
    </row>
    <row r="130" spans="1:28" ht="27.6">
      <c r="A130" s="20" t="s">
        <v>511</v>
      </c>
      <c r="B130" s="20" t="s">
        <v>150</v>
      </c>
      <c r="C130" s="20" t="s">
        <v>512</v>
      </c>
      <c r="D130" s="20"/>
      <c r="E130" s="20" t="s">
        <v>718</v>
      </c>
      <c r="F130" s="20" t="s">
        <v>724</v>
      </c>
      <c r="G130" s="20" t="s">
        <v>755</v>
      </c>
      <c r="H130" s="20" t="s">
        <v>726</v>
      </c>
      <c r="I130" s="20" t="s">
        <v>601</v>
      </c>
      <c r="J130" s="21">
        <v>0.6826506024096386</v>
      </c>
      <c r="K130" s="20" t="s">
        <v>602</v>
      </c>
      <c r="L130" s="20" t="s">
        <v>603</v>
      </c>
      <c r="M130" s="22">
        <v>-0.41089999999999999</v>
      </c>
      <c r="N130" s="22">
        <v>0.45390000000000003</v>
      </c>
      <c r="O130" s="22">
        <v>3.5099999999999999E-2</v>
      </c>
      <c r="P130" s="22">
        <v>0.3</v>
      </c>
      <c r="Q130" s="20" t="s">
        <v>727</v>
      </c>
      <c r="R130" s="21">
        <v>0.3125</v>
      </c>
      <c r="S130" s="20" t="s">
        <v>721</v>
      </c>
      <c r="T130" s="21">
        <v>0.27777777777777768</v>
      </c>
      <c r="U130" s="21">
        <v>0.6875</v>
      </c>
      <c r="V130" s="20" t="s">
        <v>60</v>
      </c>
      <c r="W130" s="20" t="s">
        <v>728</v>
      </c>
      <c r="X130" s="21">
        <v>0.27777777777777768</v>
      </c>
      <c r="Y130" s="21">
        <v>0.21527777777777779</v>
      </c>
      <c r="Z130" s="21">
        <v>0.3125</v>
      </c>
      <c r="AA130" s="21">
        <v>0.1041666666666667</v>
      </c>
      <c r="AB130" s="21">
        <v>9.0277777777777776E-2</v>
      </c>
    </row>
    <row r="131" spans="1:28" ht="27.6">
      <c r="A131" s="20" t="s">
        <v>519</v>
      </c>
      <c r="B131" s="20" t="s">
        <v>188</v>
      </c>
      <c r="C131" s="20" t="s">
        <v>520</v>
      </c>
      <c r="D131" s="20"/>
      <c r="E131" s="20" t="s">
        <v>717</v>
      </c>
      <c r="F131" s="20" t="s">
        <v>717</v>
      </c>
      <c r="G131" s="20" t="s">
        <v>753</v>
      </c>
      <c r="H131" s="20" t="s">
        <v>730</v>
      </c>
      <c r="I131" s="20" t="s">
        <v>601</v>
      </c>
      <c r="J131" s="21">
        <v>0.95420660276890312</v>
      </c>
      <c r="K131" s="20" t="s">
        <v>602</v>
      </c>
      <c r="L131" s="20" t="s">
        <v>603</v>
      </c>
      <c r="M131" s="22">
        <v>-0.41089999999999999</v>
      </c>
      <c r="N131" s="22">
        <v>0.45390000000000003</v>
      </c>
      <c r="O131" s="22">
        <v>3.5099999999999999E-2</v>
      </c>
      <c r="P131" s="22">
        <v>0.3</v>
      </c>
      <c r="Q131" s="20" t="s">
        <v>721</v>
      </c>
      <c r="R131" s="21">
        <v>0.59285714285714286</v>
      </c>
      <c r="S131" s="20" t="s">
        <v>722</v>
      </c>
      <c r="T131" s="21">
        <v>0.17857142857142849</v>
      </c>
      <c r="U131" s="21">
        <v>0.40714285714285708</v>
      </c>
      <c r="V131" s="20" t="s">
        <v>131</v>
      </c>
      <c r="W131" s="20" t="s">
        <v>723</v>
      </c>
      <c r="X131" s="21">
        <v>0.59285714285714286</v>
      </c>
      <c r="Y131" s="21">
        <v>0.17857142857142849</v>
      </c>
      <c r="Z131" s="21">
        <v>0.1142857142857143</v>
      </c>
      <c r="AA131" s="21">
        <v>0.05</v>
      </c>
      <c r="AB131" s="21">
        <v>6.4285714285714279E-2</v>
      </c>
    </row>
    <row r="132" spans="1:28" ht="27.6">
      <c r="A132" s="20" t="s">
        <v>521</v>
      </c>
      <c r="B132" s="20" t="s">
        <v>191</v>
      </c>
      <c r="C132" s="20" t="s">
        <v>522</v>
      </c>
      <c r="D132" s="20"/>
      <c r="E132" s="20" t="s">
        <v>724</v>
      </c>
      <c r="F132" s="20" t="s">
        <v>717</v>
      </c>
      <c r="G132" s="20" t="s">
        <v>756</v>
      </c>
      <c r="H132" s="20" t="s">
        <v>726</v>
      </c>
      <c r="I132" s="20" t="s">
        <v>601</v>
      </c>
      <c r="J132" s="21">
        <v>0.72704243191893603</v>
      </c>
      <c r="K132" s="20" t="s">
        <v>602</v>
      </c>
      <c r="L132" s="20" t="s">
        <v>603</v>
      </c>
      <c r="M132" s="22">
        <v>-0.41089999999999999</v>
      </c>
      <c r="N132" s="22">
        <v>0.45390000000000003</v>
      </c>
      <c r="O132" s="22">
        <v>3.5099999999999999E-2</v>
      </c>
      <c r="P132" s="22">
        <v>0.3</v>
      </c>
      <c r="Q132" s="20" t="s">
        <v>721</v>
      </c>
      <c r="R132" s="21">
        <v>0.47333333333333327</v>
      </c>
      <c r="S132" s="20" t="s">
        <v>722</v>
      </c>
      <c r="T132" s="21">
        <v>0.22000000000000011</v>
      </c>
      <c r="U132" s="21">
        <v>0.52666666666666662</v>
      </c>
      <c r="V132" s="20" t="s">
        <v>131</v>
      </c>
      <c r="W132" s="20" t="s">
        <v>723</v>
      </c>
      <c r="X132" s="21">
        <v>0.47333333333333327</v>
      </c>
      <c r="Y132" s="21">
        <v>0.22000000000000011</v>
      </c>
      <c r="Z132" s="21">
        <v>0.14000000000000001</v>
      </c>
      <c r="AA132" s="21">
        <v>0.08</v>
      </c>
      <c r="AB132" s="21">
        <v>8.666666666666667E-2</v>
      </c>
    </row>
    <row r="133" spans="1:28" ht="27.6">
      <c r="A133" s="20" t="s">
        <v>524</v>
      </c>
      <c r="B133" s="20" t="s">
        <v>191</v>
      </c>
      <c r="C133" s="20" t="s">
        <v>525</v>
      </c>
      <c r="D133" s="20"/>
      <c r="E133" s="20" t="s">
        <v>731</v>
      </c>
      <c r="F133" s="20" t="s">
        <v>717</v>
      </c>
      <c r="G133" s="20" t="s">
        <v>757</v>
      </c>
      <c r="H133" s="20" t="s">
        <v>726</v>
      </c>
      <c r="I133" s="20" t="s">
        <v>601</v>
      </c>
      <c r="J133" s="21">
        <v>0.72863485016648166</v>
      </c>
      <c r="K133" s="20" t="s">
        <v>602</v>
      </c>
      <c r="L133" s="20" t="s">
        <v>603</v>
      </c>
      <c r="M133" s="22">
        <v>-0.41089999999999999</v>
      </c>
      <c r="N133" s="22">
        <v>0.45390000000000003</v>
      </c>
      <c r="O133" s="22">
        <v>3.5099999999999999E-2</v>
      </c>
      <c r="P133" s="22">
        <v>0.3</v>
      </c>
      <c r="Q133" s="20" t="s">
        <v>721</v>
      </c>
      <c r="R133" s="21">
        <v>0.46405228758169931</v>
      </c>
      <c r="S133" s="20" t="s">
        <v>722</v>
      </c>
      <c r="T133" s="21">
        <v>0.21568627450980399</v>
      </c>
      <c r="U133" s="21">
        <v>0.53594771241830075</v>
      </c>
      <c r="V133" s="20" t="s">
        <v>131</v>
      </c>
      <c r="W133" s="20" t="s">
        <v>723</v>
      </c>
      <c r="X133" s="21">
        <v>0.46405228758169931</v>
      </c>
      <c r="Y133" s="21">
        <v>0.21568627450980399</v>
      </c>
      <c r="Z133" s="21">
        <v>0.1045751633986928</v>
      </c>
      <c r="AA133" s="21">
        <v>0.13071895424836599</v>
      </c>
      <c r="AB133" s="21">
        <v>8.4967320261437912E-2</v>
      </c>
    </row>
    <row r="134" spans="1:28" ht="27.6">
      <c r="A134" s="20" t="s">
        <v>526</v>
      </c>
      <c r="B134" s="20" t="s">
        <v>206</v>
      </c>
      <c r="C134" s="20" t="s">
        <v>527</v>
      </c>
      <c r="D134" s="20"/>
      <c r="E134" s="20" t="s">
        <v>717</v>
      </c>
      <c r="F134" s="20" t="s">
        <v>717</v>
      </c>
      <c r="G134" s="20" t="s">
        <v>753</v>
      </c>
      <c r="H134" s="20" t="s">
        <v>730</v>
      </c>
      <c r="I134" s="20" t="s">
        <v>601</v>
      </c>
      <c r="J134" s="21">
        <v>0.86946050096339111</v>
      </c>
      <c r="K134" s="20" t="s">
        <v>602</v>
      </c>
      <c r="L134" s="20" t="s">
        <v>603</v>
      </c>
      <c r="M134" s="22">
        <v>-0.41089999999999999</v>
      </c>
      <c r="N134" s="22">
        <v>0.45390000000000003</v>
      </c>
      <c r="O134" s="22">
        <v>3.5099999999999999E-2</v>
      </c>
      <c r="P134" s="22">
        <v>0.3</v>
      </c>
      <c r="Q134" s="20" t="s">
        <v>721</v>
      </c>
      <c r="R134" s="21">
        <v>0.59285714285714286</v>
      </c>
      <c r="S134" s="20" t="s">
        <v>722</v>
      </c>
      <c r="T134" s="21">
        <v>0.17857142857142849</v>
      </c>
      <c r="U134" s="21">
        <v>0.40714285714285708</v>
      </c>
      <c r="V134" s="20" t="s">
        <v>131</v>
      </c>
      <c r="W134" s="20" t="s">
        <v>723</v>
      </c>
      <c r="X134" s="21">
        <v>0.59285714285714286</v>
      </c>
      <c r="Y134" s="21">
        <v>0.17857142857142849</v>
      </c>
      <c r="Z134" s="21">
        <v>0.1142857142857143</v>
      </c>
      <c r="AA134" s="21">
        <v>0.05</v>
      </c>
      <c r="AB134" s="21">
        <v>6.4285714285714279E-2</v>
      </c>
    </row>
    <row r="135" spans="1:28" ht="27.6">
      <c r="A135" s="20" t="s">
        <v>530</v>
      </c>
      <c r="B135" s="20" t="s">
        <v>206</v>
      </c>
      <c r="C135" s="20" t="s">
        <v>531</v>
      </c>
      <c r="D135" s="20"/>
      <c r="E135" s="20" t="s">
        <v>717</v>
      </c>
      <c r="F135" s="20" t="s">
        <v>717</v>
      </c>
      <c r="G135" s="20" t="s">
        <v>753</v>
      </c>
      <c r="H135" s="20" t="s">
        <v>730</v>
      </c>
      <c r="I135" s="20" t="s">
        <v>601</v>
      </c>
      <c r="J135" s="21">
        <v>0.95100025322866544</v>
      </c>
      <c r="K135" s="20" t="s">
        <v>602</v>
      </c>
      <c r="L135" s="20" t="s">
        <v>603</v>
      </c>
      <c r="M135" s="22">
        <v>-0.41089999999999999</v>
      </c>
      <c r="N135" s="22">
        <v>0.45390000000000003</v>
      </c>
      <c r="O135" s="22">
        <v>3.5099999999999999E-2</v>
      </c>
      <c r="P135" s="22">
        <v>0.3</v>
      </c>
      <c r="Q135" s="20" t="s">
        <v>721</v>
      </c>
      <c r="R135" s="21">
        <v>0.59285714285714286</v>
      </c>
      <c r="S135" s="20" t="s">
        <v>722</v>
      </c>
      <c r="T135" s="21">
        <v>0.17857142857142849</v>
      </c>
      <c r="U135" s="21">
        <v>0.40714285714285708</v>
      </c>
      <c r="V135" s="20" t="s">
        <v>131</v>
      </c>
      <c r="W135" s="20" t="s">
        <v>723</v>
      </c>
      <c r="X135" s="21">
        <v>0.59285714285714286</v>
      </c>
      <c r="Y135" s="21">
        <v>0.17857142857142849</v>
      </c>
      <c r="Z135" s="21">
        <v>0.1142857142857143</v>
      </c>
      <c r="AA135" s="21">
        <v>0.05</v>
      </c>
      <c r="AB135" s="21">
        <v>6.4285714285714279E-2</v>
      </c>
    </row>
    <row r="136" spans="1:28" ht="27.6">
      <c r="A136" s="20" t="s">
        <v>534</v>
      </c>
      <c r="B136" s="20" t="s">
        <v>258</v>
      </c>
      <c r="C136" s="20" t="s">
        <v>535</v>
      </c>
      <c r="D136" s="20"/>
      <c r="E136" s="20" t="s">
        <v>718</v>
      </c>
      <c r="F136" s="20" t="s">
        <v>724</v>
      </c>
      <c r="G136" s="20" t="s">
        <v>755</v>
      </c>
      <c r="H136" s="20" t="s">
        <v>726</v>
      </c>
      <c r="I136" s="20" t="s">
        <v>601</v>
      </c>
      <c r="J136" s="21">
        <v>0.45264317180616742</v>
      </c>
      <c r="K136" s="20" t="s">
        <v>602</v>
      </c>
      <c r="L136" s="20" t="s">
        <v>603</v>
      </c>
      <c r="M136" s="22">
        <v>-0.41089999999999999</v>
      </c>
      <c r="N136" s="22">
        <v>0.45390000000000003</v>
      </c>
      <c r="O136" s="22">
        <v>3.5099999999999999E-2</v>
      </c>
      <c r="P136" s="22">
        <v>0.3</v>
      </c>
      <c r="Q136" s="20" t="s">
        <v>727</v>
      </c>
      <c r="R136" s="21">
        <v>0.2960526315789474</v>
      </c>
      <c r="S136" s="20" t="s">
        <v>721</v>
      </c>
      <c r="T136" s="21">
        <v>0.26315789473684209</v>
      </c>
      <c r="U136" s="21">
        <v>0.70394736842105265</v>
      </c>
      <c r="V136" s="20" t="s">
        <v>60</v>
      </c>
      <c r="W136" s="20" t="s">
        <v>728</v>
      </c>
      <c r="X136" s="21">
        <v>0.26315789473684209</v>
      </c>
      <c r="Y136" s="21">
        <v>0.23684210526315791</v>
      </c>
      <c r="Z136" s="21">
        <v>0.2960526315789474</v>
      </c>
      <c r="AA136" s="21">
        <v>9.8684210526315805E-2</v>
      </c>
      <c r="AB136" s="21">
        <v>0.10526315789473679</v>
      </c>
    </row>
    <row r="137" spans="1:28" ht="27.6">
      <c r="A137" s="20" t="s">
        <v>537</v>
      </c>
      <c r="B137" s="20" t="s">
        <v>277</v>
      </c>
      <c r="C137" s="20" t="s">
        <v>538</v>
      </c>
      <c r="D137" s="20"/>
      <c r="E137" s="20" t="s">
        <v>718</v>
      </c>
      <c r="F137" s="20" t="s">
        <v>717</v>
      </c>
      <c r="G137" s="20" t="s">
        <v>758</v>
      </c>
      <c r="H137" s="20" t="s">
        <v>726</v>
      </c>
      <c r="I137" s="20" t="s">
        <v>601</v>
      </c>
      <c r="J137" s="21">
        <v>0.83710106382978722</v>
      </c>
      <c r="K137" s="20" t="s">
        <v>602</v>
      </c>
      <c r="L137" s="20" t="s">
        <v>603</v>
      </c>
      <c r="M137" s="22">
        <v>-0.41089999999999999</v>
      </c>
      <c r="N137" s="22">
        <v>0.45390000000000003</v>
      </c>
      <c r="O137" s="22">
        <v>3.5099999999999999E-2</v>
      </c>
      <c r="P137" s="22">
        <v>0.3</v>
      </c>
      <c r="Q137" s="20" t="s">
        <v>721</v>
      </c>
      <c r="R137" s="21">
        <v>0.43999999999999989</v>
      </c>
      <c r="S137" s="20" t="s">
        <v>722</v>
      </c>
      <c r="T137" s="21">
        <v>0.28666666666666668</v>
      </c>
      <c r="U137" s="21">
        <v>0.56000000000000005</v>
      </c>
      <c r="V137" s="20" t="s">
        <v>60</v>
      </c>
      <c r="W137" s="20" t="s">
        <v>723</v>
      </c>
      <c r="X137" s="21">
        <v>0.43999999999999989</v>
      </c>
      <c r="Y137" s="21">
        <v>0.28666666666666668</v>
      </c>
      <c r="Z137" s="21">
        <v>0.1066666666666667</v>
      </c>
      <c r="AA137" s="21">
        <v>0.08</v>
      </c>
      <c r="AB137" s="21">
        <v>8.666666666666667E-2</v>
      </c>
    </row>
    <row r="138" spans="1:28" ht="27.6">
      <c r="A138" s="20" t="s">
        <v>539</v>
      </c>
      <c r="B138" s="20" t="s">
        <v>277</v>
      </c>
      <c r="C138" s="20" t="s">
        <v>540</v>
      </c>
      <c r="D138" s="20"/>
      <c r="E138" s="20" t="s">
        <v>731</v>
      </c>
      <c r="F138" s="20" t="s">
        <v>717</v>
      </c>
      <c r="G138" s="20" t="s">
        <v>757</v>
      </c>
      <c r="H138" s="20" t="s">
        <v>726</v>
      </c>
      <c r="I138" s="20" t="s">
        <v>601</v>
      </c>
      <c r="J138" s="21">
        <v>0.79230038022813687</v>
      </c>
      <c r="K138" s="20" t="s">
        <v>602</v>
      </c>
      <c r="L138" s="20" t="s">
        <v>603</v>
      </c>
      <c r="M138" s="22">
        <v>-0.41089999999999999</v>
      </c>
      <c r="N138" s="22">
        <v>0.45390000000000003</v>
      </c>
      <c r="O138" s="22">
        <v>3.5099999999999999E-2</v>
      </c>
      <c r="P138" s="22">
        <v>0.3</v>
      </c>
      <c r="Q138" s="20" t="s">
        <v>721</v>
      </c>
      <c r="R138" s="21">
        <v>0.46405228758169931</v>
      </c>
      <c r="S138" s="20" t="s">
        <v>722</v>
      </c>
      <c r="T138" s="21">
        <v>0.21568627450980399</v>
      </c>
      <c r="U138" s="21">
        <v>0.53594771241830075</v>
      </c>
      <c r="V138" s="20" t="s">
        <v>131</v>
      </c>
      <c r="W138" s="20" t="s">
        <v>723</v>
      </c>
      <c r="X138" s="21">
        <v>0.46405228758169931</v>
      </c>
      <c r="Y138" s="21">
        <v>0.21568627450980399</v>
      </c>
      <c r="Z138" s="21">
        <v>0.1045751633986928</v>
      </c>
      <c r="AA138" s="21">
        <v>0.13071895424836599</v>
      </c>
      <c r="AB138" s="21">
        <v>8.4967320261437912E-2</v>
      </c>
    </row>
    <row r="139" spans="1:28" ht="27.6">
      <c r="A139" s="20" t="s">
        <v>543</v>
      </c>
      <c r="B139" s="20" t="s">
        <v>295</v>
      </c>
      <c r="C139" s="20" t="s">
        <v>544</v>
      </c>
      <c r="D139" s="20"/>
      <c r="E139" s="20" t="s">
        <v>743</v>
      </c>
      <c r="F139" s="20" t="s">
        <v>718</v>
      </c>
      <c r="G139" s="20" t="s">
        <v>759</v>
      </c>
      <c r="H139" s="20" t="s">
        <v>726</v>
      </c>
      <c r="I139" s="20" t="s">
        <v>601</v>
      </c>
      <c r="J139" s="21">
        <v>0.62199312714776633</v>
      </c>
      <c r="K139" s="20" t="s">
        <v>602</v>
      </c>
      <c r="L139" s="20" t="s">
        <v>603</v>
      </c>
      <c r="M139" s="22">
        <v>-0.41089999999999999</v>
      </c>
      <c r="N139" s="22">
        <v>0.45390000000000003</v>
      </c>
      <c r="O139" s="22">
        <v>3.5099999999999999E-2</v>
      </c>
      <c r="P139" s="22">
        <v>0.3</v>
      </c>
      <c r="Q139" s="20" t="s">
        <v>722</v>
      </c>
      <c r="R139" s="21">
        <v>0.38775510204081642</v>
      </c>
      <c r="S139" s="20" t="s">
        <v>721</v>
      </c>
      <c r="T139" s="21">
        <v>0.21088435374149661</v>
      </c>
      <c r="U139" s="21">
        <v>0.61224489795918369</v>
      </c>
      <c r="V139" s="20" t="s">
        <v>60</v>
      </c>
      <c r="W139" s="20" t="s">
        <v>740</v>
      </c>
      <c r="X139" s="21">
        <v>0.21088435374149661</v>
      </c>
      <c r="Y139" s="21">
        <v>0.38775510204081642</v>
      </c>
      <c r="Z139" s="21">
        <v>0.108843537414966</v>
      </c>
      <c r="AA139" s="21">
        <v>0.11564625850340141</v>
      </c>
      <c r="AB139" s="21">
        <v>0.1768707482993197</v>
      </c>
    </row>
    <row r="140" spans="1:28" ht="27.6">
      <c r="A140" s="20" t="s">
        <v>545</v>
      </c>
      <c r="B140" s="20" t="s">
        <v>312</v>
      </c>
      <c r="C140" s="20" t="s">
        <v>546</v>
      </c>
      <c r="D140" s="20"/>
      <c r="E140" s="20" t="s">
        <v>718</v>
      </c>
      <c r="F140" s="20" t="s">
        <v>718</v>
      </c>
      <c r="G140" s="20" t="s">
        <v>760</v>
      </c>
      <c r="H140" s="20" t="s">
        <v>730</v>
      </c>
      <c r="I140" s="20" t="s">
        <v>601</v>
      </c>
      <c r="J140" s="21">
        <v>0.59198542805100185</v>
      </c>
      <c r="K140" s="20" t="s">
        <v>602</v>
      </c>
      <c r="L140" s="20" t="s">
        <v>603</v>
      </c>
      <c r="M140" s="22">
        <v>-0.41089999999999999</v>
      </c>
      <c r="N140" s="22">
        <v>0.45390000000000003</v>
      </c>
      <c r="O140" s="22">
        <v>3.5099999999999999E-2</v>
      </c>
      <c r="P140" s="22">
        <v>0.3</v>
      </c>
      <c r="Q140" s="20" t="s">
        <v>722</v>
      </c>
      <c r="R140" s="21">
        <v>0.45522388059701502</v>
      </c>
      <c r="S140" s="20" t="s">
        <v>721</v>
      </c>
      <c r="T140" s="21">
        <v>0.2313432835820895</v>
      </c>
      <c r="U140" s="21">
        <v>0.54477611940298498</v>
      </c>
      <c r="V140" s="20" t="s">
        <v>131</v>
      </c>
      <c r="W140" s="20" t="s">
        <v>740</v>
      </c>
      <c r="X140" s="21">
        <v>0.2313432835820895</v>
      </c>
      <c r="Y140" s="21">
        <v>0.45522388059701502</v>
      </c>
      <c r="Z140" s="21">
        <v>0.11940298507462691</v>
      </c>
      <c r="AA140" s="21">
        <v>8.9552238805970144E-2</v>
      </c>
      <c r="AB140" s="21">
        <v>0.1044776119402985</v>
      </c>
    </row>
    <row r="141" spans="1:28">
      <c r="A141" s="20" t="s">
        <v>548</v>
      </c>
      <c r="B141" s="20" t="s">
        <v>312</v>
      </c>
      <c r="C141" s="20" t="s">
        <v>549</v>
      </c>
      <c r="D141" s="20"/>
      <c r="E141" s="20" t="s">
        <v>717</v>
      </c>
      <c r="F141" s="20" t="s">
        <v>717</v>
      </c>
      <c r="G141" s="20" t="s">
        <v>753</v>
      </c>
      <c r="H141" s="20" t="s">
        <v>730</v>
      </c>
      <c r="I141" s="20" t="s">
        <v>601</v>
      </c>
      <c r="J141" s="21">
        <v>0.68431771894093685</v>
      </c>
      <c r="K141" s="20" t="s">
        <v>613</v>
      </c>
      <c r="L141" s="20" t="s">
        <v>609</v>
      </c>
      <c r="M141" s="22">
        <v>-0.30580000000000002</v>
      </c>
      <c r="N141" s="22">
        <v>-0.1671</v>
      </c>
      <c r="O141" s="22">
        <v>0.4844</v>
      </c>
      <c r="P141" s="22">
        <v>0.31909999999999999</v>
      </c>
      <c r="Q141" s="20" t="s">
        <v>721</v>
      </c>
      <c r="R141" s="21">
        <v>0.58870967741935487</v>
      </c>
      <c r="S141" s="20" t="s">
        <v>722</v>
      </c>
      <c r="T141" s="21">
        <v>0.18548387096774191</v>
      </c>
      <c r="U141" s="21">
        <v>0.41129032258064507</v>
      </c>
      <c r="V141" s="20" t="s">
        <v>131</v>
      </c>
      <c r="W141" s="20" t="s">
        <v>723</v>
      </c>
      <c r="X141" s="21">
        <v>0.58870967741935487</v>
      </c>
      <c r="Y141" s="21">
        <v>0.18548387096774191</v>
      </c>
      <c r="Z141" s="21">
        <v>0.1290322580645161</v>
      </c>
      <c r="AA141" s="21">
        <v>5.6451612903225812E-2</v>
      </c>
      <c r="AB141" s="21">
        <v>4.0322580645161303E-2</v>
      </c>
    </row>
    <row r="142" spans="1:28">
      <c r="A142" s="20" t="s">
        <v>552</v>
      </c>
      <c r="B142" s="20" t="s">
        <v>312</v>
      </c>
      <c r="C142" s="20" t="s">
        <v>553</v>
      </c>
      <c r="D142" s="20"/>
      <c r="E142" s="20" t="s">
        <v>731</v>
      </c>
      <c r="F142" s="20" t="s">
        <v>718</v>
      </c>
      <c r="G142" s="20" t="s">
        <v>761</v>
      </c>
      <c r="H142" s="20" t="s">
        <v>726</v>
      </c>
      <c r="I142" s="20" t="s">
        <v>601</v>
      </c>
      <c r="J142" s="21">
        <v>0.56052428681572863</v>
      </c>
      <c r="K142" s="20" t="s">
        <v>602</v>
      </c>
      <c r="L142" s="20" t="s">
        <v>609</v>
      </c>
      <c r="M142" s="22">
        <v>-0.41089999999999999</v>
      </c>
      <c r="N142" s="22">
        <v>-0.1671</v>
      </c>
      <c r="O142" s="22">
        <v>-0.2089</v>
      </c>
      <c r="P142" s="22">
        <v>0.26229999999999998</v>
      </c>
      <c r="Q142" s="20" t="s">
        <v>722</v>
      </c>
      <c r="R142" s="21">
        <v>0.41984732824427479</v>
      </c>
      <c r="S142" s="20" t="s">
        <v>762</v>
      </c>
      <c r="T142" s="21">
        <v>0.19083969465648851</v>
      </c>
      <c r="U142" s="21">
        <v>0.58015267175572516</v>
      </c>
      <c r="V142" s="20" t="s">
        <v>60</v>
      </c>
      <c r="W142" s="20" t="s">
        <v>740</v>
      </c>
      <c r="X142" s="21">
        <v>0.18320610687022901</v>
      </c>
      <c r="Y142" s="21">
        <v>0.41984732824427479</v>
      </c>
      <c r="Z142" s="21">
        <v>9.9236641221374045E-2</v>
      </c>
      <c r="AA142" s="21">
        <v>0.19083969465648851</v>
      </c>
      <c r="AB142" s="21">
        <v>0.1068702290076336</v>
      </c>
    </row>
    <row r="143" spans="1:28" ht="27.6">
      <c r="A143" s="20" t="s">
        <v>554</v>
      </c>
      <c r="B143" s="20" t="s">
        <v>325</v>
      </c>
      <c r="C143" s="20" t="s">
        <v>555</v>
      </c>
      <c r="D143" s="20"/>
      <c r="E143" s="20" t="s">
        <v>718</v>
      </c>
      <c r="F143" s="20" t="s">
        <v>724</v>
      </c>
      <c r="G143" s="20" t="s">
        <v>755</v>
      </c>
      <c r="H143" s="20" t="s">
        <v>726</v>
      </c>
      <c r="I143" s="20" t="s">
        <v>601</v>
      </c>
      <c r="J143" s="21">
        <v>0.65342521280907984</v>
      </c>
      <c r="K143" s="20" t="s">
        <v>602</v>
      </c>
      <c r="L143" s="20" t="s">
        <v>603</v>
      </c>
      <c r="M143" s="22">
        <v>-0.41089999999999999</v>
      </c>
      <c r="N143" s="22">
        <v>0.45390000000000003</v>
      </c>
      <c r="O143" s="22">
        <v>3.5099999999999999E-2</v>
      </c>
      <c r="P143" s="22">
        <v>0.3</v>
      </c>
      <c r="Q143" s="20" t="s">
        <v>727</v>
      </c>
      <c r="R143" s="21">
        <v>0.3125</v>
      </c>
      <c r="S143" s="20" t="s">
        <v>721</v>
      </c>
      <c r="T143" s="21">
        <v>0.27777777777777768</v>
      </c>
      <c r="U143" s="21">
        <v>0.6875</v>
      </c>
      <c r="V143" s="20" t="s">
        <v>60</v>
      </c>
      <c r="W143" s="20" t="s">
        <v>728</v>
      </c>
      <c r="X143" s="21">
        <v>0.27777777777777768</v>
      </c>
      <c r="Y143" s="21">
        <v>0.21527777777777779</v>
      </c>
      <c r="Z143" s="21">
        <v>0.3125</v>
      </c>
      <c r="AA143" s="21">
        <v>0.1041666666666667</v>
      </c>
      <c r="AB143" s="21">
        <v>9.0277777777777776E-2</v>
      </c>
    </row>
    <row r="144" spans="1:28">
      <c r="A144" s="20" t="s">
        <v>556</v>
      </c>
      <c r="B144" s="20" t="s">
        <v>325</v>
      </c>
      <c r="C144" s="20" t="s">
        <v>557</v>
      </c>
      <c r="D144" s="20"/>
      <c r="E144" s="20" t="s">
        <v>718</v>
      </c>
      <c r="F144" s="20" t="s">
        <v>717</v>
      </c>
      <c r="G144" s="20" t="s">
        <v>758</v>
      </c>
      <c r="H144" s="20" t="s">
        <v>726</v>
      </c>
      <c r="I144" s="20" t="s">
        <v>601</v>
      </c>
      <c r="J144" s="21">
        <v>0.7</v>
      </c>
      <c r="K144" s="20" t="s">
        <v>602</v>
      </c>
      <c r="L144" s="20" t="s">
        <v>610</v>
      </c>
      <c r="M144" s="22">
        <v>-0.41089999999999999</v>
      </c>
      <c r="N144" s="22">
        <v>8.48E-2</v>
      </c>
      <c r="O144" s="22">
        <v>-0.19400000000000001</v>
      </c>
      <c r="P144" s="22">
        <v>0.22989999999999999</v>
      </c>
      <c r="Q144" s="20" t="s">
        <v>721</v>
      </c>
      <c r="R144" s="21">
        <v>0.44029850746268651</v>
      </c>
      <c r="S144" s="20" t="s">
        <v>722</v>
      </c>
      <c r="T144" s="21">
        <v>0.30597014925373139</v>
      </c>
      <c r="U144" s="21">
        <v>0.55970149253731349</v>
      </c>
      <c r="V144" s="20" t="s">
        <v>60</v>
      </c>
      <c r="W144" s="20" t="s">
        <v>723</v>
      </c>
      <c r="X144" s="21">
        <v>0.44029850746268651</v>
      </c>
      <c r="Y144" s="21">
        <v>0.30597014925373139</v>
      </c>
      <c r="Z144" s="21">
        <v>9.7014925373134345E-2</v>
      </c>
      <c r="AA144" s="21">
        <v>8.9552238805970172E-2</v>
      </c>
      <c r="AB144" s="21">
        <v>6.7164179104477612E-2</v>
      </c>
    </row>
    <row r="145" spans="1:28" ht="27.6">
      <c r="A145" s="20" t="s">
        <v>619</v>
      </c>
      <c r="B145" s="20" t="s">
        <v>55</v>
      </c>
      <c r="C145" s="20" t="s">
        <v>620</v>
      </c>
      <c r="D145" s="20"/>
      <c r="E145" s="20"/>
      <c r="F145" s="20" t="s">
        <v>724</v>
      </c>
      <c r="G145" s="20" t="s">
        <v>763</v>
      </c>
      <c r="H145" s="20" t="s">
        <v>764</v>
      </c>
      <c r="I145" s="20" t="s">
        <v>601</v>
      </c>
      <c r="J145" s="21">
        <v>0.62776659959758552</v>
      </c>
      <c r="K145" s="20" t="s">
        <v>602</v>
      </c>
      <c r="L145" s="20" t="s">
        <v>603</v>
      </c>
      <c r="M145" s="22">
        <v>-0.41089999999999999</v>
      </c>
      <c r="N145" s="22">
        <v>0.45390000000000003</v>
      </c>
      <c r="O145" s="22">
        <v>3.5099999999999999E-2</v>
      </c>
      <c r="P145" s="22">
        <v>0.3</v>
      </c>
      <c r="Q145" s="20" t="s">
        <v>727</v>
      </c>
      <c r="R145" s="21">
        <v>0.35433070866141742</v>
      </c>
      <c r="S145" s="20" t="s">
        <v>721</v>
      </c>
      <c r="T145" s="21">
        <v>0.31496062992125978</v>
      </c>
      <c r="U145" s="21">
        <v>0.64566929133858264</v>
      </c>
      <c r="V145" s="20" t="s">
        <v>60</v>
      </c>
      <c r="W145" s="20" t="s">
        <v>728</v>
      </c>
      <c r="X145" s="21">
        <v>0.31496062992125978</v>
      </c>
      <c r="Y145" s="21">
        <v>0.18110236220472439</v>
      </c>
      <c r="Z145" s="21">
        <v>0.35433070866141742</v>
      </c>
      <c r="AA145" s="21">
        <v>7.874015748031496E-2</v>
      </c>
      <c r="AB145" s="21">
        <v>7.0866141732283464E-2</v>
      </c>
    </row>
    <row r="146" spans="1:28" ht="27.6">
      <c r="A146" s="20" t="s">
        <v>626</v>
      </c>
      <c r="B146" s="20" t="s">
        <v>382</v>
      </c>
      <c r="C146" s="20" t="s">
        <v>627</v>
      </c>
      <c r="D146" s="20"/>
      <c r="E146" s="20"/>
      <c r="F146" s="20" t="s">
        <v>717</v>
      </c>
      <c r="G146" s="20" t="s">
        <v>765</v>
      </c>
      <c r="H146" s="20" t="s">
        <v>764</v>
      </c>
      <c r="I146" s="20" t="s">
        <v>601</v>
      </c>
      <c r="J146" s="21">
        <v>0.69430051813471505</v>
      </c>
      <c r="K146" s="20" t="s">
        <v>602</v>
      </c>
      <c r="L146" s="20" t="s">
        <v>603</v>
      </c>
      <c r="M146" s="22">
        <v>-0.41089999999999999</v>
      </c>
      <c r="N146" s="22">
        <v>0.45390000000000003</v>
      </c>
      <c r="O146" s="22">
        <v>3.5099999999999999E-2</v>
      </c>
      <c r="P146" s="22">
        <v>0.3</v>
      </c>
      <c r="Q146" s="20" t="s">
        <v>721</v>
      </c>
      <c r="R146" s="21">
        <v>0.53278688524590168</v>
      </c>
      <c r="S146" s="20" t="s">
        <v>722</v>
      </c>
      <c r="T146" s="21">
        <v>0.20491803278688531</v>
      </c>
      <c r="U146" s="21">
        <v>0.46721311475409832</v>
      </c>
      <c r="V146" s="20" t="s">
        <v>131</v>
      </c>
      <c r="W146" s="20" t="s">
        <v>723</v>
      </c>
      <c r="X146" s="21">
        <v>0.53278688524590168</v>
      </c>
      <c r="Y146" s="21">
        <v>0.20491803278688531</v>
      </c>
      <c r="Z146" s="21">
        <v>0.13114754098360659</v>
      </c>
      <c r="AA146" s="21">
        <v>5.7377049180327877E-2</v>
      </c>
      <c r="AB146" s="21">
        <v>7.3770491803278687E-2</v>
      </c>
    </row>
    <row r="147" spans="1:28">
      <c r="A147" s="20" t="s">
        <v>628</v>
      </c>
      <c r="B147" s="20" t="s">
        <v>382</v>
      </c>
      <c r="C147" s="20" t="s">
        <v>629</v>
      </c>
      <c r="D147" s="20"/>
      <c r="E147" s="20"/>
      <c r="F147" s="20" t="s">
        <v>717</v>
      </c>
      <c r="G147" s="20" t="s">
        <v>765</v>
      </c>
      <c r="H147" s="20" t="s">
        <v>764</v>
      </c>
      <c r="I147" s="20" t="s">
        <v>601</v>
      </c>
      <c r="J147" s="21">
        <v>0.76254180602006694</v>
      </c>
      <c r="K147" s="20" t="s">
        <v>602</v>
      </c>
      <c r="L147" s="20" t="s">
        <v>610</v>
      </c>
      <c r="M147" s="22">
        <v>-0.41089999999999999</v>
      </c>
      <c r="N147" s="22">
        <v>8.48E-2</v>
      </c>
      <c r="O147" s="22">
        <v>-0.19400000000000001</v>
      </c>
      <c r="P147" s="22">
        <v>0.22989999999999999</v>
      </c>
      <c r="Q147" s="20" t="s">
        <v>721</v>
      </c>
      <c r="R147" s="21">
        <v>0.5714285714285714</v>
      </c>
      <c r="S147" s="20" t="s">
        <v>722</v>
      </c>
      <c r="T147" s="21">
        <v>0.2053571428571429</v>
      </c>
      <c r="U147" s="21">
        <v>0.4285714285714286</v>
      </c>
      <c r="V147" s="20" t="s">
        <v>131</v>
      </c>
      <c r="W147" s="20" t="s">
        <v>723</v>
      </c>
      <c r="X147" s="21">
        <v>0.5714285714285714</v>
      </c>
      <c r="Y147" s="21">
        <v>0.2053571428571429</v>
      </c>
      <c r="Z147" s="21">
        <v>0.1160714285714286</v>
      </c>
      <c r="AA147" s="21">
        <v>6.2500000000000014E-2</v>
      </c>
      <c r="AB147" s="21">
        <v>4.4642857142857151E-2</v>
      </c>
    </row>
    <row r="148" spans="1:28" ht="27.6">
      <c r="A148" s="20" t="s">
        <v>630</v>
      </c>
      <c r="B148" s="20" t="s">
        <v>128</v>
      </c>
      <c r="C148" s="20" t="s">
        <v>631</v>
      </c>
      <c r="D148" s="20"/>
      <c r="E148" s="20"/>
      <c r="F148" s="20" t="s">
        <v>717</v>
      </c>
      <c r="G148" s="20" t="s">
        <v>765</v>
      </c>
      <c r="H148" s="20" t="s">
        <v>764</v>
      </c>
      <c r="I148" s="20" t="s">
        <v>601</v>
      </c>
      <c r="J148" s="21">
        <v>0.70090090090090085</v>
      </c>
      <c r="K148" s="20" t="s">
        <v>602</v>
      </c>
      <c r="L148" s="20" t="s">
        <v>603</v>
      </c>
      <c r="M148" s="22">
        <v>-0.41089999999999999</v>
      </c>
      <c r="N148" s="22">
        <v>0.45390000000000003</v>
      </c>
      <c r="O148" s="22">
        <v>3.5099999999999999E-2</v>
      </c>
      <c r="P148" s="22">
        <v>0.3</v>
      </c>
      <c r="Q148" s="20" t="s">
        <v>721</v>
      </c>
      <c r="R148" s="21">
        <v>0.5546875</v>
      </c>
      <c r="S148" s="20" t="s">
        <v>722</v>
      </c>
      <c r="T148" s="21">
        <v>0.1953125</v>
      </c>
      <c r="U148" s="21">
        <v>0.4453125</v>
      </c>
      <c r="V148" s="20" t="s">
        <v>131</v>
      </c>
      <c r="W148" s="20" t="s">
        <v>723</v>
      </c>
      <c r="X148" s="21">
        <v>0.5546875</v>
      </c>
      <c r="Y148" s="21">
        <v>0.1953125</v>
      </c>
      <c r="Z148" s="21">
        <v>0.125</v>
      </c>
      <c r="AA148" s="21">
        <v>5.4687500000000007E-2</v>
      </c>
      <c r="AB148" s="21">
        <v>7.03125E-2</v>
      </c>
    </row>
    <row r="149" spans="1:28" ht="27.6">
      <c r="A149" s="20" t="s">
        <v>633</v>
      </c>
      <c r="B149" s="20" t="s">
        <v>128</v>
      </c>
      <c r="C149" s="20" t="s">
        <v>634</v>
      </c>
      <c r="D149" s="20"/>
      <c r="E149" s="20"/>
      <c r="F149" s="20" t="s">
        <v>717</v>
      </c>
      <c r="G149" s="20" t="s">
        <v>765</v>
      </c>
      <c r="H149" s="20" t="s">
        <v>764</v>
      </c>
      <c r="I149" s="20" t="s">
        <v>601</v>
      </c>
      <c r="J149" s="21">
        <v>0.71239470517448855</v>
      </c>
      <c r="K149" s="20" t="s">
        <v>602</v>
      </c>
      <c r="L149" s="20" t="s">
        <v>603</v>
      </c>
      <c r="M149" s="22">
        <v>-0.41089999999999999</v>
      </c>
      <c r="N149" s="22">
        <v>0.45390000000000003</v>
      </c>
      <c r="O149" s="22">
        <v>3.5099999999999999E-2</v>
      </c>
      <c r="P149" s="22">
        <v>0.3</v>
      </c>
      <c r="Q149" s="20" t="s">
        <v>721</v>
      </c>
      <c r="R149" s="21">
        <v>0.5546875</v>
      </c>
      <c r="S149" s="20" t="s">
        <v>722</v>
      </c>
      <c r="T149" s="21">
        <v>0.1953125</v>
      </c>
      <c r="U149" s="21">
        <v>0.4453125</v>
      </c>
      <c r="V149" s="20" t="s">
        <v>131</v>
      </c>
      <c r="W149" s="20" t="s">
        <v>723</v>
      </c>
      <c r="X149" s="21">
        <v>0.5546875</v>
      </c>
      <c r="Y149" s="21">
        <v>0.1953125</v>
      </c>
      <c r="Z149" s="21">
        <v>0.125</v>
      </c>
      <c r="AA149" s="21">
        <v>5.4687500000000007E-2</v>
      </c>
      <c r="AB149" s="21">
        <v>7.03125E-2</v>
      </c>
    </row>
    <row r="150" spans="1:28" ht="27.6">
      <c r="A150" s="20" t="s">
        <v>635</v>
      </c>
      <c r="B150" s="20" t="s">
        <v>128</v>
      </c>
      <c r="C150" s="20" t="s">
        <v>636</v>
      </c>
      <c r="D150" s="20"/>
      <c r="E150" s="20"/>
      <c r="F150" s="20" t="s">
        <v>717</v>
      </c>
      <c r="G150" s="20" t="s">
        <v>765</v>
      </c>
      <c r="H150" s="20" t="s">
        <v>764</v>
      </c>
      <c r="I150" s="20" t="s">
        <v>601</v>
      </c>
      <c r="J150" s="21">
        <v>0.74622030237580994</v>
      </c>
      <c r="K150" s="20" t="s">
        <v>602</v>
      </c>
      <c r="L150" s="20" t="s">
        <v>603</v>
      </c>
      <c r="M150" s="22">
        <v>-0.41089999999999999</v>
      </c>
      <c r="N150" s="22">
        <v>0.45390000000000003</v>
      </c>
      <c r="O150" s="22">
        <v>3.5099999999999999E-2</v>
      </c>
      <c r="P150" s="22">
        <v>0.3</v>
      </c>
      <c r="Q150" s="20" t="s">
        <v>721</v>
      </c>
      <c r="R150" s="21">
        <v>0.5546875</v>
      </c>
      <c r="S150" s="20" t="s">
        <v>722</v>
      </c>
      <c r="T150" s="21">
        <v>0.1953125</v>
      </c>
      <c r="U150" s="21">
        <v>0.4453125</v>
      </c>
      <c r="V150" s="20" t="s">
        <v>131</v>
      </c>
      <c r="W150" s="20" t="s">
        <v>723</v>
      </c>
      <c r="X150" s="21">
        <v>0.5546875</v>
      </c>
      <c r="Y150" s="21">
        <v>0.1953125</v>
      </c>
      <c r="Z150" s="21">
        <v>0.125</v>
      </c>
      <c r="AA150" s="21">
        <v>5.4687500000000007E-2</v>
      </c>
      <c r="AB150" s="21">
        <v>7.03125E-2</v>
      </c>
    </row>
    <row r="151" spans="1:28" ht="27.6">
      <c r="A151" s="20" t="s">
        <v>642</v>
      </c>
      <c r="B151" s="20" t="s">
        <v>236</v>
      </c>
      <c r="C151" s="20" t="s">
        <v>643</v>
      </c>
      <c r="D151" s="20"/>
      <c r="E151" s="20"/>
      <c r="F151" s="20" t="s">
        <v>717</v>
      </c>
      <c r="G151" s="20" t="s">
        <v>765</v>
      </c>
      <c r="H151" s="20" t="s">
        <v>764</v>
      </c>
      <c r="I151" s="20" t="s">
        <v>601</v>
      </c>
      <c r="J151" s="21">
        <v>0.75663716814159288</v>
      </c>
      <c r="K151" s="20" t="s">
        <v>602</v>
      </c>
      <c r="L151" s="20" t="s">
        <v>603</v>
      </c>
      <c r="M151" s="22">
        <v>-0.41089999999999999</v>
      </c>
      <c r="N151" s="22">
        <v>0.45390000000000003</v>
      </c>
      <c r="O151" s="22">
        <v>3.5099999999999999E-2</v>
      </c>
      <c r="P151" s="22">
        <v>0.3</v>
      </c>
      <c r="Q151" s="20" t="s">
        <v>721</v>
      </c>
      <c r="R151" s="21">
        <v>0.5546875</v>
      </c>
      <c r="S151" s="20" t="s">
        <v>722</v>
      </c>
      <c r="T151" s="21">
        <v>0.1953125</v>
      </c>
      <c r="U151" s="21">
        <v>0.4453125</v>
      </c>
      <c r="V151" s="20" t="s">
        <v>131</v>
      </c>
      <c r="W151" s="20" t="s">
        <v>723</v>
      </c>
      <c r="X151" s="21">
        <v>0.5546875</v>
      </c>
      <c r="Y151" s="21">
        <v>0.1953125</v>
      </c>
      <c r="Z151" s="21">
        <v>0.125</v>
      </c>
      <c r="AA151" s="21">
        <v>5.4687500000000007E-2</v>
      </c>
      <c r="AB151" s="21">
        <v>7.03125E-2</v>
      </c>
    </row>
    <row r="152" spans="1:28">
      <c r="A152" s="20" t="s">
        <v>649</v>
      </c>
      <c r="B152" s="20" t="s">
        <v>172</v>
      </c>
      <c r="C152" s="20" t="s">
        <v>650</v>
      </c>
      <c r="D152" s="20"/>
      <c r="E152" s="20"/>
      <c r="F152" s="20" t="s">
        <v>717</v>
      </c>
      <c r="G152" s="20" t="s">
        <v>765</v>
      </c>
      <c r="H152" s="20" t="s">
        <v>764</v>
      </c>
      <c r="I152" s="20" t="s">
        <v>601</v>
      </c>
      <c r="J152" s="21">
        <v>0.8637640449438202</v>
      </c>
      <c r="K152" s="20" t="s">
        <v>602</v>
      </c>
      <c r="L152" s="20" t="s">
        <v>610</v>
      </c>
      <c r="M152" s="22">
        <v>-0.41089999999999999</v>
      </c>
      <c r="N152" s="22">
        <v>8.48E-2</v>
      </c>
      <c r="O152" s="22">
        <v>-0.19400000000000001</v>
      </c>
      <c r="P152" s="22">
        <v>0.22989999999999999</v>
      </c>
      <c r="Q152" s="20" t="s">
        <v>721</v>
      </c>
      <c r="R152" s="21">
        <v>0.5714285714285714</v>
      </c>
      <c r="S152" s="20" t="s">
        <v>722</v>
      </c>
      <c r="T152" s="21">
        <v>0.2053571428571429</v>
      </c>
      <c r="U152" s="21">
        <v>0.4285714285714286</v>
      </c>
      <c r="V152" s="20" t="s">
        <v>131</v>
      </c>
      <c r="W152" s="20" t="s">
        <v>723</v>
      </c>
      <c r="X152" s="21">
        <v>0.5714285714285714</v>
      </c>
      <c r="Y152" s="21">
        <v>0.2053571428571429</v>
      </c>
      <c r="Z152" s="21">
        <v>0.1160714285714286</v>
      </c>
      <c r="AA152" s="21">
        <v>6.2500000000000014E-2</v>
      </c>
      <c r="AB152" s="21">
        <v>4.4642857142857151E-2</v>
      </c>
    </row>
    <row r="153" spans="1:28" ht="27.6">
      <c r="A153" s="20" t="s">
        <v>651</v>
      </c>
      <c r="B153" s="20" t="s">
        <v>150</v>
      </c>
      <c r="C153" s="20" t="s">
        <v>652</v>
      </c>
      <c r="D153" s="20"/>
      <c r="E153" s="20"/>
      <c r="F153" s="20" t="s">
        <v>717</v>
      </c>
      <c r="G153" s="20" t="s">
        <v>765</v>
      </c>
      <c r="H153" s="20" t="s">
        <v>764</v>
      </c>
      <c r="I153" s="20" t="s">
        <v>601</v>
      </c>
      <c r="J153" s="21">
        <v>0.77419354838709675</v>
      </c>
      <c r="K153" s="20" t="s">
        <v>602</v>
      </c>
      <c r="L153" s="20" t="s">
        <v>603</v>
      </c>
      <c r="M153" s="22">
        <v>-0.41089999999999999</v>
      </c>
      <c r="N153" s="22">
        <v>0.45390000000000003</v>
      </c>
      <c r="O153" s="22">
        <v>3.5099999999999999E-2</v>
      </c>
      <c r="P153" s="22">
        <v>0.3</v>
      </c>
      <c r="Q153" s="20" t="s">
        <v>721</v>
      </c>
      <c r="R153" s="21">
        <v>0.5546875</v>
      </c>
      <c r="S153" s="20" t="s">
        <v>722</v>
      </c>
      <c r="T153" s="21">
        <v>0.1953125</v>
      </c>
      <c r="U153" s="21">
        <v>0.4453125</v>
      </c>
      <c r="V153" s="20" t="s">
        <v>131</v>
      </c>
      <c r="W153" s="20" t="s">
        <v>723</v>
      </c>
      <c r="X153" s="21">
        <v>0.5546875</v>
      </c>
      <c r="Y153" s="21">
        <v>0.1953125</v>
      </c>
      <c r="Z153" s="21">
        <v>0.125</v>
      </c>
      <c r="AA153" s="21">
        <v>5.4687500000000007E-2</v>
      </c>
      <c r="AB153" s="21">
        <v>7.03125E-2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D1E30-65CE-46B4-87C7-1ABBD84C8255}">
  <dimension ref="A1:H761"/>
  <sheetViews>
    <sheetView tabSelected="1" topLeftCell="A49" workbookViewId="0">
      <selection activeCell="D25" sqref="D25"/>
    </sheetView>
  </sheetViews>
  <sheetFormatPr baseColWidth="10" defaultColWidth="8.88671875" defaultRowHeight="14.4"/>
  <cols>
    <col min="1" max="1" width="12" customWidth="1"/>
    <col min="2" max="2" width="14" customWidth="1"/>
    <col min="3" max="3" width="24" customWidth="1"/>
    <col min="4" max="4" width="52" customWidth="1"/>
    <col min="5" max="5" width="21" customWidth="1"/>
    <col min="6" max="6" width="25" customWidth="1"/>
    <col min="7" max="7" width="30" customWidth="1"/>
    <col min="8" max="8" width="26" customWidth="1"/>
  </cols>
  <sheetData>
    <row r="1" spans="1:8">
      <c r="A1" s="19" t="s">
        <v>1</v>
      </c>
      <c r="B1" s="19" t="s">
        <v>2</v>
      </c>
      <c r="C1" s="19" t="s">
        <v>3</v>
      </c>
      <c r="D1" s="19" t="s">
        <v>766</v>
      </c>
      <c r="E1" s="19" t="s">
        <v>767</v>
      </c>
      <c r="F1" s="19" t="s">
        <v>768</v>
      </c>
      <c r="G1" s="19" t="s">
        <v>694</v>
      </c>
      <c r="H1" s="19" t="s">
        <v>696</v>
      </c>
    </row>
    <row r="2" spans="1:8">
      <c r="A2" s="20" t="s">
        <v>54</v>
      </c>
      <c r="B2" s="20" t="s">
        <v>55</v>
      </c>
      <c r="C2" s="20" t="s">
        <v>56</v>
      </c>
      <c r="D2" s="20" t="s">
        <v>721</v>
      </c>
      <c r="E2" s="21">
        <v>0.45833333333333331</v>
      </c>
      <c r="F2" s="20" t="s">
        <v>769</v>
      </c>
      <c r="G2" s="20" t="s">
        <v>717</v>
      </c>
      <c r="H2" s="20" t="s">
        <v>720</v>
      </c>
    </row>
    <row r="3" spans="1:8">
      <c r="A3" s="20" t="s">
        <v>54</v>
      </c>
      <c r="B3" s="20" t="s">
        <v>55</v>
      </c>
      <c r="C3" s="20" t="s">
        <v>56</v>
      </c>
      <c r="D3" s="20" t="s">
        <v>722</v>
      </c>
      <c r="E3" s="21">
        <v>0.29861111111111122</v>
      </c>
      <c r="F3" s="20" t="s">
        <v>770</v>
      </c>
      <c r="G3" s="20" t="s">
        <v>717</v>
      </c>
      <c r="H3" s="20" t="s">
        <v>720</v>
      </c>
    </row>
    <row r="4" spans="1:8">
      <c r="A4" s="20" t="s">
        <v>54</v>
      </c>
      <c r="B4" s="20" t="s">
        <v>55</v>
      </c>
      <c r="C4" s="20" t="s">
        <v>56</v>
      </c>
      <c r="D4" s="20" t="s">
        <v>727</v>
      </c>
      <c r="E4" s="21">
        <v>0.13194444444444439</v>
      </c>
      <c r="F4" s="20" t="s">
        <v>770</v>
      </c>
      <c r="G4" s="20" t="s">
        <v>717</v>
      </c>
      <c r="H4" s="20" t="s">
        <v>720</v>
      </c>
    </row>
    <row r="5" spans="1:8">
      <c r="A5" s="20" t="s">
        <v>54</v>
      </c>
      <c r="B5" s="20" t="s">
        <v>55</v>
      </c>
      <c r="C5" s="20" t="s">
        <v>56</v>
      </c>
      <c r="D5" s="20" t="s">
        <v>762</v>
      </c>
      <c r="E5" s="21">
        <v>4.8611111111111119E-2</v>
      </c>
      <c r="F5" s="20" t="s">
        <v>770</v>
      </c>
      <c r="G5" s="20" t="s">
        <v>717</v>
      </c>
      <c r="H5" s="20" t="s">
        <v>720</v>
      </c>
    </row>
    <row r="6" spans="1:8">
      <c r="A6" s="20" t="s">
        <v>54</v>
      </c>
      <c r="B6" s="20" t="s">
        <v>55</v>
      </c>
      <c r="C6" s="20" t="s">
        <v>56</v>
      </c>
      <c r="D6" s="20" t="s">
        <v>771</v>
      </c>
      <c r="E6" s="21">
        <v>6.25E-2</v>
      </c>
      <c r="F6" s="20" t="s">
        <v>770</v>
      </c>
      <c r="G6" s="20" t="s">
        <v>717</v>
      </c>
      <c r="H6" s="20" t="s">
        <v>720</v>
      </c>
    </row>
    <row r="7" spans="1:8">
      <c r="A7" s="20" t="s">
        <v>78</v>
      </c>
      <c r="B7" s="20" t="s">
        <v>55</v>
      </c>
      <c r="C7" s="20" t="s">
        <v>79</v>
      </c>
      <c r="D7" s="20" t="s">
        <v>721</v>
      </c>
      <c r="E7" s="21">
        <v>0.45833333333333331</v>
      </c>
      <c r="F7" s="20" t="s">
        <v>769</v>
      </c>
      <c r="G7" s="20" t="s">
        <v>717</v>
      </c>
      <c r="H7" s="20" t="s">
        <v>720</v>
      </c>
    </row>
    <row r="8" spans="1:8">
      <c r="A8" s="20" t="s">
        <v>78</v>
      </c>
      <c r="B8" s="20" t="s">
        <v>55</v>
      </c>
      <c r="C8" s="20" t="s">
        <v>79</v>
      </c>
      <c r="D8" s="20" t="s">
        <v>722</v>
      </c>
      <c r="E8" s="21">
        <v>0.29861111111111122</v>
      </c>
      <c r="F8" s="20" t="s">
        <v>770</v>
      </c>
      <c r="G8" s="20" t="s">
        <v>717</v>
      </c>
      <c r="H8" s="20" t="s">
        <v>720</v>
      </c>
    </row>
    <row r="9" spans="1:8">
      <c r="A9" s="20" t="s">
        <v>78</v>
      </c>
      <c r="B9" s="20" t="s">
        <v>55</v>
      </c>
      <c r="C9" s="20" t="s">
        <v>79</v>
      </c>
      <c r="D9" s="20" t="s">
        <v>727</v>
      </c>
      <c r="E9" s="21">
        <v>0.13194444444444439</v>
      </c>
      <c r="F9" s="20" t="s">
        <v>770</v>
      </c>
      <c r="G9" s="20" t="s">
        <v>717</v>
      </c>
      <c r="H9" s="20" t="s">
        <v>720</v>
      </c>
    </row>
    <row r="10" spans="1:8">
      <c r="A10" s="20" t="s">
        <v>78</v>
      </c>
      <c r="B10" s="20" t="s">
        <v>55</v>
      </c>
      <c r="C10" s="20" t="s">
        <v>79</v>
      </c>
      <c r="D10" s="20" t="s">
        <v>762</v>
      </c>
      <c r="E10" s="21">
        <v>4.8611111111111119E-2</v>
      </c>
      <c r="F10" s="20" t="s">
        <v>770</v>
      </c>
      <c r="G10" s="20" t="s">
        <v>717</v>
      </c>
      <c r="H10" s="20" t="s">
        <v>720</v>
      </c>
    </row>
    <row r="11" spans="1:8">
      <c r="A11" s="20" t="s">
        <v>78</v>
      </c>
      <c r="B11" s="20" t="s">
        <v>55</v>
      </c>
      <c r="C11" s="20" t="s">
        <v>79</v>
      </c>
      <c r="D11" s="20" t="s">
        <v>771</v>
      </c>
      <c r="E11" s="21">
        <v>6.25E-2</v>
      </c>
      <c r="F11" s="20" t="s">
        <v>770</v>
      </c>
      <c r="G11" s="20" t="s">
        <v>717</v>
      </c>
      <c r="H11" s="20" t="s">
        <v>720</v>
      </c>
    </row>
    <row r="12" spans="1:8">
      <c r="A12" s="20" t="s">
        <v>80</v>
      </c>
      <c r="B12" s="20" t="s">
        <v>55</v>
      </c>
      <c r="C12" s="20" t="s">
        <v>81</v>
      </c>
      <c r="D12" s="20" t="s">
        <v>721</v>
      </c>
      <c r="E12" s="21">
        <v>0.27777777777777768</v>
      </c>
      <c r="F12" s="20" t="s">
        <v>770</v>
      </c>
      <c r="G12" s="20" t="s">
        <v>724</v>
      </c>
      <c r="H12" s="20" t="s">
        <v>726</v>
      </c>
    </row>
    <row r="13" spans="1:8">
      <c r="A13" s="20" t="s">
        <v>80</v>
      </c>
      <c r="B13" s="20" t="s">
        <v>55</v>
      </c>
      <c r="C13" s="20" t="s">
        <v>81</v>
      </c>
      <c r="D13" s="20" t="s">
        <v>722</v>
      </c>
      <c r="E13" s="21">
        <v>0.21527777777777779</v>
      </c>
      <c r="F13" s="20" t="s">
        <v>770</v>
      </c>
      <c r="G13" s="20" t="s">
        <v>724</v>
      </c>
      <c r="H13" s="20" t="s">
        <v>726</v>
      </c>
    </row>
    <row r="14" spans="1:8">
      <c r="A14" s="20" t="s">
        <v>80</v>
      </c>
      <c r="B14" s="20" t="s">
        <v>55</v>
      </c>
      <c r="C14" s="20" t="s">
        <v>81</v>
      </c>
      <c r="D14" s="20" t="s">
        <v>727</v>
      </c>
      <c r="E14" s="21">
        <v>0.3125</v>
      </c>
      <c r="F14" s="20" t="s">
        <v>769</v>
      </c>
      <c r="G14" s="20" t="s">
        <v>724</v>
      </c>
      <c r="H14" s="20" t="s">
        <v>726</v>
      </c>
    </row>
    <row r="15" spans="1:8">
      <c r="A15" s="20" t="s">
        <v>80</v>
      </c>
      <c r="B15" s="20" t="s">
        <v>55</v>
      </c>
      <c r="C15" s="20" t="s">
        <v>81</v>
      </c>
      <c r="D15" s="20" t="s">
        <v>762</v>
      </c>
      <c r="E15" s="21">
        <v>0.1041666666666667</v>
      </c>
      <c r="F15" s="20" t="s">
        <v>770</v>
      </c>
      <c r="G15" s="20" t="s">
        <v>724</v>
      </c>
      <c r="H15" s="20" t="s">
        <v>726</v>
      </c>
    </row>
    <row r="16" spans="1:8">
      <c r="A16" s="20" t="s">
        <v>80</v>
      </c>
      <c r="B16" s="20" t="s">
        <v>55</v>
      </c>
      <c r="C16" s="20" t="s">
        <v>81</v>
      </c>
      <c r="D16" s="20" t="s">
        <v>771</v>
      </c>
      <c r="E16" s="21">
        <v>9.0277777777777776E-2</v>
      </c>
      <c r="F16" s="20" t="s">
        <v>770</v>
      </c>
      <c r="G16" s="20" t="s">
        <v>724</v>
      </c>
      <c r="H16" s="20" t="s">
        <v>726</v>
      </c>
    </row>
    <row r="17" spans="1:8">
      <c r="A17" s="20" t="s">
        <v>86</v>
      </c>
      <c r="B17" s="20" t="s">
        <v>55</v>
      </c>
      <c r="C17" s="20" t="s">
        <v>87</v>
      </c>
      <c r="D17" s="20" t="s">
        <v>721</v>
      </c>
      <c r="E17" s="21">
        <v>0.27777777777777768</v>
      </c>
      <c r="F17" s="20" t="s">
        <v>770</v>
      </c>
      <c r="G17" s="20" t="s">
        <v>724</v>
      </c>
      <c r="H17" s="20" t="s">
        <v>726</v>
      </c>
    </row>
    <row r="18" spans="1:8">
      <c r="A18" s="20" t="s">
        <v>86</v>
      </c>
      <c r="B18" s="20" t="s">
        <v>55</v>
      </c>
      <c r="C18" s="20" t="s">
        <v>87</v>
      </c>
      <c r="D18" s="20" t="s">
        <v>722</v>
      </c>
      <c r="E18" s="21">
        <v>0.21527777777777779</v>
      </c>
      <c r="F18" s="20" t="s">
        <v>770</v>
      </c>
      <c r="G18" s="20" t="s">
        <v>724</v>
      </c>
      <c r="H18" s="20" t="s">
        <v>726</v>
      </c>
    </row>
    <row r="19" spans="1:8">
      <c r="A19" s="20" t="s">
        <v>86</v>
      </c>
      <c r="B19" s="20" t="s">
        <v>55</v>
      </c>
      <c r="C19" s="20" t="s">
        <v>87</v>
      </c>
      <c r="D19" s="20" t="s">
        <v>727</v>
      </c>
      <c r="E19" s="21">
        <v>0.3125</v>
      </c>
      <c r="F19" s="20" t="s">
        <v>769</v>
      </c>
      <c r="G19" s="20" t="s">
        <v>724</v>
      </c>
      <c r="H19" s="20" t="s">
        <v>726</v>
      </c>
    </row>
    <row r="20" spans="1:8">
      <c r="A20" s="20" t="s">
        <v>86</v>
      </c>
      <c r="B20" s="20" t="s">
        <v>55</v>
      </c>
      <c r="C20" s="20" t="s">
        <v>87</v>
      </c>
      <c r="D20" s="20" t="s">
        <v>762</v>
      </c>
      <c r="E20" s="21">
        <v>0.1041666666666667</v>
      </c>
      <c r="F20" s="20" t="s">
        <v>770</v>
      </c>
      <c r="G20" s="20" t="s">
        <v>724</v>
      </c>
      <c r="H20" s="20" t="s">
        <v>726</v>
      </c>
    </row>
    <row r="21" spans="1:8">
      <c r="A21" s="20" t="s">
        <v>86</v>
      </c>
      <c r="B21" s="20" t="s">
        <v>55</v>
      </c>
      <c r="C21" s="20" t="s">
        <v>87</v>
      </c>
      <c r="D21" s="20" t="s">
        <v>771</v>
      </c>
      <c r="E21" s="21">
        <v>9.0277777777777776E-2</v>
      </c>
      <c r="F21" s="20" t="s">
        <v>770</v>
      </c>
      <c r="G21" s="20" t="s">
        <v>724</v>
      </c>
      <c r="H21" s="20" t="s">
        <v>726</v>
      </c>
    </row>
    <row r="22" spans="1:8">
      <c r="A22" s="20" t="s">
        <v>88</v>
      </c>
      <c r="B22" s="20" t="s">
        <v>55</v>
      </c>
      <c r="C22" s="20" t="s">
        <v>89</v>
      </c>
      <c r="D22" s="20" t="s">
        <v>721</v>
      </c>
      <c r="E22" s="21">
        <v>0.45833333333333331</v>
      </c>
      <c r="F22" s="20" t="s">
        <v>769</v>
      </c>
      <c r="G22" s="20" t="s">
        <v>717</v>
      </c>
      <c r="H22" s="20" t="s">
        <v>720</v>
      </c>
    </row>
    <row r="23" spans="1:8">
      <c r="A23" s="20" t="s">
        <v>88</v>
      </c>
      <c r="B23" s="20" t="s">
        <v>55</v>
      </c>
      <c r="C23" s="20" t="s">
        <v>89</v>
      </c>
      <c r="D23" s="20" t="s">
        <v>722</v>
      </c>
      <c r="E23" s="21">
        <v>0.29861111111111122</v>
      </c>
      <c r="F23" s="20" t="s">
        <v>770</v>
      </c>
      <c r="G23" s="20" t="s">
        <v>717</v>
      </c>
      <c r="H23" s="20" t="s">
        <v>720</v>
      </c>
    </row>
    <row r="24" spans="1:8">
      <c r="A24" s="20" t="s">
        <v>88</v>
      </c>
      <c r="B24" s="20" t="s">
        <v>55</v>
      </c>
      <c r="C24" s="20" t="s">
        <v>89</v>
      </c>
      <c r="D24" s="20" t="s">
        <v>727</v>
      </c>
      <c r="E24" s="21">
        <v>0.13194444444444439</v>
      </c>
      <c r="F24" s="20" t="s">
        <v>770</v>
      </c>
      <c r="G24" s="20" t="s">
        <v>717</v>
      </c>
      <c r="H24" s="20" t="s">
        <v>720</v>
      </c>
    </row>
    <row r="25" spans="1:8">
      <c r="A25" s="20" t="s">
        <v>88</v>
      </c>
      <c r="B25" s="20" t="s">
        <v>55</v>
      </c>
      <c r="C25" s="20" t="s">
        <v>89</v>
      </c>
      <c r="D25" s="20" t="s">
        <v>762</v>
      </c>
      <c r="E25" s="21">
        <v>4.8611111111111119E-2</v>
      </c>
      <c r="F25" s="20" t="s">
        <v>770</v>
      </c>
      <c r="G25" s="20" t="s">
        <v>717</v>
      </c>
      <c r="H25" s="20" t="s">
        <v>720</v>
      </c>
    </row>
    <row r="26" spans="1:8">
      <c r="A26" s="20" t="s">
        <v>88</v>
      </c>
      <c r="B26" s="20" t="s">
        <v>55</v>
      </c>
      <c r="C26" s="20" t="s">
        <v>89</v>
      </c>
      <c r="D26" s="20" t="s">
        <v>771</v>
      </c>
      <c r="E26" s="21">
        <v>6.25E-2</v>
      </c>
      <c r="F26" s="20" t="s">
        <v>770</v>
      </c>
      <c r="G26" s="20" t="s">
        <v>717</v>
      </c>
      <c r="H26" s="20" t="s">
        <v>720</v>
      </c>
    </row>
    <row r="27" spans="1:8">
      <c r="A27" s="20" t="s">
        <v>90</v>
      </c>
      <c r="B27" s="20" t="s">
        <v>55</v>
      </c>
      <c r="C27" s="20" t="s">
        <v>91</v>
      </c>
      <c r="D27" s="20" t="s">
        <v>721</v>
      </c>
      <c r="E27" s="21">
        <v>0.45833333333333331</v>
      </c>
      <c r="F27" s="20" t="s">
        <v>769</v>
      </c>
      <c r="G27" s="20" t="s">
        <v>717</v>
      </c>
      <c r="H27" s="20" t="s">
        <v>720</v>
      </c>
    </row>
    <row r="28" spans="1:8">
      <c r="A28" s="20" t="s">
        <v>90</v>
      </c>
      <c r="B28" s="20" t="s">
        <v>55</v>
      </c>
      <c r="C28" s="20" t="s">
        <v>91</v>
      </c>
      <c r="D28" s="20" t="s">
        <v>722</v>
      </c>
      <c r="E28" s="21">
        <v>0.29861111111111122</v>
      </c>
      <c r="F28" s="20" t="s">
        <v>770</v>
      </c>
      <c r="G28" s="20" t="s">
        <v>717</v>
      </c>
      <c r="H28" s="20" t="s">
        <v>720</v>
      </c>
    </row>
    <row r="29" spans="1:8">
      <c r="A29" s="20" t="s">
        <v>90</v>
      </c>
      <c r="B29" s="20" t="s">
        <v>55</v>
      </c>
      <c r="C29" s="20" t="s">
        <v>91</v>
      </c>
      <c r="D29" s="20" t="s">
        <v>727</v>
      </c>
      <c r="E29" s="21">
        <v>0.13194444444444439</v>
      </c>
      <c r="F29" s="20" t="s">
        <v>770</v>
      </c>
      <c r="G29" s="20" t="s">
        <v>717</v>
      </c>
      <c r="H29" s="20" t="s">
        <v>720</v>
      </c>
    </row>
    <row r="30" spans="1:8">
      <c r="A30" s="20" t="s">
        <v>90</v>
      </c>
      <c r="B30" s="20" t="s">
        <v>55</v>
      </c>
      <c r="C30" s="20" t="s">
        <v>91</v>
      </c>
      <c r="D30" s="20" t="s">
        <v>762</v>
      </c>
      <c r="E30" s="21">
        <v>4.8611111111111119E-2</v>
      </c>
      <c r="F30" s="20" t="s">
        <v>770</v>
      </c>
      <c r="G30" s="20" t="s">
        <v>717</v>
      </c>
      <c r="H30" s="20" t="s">
        <v>720</v>
      </c>
    </row>
    <row r="31" spans="1:8">
      <c r="A31" s="20" t="s">
        <v>90</v>
      </c>
      <c r="B31" s="20" t="s">
        <v>55</v>
      </c>
      <c r="C31" s="20" t="s">
        <v>91</v>
      </c>
      <c r="D31" s="20" t="s">
        <v>771</v>
      </c>
      <c r="E31" s="21">
        <v>6.25E-2</v>
      </c>
      <c r="F31" s="20" t="s">
        <v>770</v>
      </c>
      <c r="G31" s="20" t="s">
        <v>717</v>
      </c>
      <c r="H31" s="20" t="s">
        <v>720</v>
      </c>
    </row>
    <row r="32" spans="1:8">
      <c r="A32" s="20" t="s">
        <v>92</v>
      </c>
      <c r="B32" s="20" t="s">
        <v>55</v>
      </c>
      <c r="C32" s="20" t="s">
        <v>55</v>
      </c>
      <c r="D32" s="20" t="s">
        <v>721</v>
      </c>
      <c r="E32" s="21">
        <v>0.45833333333333331</v>
      </c>
      <c r="F32" s="20" t="s">
        <v>769</v>
      </c>
      <c r="G32" s="20" t="s">
        <v>717</v>
      </c>
      <c r="H32" s="20" t="s">
        <v>720</v>
      </c>
    </row>
    <row r="33" spans="1:8">
      <c r="A33" s="20" t="s">
        <v>92</v>
      </c>
      <c r="B33" s="20" t="s">
        <v>55</v>
      </c>
      <c r="C33" s="20" t="s">
        <v>55</v>
      </c>
      <c r="D33" s="20" t="s">
        <v>722</v>
      </c>
      <c r="E33" s="21">
        <v>0.29861111111111122</v>
      </c>
      <c r="F33" s="20" t="s">
        <v>770</v>
      </c>
      <c r="G33" s="20" t="s">
        <v>717</v>
      </c>
      <c r="H33" s="20" t="s">
        <v>720</v>
      </c>
    </row>
    <row r="34" spans="1:8">
      <c r="A34" s="20" t="s">
        <v>92</v>
      </c>
      <c r="B34" s="20" t="s">
        <v>55</v>
      </c>
      <c r="C34" s="20" t="s">
        <v>55</v>
      </c>
      <c r="D34" s="20" t="s">
        <v>727</v>
      </c>
      <c r="E34" s="21">
        <v>0.13194444444444439</v>
      </c>
      <c r="F34" s="20" t="s">
        <v>770</v>
      </c>
      <c r="G34" s="20" t="s">
        <v>717</v>
      </c>
      <c r="H34" s="20" t="s">
        <v>720</v>
      </c>
    </row>
    <row r="35" spans="1:8">
      <c r="A35" s="20" t="s">
        <v>92</v>
      </c>
      <c r="B35" s="20" t="s">
        <v>55</v>
      </c>
      <c r="C35" s="20" t="s">
        <v>55</v>
      </c>
      <c r="D35" s="20" t="s">
        <v>762</v>
      </c>
      <c r="E35" s="21">
        <v>4.8611111111111119E-2</v>
      </c>
      <c r="F35" s="20" t="s">
        <v>770</v>
      </c>
      <c r="G35" s="20" t="s">
        <v>717</v>
      </c>
      <c r="H35" s="20" t="s">
        <v>720</v>
      </c>
    </row>
    <row r="36" spans="1:8">
      <c r="A36" s="20" t="s">
        <v>92</v>
      </c>
      <c r="B36" s="20" t="s">
        <v>55</v>
      </c>
      <c r="C36" s="20" t="s">
        <v>55</v>
      </c>
      <c r="D36" s="20" t="s">
        <v>771</v>
      </c>
      <c r="E36" s="21">
        <v>6.25E-2</v>
      </c>
      <c r="F36" s="20" t="s">
        <v>770</v>
      </c>
      <c r="G36" s="20" t="s">
        <v>717</v>
      </c>
      <c r="H36" s="20" t="s">
        <v>720</v>
      </c>
    </row>
    <row r="37" spans="1:8">
      <c r="A37" s="20" t="s">
        <v>93</v>
      </c>
      <c r="B37" s="20" t="s">
        <v>55</v>
      </c>
      <c r="C37" s="20" t="s">
        <v>94</v>
      </c>
      <c r="D37" s="20" t="s">
        <v>721</v>
      </c>
      <c r="E37" s="21">
        <v>0.45833333333333331</v>
      </c>
      <c r="F37" s="20" t="s">
        <v>769</v>
      </c>
      <c r="G37" s="20" t="s">
        <v>717</v>
      </c>
      <c r="H37" s="20" t="s">
        <v>720</v>
      </c>
    </row>
    <row r="38" spans="1:8">
      <c r="A38" s="20" t="s">
        <v>93</v>
      </c>
      <c r="B38" s="20" t="s">
        <v>55</v>
      </c>
      <c r="C38" s="20" t="s">
        <v>94</v>
      </c>
      <c r="D38" s="20" t="s">
        <v>722</v>
      </c>
      <c r="E38" s="21">
        <v>0.29861111111111122</v>
      </c>
      <c r="F38" s="20" t="s">
        <v>770</v>
      </c>
      <c r="G38" s="20" t="s">
        <v>717</v>
      </c>
      <c r="H38" s="20" t="s">
        <v>720</v>
      </c>
    </row>
    <row r="39" spans="1:8">
      <c r="A39" s="20" t="s">
        <v>93</v>
      </c>
      <c r="B39" s="20" t="s">
        <v>55</v>
      </c>
      <c r="C39" s="20" t="s">
        <v>94</v>
      </c>
      <c r="D39" s="20" t="s">
        <v>727</v>
      </c>
      <c r="E39" s="21">
        <v>0.13194444444444439</v>
      </c>
      <c r="F39" s="20" t="s">
        <v>770</v>
      </c>
      <c r="G39" s="20" t="s">
        <v>717</v>
      </c>
      <c r="H39" s="20" t="s">
        <v>720</v>
      </c>
    </row>
    <row r="40" spans="1:8">
      <c r="A40" s="20" t="s">
        <v>93</v>
      </c>
      <c r="B40" s="20" t="s">
        <v>55</v>
      </c>
      <c r="C40" s="20" t="s">
        <v>94</v>
      </c>
      <c r="D40" s="20" t="s">
        <v>762</v>
      </c>
      <c r="E40" s="21">
        <v>4.8611111111111119E-2</v>
      </c>
      <c r="F40" s="20" t="s">
        <v>770</v>
      </c>
      <c r="G40" s="20" t="s">
        <v>717</v>
      </c>
      <c r="H40" s="20" t="s">
        <v>720</v>
      </c>
    </row>
    <row r="41" spans="1:8">
      <c r="A41" s="20" t="s">
        <v>93</v>
      </c>
      <c r="B41" s="20" t="s">
        <v>55</v>
      </c>
      <c r="C41" s="20" t="s">
        <v>94</v>
      </c>
      <c r="D41" s="20" t="s">
        <v>771</v>
      </c>
      <c r="E41" s="21">
        <v>6.25E-2</v>
      </c>
      <c r="F41" s="20" t="s">
        <v>770</v>
      </c>
      <c r="G41" s="20" t="s">
        <v>717</v>
      </c>
      <c r="H41" s="20" t="s">
        <v>720</v>
      </c>
    </row>
    <row r="42" spans="1:8">
      <c r="A42" s="20" t="s">
        <v>95</v>
      </c>
      <c r="B42" s="20" t="s">
        <v>96</v>
      </c>
      <c r="C42" s="20" t="s">
        <v>97</v>
      </c>
      <c r="D42" s="20" t="s">
        <v>721</v>
      </c>
      <c r="E42" s="21">
        <v>0.59285714285714286</v>
      </c>
      <c r="F42" s="20" t="s">
        <v>769</v>
      </c>
      <c r="G42" s="20" t="s">
        <v>717</v>
      </c>
      <c r="H42" s="20" t="s">
        <v>730</v>
      </c>
    </row>
    <row r="43" spans="1:8">
      <c r="A43" s="20" t="s">
        <v>95</v>
      </c>
      <c r="B43" s="20" t="s">
        <v>96</v>
      </c>
      <c r="C43" s="20" t="s">
        <v>97</v>
      </c>
      <c r="D43" s="20" t="s">
        <v>722</v>
      </c>
      <c r="E43" s="21">
        <v>0.17857142857142849</v>
      </c>
      <c r="F43" s="20" t="s">
        <v>770</v>
      </c>
      <c r="G43" s="20" t="s">
        <v>717</v>
      </c>
      <c r="H43" s="20" t="s">
        <v>730</v>
      </c>
    </row>
    <row r="44" spans="1:8">
      <c r="A44" s="20" t="s">
        <v>95</v>
      </c>
      <c r="B44" s="20" t="s">
        <v>96</v>
      </c>
      <c r="C44" s="20" t="s">
        <v>97</v>
      </c>
      <c r="D44" s="20" t="s">
        <v>727</v>
      </c>
      <c r="E44" s="21">
        <v>0.1142857142857143</v>
      </c>
      <c r="F44" s="20" t="s">
        <v>770</v>
      </c>
      <c r="G44" s="20" t="s">
        <v>717</v>
      </c>
      <c r="H44" s="20" t="s">
        <v>730</v>
      </c>
    </row>
    <row r="45" spans="1:8">
      <c r="A45" s="20" t="s">
        <v>95</v>
      </c>
      <c r="B45" s="20" t="s">
        <v>96</v>
      </c>
      <c r="C45" s="20" t="s">
        <v>97</v>
      </c>
      <c r="D45" s="20" t="s">
        <v>762</v>
      </c>
      <c r="E45" s="21">
        <v>0.05</v>
      </c>
      <c r="F45" s="20" t="s">
        <v>770</v>
      </c>
      <c r="G45" s="20" t="s">
        <v>717</v>
      </c>
      <c r="H45" s="20" t="s">
        <v>730</v>
      </c>
    </row>
    <row r="46" spans="1:8">
      <c r="A46" s="20" t="s">
        <v>95</v>
      </c>
      <c r="B46" s="20" t="s">
        <v>96</v>
      </c>
      <c r="C46" s="20" t="s">
        <v>97</v>
      </c>
      <c r="D46" s="20" t="s">
        <v>771</v>
      </c>
      <c r="E46" s="21">
        <v>6.4285714285714279E-2</v>
      </c>
      <c r="F46" s="20" t="s">
        <v>770</v>
      </c>
      <c r="G46" s="20" t="s">
        <v>717</v>
      </c>
      <c r="H46" s="20" t="s">
        <v>730</v>
      </c>
    </row>
    <row r="47" spans="1:8">
      <c r="A47" s="20" t="s">
        <v>104</v>
      </c>
      <c r="B47" s="20" t="s">
        <v>96</v>
      </c>
      <c r="C47" s="20" t="s">
        <v>105</v>
      </c>
      <c r="D47" s="20" t="s">
        <v>721</v>
      </c>
      <c r="E47" s="21">
        <v>0.51079136690647486</v>
      </c>
      <c r="F47" s="20" t="s">
        <v>769</v>
      </c>
      <c r="G47" s="20" t="s">
        <v>717</v>
      </c>
      <c r="H47" s="20" t="s">
        <v>720</v>
      </c>
    </row>
    <row r="48" spans="1:8">
      <c r="A48" s="20" t="s">
        <v>104</v>
      </c>
      <c r="B48" s="20" t="s">
        <v>96</v>
      </c>
      <c r="C48" s="20" t="s">
        <v>105</v>
      </c>
      <c r="D48" s="20" t="s">
        <v>722</v>
      </c>
      <c r="E48" s="21">
        <v>0.17985611510791369</v>
      </c>
      <c r="F48" s="20" t="s">
        <v>770</v>
      </c>
      <c r="G48" s="20" t="s">
        <v>717</v>
      </c>
      <c r="H48" s="20" t="s">
        <v>720</v>
      </c>
    </row>
    <row r="49" spans="1:8">
      <c r="A49" s="20" t="s">
        <v>104</v>
      </c>
      <c r="B49" s="20" t="s">
        <v>96</v>
      </c>
      <c r="C49" s="20" t="s">
        <v>105</v>
      </c>
      <c r="D49" s="20" t="s">
        <v>727</v>
      </c>
      <c r="E49" s="21">
        <v>0.1366906474820144</v>
      </c>
      <c r="F49" s="20" t="s">
        <v>770</v>
      </c>
      <c r="G49" s="20" t="s">
        <v>717</v>
      </c>
      <c r="H49" s="20" t="s">
        <v>720</v>
      </c>
    </row>
    <row r="50" spans="1:8">
      <c r="A50" s="20" t="s">
        <v>104</v>
      </c>
      <c r="B50" s="20" t="s">
        <v>96</v>
      </c>
      <c r="C50" s="20" t="s">
        <v>105</v>
      </c>
      <c r="D50" s="20" t="s">
        <v>762</v>
      </c>
      <c r="E50" s="21">
        <v>0.1079136690647482</v>
      </c>
      <c r="F50" s="20" t="s">
        <v>770</v>
      </c>
      <c r="G50" s="20" t="s">
        <v>717</v>
      </c>
      <c r="H50" s="20" t="s">
        <v>720</v>
      </c>
    </row>
    <row r="51" spans="1:8">
      <c r="A51" s="20" t="s">
        <v>104</v>
      </c>
      <c r="B51" s="20" t="s">
        <v>96</v>
      </c>
      <c r="C51" s="20" t="s">
        <v>105</v>
      </c>
      <c r="D51" s="20" t="s">
        <v>771</v>
      </c>
      <c r="E51" s="21">
        <v>6.4748201438848921E-2</v>
      </c>
      <c r="F51" s="20" t="s">
        <v>770</v>
      </c>
      <c r="G51" s="20" t="s">
        <v>717</v>
      </c>
      <c r="H51" s="20" t="s">
        <v>720</v>
      </c>
    </row>
    <row r="52" spans="1:8">
      <c r="A52" s="20" t="s">
        <v>106</v>
      </c>
      <c r="B52" s="20" t="s">
        <v>96</v>
      </c>
      <c r="C52" s="20" t="s">
        <v>96</v>
      </c>
      <c r="D52" s="20" t="s">
        <v>721</v>
      </c>
      <c r="E52" s="21">
        <v>0.45833333333333331</v>
      </c>
      <c r="F52" s="20" t="s">
        <v>769</v>
      </c>
      <c r="G52" s="20" t="s">
        <v>717</v>
      </c>
      <c r="H52" s="20" t="s">
        <v>720</v>
      </c>
    </row>
    <row r="53" spans="1:8">
      <c r="A53" s="20" t="s">
        <v>106</v>
      </c>
      <c r="B53" s="20" t="s">
        <v>96</v>
      </c>
      <c r="C53" s="20" t="s">
        <v>96</v>
      </c>
      <c r="D53" s="20" t="s">
        <v>722</v>
      </c>
      <c r="E53" s="21">
        <v>0.29861111111111122</v>
      </c>
      <c r="F53" s="20" t="s">
        <v>770</v>
      </c>
      <c r="G53" s="20" t="s">
        <v>717</v>
      </c>
      <c r="H53" s="20" t="s">
        <v>720</v>
      </c>
    </row>
    <row r="54" spans="1:8">
      <c r="A54" s="20" t="s">
        <v>106</v>
      </c>
      <c r="B54" s="20" t="s">
        <v>96</v>
      </c>
      <c r="C54" s="20" t="s">
        <v>96</v>
      </c>
      <c r="D54" s="20" t="s">
        <v>727</v>
      </c>
      <c r="E54" s="21">
        <v>0.13194444444444439</v>
      </c>
      <c r="F54" s="20" t="s">
        <v>770</v>
      </c>
      <c r="G54" s="20" t="s">
        <v>717</v>
      </c>
      <c r="H54" s="20" t="s">
        <v>720</v>
      </c>
    </row>
    <row r="55" spans="1:8">
      <c r="A55" s="20" t="s">
        <v>106</v>
      </c>
      <c r="B55" s="20" t="s">
        <v>96</v>
      </c>
      <c r="C55" s="20" t="s">
        <v>96</v>
      </c>
      <c r="D55" s="20" t="s">
        <v>762</v>
      </c>
      <c r="E55" s="21">
        <v>4.8611111111111119E-2</v>
      </c>
      <c r="F55" s="20" t="s">
        <v>770</v>
      </c>
      <c r="G55" s="20" t="s">
        <v>717</v>
      </c>
      <c r="H55" s="20" t="s">
        <v>720</v>
      </c>
    </row>
    <row r="56" spans="1:8">
      <c r="A56" s="20" t="s">
        <v>106</v>
      </c>
      <c r="B56" s="20" t="s">
        <v>96</v>
      </c>
      <c r="C56" s="20" t="s">
        <v>96</v>
      </c>
      <c r="D56" s="20" t="s">
        <v>771</v>
      </c>
      <c r="E56" s="21">
        <v>6.25E-2</v>
      </c>
      <c r="F56" s="20" t="s">
        <v>770</v>
      </c>
      <c r="G56" s="20" t="s">
        <v>717</v>
      </c>
      <c r="H56" s="20" t="s">
        <v>720</v>
      </c>
    </row>
    <row r="57" spans="1:8">
      <c r="A57" s="20" t="s">
        <v>107</v>
      </c>
      <c r="B57" s="20" t="s">
        <v>96</v>
      </c>
      <c r="C57" s="20" t="s">
        <v>108</v>
      </c>
      <c r="D57" s="20" t="s">
        <v>721</v>
      </c>
      <c r="E57" s="21">
        <v>0.51079136690647486</v>
      </c>
      <c r="F57" s="20" t="s">
        <v>769</v>
      </c>
      <c r="G57" s="20" t="s">
        <v>717</v>
      </c>
      <c r="H57" s="20" t="s">
        <v>720</v>
      </c>
    </row>
    <row r="58" spans="1:8">
      <c r="A58" s="20" t="s">
        <v>107</v>
      </c>
      <c r="B58" s="20" t="s">
        <v>96</v>
      </c>
      <c r="C58" s="20" t="s">
        <v>108</v>
      </c>
      <c r="D58" s="20" t="s">
        <v>722</v>
      </c>
      <c r="E58" s="21">
        <v>0.17985611510791369</v>
      </c>
      <c r="F58" s="20" t="s">
        <v>770</v>
      </c>
      <c r="G58" s="20" t="s">
        <v>717</v>
      </c>
      <c r="H58" s="20" t="s">
        <v>720</v>
      </c>
    </row>
    <row r="59" spans="1:8">
      <c r="A59" s="20" t="s">
        <v>107</v>
      </c>
      <c r="B59" s="20" t="s">
        <v>96</v>
      </c>
      <c r="C59" s="20" t="s">
        <v>108</v>
      </c>
      <c r="D59" s="20" t="s">
        <v>727</v>
      </c>
      <c r="E59" s="21">
        <v>0.1366906474820144</v>
      </c>
      <c r="F59" s="20" t="s">
        <v>770</v>
      </c>
      <c r="G59" s="20" t="s">
        <v>717</v>
      </c>
      <c r="H59" s="20" t="s">
        <v>720</v>
      </c>
    </row>
    <row r="60" spans="1:8">
      <c r="A60" s="20" t="s">
        <v>107</v>
      </c>
      <c r="B60" s="20" t="s">
        <v>96</v>
      </c>
      <c r="C60" s="20" t="s">
        <v>108</v>
      </c>
      <c r="D60" s="20" t="s">
        <v>762</v>
      </c>
      <c r="E60" s="21">
        <v>0.1079136690647482</v>
      </c>
      <c r="F60" s="20" t="s">
        <v>770</v>
      </c>
      <c r="G60" s="20" t="s">
        <v>717</v>
      </c>
      <c r="H60" s="20" t="s">
        <v>720</v>
      </c>
    </row>
    <row r="61" spans="1:8">
      <c r="A61" s="20" t="s">
        <v>107</v>
      </c>
      <c r="B61" s="20" t="s">
        <v>96</v>
      </c>
      <c r="C61" s="20" t="s">
        <v>108</v>
      </c>
      <c r="D61" s="20" t="s">
        <v>771</v>
      </c>
      <c r="E61" s="21">
        <v>6.4748201438848921E-2</v>
      </c>
      <c r="F61" s="20" t="s">
        <v>770</v>
      </c>
      <c r="G61" s="20" t="s">
        <v>717</v>
      </c>
      <c r="H61" s="20" t="s">
        <v>720</v>
      </c>
    </row>
    <row r="62" spans="1:8">
      <c r="A62" s="20" t="s">
        <v>109</v>
      </c>
      <c r="B62" s="20" t="s">
        <v>96</v>
      </c>
      <c r="C62" s="20" t="s">
        <v>110</v>
      </c>
      <c r="D62" s="20" t="s">
        <v>721</v>
      </c>
      <c r="E62" s="21">
        <v>0.59285714285714286</v>
      </c>
      <c r="F62" s="20" t="s">
        <v>769</v>
      </c>
      <c r="G62" s="20" t="s">
        <v>717</v>
      </c>
      <c r="H62" s="20" t="s">
        <v>730</v>
      </c>
    </row>
    <row r="63" spans="1:8">
      <c r="A63" s="20" t="s">
        <v>109</v>
      </c>
      <c r="B63" s="20" t="s">
        <v>96</v>
      </c>
      <c r="C63" s="20" t="s">
        <v>110</v>
      </c>
      <c r="D63" s="20" t="s">
        <v>722</v>
      </c>
      <c r="E63" s="21">
        <v>0.17857142857142849</v>
      </c>
      <c r="F63" s="20" t="s">
        <v>770</v>
      </c>
      <c r="G63" s="20" t="s">
        <v>717</v>
      </c>
      <c r="H63" s="20" t="s">
        <v>730</v>
      </c>
    </row>
    <row r="64" spans="1:8">
      <c r="A64" s="20" t="s">
        <v>109</v>
      </c>
      <c r="B64" s="20" t="s">
        <v>96</v>
      </c>
      <c r="C64" s="20" t="s">
        <v>110</v>
      </c>
      <c r="D64" s="20" t="s">
        <v>727</v>
      </c>
      <c r="E64" s="21">
        <v>0.1142857142857143</v>
      </c>
      <c r="F64" s="20" t="s">
        <v>770</v>
      </c>
      <c r="G64" s="20" t="s">
        <v>717</v>
      </c>
      <c r="H64" s="20" t="s">
        <v>730</v>
      </c>
    </row>
    <row r="65" spans="1:8">
      <c r="A65" s="20" t="s">
        <v>109</v>
      </c>
      <c r="B65" s="20" t="s">
        <v>96</v>
      </c>
      <c r="C65" s="20" t="s">
        <v>110</v>
      </c>
      <c r="D65" s="20" t="s">
        <v>762</v>
      </c>
      <c r="E65" s="21">
        <v>0.05</v>
      </c>
      <c r="F65" s="20" t="s">
        <v>770</v>
      </c>
      <c r="G65" s="20" t="s">
        <v>717</v>
      </c>
      <c r="H65" s="20" t="s">
        <v>730</v>
      </c>
    </row>
    <row r="66" spans="1:8">
      <c r="A66" s="20" t="s">
        <v>109</v>
      </c>
      <c r="B66" s="20" t="s">
        <v>96</v>
      </c>
      <c r="C66" s="20" t="s">
        <v>110</v>
      </c>
      <c r="D66" s="20" t="s">
        <v>771</v>
      </c>
      <c r="E66" s="21">
        <v>6.4285714285714279E-2</v>
      </c>
      <c r="F66" s="20" t="s">
        <v>770</v>
      </c>
      <c r="G66" s="20" t="s">
        <v>717</v>
      </c>
      <c r="H66" s="20" t="s">
        <v>730</v>
      </c>
    </row>
    <row r="67" spans="1:8">
      <c r="A67" s="20" t="s">
        <v>111</v>
      </c>
      <c r="B67" s="20" t="s">
        <v>96</v>
      </c>
      <c r="C67" s="20" t="s">
        <v>112</v>
      </c>
      <c r="D67" s="20" t="s">
        <v>721</v>
      </c>
      <c r="E67" s="21">
        <v>0.45833333333333331</v>
      </c>
      <c r="F67" s="20" t="s">
        <v>769</v>
      </c>
      <c r="G67" s="20" t="s">
        <v>717</v>
      </c>
      <c r="H67" s="20" t="s">
        <v>720</v>
      </c>
    </row>
    <row r="68" spans="1:8">
      <c r="A68" s="20" t="s">
        <v>111</v>
      </c>
      <c r="B68" s="20" t="s">
        <v>96</v>
      </c>
      <c r="C68" s="20" t="s">
        <v>112</v>
      </c>
      <c r="D68" s="20" t="s">
        <v>722</v>
      </c>
      <c r="E68" s="21">
        <v>0.29861111111111122</v>
      </c>
      <c r="F68" s="20" t="s">
        <v>770</v>
      </c>
      <c r="G68" s="20" t="s">
        <v>717</v>
      </c>
      <c r="H68" s="20" t="s">
        <v>720</v>
      </c>
    </row>
    <row r="69" spans="1:8">
      <c r="A69" s="20" t="s">
        <v>111</v>
      </c>
      <c r="B69" s="20" t="s">
        <v>96</v>
      </c>
      <c r="C69" s="20" t="s">
        <v>112</v>
      </c>
      <c r="D69" s="20" t="s">
        <v>727</v>
      </c>
      <c r="E69" s="21">
        <v>0.13194444444444439</v>
      </c>
      <c r="F69" s="20" t="s">
        <v>770</v>
      </c>
      <c r="G69" s="20" t="s">
        <v>717</v>
      </c>
      <c r="H69" s="20" t="s">
        <v>720</v>
      </c>
    </row>
    <row r="70" spans="1:8">
      <c r="A70" s="20" t="s">
        <v>111</v>
      </c>
      <c r="B70" s="20" t="s">
        <v>96</v>
      </c>
      <c r="C70" s="20" t="s">
        <v>112</v>
      </c>
      <c r="D70" s="20" t="s">
        <v>762</v>
      </c>
      <c r="E70" s="21">
        <v>4.8611111111111119E-2</v>
      </c>
      <c r="F70" s="20" t="s">
        <v>770</v>
      </c>
      <c r="G70" s="20" t="s">
        <v>717</v>
      </c>
      <c r="H70" s="20" t="s">
        <v>720</v>
      </c>
    </row>
    <row r="71" spans="1:8">
      <c r="A71" s="20" t="s">
        <v>111</v>
      </c>
      <c r="B71" s="20" t="s">
        <v>96</v>
      </c>
      <c r="C71" s="20" t="s">
        <v>112</v>
      </c>
      <c r="D71" s="20" t="s">
        <v>771</v>
      </c>
      <c r="E71" s="21">
        <v>6.25E-2</v>
      </c>
      <c r="F71" s="20" t="s">
        <v>770</v>
      </c>
      <c r="G71" s="20" t="s">
        <v>717</v>
      </c>
      <c r="H71" s="20" t="s">
        <v>720</v>
      </c>
    </row>
    <row r="72" spans="1:8">
      <c r="A72" s="20" t="s">
        <v>113</v>
      </c>
      <c r="B72" s="20" t="s">
        <v>96</v>
      </c>
      <c r="C72" s="20" t="s">
        <v>114</v>
      </c>
      <c r="D72" s="20" t="s">
        <v>721</v>
      </c>
      <c r="E72" s="21">
        <v>0.45833333333333331</v>
      </c>
      <c r="F72" s="20" t="s">
        <v>769</v>
      </c>
      <c r="G72" s="20" t="s">
        <v>717</v>
      </c>
      <c r="H72" s="20" t="s">
        <v>720</v>
      </c>
    </row>
    <row r="73" spans="1:8">
      <c r="A73" s="20" t="s">
        <v>113</v>
      </c>
      <c r="B73" s="20" t="s">
        <v>96</v>
      </c>
      <c r="C73" s="20" t="s">
        <v>114</v>
      </c>
      <c r="D73" s="20" t="s">
        <v>722</v>
      </c>
      <c r="E73" s="21">
        <v>0.29861111111111122</v>
      </c>
      <c r="F73" s="20" t="s">
        <v>770</v>
      </c>
      <c r="G73" s="20" t="s">
        <v>717</v>
      </c>
      <c r="H73" s="20" t="s">
        <v>720</v>
      </c>
    </row>
    <row r="74" spans="1:8">
      <c r="A74" s="20" t="s">
        <v>113</v>
      </c>
      <c r="B74" s="20" t="s">
        <v>96</v>
      </c>
      <c r="C74" s="20" t="s">
        <v>114</v>
      </c>
      <c r="D74" s="20" t="s">
        <v>727</v>
      </c>
      <c r="E74" s="21">
        <v>0.13194444444444439</v>
      </c>
      <c r="F74" s="20" t="s">
        <v>770</v>
      </c>
      <c r="G74" s="20" t="s">
        <v>717</v>
      </c>
      <c r="H74" s="20" t="s">
        <v>720</v>
      </c>
    </row>
    <row r="75" spans="1:8">
      <c r="A75" s="20" t="s">
        <v>113</v>
      </c>
      <c r="B75" s="20" t="s">
        <v>96</v>
      </c>
      <c r="C75" s="20" t="s">
        <v>114</v>
      </c>
      <c r="D75" s="20" t="s">
        <v>762</v>
      </c>
      <c r="E75" s="21">
        <v>4.8611111111111119E-2</v>
      </c>
      <c r="F75" s="20" t="s">
        <v>770</v>
      </c>
      <c r="G75" s="20" t="s">
        <v>717</v>
      </c>
      <c r="H75" s="20" t="s">
        <v>720</v>
      </c>
    </row>
    <row r="76" spans="1:8">
      <c r="A76" s="20" t="s">
        <v>113</v>
      </c>
      <c r="B76" s="20" t="s">
        <v>96</v>
      </c>
      <c r="C76" s="20" t="s">
        <v>114</v>
      </c>
      <c r="D76" s="20" t="s">
        <v>771</v>
      </c>
      <c r="E76" s="21">
        <v>6.25E-2</v>
      </c>
      <c r="F76" s="20" t="s">
        <v>770</v>
      </c>
      <c r="G76" s="20" t="s">
        <v>717</v>
      </c>
      <c r="H76" s="20" t="s">
        <v>720</v>
      </c>
    </row>
    <row r="77" spans="1:8">
      <c r="A77" s="20" t="s">
        <v>115</v>
      </c>
      <c r="B77" s="20" t="s">
        <v>96</v>
      </c>
      <c r="C77" s="20" t="s">
        <v>116</v>
      </c>
      <c r="D77" s="20" t="s">
        <v>721</v>
      </c>
      <c r="E77" s="21">
        <v>0.59285714285714286</v>
      </c>
      <c r="F77" s="20" t="s">
        <v>769</v>
      </c>
      <c r="G77" s="20" t="s">
        <v>717</v>
      </c>
      <c r="H77" s="20" t="s">
        <v>730</v>
      </c>
    </row>
    <row r="78" spans="1:8">
      <c r="A78" s="20" t="s">
        <v>115</v>
      </c>
      <c r="B78" s="20" t="s">
        <v>96</v>
      </c>
      <c r="C78" s="20" t="s">
        <v>116</v>
      </c>
      <c r="D78" s="20" t="s">
        <v>722</v>
      </c>
      <c r="E78" s="21">
        <v>0.17857142857142849</v>
      </c>
      <c r="F78" s="20" t="s">
        <v>770</v>
      </c>
      <c r="G78" s="20" t="s">
        <v>717</v>
      </c>
      <c r="H78" s="20" t="s">
        <v>730</v>
      </c>
    </row>
    <row r="79" spans="1:8">
      <c r="A79" s="20" t="s">
        <v>115</v>
      </c>
      <c r="B79" s="20" t="s">
        <v>96</v>
      </c>
      <c r="C79" s="20" t="s">
        <v>116</v>
      </c>
      <c r="D79" s="20" t="s">
        <v>727</v>
      </c>
      <c r="E79" s="21">
        <v>0.1142857142857143</v>
      </c>
      <c r="F79" s="20" t="s">
        <v>770</v>
      </c>
      <c r="G79" s="20" t="s">
        <v>717</v>
      </c>
      <c r="H79" s="20" t="s">
        <v>730</v>
      </c>
    </row>
    <row r="80" spans="1:8">
      <c r="A80" s="20" t="s">
        <v>115</v>
      </c>
      <c r="B80" s="20" t="s">
        <v>96</v>
      </c>
      <c r="C80" s="20" t="s">
        <v>116</v>
      </c>
      <c r="D80" s="20" t="s">
        <v>762</v>
      </c>
      <c r="E80" s="21">
        <v>0.05</v>
      </c>
      <c r="F80" s="20" t="s">
        <v>770</v>
      </c>
      <c r="G80" s="20" t="s">
        <v>717</v>
      </c>
      <c r="H80" s="20" t="s">
        <v>730</v>
      </c>
    </row>
    <row r="81" spans="1:8">
      <c r="A81" s="20" t="s">
        <v>115</v>
      </c>
      <c r="B81" s="20" t="s">
        <v>96</v>
      </c>
      <c r="C81" s="20" t="s">
        <v>116</v>
      </c>
      <c r="D81" s="20" t="s">
        <v>771</v>
      </c>
      <c r="E81" s="21">
        <v>6.4285714285714279E-2</v>
      </c>
      <c r="F81" s="20" t="s">
        <v>770</v>
      </c>
      <c r="G81" s="20" t="s">
        <v>717</v>
      </c>
      <c r="H81" s="20" t="s">
        <v>730</v>
      </c>
    </row>
    <row r="82" spans="1:8">
      <c r="A82" s="20" t="s">
        <v>117</v>
      </c>
      <c r="B82" s="20" t="s">
        <v>96</v>
      </c>
      <c r="C82" s="20" t="s">
        <v>118</v>
      </c>
      <c r="D82" s="20" t="s">
        <v>721</v>
      </c>
      <c r="E82" s="21">
        <v>0.45833333333333331</v>
      </c>
      <c r="F82" s="20" t="s">
        <v>769</v>
      </c>
      <c r="G82" s="20" t="s">
        <v>717</v>
      </c>
      <c r="H82" s="20" t="s">
        <v>720</v>
      </c>
    </row>
    <row r="83" spans="1:8">
      <c r="A83" s="20" t="s">
        <v>117</v>
      </c>
      <c r="B83" s="20" t="s">
        <v>96</v>
      </c>
      <c r="C83" s="20" t="s">
        <v>118</v>
      </c>
      <c r="D83" s="20" t="s">
        <v>722</v>
      </c>
      <c r="E83" s="21">
        <v>0.29861111111111122</v>
      </c>
      <c r="F83" s="20" t="s">
        <v>770</v>
      </c>
      <c r="G83" s="20" t="s">
        <v>717</v>
      </c>
      <c r="H83" s="20" t="s">
        <v>720</v>
      </c>
    </row>
    <row r="84" spans="1:8">
      <c r="A84" s="20" t="s">
        <v>117</v>
      </c>
      <c r="B84" s="20" t="s">
        <v>96</v>
      </c>
      <c r="C84" s="20" t="s">
        <v>118</v>
      </c>
      <c r="D84" s="20" t="s">
        <v>727</v>
      </c>
      <c r="E84" s="21">
        <v>0.13194444444444439</v>
      </c>
      <c r="F84" s="20" t="s">
        <v>770</v>
      </c>
      <c r="G84" s="20" t="s">
        <v>717</v>
      </c>
      <c r="H84" s="20" t="s">
        <v>720</v>
      </c>
    </row>
    <row r="85" spans="1:8">
      <c r="A85" s="20" t="s">
        <v>117</v>
      </c>
      <c r="B85" s="20" t="s">
        <v>96</v>
      </c>
      <c r="C85" s="20" t="s">
        <v>118</v>
      </c>
      <c r="D85" s="20" t="s">
        <v>762</v>
      </c>
      <c r="E85" s="21">
        <v>4.8611111111111119E-2</v>
      </c>
      <c r="F85" s="20" t="s">
        <v>770</v>
      </c>
      <c r="G85" s="20" t="s">
        <v>717</v>
      </c>
      <c r="H85" s="20" t="s">
        <v>720</v>
      </c>
    </row>
    <row r="86" spans="1:8">
      <c r="A86" s="20" t="s">
        <v>117</v>
      </c>
      <c r="B86" s="20" t="s">
        <v>96</v>
      </c>
      <c r="C86" s="20" t="s">
        <v>118</v>
      </c>
      <c r="D86" s="20" t="s">
        <v>771</v>
      </c>
      <c r="E86" s="21">
        <v>6.25E-2</v>
      </c>
      <c r="F86" s="20" t="s">
        <v>770</v>
      </c>
      <c r="G86" s="20" t="s">
        <v>717</v>
      </c>
      <c r="H86" s="20" t="s">
        <v>720</v>
      </c>
    </row>
    <row r="87" spans="1:8">
      <c r="A87" s="20" t="s">
        <v>119</v>
      </c>
      <c r="B87" s="20" t="s">
        <v>96</v>
      </c>
      <c r="C87" s="20" t="s">
        <v>120</v>
      </c>
      <c r="D87" s="20" t="s">
        <v>721</v>
      </c>
      <c r="E87" s="21">
        <v>0.51079136690647486</v>
      </c>
      <c r="F87" s="20" t="s">
        <v>769</v>
      </c>
      <c r="G87" s="20" t="s">
        <v>717</v>
      </c>
      <c r="H87" s="20" t="s">
        <v>720</v>
      </c>
    </row>
    <row r="88" spans="1:8">
      <c r="A88" s="20" t="s">
        <v>119</v>
      </c>
      <c r="B88" s="20" t="s">
        <v>96</v>
      </c>
      <c r="C88" s="20" t="s">
        <v>120</v>
      </c>
      <c r="D88" s="20" t="s">
        <v>722</v>
      </c>
      <c r="E88" s="21">
        <v>0.17985611510791369</v>
      </c>
      <c r="F88" s="20" t="s">
        <v>770</v>
      </c>
      <c r="G88" s="20" t="s">
        <v>717</v>
      </c>
      <c r="H88" s="20" t="s">
        <v>720</v>
      </c>
    </row>
    <row r="89" spans="1:8">
      <c r="A89" s="20" t="s">
        <v>119</v>
      </c>
      <c r="B89" s="20" t="s">
        <v>96</v>
      </c>
      <c r="C89" s="20" t="s">
        <v>120</v>
      </c>
      <c r="D89" s="20" t="s">
        <v>727</v>
      </c>
      <c r="E89" s="21">
        <v>0.1366906474820144</v>
      </c>
      <c r="F89" s="20" t="s">
        <v>770</v>
      </c>
      <c r="G89" s="20" t="s">
        <v>717</v>
      </c>
      <c r="H89" s="20" t="s">
        <v>720</v>
      </c>
    </row>
    <row r="90" spans="1:8">
      <c r="A90" s="20" t="s">
        <v>119</v>
      </c>
      <c r="B90" s="20" t="s">
        <v>96</v>
      </c>
      <c r="C90" s="20" t="s">
        <v>120</v>
      </c>
      <c r="D90" s="20" t="s">
        <v>762</v>
      </c>
      <c r="E90" s="21">
        <v>0.1079136690647482</v>
      </c>
      <c r="F90" s="20" t="s">
        <v>770</v>
      </c>
      <c r="G90" s="20" t="s">
        <v>717</v>
      </c>
      <c r="H90" s="20" t="s">
        <v>720</v>
      </c>
    </row>
    <row r="91" spans="1:8">
      <c r="A91" s="20" t="s">
        <v>119</v>
      </c>
      <c r="B91" s="20" t="s">
        <v>96</v>
      </c>
      <c r="C91" s="20" t="s">
        <v>120</v>
      </c>
      <c r="D91" s="20" t="s">
        <v>771</v>
      </c>
      <c r="E91" s="21">
        <v>6.4748201438848921E-2</v>
      </c>
      <c r="F91" s="20" t="s">
        <v>770</v>
      </c>
      <c r="G91" s="20" t="s">
        <v>717</v>
      </c>
      <c r="H91" s="20" t="s">
        <v>720</v>
      </c>
    </row>
    <row r="92" spans="1:8">
      <c r="A92" s="20" t="s">
        <v>121</v>
      </c>
      <c r="B92" s="20" t="s">
        <v>96</v>
      </c>
      <c r="C92" s="20" t="s">
        <v>122</v>
      </c>
      <c r="D92" s="20" t="s">
        <v>721</v>
      </c>
      <c r="E92" s="21">
        <v>0.45833333333333331</v>
      </c>
      <c r="F92" s="20" t="s">
        <v>769</v>
      </c>
      <c r="G92" s="20" t="s">
        <v>717</v>
      </c>
      <c r="H92" s="20" t="s">
        <v>720</v>
      </c>
    </row>
    <row r="93" spans="1:8">
      <c r="A93" s="20" t="s">
        <v>121</v>
      </c>
      <c r="B93" s="20" t="s">
        <v>96</v>
      </c>
      <c r="C93" s="20" t="s">
        <v>122</v>
      </c>
      <c r="D93" s="20" t="s">
        <v>722</v>
      </c>
      <c r="E93" s="21">
        <v>0.29861111111111122</v>
      </c>
      <c r="F93" s="20" t="s">
        <v>770</v>
      </c>
      <c r="G93" s="20" t="s">
        <v>717</v>
      </c>
      <c r="H93" s="20" t="s">
        <v>720</v>
      </c>
    </row>
    <row r="94" spans="1:8">
      <c r="A94" s="20" t="s">
        <v>121</v>
      </c>
      <c r="B94" s="20" t="s">
        <v>96</v>
      </c>
      <c r="C94" s="20" t="s">
        <v>122</v>
      </c>
      <c r="D94" s="20" t="s">
        <v>727</v>
      </c>
      <c r="E94" s="21">
        <v>0.13194444444444439</v>
      </c>
      <c r="F94" s="20" t="s">
        <v>770</v>
      </c>
      <c r="G94" s="20" t="s">
        <v>717</v>
      </c>
      <c r="H94" s="20" t="s">
        <v>720</v>
      </c>
    </row>
    <row r="95" spans="1:8">
      <c r="A95" s="20" t="s">
        <v>121</v>
      </c>
      <c r="B95" s="20" t="s">
        <v>96</v>
      </c>
      <c r="C95" s="20" t="s">
        <v>122</v>
      </c>
      <c r="D95" s="20" t="s">
        <v>762</v>
      </c>
      <c r="E95" s="21">
        <v>4.8611111111111119E-2</v>
      </c>
      <c r="F95" s="20" t="s">
        <v>770</v>
      </c>
      <c r="G95" s="20" t="s">
        <v>717</v>
      </c>
      <c r="H95" s="20" t="s">
        <v>720</v>
      </c>
    </row>
    <row r="96" spans="1:8">
      <c r="A96" s="20" t="s">
        <v>121</v>
      </c>
      <c r="B96" s="20" t="s">
        <v>96</v>
      </c>
      <c r="C96" s="20" t="s">
        <v>122</v>
      </c>
      <c r="D96" s="20" t="s">
        <v>771</v>
      </c>
      <c r="E96" s="21">
        <v>6.25E-2</v>
      </c>
      <c r="F96" s="20" t="s">
        <v>770</v>
      </c>
      <c r="G96" s="20" t="s">
        <v>717</v>
      </c>
      <c r="H96" s="20" t="s">
        <v>720</v>
      </c>
    </row>
    <row r="97" spans="1:8">
      <c r="A97" s="20" t="s">
        <v>123</v>
      </c>
      <c r="B97" s="20" t="s">
        <v>96</v>
      </c>
      <c r="C97" s="20" t="s">
        <v>124</v>
      </c>
      <c r="D97" s="20" t="s">
        <v>721</v>
      </c>
      <c r="E97" s="21">
        <v>0.59285714285714286</v>
      </c>
      <c r="F97" s="20" t="s">
        <v>769</v>
      </c>
      <c r="G97" s="20" t="s">
        <v>717</v>
      </c>
      <c r="H97" s="20" t="s">
        <v>730</v>
      </c>
    </row>
    <row r="98" spans="1:8">
      <c r="A98" s="20" t="s">
        <v>123</v>
      </c>
      <c r="B98" s="20" t="s">
        <v>96</v>
      </c>
      <c r="C98" s="20" t="s">
        <v>124</v>
      </c>
      <c r="D98" s="20" t="s">
        <v>722</v>
      </c>
      <c r="E98" s="21">
        <v>0.17857142857142849</v>
      </c>
      <c r="F98" s="20" t="s">
        <v>770</v>
      </c>
      <c r="G98" s="20" t="s">
        <v>717</v>
      </c>
      <c r="H98" s="20" t="s">
        <v>730</v>
      </c>
    </row>
    <row r="99" spans="1:8">
      <c r="A99" s="20" t="s">
        <v>123</v>
      </c>
      <c r="B99" s="20" t="s">
        <v>96</v>
      </c>
      <c r="C99" s="20" t="s">
        <v>124</v>
      </c>
      <c r="D99" s="20" t="s">
        <v>727</v>
      </c>
      <c r="E99" s="21">
        <v>0.1142857142857143</v>
      </c>
      <c r="F99" s="20" t="s">
        <v>770</v>
      </c>
      <c r="G99" s="20" t="s">
        <v>717</v>
      </c>
      <c r="H99" s="20" t="s">
        <v>730</v>
      </c>
    </row>
    <row r="100" spans="1:8">
      <c r="A100" s="20" t="s">
        <v>123</v>
      </c>
      <c r="B100" s="20" t="s">
        <v>96</v>
      </c>
      <c r="C100" s="20" t="s">
        <v>124</v>
      </c>
      <c r="D100" s="20" t="s">
        <v>762</v>
      </c>
      <c r="E100" s="21">
        <v>0.05</v>
      </c>
      <c r="F100" s="20" t="s">
        <v>770</v>
      </c>
      <c r="G100" s="20" t="s">
        <v>717</v>
      </c>
      <c r="H100" s="20" t="s">
        <v>730</v>
      </c>
    </row>
    <row r="101" spans="1:8">
      <c r="A101" s="20" t="s">
        <v>123</v>
      </c>
      <c r="B101" s="20" t="s">
        <v>96</v>
      </c>
      <c r="C101" s="20" t="s">
        <v>124</v>
      </c>
      <c r="D101" s="20" t="s">
        <v>771</v>
      </c>
      <c r="E101" s="21">
        <v>6.4285714285714279E-2</v>
      </c>
      <c r="F101" s="20" t="s">
        <v>770</v>
      </c>
      <c r="G101" s="20" t="s">
        <v>717</v>
      </c>
      <c r="H101" s="20" t="s">
        <v>730</v>
      </c>
    </row>
    <row r="102" spans="1:8">
      <c r="A102" s="20" t="s">
        <v>125</v>
      </c>
      <c r="B102" s="20" t="s">
        <v>96</v>
      </c>
      <c r="C102" s="20" t="s">
        <v>126</v>
      </c>
      <c r="D102" s="20" t="s">
        <v>721</v>
      </c>
      <c r="E102" s="21">
        <v>0.59285714285714286</v>
      </c>
      <c r="F102" s="20" t="s">
        <v>769</v>
      </c>
      <c r="G102" s="20" t="s">
        <v>717</v>
      </c>
      <c r="H102" s="20" t="s">
        <v>730</v>
      </c>
    </row>
    <row r="103" spans="1:8">
      <c r="A103" s="20" t="s">
        <v>125</v>
      </c>
      <c r="B103" s="20" t="s">
        <v>96</v>
      </c>
      <c r="C103" s="20" t="s">
        <v>126</v>
      </c>
      <c r="D103" s="20" t="s">
        <v>722</v>
      </c>
      <c r="E103" s="21">
        <v>0.17857142857142849</v>
      </c>
      <c r="F103" s="20" t="s">
        <v>770</v>
      </c>
      <c r="G103" s="20" t="s">
        <v>717</v>
      </c>
      <c r="H103" s="20" t="s">
        <v>730</v>
      </c>
    </row>
    <row r="104" spans="1:8">
      <c r="A104" s="20" t="s">
        <v>125</v>
      </c>
      <c r="B104" s="20" t="s">
        <v>96</v>
      </c>
      <c r="C104" s="20" t="s">
        <v>126</v>
      </c>
      <c r="D104" s="20" t="s">
        <v>727</v>
      </c>
      <c r="E104" s="21">
        <v>0.1142857142857143</v>
      </c>
      <c r="F104" s="20" t="s">
        <v>770</v>
      </c>
      <c r="G104" s="20" t="s">
        <v>717</v>
      </c>
      <c r="H104" s="20" t="s">
        <v>730</v>
      </c>
    </row>
    <row r="105" spans="1:8">
      <c r="A105" s="20" t="s">
        <v>125</v>
      </c>
      <c r="B105" s="20" t="s">
        <v>96</v>
      </c>
      <c r="C105" s="20" t="s">
        <v>126</v>
      </c>
      <c r="D105" s="20" t="s">
        <v>762</v>
      </c>
      <c r="E105" s="21">
        <v>0.05</v>
      </c>
      <c r="F105" s="20" t="s">
        <v>770</v>
      </c>
      <c r="G105" s="20" t="s">
        <v>717</v>
      </c>
      <c r="H105" s="20" t="s">
        <v>730</v>
      </c>
    </row>
    <row r="106" spans="1:8">
      <c r="A106" s="20" t="s">
        <v>125</v>
      </c>
      <c r="B106" s="20" t="s">
        <v>96</v>
      </c>
      <c r="C106" s="20" t="s">
        <v>126</v>
      </c>
      <c r="D106" s="20" t="s">
        <v>771</v>
      </c>
      <c r="E106" s="21">
        <v>6.4285714285714279E-2</v>
      </c>
      <c r="F106" s="20" t="s">
        <v>770</v>
      </c>
      <c r="G106" s="20" t="s">
        <v>717</v>
      </c>
      <c r="H106" s="20" t="s">
        <v>730</v>
      </c>
    </row>
    <row r="107" spans="1:8">
      <c r="A107" s="20" t="s">
        <v>127</v>
      </c>
      <c r="B107" s="20" t="s">
        <v>128</v>
      </c>
      <c r="C107" s="20" t="s">
        <v>129</v>
      </c>
      <c r="D107" s="20" t="s">
        <v>721</v>
      </c>
      <c r="E107" s="21">
        <v>0.47333333333333327</v>
      </c>
      <c r="F107" s="20" t="s">
        <v>769</v>
      </c>
      <c r="G107" s="20" t="s">
        <v>717</v>
      </c>
      <c r="H107" s="20" t="s">
        <v>726</v>
      </c>
    </row>
    <row r="108" spans="1:8">
      <c r="A108" s="20" t="s">
        <v>127</v>
      </c>
      <c r="B108" s="20" t="s">
        <v>128</v>
      </c>
      <c r="C108" s="20" t="s">
        <v>129</v>
      </c>
      <c r="D108" s="20" t="s">
        <v>722</v>
      </c>
      <c r="E108" s="21">
        <v>0.22000000000000011</v>
      </c>
      <c r="F108" s="20" t="s">
        <v>770</v>
      </c>
      <c r="G108" s="20" t="s">
        <v>717</v>
      </c>
      <c r="H108" s="20" t="s">
        <v>726</v>
      </c>
    </row>
    <row r="109" spans="1:8">
      <c r="A109" s="20" t="s">
        <v>127</v>
      </c>
      <c r="B109" s="20" t="s">
        <v>128</v>
      </c>
      <c r="C109" s="20" t="s">
        <v>129</v>
      </c>
      <c r="D109" s="20" t="s">
        <v>727</v>
      </c>
      <c r="E109" s="21">
        <v>0.14000000000000001</v>
      </c>
      <c r="F109" s="20" t="s">
        <v>770</v>
      </c>
      <c r="G109" s="20" t="s">
        <v>717</v>
      </c>
      <c r="H109" s="20" t="s">
        <v>726</v>
      </c>
    </row>
    <row r="110" spans="1:8">
      <c r="A110" s="20" t="s">
        <v>127</v>
      </c>
      <c r="B110" s="20" t="s">
        <v>128</v>
      </c>
      <c r="C110" s="20" t="s">
        <v>129</v>
      </c>
      <c r="D110" s="20" t="s">
        <v>762</v>
      </c>
      <c r="E110" s="21">
        <v>0.08</v>
      </c>
      <c r="F110" s="20" t="s">
        <v>770</v>
      </c>
      <c r="G110" s="20" t="s">
        <v>717</v>
      </c>
      <c r="H110" s="20" t="s">
        <v>726</v>
      </c>
    </row>
    <row r="111" spans="1:8">
      <c r="A111" s="20" t="s">
        <v>127</v>
      </c>
      <c r="B111" s="20" t="s">
        <v>128</v>
      </c>
      <c r="C111" s="20" t="s">
        <v>129</v>
      </c>
      <c r="D111" s="20" t="s">
        <v>771</v>
      </c>
      <c r="E111" s="21">
        <v>8.666666666666667E-2</v>
      </c>
      <c r="F111" s="20" t="s">
        <v>770</v>
      </c>
      <c r="G111" s="20" t="s">
        <v>717</v>
      </c>
      <c r="H111" s="20" t="s">
        <v>726</v>
      </c>
    </row>
    <row r="112" spans="1:8">
      <c r="A112" s="20" t="s">
        <v>138</v>
      </c>
      <c r="B112" s="20" t="s">
        <v>128</v>
      </c>
      <c r="C112" s="20" t="s">
        <v>139</v>
      </c>
      <c r="D112" s="20" t="s">
        <v>721</v>
      </c>
      <c r="E112" s="21">
        <v>0.48529411764705871</v>
      </c>
      <c r="F112" s="20" t="s">
        <v>769</v>
      </c>
      <c r="G112" s="20" t="s">
        <v>717</v>
      </c>
      <c r="H112" s="20" t="s">
        <v>720</v>
      </c>
    </row>
    <row r="113" spans="1:8">
      <c r="A113" s="20" t="s">
        <v>138</v>
      </c>
      <c r="B113" s="20" t="s">
        <v>128</v>
      </c>
      <c r="C113" s="20" t="s">
        <v>139</v>
      </c>
      <c r="D113" s="20" t="s">
        <v>722</v>
      </c>
      <c r="E113" s="21">
        <v>0.25735294117647062</v>
      </c>
      <c r="F113" s="20" t="s">
        <v>770</v>
      </c>
      <c r="G113" s="20" t="s">
        <v>717</v>
      </c>
      <c r="H113" s="20" t="s">
        <v>720</v>
      </c>
    </row>
    <row r="114" spans="1:8">
      <c r="A114" s="20" t="s">
        <v>138</v>
      </c>
      <c r="B114" s="20" t="s">
        <v>128</v>
      </c>
      <c r="C114" s="20" t="s">
        <v>139</v>
      </c>
      <c r="D114" s="20" t="s">
        <v>727</v>
      </c>
      <c r="E114" s="21">
        <v>0.13970588235294121</v>
      </c>
      <c r="F114" s="20" t="s">
        <v>770</v>
      </c>
      <c r="G114" s="20" t="s">
        <v>717</v>
      </c>
      <c r="H114" s="20" t="s">
        <v>720</v>
      </c>
    </row>
    <row r="115" spans="1:8">
      <c r="A115" s="20" t="s">
        <v>138</v>
      </c>
      <c r="B115" s="20" t="s">
        <v>128</v>
      </c>
      <c r="C115" s="20" t="s">
        <v>139</v>
      </c>
      <c r="D115" s="20" t="s">
        <v>762</v>
      </c>
      <c r="E115" s="21">
        <v>5.1470588235294122E-2</v>
      </c>
      <c r="F115" s="20" t="s">
        <v>770</v>
      </c>
      <c r="G115" s="20" t="s">
        <v>717</v>
      </c>
      <c r="H115" s="20" t="s">
        <v>720</v>
      </c>
    </row>
    <row r="116" spans="1:8">
      <c r="A116" s="20" t="s">
        <v>138</v>
      </c>
      <c r="B116" s="20" t="s">
        <v>128</v>
      </c>
      <c r="C116" s="20" t="s">
        <v>139</v>
      </c>
      <c r="D116" s="20" t="s">
        <v>771</v>
      </c>
      <c r="E116" s="21">
        <v>6.6176470588235281E-2</v>
      </c>
      <c r="F116" s="20" t="s">
        <v>770</v>
      </c>
      <c r="G116" s="20" t="s">
        <v>717</v>
      </c>
      <c r="H116" s="20" t="s">
        <v>720</v>
      </c>
    </row>
    <row r="117" spans="1:8">
      <c r="A117" s="20" t="s">
        <v>140</v>
      </c>
      <c r="B117" s="20" t="s">
        <v>128</v>
      </c>
      <c r="C117" s="20" t="s">
        <v>141</v>
      </c>
      <c r="D117" s="20" t="s">
        <v>721</v>
      </c>
      <c r="E117" s="21">
        <v>0.41772151898734172</v>
      </c>
      <c r="F117" s="20" t="s">
        <v>769</v>
      </c>
      <c r="G117" s="20" t="s">
        <v>717</v>
      </c>
      <c r="H117" s="20" t="s">
        <v>726</v>
      </c>
    </row>
    <row r="118" spans="1:8">
      <c r="A118" s="20" t="s">
        <v>140</v>
      </c>
      <c r="B118" s="20" t="s">
        <v>128</v>
      </c>
      <c r="C118" s="20" t="s">
        <v>141</v>
      </c>
      <c r="D118" s="20" t="s">
        <v>722</v>
      </c>
      <c r="E118" s="21">
        <v>0.27215189873417722</v>
      </c>
      <c r="F118" s="20" t="s">
        <v>770</v>
      </c>
      <c r="G118" s="20" t="s">
        <v>717</v>
      </c>
      <c r="H118" s="20" t="s">
        <v>726</v>
      </c>
    </row>
    <row r="119" spans="1:8">
      <c r="A119" s="20" t="s">
        <v>140</v>
      </c>
      <c r="B119" s="20" t="s">
        <v>128</v>
      </c>
      <c r="C119" s="20" t="s">
        <v>141</v>
      </c>
      <c r="D119" s="20" t="s">
        <v>727</v>
      </c>
      <c r="E119" s="21">
        <v>0.1012658227848101</v>
      </c>
      <c r="F119" s="20" t="s">
        <v>770</v>
      </c>
      <c r="G119" s="20" t="s">
        <v>717</v>
      </c>
      <c r="H119" s="20" t="s">
        <v>726</v>
      </c>
    </row>
    <row r="120" spans="1:8">
      <c r="A120" s="20" t="s">
        <v>140</v>
      </c>
      <c r="B120" s="20" t="s">
        <v>128</v>
      </c>
      <c r="C120" s="20" t="s">
        <v>141</v>
      </c>
      <c r="D120" s="20" t="s">
        <v>762</v>
      </c>
      <c r="E120" s="21">
        <v>0.12658227848101269</v>
      </c>
      <c r="F120" s="20" t="s">
        <v>770</v>
      </c>
      <c r="G120" s="20" t="s">
        <v>717</v>
      </c>
      <c r="H120" s="20" t="s">
        <v>726</v>
      </c>
    </row>
    <row r="121" spans="1:8">
      <c r="A121" s="20" t="s">
        <v>140</v>
      </c>
      <c r="B121" s="20" t="s">
        <v>128</v>
      </c>
      <c r="C121" s="20" t="s">
        <v>141</v>
      </c>
      <c r="D121" s="20" t="s">
        <v>771</v>
      </c>
      <c r="E121" s="21">
        <v>8.2278481012658222E-2</v>
      </c>
      <c r="F121" s="20" t="s">
        <v>770</v>
      </c>
      <c r="G121" s="20" t="s">
        <v>717</v>
      </c>
      <c r="H121" s="20" t="s">
        <v>726</v>
      </c>
    </row>
    <row r="122" spans="1:8">
      <c r="A122" s="20" t="s">
        <v>142</v>
      </c>
      <c r="B122" s="20" t="s">
        <v>128</v>
      </c>
      <c r="C122" s="20" t="s">
        <v>128</v>
      </c>
      <c r="D122" s="20" t="s">
        <v>721</v>
      </c>
      <c r="E122" s="21">
        <v>0.51079136690647486</v>
      </c>
      <c r="F122" s="20" t="s">
        <v>769</v>
      </c>
      <c r="G122" s="20" t="s">
        <v>717</v>
      </c>
      <c r="H122" s="20" t="s">
        <v>720</v>
      </c>
    </row>
    <row r="123" spans="1:8">
      <c r="A123" s="20" t="s">
        <v>142</v>
      </c>
      <c r="B123" s="20" t="s">
        <v>128</v>
      </c>
      <c r="C123" s="20" t="s">
        <v>128</v>
      </c>
      <c r="D123" s="20" t="s">
        <v>722</v>
      </c>
      <c r="E123" s="21">
        <v>0.17985611510791369</v>
      </c>
      <c r="F123" s="20" t="s">
        <v>770</v>
      </c>
      <c r="G123" s="20" t="s">
        <v>717</v>
      </c>
      <c r="H123" s="20" t="s">
        <v>720</v>
      </c>
    </row>
    <row r="124" spans="1:8">
      <c r="A124" s="20" t="s">
        <v>142</v>
      </c>
      <c r="B124" s="20" t="s">
        <v>128</v>
      </c>
      <c r="C124" s="20" t="s">
        <v>128</v>
      </c>
      <c r="D124" s="20" t="s">
        <v>727</v>
      </c>
      <c r="E124" s="21">
        <v>0.1366906474820144</v>
      </c>
      <c r="F124" s="20" t="s">
        <v>770</v>
      </c>
      <c r="G124" s="20" t="s">
        <v>717</v>
      </c>
      <c r="H124" s="20" t="s">
        <v>720</v>
      </c>
    </row>
    <row r="125" spans="1:8">
      <c r="A125" s="20" t="s">
        <v>142</v>
      </c>
      <c r="B125" s="20" t="s">
        <v>128</v>
      </c>
      <c r="C125" s="20" t="s">
        <v>128</v>
      </c>
      <c r="D125" s="20" t="s">
        <v>762</v>
      </c>
      <c r="E125" s="21">
        <v>0.1079136690647482</v>
      </c>
      <c r="F125" s="20" t="s">
        <v>770</v>
      </c>
      <c r="G125" s="20" t="s">
        <v>717</v>
      </c>
      <c r="H125" s="20" t="s">
        <v>720</v>
      </c>
    </row>
    <row r="126" spans="1:8">
      <c r="A126" s="20" t="s">
        <v>142</v>
      </c>
      <c r="B126" s="20" t="s">
        <v>128</v>
      </c>
      <c r="C126" s="20" t="s">
        <v>128</v>
      </c>
      <c r="D126" s="20" t="s">
        <v>771</v>
      </c>
      <c r="E126" s="21">
        <v>6.4748201438848921E-2</v>
      </c>
      <c r="F126" s="20" t="s">
        <v>770</v>
      </c>
      <c r="G126" s="20" t="s">
        <v>717</v>
      </c>
      <c r="H126" s="20" t="s">
        <v>720</v>
      </c>
    </row>
    <row r="127" spans="1:8">
      <c r="A127" s="20" t="s">
        <v>143</v>
      </c>
      <c r="B127" s="20" t="s">
        <v>128</v>
      </c>
      <c r="C127" s="20" t="s">
        <v>144</v>
      </c>
      <c r="D127" s="20" t="s">
        <v>721</v>
      </c>
      <c r="E127" s="21">
        <v>0.41772151898734172</v>
      </c>
      <c r="F127" s="20" t="s">
        <v>769</v>
      </c>
      <c r="G127" s="20" t="s">
        <v>717</v>
      </c>
      <c r="H127" s="20" t="s">
        <v>726</v>
      </c>
    </row>
    <row r="128" spans="1:8">
      <c r="A128" s="20" t="s">
        <v>143</v>
      </c>
      <c r="B128" s="20" t="s">
        <v>128</v>
      </c>
      <c r="C128" s="20" t="s">
        <v>144</v>
      </c>
      <c r="D128" s="20" t="s">
        <v>722</v>
      </c>
      <c r="E128" s="21">
        <v>0.27215189873417722</v>
      </c>
      <c r="F128" s="20" t="s">
        <v>770</v>
      </c>
      <c r="G128" s="20" t="s">
        <v>717</v>
      </c>
      <c r="H128" s="20" t="s">
        <v>726</v>
      </c>
    </row>
    <row r="129" spans="1:8">
      <c r="A129" s="20" t="s">
        <v>143</v>
      </c>
      <c r="B129" s="20" t="s">
        <v>128</v>
      </c>
      <c r="C129" s="20" t="s">
        <v>144</v>
      </c>
      <c r="D129" s="20" t="s">
        <v>727</v>
      </c>
      <c r="E129" s="21">
        <v>0.1012658227848101</v>
      </c>
      <c r="F129" s="20" t="s">
        <v>770</v>
      </c>
      <c r="G129" s="20" t="s">
        <v>717</v>
      </c>
      <c r="H129" s="20" t="s">
        <v>726</v>
      </c>
    </row>
    <row r="130" spans="1:8">
      <c r="A130" s="20" t="s">
        <v>143</v>
      </c>
      <c r="B130" s="20" t="s">
        <v>128</v>
      </c>
      <c r="C130" s="20" t="s">
        <v>144</v>
      </c>
      <c r="D130" s="20" t="s">
        <v>762</v>
      </c>
      <c r="E130" s="21">
        <v>0.12658227848101269</v>
      </c>
      <c r="F130" s="20" t="s">
        <v>770</v>
      </c>
      <c r="G130" s="20" t="s">
        <v>717</v>
      </c>
      <c r="H130" s="20" t="s">
        <v>726</v>
      </c>
    </row>
    <row r="131" spans="1:8">
      <c r="A131" s="20" t="s">
        <v>143</v>
      </c>
      <c r="B131" s="20" t="s">
        <v>128</v>
      </c>
      <c r="C131" s="20" t="s">
        <v>144</v>
      </c>
      <c r="D131" s="20" t="s">
        <v>771</v>
      </c>
      <c r="E131" s="21">
        <v>8.2278481012658222E-2</v>
      </c>
      <c r="F131" s="20" t="s">
        <v>770</v>
      </c>
      <c r="G131" s="20" t="s">
        <v>717</v>
      </c>
      <c r="H131" s="20" t="s">
        <v>726</v>
      </c>
    </row>
    <row r="132" spans="1:8">
      <c r="A132" s="20" t="s">
        <v>145</v>
      </c>
      <c r="B132" s="20" t="s">
        <v>128</v>
      </c>
      <c r="C132" s="20" t="s">
        <v>146</v>
      </c>
      <c r="D132" s="20" t="s">
        <v>721</v>
      </c>
      <c r="E132" s="21">
        <v>0.48529411764705871</v>
      </c>
      <c r="F132" s="20" t="s">
        <v>769</v>
      </c>
      <c r="G132" s="20" t="s">
        <v>717</v>
      </c>
      <c r="H132" s="20" t="s">
        <v>720</v>
      </c>
    </row>
    <row r="133" spans="1:8">
      <c r="A133" s="20" t="s">
        <v>145</v>
      </c>
      <c r="B133" s="20" t="s">
        <v>128</v>
      </c>
      <c r="C133" s="20" t="s">
        <v>146</v>
      </c>
      <c r="D133" s="20" t="s">
        <v>722</v>
      </c>
      <c r="E133" s="21">
        <v>0.25735294117647062</v>
      </c>
      <c r="F133" s="20" t="s">
        <v>770</v>
      </c>
      <c r="G133" s="20" t="s">
        <v>717</v>
      </c>
      <c r="H133" s="20" t="s">
        <v>720</v>
      </c>
    </row>
    <row r="134" spans="1:8">
      <c r="A134" s="20" t="s">
        <v>145</v>
      </c>
      <c r="B134" s="20" t="s">
        <v>128</v>
      </c>
      <c r="C134" s="20" t="s">
        <v>146</v>
      </c>
      <c r="D134" s="20" t="s">
        <v>727</v>
      </c>
      <c r="E134" s="21">
        <v>0.13970588235294121</v>
      </c>
      <c r="F134" s="20" t="s">
        <v>770</v>
      </c>
      <c r="G134" s="20" t="s">
        <v>717</v>
      </c>
      <c r="H134" s="20" t="s">
        <v>720</v>
      </c>
    </row>
    <row r="135" spans="1:8">
      <c r="A135" s="20" t="s">
        <v>145</v>
      </c>
      <c r="B135" s="20" t="s">
        <v>128</v>
      </c>
      <c r="C135" s="20" t="s">
        <v>146</v>
      </c>
      <c r="D135" s="20" t="s">
        <v>762</v>
      </c>
      <c r="E135" s="21">
        <v>5.1470588235294122E-2</v>
      </c>
      <c r="F135" s="20" t="s">
        <v>770</v>
      </c>
      <c r="G135" s="20" t="s">
        <v>717</v>
      </c>
      <c r="H135" s="20" t="s">
        <v>720</v>
      </c>
    </row>
    <row r="136" spans="1:8">
      <c r="A136" s="20" t="s">
        <v>145</v>
      </c>
      <c r="B136" s="20" t="s">
        <v>128</v>
      </c>
      <c r="C136" s="20" t="s">
        <v>146</v>
      </c>
      <c r="D136" s="20" t="s">
        <v>771</v>
      </c>
      <c r="E136" s="21">
        <v>6.6176470588235281E-2</v>
      </c>
      <c r="F136" s="20" t="s">
        <v>770</v>
      </c>
      <c r="G136" s="20" t="s">
        <v>717</v>
      </c>
      <c r="H136" s="20" t="s">
        <v>720</v>
      </c>
    </row>
    <row r="137" spans="1:8">
      <c r="A137" s="20" t="s">
        <v>147</v>
      </c>
      <c r="B137" s="20" t="s">
        <v>128</v>
      </c>
      <c r="C137" s="20" t="s">
        <v>148</v>
      </c>
      <c r="D137" s="20" t="s">
        <v>721</v>
      </c>
      <c r="E137" s="21">
        <v>0.48529411764705871</v>
      </c>
      <c r="F137" s="20" t="s">
        <v>769</v>
      </c>
      <c r="G137" s="20" t="s">
        <v>717</v>
      </c>
      <c r="H137" s="20" t="s">
        <v>720</v>
      </c>
    </row>
    <row r="138" spans="1:8">
      <c r="A138" s="20" t="s">
        <v>147</v>
      </c>
      <c r="B138" s="20" t="s">
        <v>128</v>
      </c>
      <c r="C138" s="20" t="s">
        <v>148</v>
      </c>
      <c r="D138" s="20" t="s">
        <v>722</v>
      </c>
      <c r="E138" s="21">
        <v>0.25735294117647062</v>
      </c>
      <c r="F138" s="20" t="s">
        <v>770</v>
      </c>
      <c r="G138" s="20" t="s">
        <v>717</v>
      </c>
      <c r="H138" s="20" t="s">
        <v>720</v>
      </c>
    </row>
    <row r="139" spans="1:8">
      <c r="A139" s="20" t="s">
        <v>147</v>
      </c>
      <c r="B139" s="20" t="s">
        <v>128</v>
      </c>
      <c r="C139" s="20" t="s">
        <v>148</v>
      </c>
      <c r="D139" s="20" t="s">
        <v>727</v>
      </c>
      <c r="E139" s="21">
        <v>0.13970588235294121</v>
      </c>
      <c r="F139" s="20" t="s">
        <v>770</v>
      </c>
      <c r="G139" s="20" t="s">
        <v>717</v>
      </c>
      <c r="H139" s="20" t="s">
        <v>720</v>
      </c>
    </row>
    <row r="140" spans="1:8">
      <c r="A140" s="20" t="s">
        <v>147</v>
      </c>
      <c r="B140" s="20" t="s">
        <v>128</v>
      </c>
      <c r="C140" s="20" t="s">
        <v>148</v>
      </c>
      <c r="D140" s="20" t="s">
        <v>762</v>
      </c>
      <c r="E140" s="21">
        <v>5.1470588235294122E-2</v>
      </c>
      <c r="F140" s="20" t="s">
        <v>770</v>
      </c>
      <c r="G140" s="20" t="s">
        <v>717</v>
      </c>
      <c r="H140" s="20" t="s">
        <v>720</v>
      </c>
    </row>
    <row r="141" spans="1:8">
      <c r="A141" s="20" t="s">
        <v>147</v>
      </c>
      <c r="B141" s="20" t="s">
        <v>128</v>
      </c>
      <c r="C141" s="20" t="s">
        <v>148</v>
      </c>
      <c r="D141" s="20" t="s">
        <v>771</v>
      </c>
      <c r="E141" s="21">
        <v>6.6176470588235281E-2</v>
      </c>
      <c r="F141" s="20" t="s">
        <v>770</v>
      </c>
      <c r="G141" s="20" t="s">
        <v>717</v>
      </c>
      <c r="H141" s="20" t="s">
        <v>720</v>
      </c>
    </row>
    <row r="142" spans="1:8">
      <c r="A142" s="20" t="s">
        <v>149</v>
      </c>
      <c r="B142" s="20" t="s">
        <v>150</v>
      </c>
      <c r="C142" s="20" t="s">
        <v>151</v>
      </c>
      <c r="D142" s="20" t="s">
        <v>721</v>
      </c>
      <c r="E142" s="21">
        <v>0.45833333333333331</v>
      </c>
      <c r="F142" s="20" t="s">
        <v>769</v>
      </c>
      <c r="G142" s="20" t="s">
        <v>717</v>
      </c>
      <c r="H142" s="20" t="s">
        <v>720</v>
      </c>
    </row>
    <row r="143" spans="1:8">
      <c r="A143" s="20" t="s">
        <v>149</v>
      </c>
      <c r="B143" s="20" t="s">
        <v>150</v>
      </c>
      <c r="C143" s="20" t="s">
        <v>151</v>
      </c>
      <c r="D143" s="20" t="s">
        <v>722</v>
      </c>
      <c r="E143" s="21">
        <v>0.29861111111111122</v>
      </c>
      <c r="F143" s="20" t="s">
        <v>770</v>
      </c>
      <c r="G143" s="20" t="s">
        <v>717</v>
      </c>
      <c r="H143" s="20" t="s">
        <v>720</v>
      </c>
    </row>
    <row r="144" spans="1:8">
      <c r="A144" s="20" t="s">
        <v>149</v>
      </c>
      <c r="B144" s="20" t="s">
        <v>150</v>
      </c>
      <c r="C144" s="20" t="s">
        <v>151</v>
      </c>
      <c r="D144" s="20" t="s">
        <v>727</v>
      </c>
      <c r="E144" s="21">
        <v>0.13194444444444439</v>
      </c>
      <c r="F144" s="20" t="s">
        <v>770</v>
      </c>
      <c r="G144" s="20" t="s">
        <v>717</v>
      </c>
      <c r="H144" s="20" t="s">
        <v>720</v>
      </c>
    </row>
    <row r="145" spans="1:8">
      <c r="A145" s="20" t="s">
        <v>149</v>
      </c>
      <c r="B145" s="20" t="s">
        <v>150</v>
      </c>
      <c r="C145" s="20" t="s">
        <v>151</v>
      </c>
      <c r="D145" s="20" t="s">
        <v>762</v>
      </c>
      <c r="E145" s="21">
        <v>4.8611111111111119E-2</v>
      </c>
      <c r="F145" s="20" t="s">
        <v>770</v>
      </c>
      <c r="G145" s="20" t="s">
        <v>717</v>
      </c>
      <c r="H145" s="20" t="s">
        <v>720</v>
      </c>
    </row>
    <row r="146" spans="1:8">
      <c r="A146" s="20" t="s">
        <v>149</v>
      </c>
      <c r="B146" s="20" t="s">
        <v>150</v>
      </c>
      <c r="C146" s="20" t="s">
        <v>151</v>
      </c>
      <c r="D146" s="20" t="s">
        <v>771</v>
      </c>
      <c r="E146" s="21">
        <v>6.25E-2</v>
      </c>
      <c r="F146" s="20" t="s">
        <v>770</v>
      </c>
      <c r="G146" s="20" t="s">
        <v>717</v>
      </c>
      <c r="H146" s="20" t="s">
        <v>720</v>
      </c>
    </row>
    <row r="147" spans="1:8">
      <c r="A147" s="20" t="s">
        <v>158</v>
      </c>
      <c r="B147" s="20" t="s">
        <v>150</v>
      </c>
      <c r="C147" s="20" t="s">
        <v>159</v>
      </c>
      <c r="D147" s="20" t="s">
        <v>721</v>
      </c>
      <c r="E147" s="21">
        <v>0.45833333333333331</v>
      </c>
      <c r="F147" s="20" t="s">
        <v>769</v>
      </c>
      <c r="G147" s="20" t="s">
        <v>717</v>
      </c>
      <c r="H147" s="20" t="s">
        <v>720</v>
      </c>
    </row>
    <row r="148" spans="1:8">
      <c r="A148" s="20" t="s">
        <v>158</v>
      </c>
      <c r="B148" s="20" t="s">
        <v>150</v>
      </c>
      <c r="C148" s="20" t="s">
        <v>159</v>
      </c>
      <c r="D148" s="20" t="s">
        <v>722</v>
      </c>
      <c r="E148" s="21">
        <v>0.29861111111111122</v>
      </c>
      <c r="F148" s="20" t="s">
        <v>770</v>
      </c>
      <c r="G148" s="20" t="s">
        <v>717</v>
      </c>
      <c r="H148" s="20" t="s">
        <v>720</v>
      </c>
    </row>
    <row r="149" spans="1:8">
      <c r="A149" s="20" t="s">
        <v>158</v>
      </c>
      <c r="B149" s="20" t="s">
        <v>150</v>
      </c>
      <c r="C149" s="20" t="s">
        <v>159</v>
      </c>
      <c r="D149" s="20" t="s">
        <v>727</v>
      </c>
      <c r="E149" s="21">
        <v>0.13194444444444439</v>
      </c>
      <c r="F149" s="20" t="s">
        <v>770</v>
      </c>
      <c r="G149" s="20" t="s">
        <v>717</v>
      </c>
      <c r="H149" s="20" t="s">
        <v>720</v>
      </c>
    </row>
    <row r="150" spans="1:8">
      <c r="A150" s="20" t="s">
        <v>158</v>
      </c>
      <c r="B150" s="20" t="s">
        <v>150</v>
      </c>
      <c r="C150" s="20" t="s">
        <v>159</v>
      </c>
      <c r="D150" s="20" t="s">
        <v>762</v>
      </c>
      <c r="E150" s="21">
        <v>4.8611111111111119E-2</v>
      </c>
      <c r="F150" s="20" t="s">
        <v>770</v>
      </c>
      <c r="G150" s="20" t="s">
        <v>717</v>
      </c>
      <c r="H150" s="20" t="s">
        <v>720</v>
      </c>
    </row>
    <row r="151" spans="1:8">
      <c r="A151" s="20" t="s">
        <v>158</v>
      </c>
      <c r="B151" s="20" t="s">
        <v>150</v>
      </c>
      <c r="C151" s="20" t="s">
        <v>159</v>
      </c>
      <c r="D151" s="20" t="s">
        <v>771</v>
      </c>
      <c r="E151" s="21">
        <v>6.25E-2</v>
      </c>
      <c r="F151" s="20" t="s">
        <v>770</v>
      </c>
      <c r="G151" s="20" t="s">
        <v>717</v>
      </c>
      <c r="H151" s="20" t="s">
        <v>720</v>
      </c>
    </row>
    <row r="152" spans="1:8">
      <c r="A152" s="20" t="s">
        <v>160</v>
      </c>
      <c r="B152" s="20" t="s">
        <v>150</v>
      </c>
      <c r="C152" s="20" t="s">
        <v>161</v>
      </c>
      <c r="D152" s="20" t="s">
        <v>721</v>
      </c>
      <c r="E152" s="21">
        <v>0.45833333333333331</v>
      </c>
      <c r="F152" s="20" t="s">
        <v>769</v>
      </c>
      <c r="G152" s="20" t="s">
        <v>717</v>
      </c>
      <c r="H152" s="20" t="s">
        <v>720</v>
      </c>
    </row>
    <row r="153" spans="1:8">
      <c r="A153" s="20" t="s">
        <v>160</v>
      </c>
      <c r="B153" s="20" t="s">
        <v>150</v>
      </c>
      <c r="C153" s="20" t="s">
        <v>161</v>
      </c>
      <c r="D153" s="20" t="s">
        <v>722</v>
      </c>
      <c r="E153" s="21">
        <v>0.29861111111111122</v>
      </c>
      <c r="F153" s="20" t="s">
        <v>770</v>
      </c>
      <c r="G153" s="20" t="s">
        <v>717</v>
      </c>
      <c r="H153" s="20" t="s">
        <v>720</v>
      </c>
    </row>
    <row r="154" spans="1:8">
      <c r="A154" s="20" t="s">
        <v>160</v>
      </c>
      <c r="B154" s="20" t="s">
        <v>150</v>
      </c>
      <c r="C154" s="20" t="s">
        <v>161</v>
      </c>
      <c r="D154" s="20" t="s">
        <v>727</v>
      </c>
      <c r="E154" s="21">
        <v>0.13194444444444439</v>
      </c>
      <c r="F154" s="20" t="s">
        <v>770</v>
      </c>
      <c r="G154" s="20" t="s">
        <v>717</v>
      </c>
      <c r="H154" s="20" t="s">
        <v>720</v>
      </c>
    </row>
    <row r="155" spans="1:8">
      <c r="A155" s="20" t="s">
        <v>160</v>
      </c>
      <c r="B155" s="20" t="s">
        <v>150</v>
      </c>
      <c r="C155" s="20" t="s">
        <v>161</v>
      </c>
      <c r="D155" s="20" t="s">
        <v>762</v>
      </c>
      <c r="E155" s="21">
        <v>4.8611111111111119E-2</v>
      </c>
      <c r="F155" s="20" t="s">
        <v>770</v>
      </c>
      <c r="G155" s="20" t="s">
        <v>717</v>
      </c>
      <c r="H155" s="20" t="s">
        <v>720</v>
      </c>
    </row>
    <row r="156" spans="1:8">
      <c r="A156" s="20" t="s">
        <v>160</v>
      </c>
      <c r="B156" s="20" t="s">
        <v>150</v>
      </c>
      <c r="C156" s="20" t="s">
        <v>161</v>
      </c>
      <c r="D156" s="20" t="s">
        <v>771</v>
      </c>
      <c r="E156" s="21">
        <v>6.25E-2</v>
      </c>
      <c r="F156" s="20" t="s">
        <v>770</v>
      </c>
      <c r="G156" s="20" t="s">
        <v>717</v>
      </c>
      <c r="H156" s="20" t="s">
        <v>720</v>
      </c>
    </row>
    <row r="157" spans="1:8">
      <c r="A157" s="20" t="s">
        <v>162</v>
      </c>
      <c r="B157" s="20" t="s">
        <v>150</v>
      </c>
      <c r="C157" s="20" t="s">
        <v>163</v>
      </c>
      <c r="D157" s="20" t="s">
        <v>721</v>
      </c>
      <c r="E157" s="21">
        <v>0.46093749999999989</v>
      </c>
      <c r="F157" s="20" t="s">
        <v>769</v>
      </c>
      <c r="G157" s="20" t="s">
        <v>717</v>
      </c>
      <c r="H157" s="20" t="s">
        <v>720</v>
      </c>
    </row>
    <row r="158" spans="1:8">
      <c r="A158" s="20" t="s">
        <v>162</v>
      </c>
      <c r="B158" s="20" t="s">
        <v>150</v>
      </c>
      <c r="C158" s="20" t="s">
        <v>163</v>
      </c>
      <c r="D158" s="20" t="s">
        <v>722</v>
      </c>
      <c r="E158" s="21">
        <v>0.32031250000000011</v>
      </c>
      <c r="F158" s="20" t="s">
        <v>770</v>
      </c>
      <c r="G158" s="20" t="s">
        <v>717</v>
      </c>
      <c r="H158" s="20" t="s">
        <v>720</v>
      </c>
    </row>
    <row r="159" spans="1:8">
      <c r="A159" s="20" t="s">
        <v>162</v>
      </c>
      <c r="B159" s="20" t="s">
        <v>150</v>
      </c>
      <c r="C159" s="20" t="s">
        <v>163</v>
      </c>
      <c r="D159" s="20" t="s">
        <v>727</v>
      </c>
      <c r="E159" s="21">
        <v>0.125</v>
      </c>
      <c r="F159" s="20" t="s">
        <v>770</v>
      </c>
      <c r="G159" s="20" t="s">
        <v>717</v>
      </c>
      <c r="H159" s="20" t="s">
        <v>720</v>
      </c>
    </row>
    <row r="160" spans="1:8">
      <c r="A160" s="20" t="s">
        <v>162</v>
      </c>
      <c r="B160" s="20" t="s">
        <v>150</v>
      </c>
      <c r="C160" s="20" t="s">
        <v>163</v>
      </c>
      <c r="D160" s="20" t="s">
        <v>762</v>
      </c>
      <c r="E160" s="21">
        <v>5.4687500000000007E-2</v>
      </c>
      <c r="F160" s="20" t="s">
        <v>770</v>
      </c>
      <c r="G160" s="20" t="s">
        <v>717</v>
      </c>
      <c r="H160" s="20" t="s">
        <v>720</v>
      </c>
    </row>
    <row r="161" spans="1:8">
      <c r="A161" s="20" t="s">
        <v>162</v>
      </c>
      <c r="B161" s="20" t="s">
        <v>150</v>
      </c>
      <c r="C161" s="20" t="s">
        <v>163</v>
      </c>
      <c r="D161" s="20" t="s">
        <v>771</v>
      </c>
      <c r="E161" s="21">
        <v>3.9062500000000007E-2</v>
      </c>
      <c r="F161" s="20" t="s">
        <v>770</v>
      </c>
      <c r="G161" s="20" t="s">
        <v>717</v>
      </c>
      <c r="H161" s="20" t="s">
        <v>720</v>
      </c>
    </row>
    <row r="162" spans="1:8">
      <c r="A162" s="20" t="s">
        <v>164</v>
      </c>
      <c r="B162" s="20" t="s">
        <v>150</v>
      </c>
      <c r="C162" s="20" t="s">
        <v>165</v>
      </c>
      <c r="D162" s="20" t="s">
        <v>721</v>
      </c>
      <c r="E162" s="21">
        <v>0.51079136690647486</v>
      </c>
      <c r="F162" s="20" t="s">
        <v>769</v>
      </c>
      <c r="G162" s="20" t="s">
        <v>717</v>
      </c>
      <c r="H162" s="20" t="s">
        <v>720</v>
      </c>
    </row>
    <row r="163" spans="1:8">
      <c r="A163" s="20" t="s">
        <v>164</v>
      </c>
      <c r="B163" s="20" t="s">
        <v>150</v>
      </c>
      <c r="C163" s="20" t="s">
        <v>165</v>
      </c>
      <c r="D163" s="20" t="s">
        <v>722</v>
      </c>
      <c r="E163" s="21">
        <v>0.17985611510791369</v>
      </c>
      <c r="F163" s="20" t="s">
        <v>770</v>
      </c>
      <c r="G163" s="20" t="s">
        <v>717</v>
      </c>
      <c r="H163" s="20" t="s">
        <v>720</v>
      </c>
    </row>
    <row r="164" spans="1:8">
      <c r="A164" s="20" t="s">
        <v>164</v>
      </c>
      <c r="B164" s="20" t="s">
        <v>150</v>
      </c>
      <c r="C164" s="20" t="s">
        <v>165</v>
      </c>
      <c r="D164" s="20" t="s">
        <v>727</v>
      </c>
      <c r="E164" s="21">
        <v>0.1366906474820144</v>
      </c>
      <c r="F164" s="20" t="s">
        <v>770</v>
      </c>
      <c r="G164" s="20" t="s">
        <v>717</v>
      </c>
      <c r="H164" s="20" t="s">
        <v>720</v>
      </c>
    </row>
    <row r="165" spans="1:8">
      <c r="A165" s="20" t="s">
        <v>164</v>
      </c>
      <c r="B165" s="20" t="s">
        <v>150</v>
      </c>
      <c r="C165" s="20" t="s">
        <v>165</v>
      </c>
      <c r="D165" s="20" t="s">
        <v>762</v>
      </c>
      <c r="E165" s="21">
        <v>0.1079136690647482</v>
      </c>
      <c r="F165" s="20" t="s">
        <v>770</v>
      </c>
      <c r="G165" s="20" t="s">
        <v>717</v>
      </c>
      <c r="H165" s="20" t="s">
        <v>720</v>
      </c>
    </row>
    <row r="166" spans="1:8">
      <c r="A166" s="20" t="s">
        <v>164</v>
      </c>
      <c r="B166" s="20" t="s">
        <v>150</v>
      </c>
      <c r="C166" s="20" t="s">
        <v>165</v>
      </c>
      <c r="D166" s="20" t="s">
        <v>771</v>
      </c>
      <c r="E166" s="21">
        <v>6.4748201438848921E-2</v>
      </c>
      <c r="F166" s="20" t="s">
        <v>770</v>
      </c>
      <c r="G166" s="20" t="s">
        <v>717</v>
      </c>
      <c r="H166" s="20" t="s">
        <v>720</v>
      </c>
    </row>
    <row r="167" spans="1:8">
      <c r="A167" s="20" t="s">
        <v>166</v>
      </c>
      <c r="B167" s="20" t="s">
        <v>150</v>
      </c>
      <c r="C167" s="20" t="s">
        <v>167</v>
      </c>
      <c r="D167" s="20" t="s">
        <v>721</v>
      </c>
      <c r="E167" s="21">
        <v>0.45833333333333331</v>
      </c>
      <c r="F167" s="20" t="s">
        <v>769</v>
      </c>
      <c r="G167" s="20" t="s">
        <v>717</v>
      </c>
      <c r="H167" s="20" t="s">
        <v>720</v>
      </c>
    </row>
    <row r="168" spans="1:8">
      <c r="A168" s="20" t="s">
        <v>166</v>
      </c>
      <c r="B168" s="20" t="s">
        <v>150</v>
      </c>
      <c r="C168" s="20" t="s">
        <v>167</v>
      </c>
      <c r="D168" s="20" t="s">
        <v>722</v>
      </c>
      <c r="E168" s="21">
        <v>0.29861111111111122</v>
      </c>
      <c r="F168" s="20" t="s">
        <v>770</v>
      </c>
      <c r="G168" s="20" t="s">
        <v>717</v>
      </c>
      <c r="H168" s="20" t="s">
        <v>720</v>
      </c>
    </row>
    <row r="169" spans="1:8">
      <c r="A169" s="20" t="s">
        <v>166</v>
      </c>
      <c r="B169" s="20" t="s">
        <v>150</v>
      </c>
      <c r="C169" s="20" t="s">
        <v>167</v>
      </c>
      <c r="D169" s="20" t="s">
        <v>727</v>
      </c>
      <c r="E169" s="21">
        <v>0.13194444444444439</v>
      </c>
      <c r="F169" s="20" t="s">
        <v>770</v>
      </c>
      <c r="G169" s="20" t="s">
        <v>717</v>
      </c>
      <c r="H169" s="20" t="s">
        <v>720</v>
      </c>
    </row>
    <row r="170" spans="1:8">
      <c r="A170" s="20" t="s">
        <v>166</v>
      </c>
      <c r="B170" s="20" t="s">
        <v>150</v>
      </c>
      <c r="C170" s="20" t="s">
        <v>167</v>
      </c>
      <c r="D170" s="20" t="s">
        <v>762</v>
      </c>
      <c r="E170" s="21">
        <v>4.8611111111111119E-2</v>
      </c>
      <c r="F170" s="20" t="s">
        <v>770</v>
      </c>
      <c r="G170" s="20" t="s">
        <v>717</v>
      </c>
      <c r="H170" s="20" t="s">
        <v>720</v>
      </c>
    </row>
    <row r="171" spans="1:8">
      <c r="A171" s="20" t="s">
        <v>166</v>
      </c>
      <c r="B171" s="20" t="s">
        <v>150</v>
      </c>
      <c r="C171" s="20" t="s">
        <v>167</v>
      </c>
      <c r="D171" s="20" t="s">
        <v>771</v>
      </c>
      <c r="E171" s="21">
        <v>6.25E-2</v>
      </c>
      <c r="F171" s="20" t="s">
        <v>770</v>
      </c>
      <c r="G171" s="20" t="s">
        <v>717</v>
      </c>
      <c r="H171" s="20" t="s">
        <v>720</v>
      </c>
    </row>
    <row r="172" spans="1:8">
      <c r="A172" s="20" t="s">
        <v>168</v>
      </c>
      <c r="B172" s="20" t="s">
        <v>150</v>
      </c>
      <c r="C172" s="20" t="s">
        <v>169</v>
      </c>
      <c r="D172" s="20" t="s">
        <v>721</v>
      </c>
      <c r="E172" s="21">
        <v>0.53333333333333333</v>
      </c>
      <c r="F172" s="20" t="s">
        <v>769</v>
      </c>
      <c r="G172" s="20" t="s">
        <v>717</v>
      </c>
      <c r="H172" s="20" t="s">
        <v>720</v>
      </c>
    </row>
    <row r="173" spans="1:8">
      <c r="A173" s="20" t="s">
        <v>168</v>
      </c>
      <c r="B173" s="20" t="s">
        <v>150</v>
      </c>
      <c r="C173" s="20" t="s">
        <v>169</v>
      </c>
      <c r="D173" s="20" t="s">
        <v>722</v>
      </c>
      <c r="E173" s="21">
        <v>0.19166666666666671</v>
      </c>
      <c r="F173" s="20" t="s">
        <v>770</v>
      </c>
      <c r="G173" s="20" t="s">
        <v>717</v>
      </c>
      <c r="H173" s="20" t="s">
        <v>720</v>
      </c>
    </row>
    <row r="174" spans="1:8">
      <c r="A174" s="20" t="s">
        <v>168</v>
      </c>
      <c r="B174" s="20" t="s">
        <v>150</v>
      </c>
      <c r="C174" s="20" t="s">
        <v>169</v>
      </c>
      <c r="D174" s="20" t="s">
        <v>727</v>
      </c>
      <c r="E174" s="21">
        <v>0.17499999999999999</v>
      </c>
      <c r="F174" s="20" t="s">
        <v>770</v>
      </c>
      <c r="G174" s="20" t="s">
        <v>717</v>
      </c>
      <c r="H174" s="20" t="s">
        <v>720</v>
      </c>
    </row>
    <row r="175" spans="1:8">
      <c r="A175" s="20" t="s">
        <v>168</v>
      </c>
      <c r="B175" s="20" t="s">
        <v>150</v>
      </c>
      <c r="C175" s="20" t="s">
        <v>169</v>
      </c>
      <c r="D175" s="20" t="s">
        <v>762</v>
      </c>
      <c r="E175" s="21">
        <v>5.8333333333333341E-2</v>
      </c>
      <c r="F175" s="20" t="s">
        <v>770</v>
      </c>
      <c r="G175" s="20" t="s">
        <v>717</v>
      </c>
      <c r="H175" s="20" t="s">
        <v>720</v>
      </c>
    </row>
    <row r="176" spans="1:8">
      <c r="A176" s="20" t="s">
        <v>168</v>
      </c>
      <c r="B176" s="20" t="s">
        <v>150</v>
      </c>
      <c r="C176" s="20" t="s">
        <v>169</v>
      </c>
      <c r="D176" s="20" t="s">
        <v>771</v>
      </c>
      <c r="E176" s="21">
        <v>4.1666666666666671E-2</v>
      </c>
      <c r="F176" s="20" t="s">
        <v>770</v>
      </c>
      <c r="G176" s="20" t="s">
        <v>717</v>
      </c>
      <c r="H176" s="20" t="s">
        <v>720</v>
      </c>
    </row>
    <row r="177" spans="1:8" ht="27.6">
      <c r="A177" s="20" t="s">
        <v>171</v>
      </c>
      <c r="B177" s="20" t="s">
        <v>172</v>
      </c>
      <c r="C177" s="20" t="s">
        <v>173</v>
      </c>
      <c r="D177" s="20" t="s">
        <v>721</v>
      </c>
      <c r="E177" s="21">
        <v>0.44936708860759489</v>
      </c>
      <c r="F177" s="20" t="s">
        <v>769</v>
      </c>
      <c r="G177" s="20" t="s">
        <v>717</v>
      </c>
      <c r="H177" s="20" t="s">
        <v>726</v>
      </c>
    </row>
    <row r="178" spans="1:8" ht="27.6">
      <c r="A178" s="20" t="s">
        <v>171</v>
      </c>
      <c r="B178" s="20" t="s">
        <v>172</v>
      </c>
      <c r="C178" s="20" t="s">
        <v>173</v>
      </c>
      <c r="D178" s="20" t="s">
        <v>722</v>
      </c>
      <c r="E178" s="21">
        <v>0.20886075949367089</v>
      </c>
      <c r="F178" s="20" t="s">
        <v>770</v>
      </c>
      <c r="G178" s="20" t="s">
        <v>717</v>
      </c>
      <c r="H178" s="20" t="s">
        <v>726</v>
      </c>
    </row>
    <row r="179" spans="1:8" ht="27.6">
      <c r="A179" s="20" t="s">
        <v>171</v>
      </c>
      <c r="B179" s="20" t="s">
        <v>172</v>
      </c>
      <c r="C179" s="20" t="s">
        <v>173</v>
      </c>
      <c r="D179" s="20" t="s">
        <v>727</v>
      </c>
      <c r="E179" s="21">
        <v>0.13291139240506331</v>
      </c>
      <c r="F179" s="20" t="s">
        <v>770</v>
      </c>
      <c r="G179" s="20" t="s">
        <v>717</v>
      </c>
      <c r="H179" s="20" t="s">
        <v>726</v>
      </c>
    </row>
    <row r="180" spans="1:8" ht="27.6">
      <c r="A180" s="20" t="s">
        <v>171</v>
      </c>
      <c r="B180" s="20" t="s">
        <v>172</v>
      </c>
      <c r="C180" s="20" t="s">
        <v>173</v>
      </c>
      <c r="D180" s="20" t="s">
        <v>762</v>
      </c>
      <c r="E180" s="21">
        <v>0.12658227848101269</v>
      </c>
      <c r="F180" s="20" t="s">
        <v>770</v>
      </c>
      <c r="G180" s="20" t="s">
        <v>717</v>
      </c>
      <c r="H180" s="20" t="s">
        <v>726</v>
      </c>
    </row>
    <row r="181" spans="1:8" ht="27.6">
      <c r="A181" s="20" t="s">
        <v>171</v>
      </c>
      <c r="B181" s="20" t="s">
        <v>172</v>
      </c>
      <c r="C181" s="20" t="s">
        <v>173</v>
      </c>
      <c r="D181" s="20" t="s">
        <v>771</v>
      </c>
      <c r="E181" s="21">
        <v>8.2278481012658222E-2</v>
      </c>
      <c r="F181" s="20" t="s">
        <v>770</v>
      </c>
      <c r="G181" s="20" t="s">
        <v>717</v>
      </c>
      <c r="H181" s="20" t="s">
        <v>726</v>
      </c>
    </row>
    <row r="182" spans="1:8" ht="41.4">
      <c r="A182" s="20" t="s">
        <v>178</v>
      </c>
      <c r="B182" s="20" t="s">
        <v>179</v>
      </c>
      <c r="C182" s="20" t="s">
        <v>180</v>
      </c>
      <c r="D182" s="20" t="s">
        <v>721</v>
      </c>
      <c r="E182" s="21">
        <v>0.23846153846153839</v>
      </c>
      <c r="F182" s="20" t="s">
        <v>770</v>
      </c>
      <c r="G182" s="20" t="s">
        <v>718</v>
      </c>
      <c r="H182" s="20" t="s">
        <v>720</v>
      </c>
    </row>
    <row r="183" spans="1:8" ht="41.4">
      <c r="A183" s="20" t="s">
        <v>178</v>
      </c>
      <c r="B183" s="20" t="s">
        <v>179</v>
      </c>
      <c r="C183" s="20" t="s">
        <v>180</v>
      </c>
      <c r="D183" s="20" t="s">
        <v>722</v>
      </c>
      <c r="E183" s="21">
        <v>0.37692307692307692</v>
      </c>
      <c r="F183" s="20" t="s">
        <v>769</v>
      </c>
      <c r="G183" s="20" t="s">
        <v>718</v>
      </c>
      <c r="H183" s="20" t="s">
        <v>720</v>
      </c>
    </row>
    <row r="184" spans="1:8" ht="41.4">
      <c r="A184" s="20" t="s">
        <v>178</v>
      </c>
      <c r="B184" s="20" t="s">
        <v>179</v>
      </c>
      <c r="C184" s="20" t="s">
        <v>180</v>
      </c>
      <c r="D184" s="20" t="s">
        <v>727</v>
      </c>
      <c r="E184" s="21">
        <v>0.1846153846153846</v>
      </c>
      <c r="F184" s="20" t="s">
        <v>770</v>
      </c>
      <c r="G184" s="20" t="s">
        <v>718</v>
      </c>
      <c r="H184" s="20" t="s">
        <v>720</v>
      </c>
    </row>
    <row r="185" spans="1:8" ht="41.4">
      <c r="A185" s="20" t="s">
        <v>178</v>
      </c>
      <c r="B185" s="20" t="s">
        <v>179</v>
      </c>
      <c r="C185" s="20" t="s">
        <v>180</v>
      </c>
      <c r="D185" s="20" t="s">
        <v>762</v>
      </c>
      <c r="E185" s="21">
        <v>9.2307692307692299E-2</v>
      </c>
      <c r="F185" s="20" t="s">
        <v>770</v>
      </c>
      <c r="G185" s="20" t="s">
        <v>718</v>
      </c>
      <c r="H185" s="20" t="s">
        <v>720</v>
      </c>
    </row>
    <row r="186" spans="1:8" ht="41.4">
      <c r="A186" s="20" t="s">
        <v>178</v>
      </c>
      <c r="B186" s="20" t="s">
        <v>179</v>
      </c>
      <c r="C186" s="20" t="s">
        <v>180</v>
      </c>
      <c r="D186" s="20" t="s">
        <v>771</v>
      </c>
      <c r="E186" s="21">
        <v>0.1076923076923077</v>
      </c>
      <c r="F186" s="20" t="s">
        <v>770</v>
      </c>
      <c r="G186" s="20" t="s">
        <v>718</v>
      </c>
      <c r="H186" s="20" t="s">
        <v>720</v>
      </c>
    </row>
    <row r="187" spans="1:8" ht="27.6">
      <c r="A187" s="20" t="s">
        <v>181</v>
      </c>
      <c r="B187" s="20" t="s">
        <v>182</v>
      </c>
      <c r="C187" s="20" t="s">
        <v>183</v>
      </c>
      <c r="D187" s="20" t="s">
        <v>721</v>
      </c>
      <c r="E187" s="21">
        <v>0.2039473684210526</v>
      </c>
      <c r="F187" s="20" t="s">
        <v>770</v>
      </c>
      <c r="G187" s="20" t="s">
        <v>718</v>
      </c>
      <c r="H187" s="20" t="s">
        <v>726</v>
      </c>
    </row>
    <row r="188" spans="1:8" ht="27.6">
      <c r="A188" s="20" t="s">
        <v>181</v>
      </c>
      <c r="B188" s="20" t="s">
        <v>182</v>
      </c>
      <c r="C188" s="20" t="s">
        <v>183</v>
      </c>
      <c r="D188" s="20" t="s">
        <v>722</v>
      </c>
      <c r="E188" s="21">
        <v>0.40789473684210531</v>
      </c>
      <c r="F188" s="20" t="s">
        <v>769</v>
      </c>
      <c r="G188" s="20" t="s">
        <v>718</v>
      </c>
      <c r="H188" s="20" t="s">
        <v>726</v>
      </c>
    </row>
    <row r="189" spans="1:8" ht="27.6">
      <c r="A189" s="20" t="s">
        <v>181</v>
      </c>
      <c r="B189" s="20" t="s">
        <v>182</v>
      </c>
      <c r="C189" s="20" t="s">
        <v>183</v>
      </c>
      <c r="D189" s="20" t="s">
        <v>727</v>
      </c>
      <c r="E189" s="21">
        <v>0.13815789473684209</v>
      </c>
      <c r="F189" s="20" t="s">
        <v>770</v>
      </c>
      <c r="G189" s="20" t="s">
        <v>718</v>
      </c>
      <c r="H189" s="20" t="s">
        <v>726</v>
      </c>
    </row>
    <row r="190" spans="1:8" ht="27.6">
      <c r="A190" s="20" t="s">
        <v>181</v>
      </c>
      <c r="B190" s="20" t="s">
        <v>182</v>
      </c>
      <c r="C190" s="20" t="s">
        <v>183</v>
      </c>
      <c r="D190" s="20" t="s">
        <v>762</v>
      </c>
      <c r="E190" s="21">
        <v>0.1118421052631579</v>
      </c>
      <c r="F190" s="20" t="s">
        <v>770</v>
      </c>
      <c r="G190" s="20" t="s">
        <v>718</v>
      </c>
      <c r="H190" s="20" t="s">
        <v>726</v>
      </c>
    </row>
    <row r="191" spans="1:8" ht="27.6">
      <c r="A191" s="20" t="s">
        <v>181</v>
      </c>
      <c r="B191" s="20" t="s">
        <v>182</v>
      </c>
      <c r="C191" s="20" t="s">
        <v>183</v>
      </c>
      <c r="D191" s="20" t="s">
        <v>771</v>
      </c>
      <c r="E191" s="21">
        <v>0.13815789473684209</v>
      </c>
      <c r="F191" s="20" t="s">
        <v>770</v>
      </c>
      <c r="G191" s="20" t="s">
        <v>718</v>
      </c>
      <c r="H191" s="20" t="s">
        <v>726</v>
      </c>
    </row>
    <row r="192" spans="1:8" ht="41.4">
      <c r="A192" s="20" t="s">
        <v>184</v>
      </c>
      <c r="B192" s="20" t="s">
        <v>185</v>
      </c>
      <c r="C192" s="20" t="s">
        <v>186</v>
      </c>
      <c r="D192" s="20" t="s">
        <v>721</v>
      </c>
      <c r="E192" s="21">
        <v>0.21126760563380281</v>
      </c>
      <c r="F192" s="20" t="s">
        <v>770</v>
      </c>
      <c r="G192" s="20" t="s">
        <v>718</v>
      </c>
      <c r="H192" s="20" t="s">
        <v>726</v>
      </c>
    </row>
    <row r="193" spans="1:8" ht="41.4">
      <c r="A193" s="20" t="s">
        <v>184</v>
      </c>
      <c r="B193" s="20" t="s">
        <v>185</v>
      </c>
      <c r="C193" s="20" t="s">
        <v>186</v>
      </c>
      <c r="D193" s="20" t="s">
        <v>722</v>
      </c>
      <c r="E193" s="21">
        <v>0.38732394366197181</v>
      </c>
      <c r="F193" s="20" t="s">
        <v>769</v>
      </c>
      <c r="G193" s="20" t="s">
        <v>718</v>
      </c>
      <c r="H193" s="20" t="s">
        <v>726</v>
      </c>
    </row>
    <row r="194" spans="1:8" ht="41.4">
      <c r="A194" s="20" t="s">
        <v>184</v>
      </c>
      <c r="B194" s="20" t="s">
        <v>185</v>
      </c>
      <c r="C194" s="20" t="s">
        <v>186</v>
      </c>
      <c r="D194" s="20" t="s">
        <v>727</v>
      </c>
      <c r="E194" s="21">
        <v>0.12676056338028169</v>
      </c>
      <c r="F194" s="20" t="s">
        <v>770</v>
      </c>
      <c r="G194" s="20" t="s">
        <v>718</v>
      </c>
      <c r="H194" s="20" t="s">
        <v>726</v>
      </c>
    </row>
    <row r="195" spans="1:8" ht="41.4">
      <c r="A195" s="20" t="s">
        <v>184</v>
      </c>
      <c r="B195" s="20" t="s">
        <v>185</v>
      </c>
      <c r="C195" s="20" t="s">
        <v>186</v>
      </c>
      <c r="D195" s="20" t="s">
        <v>762</v>
      </c>
      <c r="E195" s="21">
        <v>0.176056338028169</v>
      </c>
      <c r="F195" s="20" t="s">
        <v>770</v>
      </c>
      <c r="G195" s="20" t="s">
        <v>718</v>
      </c>
      <c r="H195" s="20" t="s">
        <v>726</v>
      </c>
    </row>
    <row r="196" spans="1:8" ht="41.4">
      <c r="A196" s="20" t="s">
        <v>184</v>
      </c>
      <c r="B196" s="20" t="s">
        <v>185</v>
      </c>
      <c r="C196" s="20" t="s">
        <v>186</v>
      </c>
      <c r="D196" s="20" t="s">
        <v>771</v>
      </c>
      <c r="E196" s="21">
        <v>9.8591549295774641E-2</v>
      </c>
      <c r="F196" s="20" t="s">
        <v>770</v>
      </c>
      <c r="G196" s="20" t="s">
        <v>718</v>
      </c>
      <c r="H196" s="20" t="s">
        <v>726</v>
      </c>
    </row>
    <row r="197" spans="1:8" ht="27.6">
      <c r="A197" s="20" t="s">
        <v>187</v>
      </c>
      <c r="B197" s="20" t="s">
        <v>188</v>
      </c>
      <c r="C197" s="20" t="s">
        <v>189</v>
      </c>
      <c r="D197" s="20" t="s">
        <v>721</v>
      </c>
      <c r="E197" s="21">
        <v>0.44936708860759489</v>
      </c>
      <c r="F197" s="20" t="s">
        <v>769</v>
      </c>
      <c r="G197" s="20" t="s">
        <v>717</v>
      </c>
      <c r="H197" s="20" t="s">
        <v>726</v>
      </c>
    </row>
    <row r="198" spans="1:8" ht="27.6">
      <c r="A198" s="20" t="s">
        <v>187</v>
      </c>
      <c r="B198" s="20" t="s">
        <v>188</v>
      </c>
      <c r="C198" s="20" t="s">
        <v>189</v>
      </c>
      <c r="D198" s="20" t="s">
        <v>722</v>
      </c>
      <c r="E198" s="21">
        <v>0.20886075949367089</v>
      </c>
      <c r="F198" s="20" t="s">
        <v>770</v>
      </c>
      <c r="G198" s="20" t="s">
        <v>717</v>
      </c>
      <c r="H198" s="20" t="s">
        <v>726</v>
      </c>
    </row>
    <row r="199" spans="1:8" ht="27.6">
      <c r="A199" s="20" t="s">
        <v>187</v>
      </c>
      <c r="B199" s="20" t="s">
        <v>188</v>
      </c>
      <c r="C199" s="20" t="s">
        <v>189</v>
      </c>
      <c r="D199" s="20" t="s">
        <v>727</v>
      </c>
      <c r="E199" s="21">
        <v>0.13291139240506331</v>
      </c>
      <c r="F199" s="20" t="s">
        <v>770</v>
      </c>
      <c r="G199" s="20" t="s">
        <v>717</v>
      </c>
      <c r="H199" s="20" t="s">
        <v>726</v>
      </c>
    </row>
    <row r="200" spans="1:8" ht="27.6">
      <c r="A200" s="20" t="s">
        <v>187</v>
      </c>
      <c r="B200" s="20" t="s">
        <v>188</v>
      </c>
      <c r="C200" s="20" t="s">
        <v>189</v>
      </c>
      <c r="D200" s="20" t="s">
        <v>762</v>
      </c>
      <c r="E200" s="21">
        <v>7.5949367088607597E-2</v>
      </c>
      <c r="F200" s="20" t="s">
        <v>770</v>
      </c>
      <c r="G200" s="20" t="s">
        <v>717</v>
      </c>
      <c r="H200" s="20" t="s">
        <v>726</v>
      </c>
    </row>
    <row r="201" spans="1:8" ht="27.6">
      <c r="A201" s="20" t="s">
        <v>187</v>
      </c>
      <c r="B201" s="20" t="s">
        <v>188</v>
      </c>
      <c r="C201" s="20" t="s">
        <v>189</v>
      </c>
      <c r="D201" s="20" t="s">
        <v>771</v>
      </c>
      <c r="E201" s="21">
        <v>0.13291139240506331</v>
      </c>
      <c r="F201" s="20" t="s">
        <v>770</v>
      </c>
      <c r="G201" s="20" t="s">
        <v>717</v>
      </c>
      <c r="H201" s="20" t="s">
        <v>726</v>
      </c>
    </row>
    <row r="202" spans="1:8">
      <c r="A202" s="20" t="s">
        <v>190</v>
      </c>
      <c r="B202" s="20" t="s">
        <v>191</v>
      </c>
      <c r="C202" s="20" t="s">
        <v>192</v>
      </c>
      <c r="D202" s="20" t="s">
        <v>721</v>
      </c>
      <c r="E202" s="21">
        <v>0.51079136690647486</v>
      </c>
      <c r="F202" s="20" t="s">
        <v>769</v>
      </c>
      <c r="G202" s="20" t="s">
        <v>717</v>
      </c>
      <c r="H202" s="20" t="s">
        <v>720</v>
      </c>
    </row>
    <row r="203" spans="1:8">
      <c r="A203" s="20" t="s">
        <v>190</v>
      </c>
      <c r="B203" s="20" t="s">
        <v>191</v>
      </c>
      <c r="C203" s="20" t="s">
        <v>192</v>
      </c>
      <c r="D203" s="20" t="s">
        <v>722</v>
      </c>
      <c r="E203" s="21">
        <v>0.17985611510791369</v>
      </c>
      <c r="F203" s="20" t="s">
        <v>770</v>
      </c>
      <c r="G203" s="20" t="s">
        <v>717</v>
      </c>
      <c r="H203" s="20" t="s">
        <v>720</v>
      </c>
    </row>
    <row r="204" spans="1:8">
      <c r="A204" s="20" t="s">
        <v>190</v>
      </c>
      <c r="B204" s="20" t="s">
        <v>191</v>
      </c>
      <c r="C204" s="20" t="s">
        <v>192</v>
      </c>
      <c r="D204" s="20" t="s">
        <v>727</v>
      </c>
      <c r="E204" s="21">
        <v>0.1366906474820144</v>
      </c>
      <c r="F204" s="20" t="s">
        <v>770</v>
      </c>
      <c r="G204" s="20" t="s">
        <v>717</v>
      </c>
      <c r="H204" s="20" t="s">
        <v>720</v>
      </c>
    </row>
    <row r="205" spans="1:8">
      <c r="A205" s="20" t="s">
        <v>190</v>
      </c>
      <c r="B205" s="20" t="s">
        <v>191</v>
      </c>
      <c r="C205" s="20" t="s">
        <v>192</v>
      </c>
      <c r="D205" s="20" t="s">
        <v>762</v>
      </c>
      <c r="E205" s="21">
        <v>0.1079136690647482</v>
      </c>
      <c r="F205" s="20" t="s">
        <v>770</v>
      </c>
      <c r="G205" s="20" t="s">
        <v>717</v>
      </c>
      <c r="H205" s="20" t="s">
        <v>720</v>
      </c>
    </row>
    <row r="206" spans="1:8">
      <c r="A206" s="20" t="s">
        <v>190</v>
      </c>
      <c r="B206" s="20" t="s">
        <v>191</v>
      </c>
      <c r="C206" s="20" t="s">
        <v>192</v>
      </c>
      <c r="D206" s="20" t="s">
        <v>771</v>
      </c>
      <c r="E206" s="21">
        <v>6.4748201438848921E-2</v>
      </c>
      <c r="F206" s="20" t="s">
        <v>770</v>
      </c>
      <c r="G206" s="20" t="s">
        <v>717</v>
      </c>
      <c r="H206" s="20" t="s">
        <v>720</v>
      </c>
    </row>
    <row r="207" spans="1:8">
      <c r="A207" s="20" t="s">
        <v>195</v>
      </c>
      <c r="B207" s="20" t="s">
        <v>191</v>
      </c>
      <c r="C207" s="20" t="s">
        <v>196</v>
      </c>
      <c r="D207" s="20" t="s">
        <v>721</v>
      </c>
      <c r="E207" s="21">
        <v>0.28244274809160302</v>
      </c>
      <c r="F207" s="20" t="s">
        <v>770</v>
      </c>
      <c r="G207" s="20" t="s">
        <v>718</v>
      </c>
      <c r="H207" s="20" t="s">
        <v>720</v>
      </c>
    </row>
    <row r="208" spans="1:8">
      <c r="A208" s="20" t="s">
        <v>195</v>
      </c>
      <c r="B208" s="20" t="s">
        <v>191</v>
      </c>
      <c r="C208" s="20" t="s">
        <v>196</v>
      </c>
      <c r="D208" s="20" t="s">
        <v>722</v>
      </c>
      <c r="E208" s="21">
        <v>0.37404580152671751</v>
      </c>
      <c r="F208" s="20" t="s">
        <v>769</v>
      </c>
      <c r="G208" s="20" t="s">
        <v>718</v>
      </c>
      <c r="H208" s="20" t="s">
        <v>720</v>
      </c>
    </row>
    <row r="209" spans="1:8">
      <c r="A209" s="20" t="s">
        <v>195</v>
      </c>
      <c r="B209" s="20" t="s">
        <v>191</v>
      </c>
      <c r="C209" s="20" t="s">
        <v>196</v>
      </c>
      <c r="D209" s="20" t="s">
        <v>727</v>
      </c>
      <c r="E209" s="21">
        <v>0.14503816793893129</v>
      </c>
      <c r="F209" s="20" t="s">
        <v>770</v>
      </c>
      <c r="G209" s="20" t="s">
        <v>718</v>
      </c>
      <c r="H209" s="20" t="s">
        <v>720</v>
      </c>
    </row>
    <row r="210" spans="1:8">
      <c r="A210" s="20" t="s">
        <v>195</v>
      </c>
      <c r="B210" s="20" t="s">
        <v>191</v>
      </c>
      <c r="C210" s="20" t="s">
        <v>196</v>
      </c>
      <c r="D210" s="20" t="s">
        <v>762</v>
      </c>
      <c r="E210" s="21">
        <v>9.160305343511449E-2</v>
      </c>
      <c r="F210" s="20" t="s">
        <v>770</v>
      </c>
      <c r="G210" s="20" t="s">
        <v>718</v>
      </c>
      <c r="H210" s="20" t="s">
        <v>720</v>
      </c>
    </row>
    <row r="211" spans="1:8">
      <c r="A211" s="20" t="s">
        <v>195</v>
      </c>
      <c r="B211" s="20" t="s">
        <v>191</v>
      </c>
      <c r="C211" s="20" t="s">
        <v>196</v>
      </c>
      <c r="D211" s="20" t="s">
        <v>771</v>
      </c>
      <c r="E211" s="21">
        <v>0.1068702290076336</v>
      </c>
      <c r="F211" s="20" t="s">
        <v>770</v>
      </c>
      <c r="G211" s="20" t="s">
        <v>718</v>
      </c>
      <c r="H211" s="20" t="s">
        <v>720</v>
      </c>
    </row>
    <row r="212" spans="1:8">
      <c r="A212" s="20" t="s">
        <v>197</v>
      </c>
      <c r="B212" s="20" t="s">
        <v>191</v>
      </c>
      <c r="C212" s="20" t="s">
        <v>198</v>
      </c>
      <c r="D212" s="20" t="s">
        <v>721</v>
      </c>
      <c r="E212" s="21">
        <v>0.45833333333333331</v>
      </c>
      <c r="F212" s="20" t="s">
        <v>769</v>
      </c>
      <c r="G212" s="20" t="s">
        <v>717</v>
      </c>
      <c r="H212" s="20" t="s">
        <v>720</v>
      </c>
    </row>
    <row r="213" spans="1:8">
      <c r="A213" s="20" t="s">
        <v>197</v>
      </c>
      <c r="B213" s="20" t="s">
        <v>191</v>
      </c>
      <c r="C213" s="20" t="s">
        <v>198</v>
      </c>
      <c r="D213" s="20" t="s">
        <v>722</v>
      </c>
      <c r="E213" s="21">
        <v>0.29861111111111122</v>
      </c>
      <c r="F213" s="20" t="s">
        <v>770</v>
      </c>
      <c r="G213" s="20" t="s">
        <v>717</v>
      </c>
      <c r="H213" s="20" t="s">
        <v>720</v>
      </c>
    </row>
    <row r="214" spans="1:8">
      <c r="A214" s="20" t="s">
        <v>197</v>
      </c>
      <c r="B214" s="20" t="s">
        <v>191</v>
      </c>
      <c r="C214" s="20" t="s">
        <v>198</v>
      </c>
      <c r="D214" s="20" t="s">
        <v>727</v>
      </c>
      <c r="E214" s="21">
        <v>0.13194444444444439</v>
      </c>
      <c r="F214" s="20" t="s">
        <v>770</v>
      </c>
      <c r="G214" s="20" t="s">
        <v>717</v>
      </c>
      <c r="H214" s="20" t="s">
        <v>720</v>
      </c>
    </row>
    <row r="215" spans="1:8">
      <c r="A215" s="20" t="s">
        <v>197</v>
      </c>
      <c r="B215" s="20" t="s">
        <v>191</v>
      </c>
      <c r="C215" s="20" t="s">
        <v>198</v>
      </c>
      <c r="D215" s="20" t="s">
        <v>762</v>
      </c>
      <c r="E215" s="21">
        <v>4.8611111111111119E-2</v>
      </c>
      <c r="F215" s="20" t="s">
        <v>770</v>
      </c>
      <c r="G215" s="20" t="s">
        <v>717</v>
      </c>
      <c r="H215" s="20" t="s">
        <v>720</v>
      </c>
    </row>
    <row r="216" spans="1:8">
      <c r="A216" s="20" t="s">
        <v>197</v>
      </c>
      <c r="B216" s="20" t="s">
        <v>191</v>
      </c>
      <c r="C216" s="20" t="s">
        <v>198</v>
      </c>
      <c r="D216" s="20" t="s">
        <v>771</v>
      </c>
      <c r="E216" s="21">
        <v>6.25E-2</v>
      </c>
      <c r="F216" s="20" t="s">
        <v>770</v>
      </c>
      <c r="G216" s="20" t="s">
        <v>717</v>
      </c>
      <c r="H216" s="20" t="s">
        <v>720</v>
      </c>
    </row>
    <row r="217" spans="1:8">
      <c r="A217" s="20" t="s">
        <v>199</v>
      </c>
      <c r="B217" s="20" t="s">
        <v>191</v>
      </c>
      <c r="C217" s="20" t="s">
        <v>200</v>
      </c>
      <c r="D217" s="20" t="s">
        <v>721</v>
      </c>
      <c r="E217" s="21">
        <v>0.51079136690647486</v>
      </c>
      <c r="F217" s="20" t="s">
        <v>769</v>
      </c>
      <c r="G217" s="20" t="s">
        <v>717</v>
      </c>
      <c r="H217" s="20" t="s">
        <v>720</v>
      </c>
    </row>
    <row r="218" spans="1:8">
      <c r="A218" s="20" t="s">
        <v>199</v>
      </c>
      <c r="B218" s="20" t="s">
        <v>191</v>
      </c>
      <c r="C218" s="20" t="s">
        <v>200</v>
      </c>
      <c r="D218" s="20" t="s">
        <v>722</v>
      </c>
      <c r="E218" s="21">
        <v>0.17985611510791369</v>
      </c>
      <c r="F218" s="20" t="s">
        <v>770</v>
      </c>
      <c r="G218" s="20" t="s">
        <v>717</v>
      </c>
      <c r="H218" s="20" t="s">
        <v>720</v>
      </c>
    </row>
    <row r="219" spans="1:8">
      <c r="A219" s="20" t="s">
        <v>199</v>
      </c>
      <c r="B219" s="20" t="s">
        <v>191</v>
      </c>
      <c r="C219" s="20" t="s">
        <v>200</v>
      </c>
      <c r="D219" s="20" t="s">
        <v>727</v>
      </c>
      <c r="E219" s="21">
        <v>0.1366906474820144</v>
      </c>
      <c r="F219" s="20" t="s">
        <v>770</v>
      </c>
      <c r="G219" s="20" t="s">
        <v>717</v>
      </c>
      <c r="H219" s="20" t="s">
        <v>720</v>
      </c>
    </row>
    <row r="220" spans="1:8">
      <c r="A220" s="20" t="s">
        <v>199</v>
      </c>
      <c r="B220" s="20" t="s">
        <v>191</v>
      </c>
      <c r="C220" s="20" t="s">
        <v>200</v>
      </c>
      <c r="D220" s="20" t="s">
        <v>762</v>
      </c>
      <c r="E220" s="21">
        <v>0.1079136690647482</v>
      </c>
      <c r="F220" s="20" t="s">
        <v>770</v>
      </c>
      <c r="G220" s="20" t="s">
        <v>717</v>
      </c>
      <c r="H220" s="20" t="s">
        <v>720</v>
      </c>
    </row>
    <row r="221" spans="1:8">
      <c r="A221" s="20" t="s">
        <v>199</v>
      </c>
      <c r="B221" s="20" t="s">
        <v>191</v>
      </c>
      <c r="C221" s="20" t="s">
        <v>200</v>
      </c>
      <c r="D221" s="20" t="s">
        <v>771</v>
      </c>
      <c r="E221" s="21">
        <v>6.4748201438848921E-2</v>
      </c>
      <c r="F221" s="20" t="s">
        <v>770</v>
      </c>
      <c r="G221" s="20" t="s">
        <v>717</v>
      </c>
      <c r="H221" s="20" t="s">
        <v>720</v>
      </c>
    </row>
    <row r="222" spans="1:8">
      <c r="A222" s="20" t="s">
        <v>201</v>
      </c>
      <c r="B222" s="20" t="s">
        <v>191</v>
      </c>
      <c r="C222" s="20" t="s">
        <v>202</v>
      </c>
      <c r="D222" s="20" t="s">
        <v>721</v>
      </c>
      <c r="E222" s="21">
        <v>0.45833333333333331</v>
      </c>
      <c r="F222" s="20" t="s">
        <v>769</v>
      </c>
      <c r="G222" s="20" t="s">
        <v>717</v>
      </c>
      <c r="H222" s="20" t="s">
        <v>720</v>
      </c>
    </row>
    <row r="223" spans="1:8">
      <c r="A223" s="20" t="s">
        <v>201</v>
      </c>
      <c r="B223" s="20" t="s">
        <v>191</v>
      </c>
      <c r="C223" s="20" t="s">
        <v>202</v>
      </c>
      <c r="D223" s="20" t="s">
        <v>722</v>
      </c>
      <c r="E223" s="21">
        <v>0.29861111111111122</v>
      </c>
      <c r="F223" s="20" t="s">
        <v>770</v>
      </c>
      <c r="G223" s="20" t="s">
        <v>717</v>
      </c>
      <c r="H223" s="20" t="s">
        <v>720</v>
      </c>
    </row>
    <row r="224" spans="1:8">
      <c r="A224" s="20" t="s">
        <v>201</v>
      </c>
      <c r="B224" s="20" t="s">
        <v>191</v>
      </c>
      <c r="C224" s="20" t="s">
        <v>202</v>
      </c>
      <c r="D224" s="20" t="s">
        <v>727</v>
      </c>
      <c r="E224" s="21">
        <v>0.13194444444444439</v>
      </c>
      <c r="F224" s="20" t="s">
        <v>770</v>
      </c>
      <c r="G224" s="20" t="s">
        <v>717</v>
      </c>
      <c r="H224" s="20" t="s">
        <v>720</v>
      </c>
    </row>
    <row r="225" spans="1:8">
      <c r="A225" s="20" t="s">
        <v>201</v>
      </c>
      <c r="B225" s="20" t="s">
        <v>191</v>
      </c>
      <c r="C225" s="20" t="s">
        <v>202</v>
      </c>
      <c r="D225" s="20" t="s">
        <v>762</v>
      </c>
      <c r="E225" s="21">
        <v>4.8611111111111119E-2</v>
      </c>
      <c r="F225" s="20" t="s">
        <v>770</v>
      </c>
      <c r="G225" s="20" t="s">
        <v>717</v>
      </c>
      <c r="H225" s="20" t="s">
        <v>720</v>
      </c>
    </row>
    <row r="226" spans="1:8">
      <c r="A226" s="20" t="s">
        <v>201</v>
      </c>
      <c r="B226" s="20" t="s">
        <v>191</v>
      </c>
      <c r="C226" s="20" t="s">
        <v>202</v>
      </c>
      <c r="D226" s="20" t="s">
        <v>771</v>
      </c>
      <c r="E226" s="21">
        <v>6.25E-2</v>
      </c>
      <c r="F226" s="20" t="s">
        <v>770</v>
      </c>
      <c r="G226" s="20" t="s">
        <v>717</v>
      </c>
      <c r="H226" s="20" t="s">
        <v>720</v>
      </c>
    </row>
    <row r="227" spans="1:8">
      <c r="A227" s="20" t="s">
        <v>203</v>
      </c>
      <c r="B227" s="20" t="s">
        <v>191</v>
      </c>
      <c r="C227" s="20" t="s">
        <v>204</v>
      </c>
      <c r="D227" s="20" t="s">
        <v>721</v>
      </c>
      <c r="E227" s="21">
        <v>0.45833333333333331</v>
      </c>
      <c r="F227" s="20" t="s">
        <v>769</v>
      </c>
      <c r="G227" s="20" t="s">
        <v>717</v>
      </c>
      <c r="H227" s="20" t="s">
        <v>720</v>
      </c>
    </row>
    <row r="228" spans="1:8">
      <c r="A228" s="20" t="s">
        <v>203</v>
      </c>
      <c r="B228" s="20" t="s">
        <v>191</v>
      </c>
      <c r="C228" s="20" t="s">
        <v>204</v>
      </c>
      <c r="D228" s="20" t="s">
        <v>722</v>
      </c>
      <c r="E228" s="21">
        <v>0.29861111111111122</v>
      </c>
      <c r="F228" s="20" t="s">
        <v>770</v>
      </c>
      <c r="G228" s="20" t="s">
        <v>717</v>
      </c>
      <c r="H228" s="20" t="s">
        <v>720</v>
      </c>
    </row>
    <row r="229" spans="1:8">
      <c r="A229" s="20" t="s">
        <v>203</v>
      </c>
      <c r="B229" s="20" t="s">
        <v>191</v>
      </c>
      <c r="C229" s="20" t="s">
        <v>204</v>
      </c>
      <c r="D229" s="20" t="s">
        <v>727</v>
      </c>
      <c r="E229" s="21">
        <v>0.13194444444444439</v>
      </c>
      <c r="F229" s="20" t="s">
        <v>770</v>
      </c>
      <c r="G229" s="20" t="s">
        <v>717</v>
      </c>
      <c r="H229" s="20" t="s">
        <v>720</v>
      </c>
    </row>
    <row r="230" spans="1:8">
      <c r="A230" s="20" t="s">
        <v>203</v>
      </c>
      <c r="B230" s="20" t="s">
        <v>191</v>
      </c>
      <c r="C230" s="20" t="s">
        <v>204</v>
      </c>
      <c r="D230" s="20" t="s">
        <v>762</v>
      </c>
      <c r="E230" s="21">
        <v>4.8611111111111119E-2</v>
      </c>
      <c r="F230" s="20" t="s">
        <v>770</v>
      </c>
      <c r="G230" s="20" t="s">
        <v>717</v>
      </c>
      <c r="H230" s="20" t="s">
        <v>720</v>
      </c>
    </row>
    <row r="231" spans="1:8">
      <c r="A231" s="20" t="s">
        <v>203</v>
      </c>
      <c r="B231" s="20" t="s">
        <v>191</v>
      </c>
      <c r="C231" s="20" t="s">
        <v>204</v>
      </c>
      <c r="D231" s="20" t="s">
        <v>771</v>
      </c>
      <c r="E231" s="21">
        <v>6.25E-2</v>
      </c>
      <c r="F231" s="20" t="s">
        <v>770</v>
      </c>
      <c r="G231" s="20" t="s">
        <v>717</v>
      </c>
      <c r="H231" s="20" t="s">
        <v>720</v>
      </c>
    </row>
    <row r="232" spans="1:8">
      <c r="A232" s="20" t="s">
        <v>205</v>
      </c>
      <c r="B232" s="20" t="s">
        <v>206</v>
      </c>
      <c r="C232" s="20" t="s">
        <v>207</v>
      </c>
      <c r="D232" s="20" t="s">
        <v>721</v>
      </c>
      <c r="E232" s="21">
        <v>0.5220588235294118</v>
      </c>
      <c r="F232" s="20" t="s">
        <v>769</v>
      </c>
      <c r="G232" s="20" t="s">
        <v>717</v>
      </c>
      <c r="H232" s="20" t="s">
        <v>720</v>
      </c>
    </row>
    <row r="233" spans="1:8">
      <c r="A233" s="20" t="s">
        <v>205</v>
      </c>
      <c r="B233" s="20" t="s">
        <v>206</v>
      </c>
      <c r="C233" s="20" t="s">
        <v>207</v>
      </c>
      <c r="D233" s="20" t="s">
        <v>722</v>
      </c>
      <c r="E233" s="21">
        <v>0.18382352941176469</v>
      </c>
      <c r="F233" s="20" t="s">
        <v>770</v>
      </c>
      <c r="G233" s="20" t="s">
        <v>717</v>
      </c>
      <c r="H233" s="20" t="s">
        <v>720</v>
      </c>
    </row>
    <row r="234" spans="1:8">
      <c r="A234" s="20" t="s">
        <v>205</v>
      </c>
      <c r="B234" s="20" t="s">
        <v>206</v>
      </c>
      <c r="C234" s="20" t="s">
        <v>207</v>
      </c>
      <c r="D234" s="20" t="s">
        <v>727</v>
      </c>
      <c r="E234" s="21">
        <v>0.1764705882352941</v>
      </c>
      <c r="F234" s="20" t="s">
        <v>770</v>
      </c>
      <c r="G234" s="20" t="s">
        <v>717</v>
      </c>
      <c r="H234" s="20" t="s">
        <v>720</v>
      </c>
    </row>
    <row r="235" spans="1:8">
      <c r="A235" s="20" t="s">
        <v>205</v>
      </c>
      <c r="B235" s="20" t="s">
        <v>206</v>
      </c>
      <c r="C235" s="20" t="s">
        <v>207</v>
      </c>
      <c r="D235" s="20" t="s">
        <v>762</v>
      </c>
      <c r="E235" s="21">
        <v>5.1470588235294129E-2</v>
      </c>
      <c r="F235" s="20" t="s">
        <v>770</v>
      </c>
      <c r="G235" s="20" t="s">
        <v>717</v>
      </c>
      <c r="H235" s="20" t="s">
        <v>720</v>
      </c>
    </row>
    <row r="236" spans="1:8">
      <c r="A236" s="20" t="s">
        <v>205</v>
      </c>
      <c r="B236" s="20" t="s">
        <v>206</v>
      </c>
      <c r="C236" s="20" t="s">
        <v>207</v>
      </c>
      <c r="D236" s="20" t="s">
        <v>771</v>
      </c>
      <c r="E236" s="21">
        <v>6.6176470588235295E-2</v>
      </c>
      <c r="F236" s="20" t="s">
        <v>770</v>
      </c>
      <c r="G236" s="20" t="s">
        <v>717</v>
      </c>
      <c r="H236" s="20" t="s">
        <v>720</v>
      </c>
    </row>
    <row r="237" spans="1:8">
      <c r="A237" s="20" t="s">
        <v>214</v>
      </c>
      <c r="B237" s="20" t="s">
        <v>206</v>
      </c>
      <c r="C237" s="20" t="s">
        <v>215</v>
      </c>
      <c r="D237" s="20" t="s">
        <v>721</v>
      </c>
      <c r="E237" s="21">
        <v>0.5220588235294118</v>
      </c>
      <c r="F237" s="20" t="s">
        <v>769</v>
      </c>
      <c r="G237" s="20" t="s">
        <v>717</v>
      </c>
      <c r="H237" s="20" t="s">
        <v>720</v>
      </c>
    </row>
    <row r="238" spans="1:8">
      <c r="A238" s="20" t="s">
        <v>214</v>
      </c>
      <c r="B238" s="20" t="s">
        <v>206</v>
      </c>
      <c r="C238" s="20" t="s">
        <v>215</v>
      </c>
      <c r="D238" s="20" t="s">
        <v>722</v>
      </c>
      <c r="E238" s="21">
        <v>0.18382352941176469</v>
      </c>
      <c r="F238" s="20" t="s">
        <v>770</v>
      </c>
      <c r="G238" s="20" t="s">
        <v>717</v>
      </c>
      <c r="H238" s="20" t="s">
        <v>720</v>
      </c>
    </row>
    <row r="239" spans="1:8">
      <c r="A239" s="20" t="s">
        <v>214</v>
      </c>
      <c r="B239" s="20" t="s">
        <v>206</v>
      </c>
      <c r="C239" s="20" t="s">
        <v>215</v>
      </c>
      <c r="D239" s="20" t="s">
        <v>727</v>
      </c>
      <c r="E239" s="21">
        <v>0.1764705882352941</v>
      </c>
      <c r="F239" s="20" t="s">
        <v>770</v>
      </c>
      <c r="G239" s="20" t="s">
        <v>717</v>
      </c>
      <c r="H239" s="20" t="s">
        <v>720</v>
      </c>
    </row>
    <row r="240" spans="1:8">
      <c r="A240" s="20" t="s">
        <v>214</v>
      </c>
      <c r="B240" s="20" t="s">
        <v>206</v>
      </c>
      <c r="C240" s="20" t="s">
        <v>215</v>
      </c>
      <c r="D240" s="20" t="s">
        <v>762</v>
      </c>
      <c r="E240" s="21">
        <v>5.1470588235294129E-2</v>
      </c>
      <c r="F240" s="20" t="s">
        <v>770</v>
      </c>
      <c r="G240" s="20" t="s">
        <v>717</v>
      </c>
      <c r="H240" s="20" t="s">
        <v>720</v>
      </c>
    </row>
    <row r="241" spans="1:8">
      <c r="A241" s="20" t="s">
        <v>214</v>
      </c>
      <c r="B241" s="20" t="s">
        <v>206</v>
      </c>
      <c r="C241" s="20" t="s">
        <v>215</v>
      </c>
      <c r="D241" s="20" t="s">
        <v>771</v>
      </c>
      <c r="E241" s="21">
        <v>6.6176470588235295E-2</v>
      </c>
      <c r="F241" s="20" t="s">
        <v>770</v>
      </c>
      <c r="G241" s="20" t="s">
        <v>717</v>
      </c>
      <c r="H241" s="20" t="s">
        <v>720</v>
      </c>
    </row>
    <row r="242" spans="1:8">
      <c r="A242" s="20" t="s">
        <v>216</v>
      </c>
      <c r="B242" s="20" t="s">
        <v>206</v>
      </c>
      <c r="C242" s="20" t="s">
        <v>217</v>
      </c>
      <c r="D242" s="20" t="s">
        <v>721</v>
      </c>
      <c r="E242" s="21">
        <v>0.5220588235294118</v>
      </c>
      <c r="F242" s="20" t="s">
        <v>769</v>
      </c>
      <c r="G242" s="20" t="s">
        <v>717</v>
      </c>
      <c r="H242" s="20" t="s">
        <v>720</v>
      </c>
    </row>
    <row r="243" spans="1:8">
      <c r="A243" s="20" t="s">
        <v>216</v>
      </c>
      <c r="B243" s="20" t="s">
        <v>206</v>
      </c>
      <c r="C243" s="20" t="s">
        <v>217</v>
      </c>
      <c r="D243" s="20" t="s">
        <v>722</v>
      </c>
      <c r="E243" s="21">
        <v>0.18382352941176469</v>
      </c>
      <c r="F243" s="20" t="s">
        <v>770</v>
      </c>
      <c r="G243" s="20" t="s">
        <v>717</v>
      </c>
      <c r="H243" s="20" t="s">
        <v>720</v>
      </c>
    </row>
    <row r="244" spans="1:8">
      <c r="A244" s="20" t="s">
        <v>216</v>
      </c>
      <c r="B244" s="20" t="s">
        <v>206</v>
      </c>
      <c r="C244" s="20" t="s">
        <v>217</v>
      </c>
      <c r="D244" s="20" t="s">
        <v>727</v>
      </c>
      <c r="E244" s="21">
        <v>0.1764705882352941</v>
      </c>
      <c r="F244" s="20" t="s">
        <v>770</v>
      </c>
      <c r="G244" s="20" t="s">
        <v>717</v>
      </c>
      <c r="H244" s="20" t="s">
        <v>720</v>
      </c>
    </row>
    <row r="245" spans="1:8">
      <c r="A245" s="20" t="s">
        <v>216</v>
      </c>
      <c r="B245" s="20" t="s">
        <v>206</v>
      </c>
      <c r="C245" s="20" t="s">
        <v>217</v>
      </c>
      <c r="D245" s="20" t="s">
        <v>762</v>
      </c>
      <c r="E245" s="21">
        <v>5.1470588235294129E-2</v>
      </c>
      <c r="F245" s="20" t="s">
        <v>770</v>
      </c>
      <c r="G245" s="20" t="s">
        <v>717</v>
      </c>
      <c r="H245" s="20" t="s">
        <v>720</v>
      </c>
    </row>
    <row r="246" spans="1:8">
      <c r="A246" s="20" t="s">
        <v>216</v>
      </c>
      <c r="B246" s="20" t="s">
        <v>206</v>
      </c>
      <c r="C246" s="20" t="s">
        <v>217</v>
      </c>
      <c r="D246" s="20" t="s">
        <v>771</v>
      </c>
      <c r="E246" s="21">
        <v>6.6176470588235295E-2</v>
      </c>
      <c r="F246" s="20" t="s">
        <v>770</v>
      </c>
      <c r="G246" s="20" t="s">
        <v>717</v>
      </c>
      <c r="H246" s="20" t="s">
        <v>720</v>
      </c>
    </row>
    <row r="247" spans="1:8">
      <c r="A247" s="20" t="s">
        <v>218</v>
      </c>
      <c r="B247" s="20" t="s">
        <v>206</v>
      </c>
      <c r="C247" s="20" t="s">
        <v>219</v>
      </c>
      <c r="D247" s="20" t="s">
        <v>721</v>
      </c>
      <c r="E247" s="21">
        <v>0.5220588235294118</v>
      </c>
      <c r="F247" s="20" t="s">
        <v>769</v>
      </c>
      <c r="G247" s="20" t="s">
        <v>717</v>
      </c>
      <c r="H247" s="20" t="s">
        <v>720</v>
      </c>
    </row>
    <row r="248" spans="1:8">
      <c r="A248" s="20" t="s">
        <v>218</v>
      </c>
      <c r="B248" s="20" t="s">
        <v>206</v>
      </c>
      <c r="C248" s="20" t="s">
        <v>219</v>
      </c>
      <c r="D248" s="20" t="s">
        <v>722</v>
      </c>
      <c r="E248" s="21">
        <v>0.18382352941176469</v>
      </c>
      <c r="F248" s="20" t="s">
        <v>770</v>
      </c>
      <c r="G248" s="20" t="s">
        <v>717</v>
      </c>
      <c r="H248" s="20" t="s">
        <v>720</v>
      </c>
    </row>
    <row r="249" spans="1:8">
      <c r="A249" s="20" t="s">
        <v>218</v>
      </c>
      <c r="B249" s="20" t="s">
        <v>206</v>
      </c>
      <c r="C249" s="20" t="s">
        <v>219</v>
      </c>
      <c r="D249" s="20" t="s">
        <v>727</v>
      </c>
      <c r="E249" s="21">
        <v>0.1764705882352941</v>
      </c>
      <c r="F249" s="20" t="s">
        <v>770</v>
      </c>
      <c r="G249" s="20" t="s">
        <v>717</v>
      </c>
      <c r="H249" s="20" t="s">
        <v>720</v>
      </c>
    </row>
    <row r="250" spans="1:8">
      <c r="A250" s="20" t="s">
        <v>218</v>
      </c>
      <c r="B250" s="20" t="s">
        <v>206</v>
      </c>
      <c r="C250" s="20" t="s">
        <v>219</v>
      </c>
      <c r="D250" s="20" t="s">
        <v>762</v>
      </c>
      <c r="E250" s="21">
        <v>5.1470588235294129E-2</v>
      </c>
      <c r="F250" s="20" t="s">
        <v>770</v>
      </c>
      <c r="G250" s="20" t="s">
        <v>717</v>
      </c>
      <c r="H250" s="20" t="s">
        <v>720</v>
      </c>
    </row>
    <row r="251" spans="1:8">
      <c r="A251" s="20" t="s">
        <v>218</v>
      </c>
      <c r="B251" s="20" t="s">
        <v>206</v>
      </c>
      <c r="C251" s="20" t="s">
        <v>219</v>
      </c>
      <c r="D251" s="20" t="s">
        <v>771</v>
      </c>
      <c r="E251" s="21">
        <v>6.6176470588235295E-2</v>
      </c>
      <c r="F251" s="20" t="s">
        <v>770</v>
      </c>
      <c r="G251" s="20" t="s">
        <v>717</v>
      </c>
      <c r="H251" s="20" t="s">
        <v>720</v>
      </c>
    </row>
    <row r="252" spans="1:8">
      <c r="A252" s="20" t="s">
        <v>220</v>
      </c>
      <c r="B252" s="20" t="s">
        <v>221</v>
      </c>
      <c r="C252" s="20" t="s">
        <v>222</v>
      </c>
      <c r="D252" s="20" t="s">
        <v>721</v>
      </c>
      <c r="E252" s="21">
        <v>0.51079136690647486</v>
      </c>
      <c r="F252" s="20" t="s">
        <v>769</v>
      </c>
      <c r="G252" s="20" t="s">
        <v>717</v>
      </c>
      <c r="H252" s="20" t="s">
        <v>720</v>
      </c>
    </row>
    <row r="253" spans="1:8">
      <c r="A253" s="20" t="s">
        <v>220</v>
      </c>
      <c r="B253" s="20" t="s">
        <v>221</v>
      </c>
      <c r="C253" s="20" t="s">
        <v>222</v>
      </c>
      <c r="D253" s="20" t="s">
        <v>722</v>
      </c>
      <c r="E253" s="21">
        <v>0.17985611510791369</v>
      </c>
      <c r="F253" s="20" t="s">
        <v>770</v>
      </c>
      <c r="G253" s="20" t="s">
        <v>717</v>
      </c>
      <c r="H253" s="20" t="s">
        <v>720</v>
      </c>
    </row>
    <row r="254" spans="1:8">
      <c r="A254" s="20" t="s">
        <v>220</v>
      </c>
      <c r="B254" s="20" t="s">
        <v>221</v>
      </c>
      <c r="C254" s="20" t="s">
        <v>222</v>
      </c>
      <c r="D254" s="20" t="s">
        <v>727</v>
      </c>
      <c r="E254" s="21">
        <v>0.1366906474820144</v>
      </c>
      <c r="F254" s="20" t="s">
        <v>770</v>
      </c>
      <c r="G254" s="20" t="s">
        <v>717</v>
      </c>
      <c r="H254" s="20" t="s">
        <v>720</v>
      </c>
    </row>
    <row r="255" spans="1:8">
      <c r="A255" s="20" t="s">
        <v>220</v>
      </c>
      <c r="B255" s="20" t="s">
        <v>221</v>
      </c>
      <c r="C255" s="20" t="s">
        <v>222</v>
      </c>
      <c r="D255" s="20" t="s">
        <v>762</v>
      </c>
      <c r="E255" s="21">
        <v>0.1079136690647482</v>
      </c>
      <c r="F255" s="20" t="s">
        <v>770</v>
      </c>
      <c r="G255" s="20" t="s">
        <v>717</v>
      </c>
      <c r="H255" s="20" t="s">
        <v>720</v>
      </c>
    </row>
    <row r="256" spans="1:8">
      <c r="A256" s="20" t="s">
        <v>220</v>
      </c>
      <c r="B256" s="20" t="s">
        <v>221</v>
      </c>
      <c r="C256" s="20" t="s">
        <v>222</v>
      </c>
      <c r="D256" s="20" t="s">
        <v>771</v>
      </c>
      <c r="E256" s="21">
        <v>6.4748201438848921E-2</v>
      </c>
      <c r="F256" s="20" t="s">
        <v>770</v>
      </c>
      <c r="G256" s="20" t="s">
        <v>717</v>
      </c>
      <c r="H256" s="20" t="s">
        <v>720</v>
      </c>
    </row>
    <row r="257" spans="1:8">
      <c r="A257" s="20" t="s">
        <v>229</v>
      </c>
      <c r="B257" s="20" t="s">
        <v>221</v>
      </c>
      <c r="C257" s="20" t="s">
        <v>230</v>
      </c>
      <c r="D257" s="20" t="s">
        <v>721</v>
      </c>
      <c r="E257" s="21">
        <v>0.44936708860759489</v>
      </c>
      <c r="F257" s="20" t="s">
        <v>769</v>
      </c>
      <c r="G257" s="20" t="s">
        <v>717</v>
      </c>
      <c r="H257" s="20" t="s">
        <v>726</v>
      </c>
    </row>
    <row r="258" spans="1:8">
      <c r="A258" s="20" t="s">
        <v>229</v>
      </c>
      <c r="B258" s="20" t="s">
        <v>221</v>
      </c>
      <c r="C258" s="20" t="s">
        <v>230</v>
      </c>
      <c r="D258" s="20" t="s">
        <v>722</v>
      </c>
      <c r="E258" s="21">
        <v>0.20886075949367089</v>
      </c>
      <c r="F258" s="20" t="s">
        <v>770</v>
      </c>
      <c r="G258" s="20" t="s">
        <v>717</v>
      </c>
      <c r="H258" s="20" t="s">
        <v>726</v>
      </c>
    </row>
    <row r="259" spans="1:8">
      <c r="A259" s="20" t="s">
        <v>229</v>
      </c>
      <c r="B259" s="20" t="s">
        <v>221</v>
      </c>
      <c r="C259" s="20" t="s">
        <v>230</v>
      </c>
      <c r="D259" s="20" t="s">
        <v>727</v>
      </c>
      <c r="E259" s="21">
        <v>0.13291139240506331</v>
      </c>
      <c r="F259" s="20" t="s">
        <v>770</v>
      </c>
      <c r="G259" s="20" t="s">
        <v>717</v>
      </c>
      <c r="H259" s="20" t="s">
        <v>726</v>
      </c>
    </row>
    <row r="260" spans="1:8">
      <c r="A260" s="20" t="s">
        <v>229</v>
      </c>
      <c r="B260" s="20" t="s">
        <v>221</v>
      </c>
      <c r="C260" s="20" t="s">
        <v>230</v>
      </c>
      <c r="D260" s="20" t="s">
        <v>762</v>
      </c>
      <c r="E260" s="21">
        <v>0.12658227848101269</v>
      </c>
      <c r="F260" s="20" t="s">
        <v>770</v>
      </c>
      <c r="G260" s="20" t="s">
        <v>717</v>
      </c>
      <c r="H260" s="20" t="s">
        <v>726</v>
      </c>
    </row>
    <row r="261" spans="1:8">
      <c r="A261" s="20" t="s">
        <v>229</v>
      </c>
      <c r="B261" s="20" t="s">
        <v>221</v>
      </c>
      <c r="C261" s="20" t="s">
        <v>230</v>
      </c>
      <c r="D261" s="20" t="s">
        <v>771</v>
      </c>
      <c r="E261" s="21">
        <v>8.2278481012658222E-2</v>
      </c>
      <c r="F261" s="20" t="s">
        <v>770</v>
      </c>
      <c r="G261" s="20" t="s">
        <v>717</v>
      </c>
      <c r="H261" s="20" t="s">
        <v>726</v>
      </c>
    </row>
    <row r="262" spans="1:8">
      <c r="A262" s="20" t="s">
        <v>231</v>
      </c>
      <c r="B262" s="20" t="s">
        <v>221</v>
      </c>
      <c r="C262" s="20" t="s">
        <v>232</v>
      </c>
      <c r="D262" s="20" t="s">
        <v>721</v>
      </c>
      <c r="E262" s="21">
        <v>0.41772151898734172</v>
      </c>
      <c r="F262" s="20" t="s">
        <v>769</v>
      </c>
      <c r="G262" s="20" t="s">
        <v>717</v>
      </c>
      <c r="H262" s="20" t="s">
        <v>726</v>
      </c>
    </row>
    <row r="263" spans="1:8">
      <c r="A263" s="20" t="s">
        <v>231</v>
      </c>
      <c r="B263" s="20" t="s">
        <v>221</v>
      </c>
      <c r="C263" s="20" t="s">
        <v>232</v>
      </c>
      <c r="D263" s="20" t="s">
        <v>722</v>
      </c>
      <c r="E263" s="21">
        <v>0.27215189873417722</v>
      </c>
      <c r="F263" s="20" t="s">
        <v>770</v>
      </c>
      <c r="G263" s="20" t="s">
        <v>717</v>
      </c>
      <c r="H263" s="20" t="s">
        <v>726</v>
      </c>
    </row>
    <row r="264" spans="1:8">
      <c r="A264" s="20" t="s">
        <v>231</v>
      </c>
      <c r="B264" s="20" t="s">
        <v>221</v>
      </c>
      <c r="C264" s="20" t="s">
        <v>232</v>
      </c>
      <c r="D264" s="20" t="s">
        <v>727</v>
      </c>
      <c r="E264" s="21">
        <v>0.1012658227848101</v>
      </c>
      <c r="F264" s="20" t="s">
        <v>770</v>
      </c>
      <c r="G264" s="20" t="s">
        <v>717</v>
      </c>
      <c r="H264" s="20" t="s">
        <v>726</v>
      </c>
    </row>
    <row r="265" spans="1:8">
      <c r="A265" s="20" t="s">
        <v>231</v>
      </c>
      <c r="B265" s="20" t="s">
        <v>221</v>
      </c>
      <c r="C265" s="20" t="s">
        <v>232</v>
      </c>
      <c r="D265" s="20" t="s">
        <v>762</v>
      </c>
      <c r="E265" s="21">
        <v>0.12658227848101269</v>
      </c>
      <c r="F265" s="20" t="s">
        <v>770</v>
      </c>
      <c r="G265" s="20" t="s">
        <v>717</v>
      </c>
      <c r="H265" s="20" t="s">
        <v>726</v>
      </c>
    </row>
    <row r="266" spans="1:8">
      <c r="A266" s="20" t="s">
        <v>231</v>
      </c>
      <c r="B266" s="20" t="s">
        <v>221</v>
      </c>
      <c r="C266" s="20" t="s">
        <v>232</v>
      </c>
      <c r="D266" s="20" t="s">
        <v>771</v>
      </c>
      <c r="E266" s="21">
        <v>8.2278481012658222E-2</v>
      </c>
      <c r="F266" s="20" t="s">
        <v>770</v>
      </c>
      <c r="G266" s="20" t="s">
        <v>717</v>
      </c>
      <c r="H266" s="20" t="s">
        <v>726</v>
      </c>
    </row>
    <row r="267" spans="1:8">
      <c r="A267" s="20" t="s">
        <v>233</v>
      </c>
      <c r="B267" s="20" t="s">
        <v>221</v>
      </c>
      <c r="C267" s="20" t="s">
        <v>234</v>
      </c>
      <c r="D267" s="20" t="s">
        <v>721</v>
      </c>
      <c r="E267" s="21">
        <v>0.41772151898734172</v>
      </c>
      <c r="F267" s="20" t="s">
        <v>769</v>
      </c>
      <c r="G267" s="20" t="s">
        <v>717</v>
      </c>
      <c r="H267" s="20" t="s">
        <v>726</v>
      </c>
    </row>
    <row r="268" spans="1:8">
      <c r="A268" s="20" t="s">
        <v>233</v>
      </c>
      <c r="B268" s="20" t="s">
        <v>221</v>
      </c>
      <c r="C268" s="20" t="s">
        <v>234</v>
      </c>
      <c r="D268" s="20" t="s">
        <v>722</v>
      </c>
      <c r="E268" s="21">
        <v>0.27215189873417722</v>
      </c>
      <c r="F268" s="20" t="s">
        <v>770</v>
      </c>
      <c r="G268" s="20" t="s">
        <v>717</v>
      </c>
      <c r="H268" s="20" t="s">
        <v>726</v>
      </c>
    </row>
    <row r="269" spans="1:8">
      <c r="A269" s="20" t="s">
        <v>233</v>
      </c>
      <c r="B269" s="20" t="s">
        <v>221</v>
      </c>
      <c r="C269" s="20" t="s">
        <v>234</v>
      </c>
      <c r="D269" s="20" t="s">
        <v>727</v>
      </c>
      <c r="E269" s="21">
        <v>0.1012658227848101</v>
      </c>
      <c r="F269" s="20" t="s">
        <v>770</v>
      </c>
      <c r="G269" s="20" t="s">
        <v>717</v>
      </c>
      <c r="H269" s="20" t="s">
        <v>726</v>
      </c>
    </row>
    <row r="270" spans="1:8">
      <c r="A270" s="20" t="s">
        <v>233</v>
      </c>
      <c r="B270" s="20" t="s">
        <v>221</v>
      </c>
      <c r="C270" s="20" t="s">
        <v>234</v>
      </c>
      <c r="D270" s="20" t="s">
        <v>762</v>
      </c>
      <c r="E270" s="21">
        <v>0.12658227848101269</v>
      </c>
      <c r="F270" s="20" t="s">
        <v>770</v>
      </c>
      <c r="G270" s="20" t="s">
        <v>717</v>
      </c>
      <c r="H270" s="20" t="s">
        <v>726</v>
      </c>
    </row>
    <row r="271" spans="1:8">
      <c r="A271" s="20" t="s">
        <v>233</v>
      </c>
      <c r="B271" s="20" t="s">
        <v>221</v>
      </c>
      <c r="C271" s="20" t="s">
        <v>234</v>
      </c>
      <c r="D271" s="20" t="s">
        <v>771</v>
      </c>
      <c r="E271" s="21">
        <v>8.2278481012658222E-2</v>
      </c>
      <c r="F271" s="20" t="s">
        <v>770</v>
      </c>
      <c r="G271" s="20" t="s">
        <v>717</v>
      </c>
      <c r="H271" s="20" t="s">
        <v>726</v>
      </c>
    </row>
    <row r="272" spans="1:8">
      <c r="A272" s="20" t="s">
        <v>235</v>
      </c>
      <c r="B272" s="20" t="s">
        <v>236</v>
      </c>
      <c r="C272" s="20" t="s">
        <v>237</v>
      </c>
      <c r="D272" s="20" t="s">
        <v>721</v>
      </c>
      <c r="E272" s="21">
        <v>0.41772151898734172</v>
      </c>
      <c r="F272" s="20" t="s">
        <v>769</v>
      </c>
      <c r="G272" s="20" t="s">
        <v>717</v>
      </c>
      <c r="H272" s="20" t="s">
        <v>726</v>
      </c>
    </row>
    <row r="273" spans="1:8">
      <c r="A273" s="20" t="s">
        <v>235</v>
      </c>
      <c r="B273" s="20" t="s">
        <v>236</v>
      </c>
      <c r="C273" s="20" t="s">
        <v>237</v>
      </c>
      <c r="D273" s="20" t="s">
        <v>722</v>
      </c>
      <c r="E273" s="21">
        <v>0.27215189873417722</v>
      </c>
      <c r="F273" s="20" t="s">
        <v>770</v>
      </c>
      <c r="G273" s="20" t="s">
        <v>717</v>
      </c>
      <c r="H273" s="20" t="s">
        <v>726</v>
      </c>
    </row>
    <row r="274" spans="1:8">
      <c r="A274" s="20" t="s">
        <v>235</v>
      </c>
      <c r="B274" s="20" t="s">
        <v>236</v>
      </c>
      <c r="C274" s="20" t="s">
        <v>237</v>
      </c>
      <c r="D274" s="20" t="s">
        <v>727</v>
      </c>
      <c r="E274" s="21">
        <v>0.1012658227848101</v>
      </c>
      <c r="F274" s="20" t="s">
        <v>770</v>
      </c>
      <c r="G274" s="20" t="s">
        <v>717</v>
      </c>
      <c r="H274" s="20" t="s">
        <v>726</v>
      </c>
    </row>
    <row r="275" spans="1:8">
      <c r="A275" s="20" t="s">
        <v>235</v>
      </c>
      <c r="B275" s="20" t="s">
        <v>236</v>
      </c>
      <c r="C275" s="20" t="s">
        <v>237</v>
      </c>
      <c r="D275" s="20" t="s">
        <v>762</v>
      </c>
      <c r="E275" s="21">
        <v>0.12658227848101269</v>
      </c>
      <c r="F275" s="20" t="s">
        <v>770</v>
      </c>
      <c r="G275" s="20" t="s">
        <v>717</v>
      </c>
      <c r="H275" s="20" t="s">
        <v>726</v>
      </c>
    </row>
    <row r="276" spans="1:8">
      <c r="A276" s="20" t="s">
        <v>235</v>
      </c>
      <c r="B276" s="20" t="s">
        <v>236</v>
      </c>
      <c r="C276" s="20" t="s">
        <v>237</v>
      </c>
      <c r="D276" s="20" t="s">
        <v>771</v>
      </c>
      <c r="E276" s="21">
        <v>8.2278481012658222E-2</v>
      </c>
      <c r="F276" s="20" t="s">
        <v>770</v>
      </c>
      <c r="G276" s="20" t="s">
        <v>717</v>
      </c>
      <c r="H276" s="20" t="s">
        <v>726</v>
      </c>
    </row>
    <row r="277" spans="1:8">
      <c r="A277" s="20" t="s">
        <v>242</v>
      </c>
      <c r="B277" s="20" t="s">
        <v>236</v>
      </c>
      <c r="C277" s="20" t="s">
        <v>236</v>
      </c>
      <c r="D277" s="20" t="s">
        <v>721</v>
      </c>
      <c r="E277" s="21">
        <v>0.42580645161290309</v>
      </c>
      <c r="F277" s="20" t="s">
        <v>769</v>
      </c>
      <c r="G277" s="20" t="s">
        <v>717</v>
      </c>
      <c r="H277" s="20" t="s">
        <v>726</v>
      </c>
    </row>
    <row r="278" spans="1:8">
      <c r="A278" s="20" t="s">
        <v>242</v>
      </c>
      <c r="B278" s="20" t="s">
        <v>236</v>
      </c>
      <c r="C278" s="20" t="s">
        <v>236</v>
      </c>
      <c r="D278" s="20" t="s">
        <v>722</v>
      </c>
      <c r="E278" s="21">
        <v>0.27741935483870972</v>
      </c>
      <c r="F278" s="20" t="s">
        <v>770</v>
      </c>
      <c r="G278" s="20" t="s">
        <v>717</v>
      </c>
      <c r="H278" s="20" t="s">
        <v>726</v>
      </c>
    </row>
    <row r="279" spans="1:8">
      <c r="A279" s="20" t="s">
        <v>242</v>
      </c>
      <c r="B279" s="20" t="s">
        <v>236</v>
      </c>
      <c r="C279" s="20" t="s">
        <v>236</v>
      </c>
      <c r="D279" s="20" t="s">
        <v>727</v>
      </c>
      <c r="E279" s="21">
        <v>0.13548387096774189</v>
      </c>
      <c r="F279" s="20" t="s">
        <v>770</v>
      </c>
      <c r="G279" s="20" t="s">
        <v>717</v>
      </c>
      <c r="H279" s="20" t="s">
        <v>726</v>
      </c>
    </row>
    <row r="280" spans="1:8">
      <c r="A280" s="20" t="s">
        <v>242</v>
      </c>
      <c r="B280" s="20" t="s">
        <v>236</v>
      </c>
      <c r="C280" s="20" t="s">
        <v>236</v>
      </c>
      <c r="D280" s="20" t="s">
        <v>762</v>
      </c>
      <c r="E280" s="21">
        <v>7.7419354838709681E-2</v>
      </c>
      <c r="F280" s="20" t="s">
        <v>770</v>
      </c>
      <c r="G280" s="20" t="s">
        <v>717</v>
      </c>
      <c r="H280" s="20" t="s">
        <v>726</v>
      </c>
    </row>
    <row r="281" spans="1:8">
      <c r="A281" s="20" t="s">
        <v>242</v>
      </c>
      <c r="B281" s="20" t="s">
        <v>236</v>
      </c>
      <c r="C281" s="20" t="s">
        <v>236</v>
      </c>
      <c r="D281" s="20" t="s">
        <v>771</v>
      </c>
      <c r="E281" s="21">
        <v>8.387096774193549E-2</v>
      </c>
      <c r="F281" s="20" t="s">
        <v>770</v>
      </c>
      <c r="G281" s="20" t="s">
        <v>717</v>
      </c>
      <c r="H281" s="20" t="s">
        <v>726</v>
      </c>
    </row>
    <row r="282" spans="1:8">
      <c r="A282" s="20" t="s">
        <v>243</v>
      </c>
      <c r="B282" s="20" t="s">
        <v>236</v>
      </c>
      <c r="C282" s="20" t="s">
        <v>244</v>
      </c>
      <c r="D282" s="20" t="s">
        <v>721</v>
      </c>
      <c r="E282" s="21">
        <v>0.44936708860759489</v>
      </c>
      <c r="F282" s="20" t="s">
        <v>769</v>
      </c>
      <c r="G282" s="20" t="s">
        <v>717</v>
      </c>
      <c r="H282" s="20" t="s">
        <v>726</v>
      </c>
    </row>
    <row r="283" spans="1:8">
      <c r="A283" s="20" t="s">
        <v>243</v>
      </c>
      <c r="B283" s="20" t="s">
        <v>236</v>
      </c>
      <c r="C283" s="20" t="s">
        <v>244</v>
      </c>
      <c r="D283" s="20" t="s">
        <v>722</v>
      </c>
      <c r="E283" s="21">
        <v>0.20886075949367089</v>
      </c>
      <c r="F283" s="20" t="s">
        <v>770</v>
      </c>
      <c r="G283" s="20" t="s">
        <v>717</v>
      </c>
      <c r="H283" s="20" t="s">
        <v>726</v>
      </c>
    </row>
    <row r="284" spans="1:8">
      <c r="A284" s="20" t="s">
        <v>243</v>
      </c>
      <c r="B284" s="20" t="s">
        <v>236</v>
      </c>
      <c r="C284" s="20" t="s">
        <v>244</v>
      </c>
      <c r="D284" s="20" t="s">
        <v>727</v>
      </c>
      <c r="E284" s="21">
        <v>0.13291139240506331</v>
      </c>
      <c r="F284" s="20" t="s">
        <v>770</v>
      </c>
      <c r="G284" s="20" t="s">
        <v>717</v>
      </c>
      <c r="H284" s="20" t="s">
        <v>726</v>
      </c>
    </row>
    <row r="285" spans="1:8">
      <c r="A285" s="20" t="s">
        <v>243</v>
      </c>
      <c r="B285" s="20" t="s">
        <v>236</v>
      </c>
      <c r="C285" s="20" t="s">
        <v>244</v>
      </c>
      <c r="D285" s="20" t="s">
        <v>762</v>
      </c>
      <c r="E285" s="21">
        <v>0.12658227848101269</v>
      </c>
      <c r="F285" s="20" t="s">
        <v>770</v>
      </c>
      <c r="G285" s="20" t="s">
        <v>717</v>
      </c>
      <c r="H285" s="20" t="s">
        <v>726</v>
      </c>
    </row>
    <row r="286" spans="1:8">
      <c r="A286" s="20" t="s">
        <v>243</v>
      </c>
      <c r="B286" s="20" t="s">
        <v>236</v>
      </c>
      <c r="C286" s="20" t="s">
        <v>244</v>
      </c>
      <c r="D286" s="20" t="s">
        <v>771</v>
      </c>
      <c r="E286" s="21">
        <v>8.2278481012658222E-2</v>
      </c>
      <c r="F286" s="20" t="s">
        <v>770</v>
      </c>
      <c r="G286" s="20" t="s">
        <v>717</v>
      </c>
      <c r="H286" s="20" t="s">
        <v>726</v>
      </c>
    </row>
    <row r="287" spans="1:8">
      <c r="A287" s="20" t="s">
        <v>245</v>
      </c>
      <c r="B287" s="20" t="s">
        <v>236</v>
      </c>
      <c r="C287" s="20" t="s">
        <v>246</v>
      </c>
      <c r="D287" s="20" t="s">
        <v>721</v>
      </c>
      <c r="E287" s="21">
        <v>0.51079136690647486</v>
      </c>
      <c r="F287" s="20" t="s">
        <v>769</v>
      </c>
      <c r="G287" s="20" t="s">
        <v>717</v>
      </c>
      <c r="H287" s="20" t="s">
        <v>720</v>
      </c>
    </row>
    <row r="288" spans="1:8">
      <c r="A288" s="20" t="s">
        <v>245</v>
      </c>
      <c r="B288" s="20" t="s">
        <v>236</v>
      </c>
      <c r="C288" s="20" t="s">
        <v>246</v>
      </c>
      <c r="D288" s="20" t="s">
        <v>722</v>
      </c>
      <c r="E288" s="21">
        <v>0.17985611510791369</v>
      </c>
      <c r="F288" s="20" t="s">
        <v>770</v>
      </c>
      <c r="G288" s="20" t="s">
        <v>717</v>
      </c>
      <c r="H288" s="20" t="s">
        <v>720</v>
      </c>
    </row>
    <row r="289" spans="1:8">
      <c r="A289" s="20" t="s">
        <v>245</v>
      </c>
      <c r="B289" s="20" t="s">
        <v>236</v>
      </c>
      <c r="C289" s="20" t="s">
        <v>246</v>
      </c>
      <c r="D289" s="20" t="s">
        <v>727</v>
      </c>
      <c r="E289" s="21">
        <v>0.1366906474820144</v>
      </c>
      <c r="F289" s="20" t="s">
        <v>770</v>
      </c>
      <c r="G289" s="20" t="s">
        <v>717</v>
      </c>
      <c r="H289" s="20" t="s">
        <v>720</v>
      </c>
    </row>
    <row r="290" spans="1:8">
      <c r="A290" s="20" t="s">
        <v>245</v>
      </c>
      <c r="B290" s="20" t="s">
        <v>236</v>
      </c>
      <c r="C290" s="20" t="s">
        <v>246</v>
      </c>
      <c r="D290" s="20" t="s">
        <v>762</v>
      </c>
      <c r="E290" s="21">
        <v>0.1079136690647482</v>
      </c>
      <c r="F290" s="20" t="s">
        <v>770</v>
      </c>
      <c r="G290" s="20" t="s">
        <v>717</v>
      </c>
      <c r="H290" s="20" t="s">
        <v>720</v>
      </c>
    </row>
    <row r="291" spans="1:8">
      <c r="A291" s="20" t="s">
        <v>245</v>
      </c>
      <c r="B291" s="20" t="s">
        <v>236</v>
      </c>
      <c r="C291" s="20" t="s">
        <v>246</v>
      </c>
      <c r="D291" s="20" t="s">
        <v>771</v>
      </c>
      <c r="E291" s="21">
        <v>6.4748201438848921E-2</v>
      </c>
      <c r="F291" s="20" t="s">
        <v>770</v>
      </c>
      <c r="G291" s="20" t="s">
        <v>717</v>
      </c>
      <c r="H291" s="20" t="s">
        <v>720</v>
      </c>
    </row>
    <row r="292" spans="1:8">
      <c r="A292" s="20" t="s">
        <v>247</v>
      </c>
      <c r="B292" s="20" t="s">
        <v>236</v>
      </c>
      <c r="C292" s="20" t="s">
        <v>248</v>
      </c>
      <c r="D292" s="20" t="s">
        <v>721</v>
      </c>
      <c r="E292" s="21">
        <v>0.42580645161290309</v>
      </c>
      <c r="F292" s="20" t="s">
        <v>769</v>
      </c>
      <c r="G292" s="20" t="s">
        <v>717</v>
      </c>
      <c r="H292" s="20" t="s">
        <v>726</v>
      </c>
    </row>
    <row r="293" spans="1:8">
      <c r="A293" s="20" t="s">
        <v>247</v>
      </c>
      <c r="B293" s="20" t="s">
        <v>236</v>
      </c>
      <c r="C293" s="20" t="s">
        <v>248</v>
      </c>
      <c r="D293" s="20" t="s">
        <v>722</v>
      </c>
      <c r="E293" s="21">
        <v>0.27741935483870972</v>
      </c>
      <c r="F293" s="20" t="s">
        <v>770</v>
      </c>
      <c r="G293" s="20" t="s">
        <v>717</v>
      </c>
      <c r="H293" s="20" t="s">
        <v>726</v>
      </c>
    </row>
    <row r="294" spans="1:8">
      <c r="A294" s="20" t="s">
        <v>247</v>
      </c>
      <c r="B294" s="20" t="s">
        <v>236</v>
      </c>
      <c r="C294" s="20" t="s">
        <v>248</v>
      </c>
      <c r="D294" s="20" t="s">
        <v>727</v>
      </c>
      <c r="E294" s="21">
        <v>0.13548387096774189</v>
      </c>
      <c r="F294" s="20" t="s">
        <v>770</v>
      </c>
      <c r="G294" s="20" t="s">
        <v>717</v>
      </c>
      <c r="H294" s="20" t="s">
        <v>726</v>
      </c>
    </row>
    <row r="295" spans="1:8">
      <c r="A295" s="20" t="s">
        <v>247</v>
      </c>
      <c r="B295" s="20" t="s">
        <v>236</v>
      </c>
      <c r="C295" s="20" t="s">
        <v>248</v>
      </c>
      <c r="D295" s="20" t="s">
        <v>762</v>
      </c>
      <c r="E295" s="21">
        <v>7.7419354838709681E-2</v>
      </c>
      <c r="F295" s="20" t="s">
        <v>770</v>
      </c>
      <c r="G295" s="20" t="s">
        <v>717</v>
      </c>
      <c r="H295" s="20" t="s">
        <v>726</v>
      </c>
    </row>
    <row r="296" spans="1:8">
      <c r="A296" s="20" t="s">
        <v>247</v>
      </c>
      <c r="B296" s="20" t="s">
        <v>236</v>
      </c>
      <c r="C296" s="20" t="s">
        <v>248</v>
      </c>
      <c r="D296" s="20" t="s">
        <v>771</v>
      </c>
      <c r="E296" s="21">
        <v>8.387096774193549E-2</v>
      </c>
      <c r="F296" s="20" t="s">
        <v>770</v>
      </c>
      <c r="G296" s="20" t="s">
        <v>717</v>
      </c>
      <c r="H296" s="20" t="s">
        <v>726</v>
      </c>
    </row>
    <row r="297" spans="1:8">
      <c r="A297" s="20" t="s">
        <v>249</v>
      </c>
      <c r="B297" s="20" t="s">
        <v>236</v>
      </c>
      <c r="C297" s="20" t="s">
        <v>250</v>
      </c>
      <c r="D297" s="20" t="s">
        <v>721</v>
      </c>
      <c r="E297" s="21">
        <v>0.44936708860759489</v>
      </c>
      <c r="F297" s="20" t="s">
        <v>769</v>
      </c>
      <c r="G297" s="20" t="s">
        <v>717</v>
      </c>
      <c r="H297" s="20" t="s">
        <v>726</v>
      </c>
    </row>
    <row r="298" spans="1:8">
      <c r="A298" s="20" t="s">
        <v>249</v>
      </c>
      <c r="B298" s="20" t="s">
        <v>236</v>
      </c>
      <c r="C298" s="20" t="s">
        <v>250</v>
      </c>
      <c r="D298" s="20" t="s">
        <v>722</v>
      </c>
      <c r="E298" s="21">
        <v>0.20886075949367089</v>
      </c>
      <c r="F298" s="20" t="s">
        <v>770</v>
      </c>
      <c r="G298" s="20" t="s">
        <v>717</v>
      </c>
      <c r="H298" s="20" t="s">
        <v>726</v>
      </c>
    </row>
    <row r="299" spans="1:8">
      <c r="A299" s="20" t="s">
        <v>249</v>
      </c>
      <c r="B299" s="20" t="s">
        <v>236</v>
      </c>
      <c r="C299" s="20" t="s">
        <v>250</v>
      </c>
      <c r="D299" s="20" t="s">
        <v>727</v>
      </c>
      <c r="E299" s="21">
        <v>0.13291139240506331</v>
      </c>
      <c r="F299" s="20" t="s">
        <v>770</v>
      </c>
      <c r="G299" s="20" t="s">
        <v>717</v>
      </c>
      <c r="H299" s="20" t="s">
        <v>726</v>
      </c>
    </row>
    <row r="300" spans="1:8">
      <c r="A300" s="20" t="s">
        <v>249</v>
      </c>
      <c r="B300" s="20" t="s">
        <v>236</v>
      </c>
      <c r="C300" s="20" t="s">
        <v>250</v>
      </c>
      <c r="D300" s="20" t="s">
        <v>762</v>
      </c>
      <c r="E300" s="21">
        <v>0.12658227848101269</v>
      </c>
      <c r="F300" s="20" t="s">
        <v>770</v>
      </c>
      <c r="G300" s="20" t="s">
        <v>717</v>
      </c>
      <c r="H300" s="20" t="s">
        <v>726</v>
      </c>
    </row>
    <row r="301" spans="1:8">
      <c r="A301" s="20" t="s">
        <v>249</v>
      </c>
      <c r="B301" s="20" t="s">
        <v>236</v>
      </c>
      <c r="C301" s="20" t="s">
        <v>250</v>
      </c>
      <c r="D301" s="20" t="s">
        <v>771</v>
      </c>
      <c r="E301" s="21">
        <v>8.2278481012658222E-2</v>
      </c>
      <c r="F301" s="20" t="s">
        <v>770</v>
      </c>
      <c r="G301" s="20" t="s">
        <v>717</v>
      </c>
      <c r="H301" s="20" t="s">
        <v>726</v>
      </c>
    </row>
    <row r="302" spans="1:8">
      <c r="A302" s="20" t="s">
        <v>251</v>
      </c>
      <c r="B302" s="20" t="s">
        <v>236</v>
      </c>
      <c r="C302" s="20" t="s">
        <v>252</v>
      </c>
      <c r="D302" s="20" t="s">
        <v>721</v>
      </c>
      <c r="E302" s="21">
        <v>0.5220588235294118</v>
      </c>
      <c r="F302" s="20" t="s">
        <v>769</v>
      </c>
      <c r="G302" s="20" t="s">
        <v>717</v>
      </c>
      <c r="H302" s="20" t="s">
        <v>720</v>
      </c>
    </row>
    <row r="303" spans="1:8">
      <c r="A303" s="20" t="s">
        <v>251</v>
      </c>
      <c r="B303" s="20" t="s">
        <v>236</v>
      </c>
      <c r="C303" s="20" t="s">
        <v>252</v>
      </c>
      <c r="D303" s="20" t="s">
        <v>722</v>
      </c>
      <c r="E303" s="21">
        <v>0.18382352941176469</v>
      </c>
      <c r="F303" s="20" t="s">
        <v>770</v>
      </c>
      <c r="G303" s="20" t="s">
        <v>717</v>
      </c>
      <c r="H303" s="20" t="s">
        <v>720</v>
      </c>
    </row>
    <row r="304" spans="1:8">
      <c r="A304" s="20" t="s">
        <v>251</v>
      </c>
      <c r="B304" s="20" t="s">
        <v>236</v>
      </c>
      <c r="C304" s="20" t="s">
        <v>252</v>
      </c>
      <c r="D304" s="20" t="s">
        <v>727</v>
      </c>
      <c r="E304" s="21">
        <v>0.1764705882352941</v>
      </c>
      <c r="F304" s="20" t="s">
        <v>770</v>
      </c>
      <c r="G304" s="20" t="s">
        <v>717</v>
      </c>
      <c r="H304" s="20" t="s">
        <v>720</v>
      </c>
    </row>
    <row r="305" spans="1:8">
      <c r="A305" s="20" t="s">
        <v>251</v>
      </c>
      <c r="B305" s="20" t="s">
        <v>236</v>
      </c>
      <c r="C305" s="20" t="s">
        <v>252</v>
      </c>
      <c r="D305" s="20" t="s">
        <v>762</v>
      </c>
      <c r="E305" s="21">
        <v>5.1470588235294129E-2</v>
      </c>
      <c r="F305" s="20" t="s">
        <v>770</v>
      </c>
      <c r="G305" s="20" t="s">
        <v>717</v>
      </c>
      <c r="H305" s="20" t="s">
        <v>720</v>
      </c>
    </row>
    <row r="306" spans="1:8">
      <c r="A306" s="20" t="s">
        <v>251</v>
      </c>
      <c r="B306" s="20" t="s">
        <v>236</v>
      </c>
      <c r="C306" s="20" t="s">
        <v>252</v>
      </c>
      <c r="D306" s="20" t="s">
        <v>771</v>
      </c>
      <c r="E306" s="21">
        <v>6.6176470588235295E-2</v>
      </c>
      <c r="F306" s="20" t="s">
        <v>770</v>
      </c>
      <c r="G306" s="20" t="s">
        <v>717</v>
      </c>
      <c r="H306" s="20" t="s">
        <v>720</v>
      </c>
    </row>
    <row r="307" spans="1:8">
      <c r="A307" s="20" t="s">
        <v>253</v>
      </c>
      <c r="B307" s="20" t="s">
        <v>236</v>
      </c>
      <c r="C307" s="20" t="s">
        <v>254</v>
      </c>
      <c r="D307" s="20" t="s">
        <v>721</v>
      </c>
      <c r="E307" s="21">
        <v>0.5220588235294118</v>
      </c>
      <c r="F307" s="20" t="s">
        <v>769</v>
      </c>
      <c r="G307" s="20" t="s">
        <v>717</v>
      </c>
      <c r="H307" s="20" t="s">
        <v>720</v>
      </c>
    </row>
    <row r="308" spans="1:8">
      <c r="A308" s="20" t="s">
        <v>253</v>
      </c>
      <c r="B308" s="20" t="s">
        <v>236</v>
      </c>
      <c r="C308" s="20" t="s">
        <v>254</v>
      </c>
      <c r="D308" s="20" t="s">
        <v>722</v>
      </c>
      <c r="E308" s="21">
        <v>0.18382352941176469</v>
      </c>
      <c r="F308" s="20" t="s">
        <v>770</v>
      </c>
      <c r="G308" s="20" t="s">
        <v>717</v>
      </c>
      <c r="H308" s="20" t="s">
        <v>720</v>
      </c>
    </row>
    <row r="309" spans="1:8">
      <c r="A309" s="20" t="s">
        <v>253</v>
      </c>
      <c r="B309" s="20" t="s">
        <v>236</v>
      </c>
      <c r="C309" s="20" t="s">
        <v>254</v>
      </c>
      <c r="D309" s="20" t="s">
        <v>727</v>
      </c>
      <c r="E309" s="21">
        <v>0.1764705882352941</v>
      </c>
      <c r="F309" s="20" t="s">
        <v>770</v>
      </c>
      <c r="G309" s="20" t="s">
        <v>717</v>
      </c>
      <c r="H309" s="20" t="s">
        <v>720</v>
      </c>
    </row>
    <row r="310" spans="1:8">
      <c r="A310" s="20" t="s">
        <v>253</v>
      </c>
      <c r="B310" s="20" t="s">
        <v>236</v>
      </c>
      <c r="C310" s="20" t="s">
        <v>254</v>
      </c>
      <c r="D310" s="20" t="s">
        <v>762</v>
      </c>
      <c r="E310" s="21">
        <v>5.1470588235294129E-2</v>
      </c>
      <c r="F310" s="20" t="s">
        <v>770</v>
      </c>
      <c r="G310" s="20" t="s">
        <v>717</v>
      </c>
      <c r="H310" s="20" t="s">
        <v>720</v>
      </c>
    </row>
    <row r="311" spans="1:8">
      <c r="A311" s="20" t="s">
        <v>253</v>
      </c>
      <c r="B311" s="20" t="s">
        <v>236</v>
      </c>
      <c r="C311" s="20" t="s">
        <v>254</v>
      </c>
      <c r="D311" s="20" t="s">
        <v>771</v>
      </c>
      <c r="E311" s="21">
        <v>6.6176470588235295E-2</v>
      </c>
      <c r="F311" s="20" t="s">
        <v>770</v>
      </c>
      <c r="G311" s="20" t="s">
        <v>717</v>
      </c>
      <c r="H311" s="20" t="s">
        <v>720</v>
      </c>
    </row>
    <row r="312" spans="1:8">
      <c r="A312" s="20" t="s">
        <v>255</v>
      </c>
      <c r="B312" s="20" t="s">
        <v>236</v>
      </c>
      <c r="C312" s="20" t="s">
        <v>256</v>
      </c>
      <c r="D312" s="20" t="s">
        <v>721</v>
      </c>
      <c r="E312" s="21">
        <v>0.5220588235294118</v>
      </c>
      <c r="F312" s="20" t="s">
        <v>769</v>
      </c>
      <c r="G312" s="20" t="s">
        <v>717</v>
      </c>
      <c r="H312" s="20" t="s">
        <v>720</v>
      </c>
    </row>
    <row r="313" spans="1:8">
      <c r="A313" s="20" t="s">
        <v>255</v>
      </c>
      <c r="B313" s="20" t="s">
        <v>236</v>
      </c>
      <c r="C313" s="20" t="s">
        <v>256</v>
      </c>
      <c r="D313" s="20" t="s">
        <v>722</v>
      </c>
      <c r="E313" s="21">
        <v>0.18382352941176469</v>
      </c>
      <c r="F313" s="20" t="s">
        <v>770</v>
      </c>
      <c r="G313" s="20" t="s">
        <v>717</v>
      </c>
      <c r="H313" s="20" t="s">
        <v>720</v>
      </c>
    </row>
    <row r="314" spans="1:8">
      <c r="A314" s="20" t="s">
        <v>255</v>
      </c>
      <c r="B314" s="20" t="s">
        <v>236</v>
      </c>
      <c r="C314" s="20" t="s">
        <v>256</v>
      </c>
      <c r="D314" s="20" t="s">
        <v>727</v>
      </c>
      <c r="E314" s="21">
        <v>0.1764705882352941</v>
      </c>
      <c r="F314" s="20" t="s">
        <v>770</v>
      </c>
      <c r="G314" s="20" t="s">
        <v>717</v>
      </c>
      <c r="H314" s="20" t="s">
        <v>720</v>
      </c>
    </row>
    <row r="315" spans="1:8">
      <c r="A315" s="20" t="s">
        <v>255</v>
      </c>
      <c r="B315" s="20" t="s">
        <v>236</v>
      </c>
      <c r="C315" s="20" t="s">
        <v>256</v>
      </c>
      <c r="D315" s="20" t="s">
        <v>762</v>
      </c>
      <c r="E315" s="21">
        <v>5.1470588235294129E-2</v>
      </c>
      <c r="F315" s="20" t="s">
        <v>770</v>
      </c>
      <c r="G315" s="20" t="s">
        <v>717</v>
      </c>
      <c r="H315" s="20" t="s">
        <v>720</v>
      </c>
    </row>
    <row r="316" spans="1:8">
      <c r="A316" s="20" t="s">
        <v>255</v>
      </c>
      <c r="B316" s="20" t="s">
        <v>236</v>
      </c>
      <c r="C316" s="20" t="s">
        <v>256</v>
      </c>
      <c r="D316" s="20" t="s">
        <v>771</v>
      </c>
      <c r="E316" s="21">
        <v>6.6176470588235295E-2</v>
      </c>
      <c r="F316" s="20" t="s">
        <v>770</v>
      </c>
      <c r="G316" s="20" t="s">
        <v>717</v>
      </c>
      <c r="H316" s="20" t="s">
        <v>720</v>
      </c>
    </row>
    <row r="317" spans="1:8">
      <c r="A317" s="20" t="s">
        <v>257</v>
      </c>
      <c r="B317" s="20" t="s">
        <v>258</v>
      </c>
      <c r="C317" s="20" t="s">
        <v>259</v>
      </c>
      <c r="D317" s="20" t="s">
        <v>721</v>
      </c>
      <c r="E317" s="21">
        <v>0.51079136690647486</v>
      </c>
      <c r="F317" s="20" t="s">
        <v>769</v>
      </c>
      <c r="G317" s="20" t="s">
        <v>717</v>
      </c>
      <c r="H317" s="20" t="s">
        <v>720</v>
      </c>
    </row>
    <row r="318" spans="1:8">
      <c r="A318" s="20" t="s">
        <v>257</v>
      </c>
      <c r="B318" s="20" t="s">
        <v>258</v>
      </c>
      <c r="C318" s="20" t="s">
        <v>259</v>
      </c>
      <c r="D318" s="20" t="s">
        <v>722</v>
      </c>
      <c r="E318" s="21">
        <v>0.17985611510791369</v>
      </c>
      <c r="F318" s="20" t="s">
        <v>770</v>
      </c>
      <c r="G318" s="20" t="s">
        <v>717</v>
      </c>
      <c r="H318" s="20" t="s">
        <v>720</v>
      </c>
    </row>
    <row r="319" spans="1:8">
      <c r="A319" s="20" t="s">
        <v>257</v>
      </c>
      <c r="B319" s="20" t="s">
        <v>258</v>
      </c>
      <c r="C319" s="20" t="s">
        <v>259</v>
      </c>
      <c r="D319" s="20" t="s">
        <v>727</v>
      </c>
      <c r="E319" s="21">
        <v>0.1366906474820144</v>
      </c>
      <c r="F319" s="20" t="s">
        <v>770</v>
      </c>
      <c r="G319" s="20" t="s">
        <v>717</v>
      </c>
      <c r="H319" s="20" t="s">
        <v>720</v>
      </c>
    </row>
    <row r="320" spans="1:8">
      <c r="A320" s="20" t="s">
        <v>257</v>
      </c>
      <c r="B320" s="20" t="s">
        <v>258</v>
      </c>
      <c r="C320" s="20" t="s">
        <v>259</v>
      </c>
      <c r="D320" s="20" t="s">
        <v>762</v>
      </c>
      <c r="E320" s="21">
        <v>0.1079136690647482</v>
      </c>
      <c r="F320" s="20" t="s">
        <v>770</v>
      </c>
      <c r="G320" s="20" t="s">
        <v>717</v>
      </c>
      <c r="H320" s="20" t="s">
        <v>720</v>
      </c>
    </row>
    <row r="321" spans="1:8">
      <c r="A321" s="20" t="s">
        <v>257</v>
      </c>
      <c r="B321" s="20" t="s">
        <v>258</v>
      </c>
      <c r="C321" s="20" t="s">
        <v>259</v>
      </c>
      <c r="D321" s="20" t="s">
        <v>771</v>
      </c>
      <c r="E321" s="21">
        <v>6.4748201438848921E-2</v>
      </c>
      <c r="F321" s="20" t="s">
        <v>770</v>
      </c>
      <c r="G321" s="20" t="s">
        <v>717</v>
      </c>
      <c r="H321" s="20" t="s">
        <v>720</v>
      </c>
    </row>
    <row r="322" spans="1:8">
      <c r="A322" s="20" t="s">
        <v>264</v>
      </c>
      <c r="B322" s="20" t="s">
        <v>258</v>
      </c>
      <c r="C322" s="20" t="s">
        <v>265</v>
      </c>
      <c r="D322" s="20" t="s">
        <v>721</v>
      </c>
      <c r="E322" s="21">
        <v>0.41772151898734172</v>
      </c>
      <c r="F322" s="20" t="s">
        <v>769</v>
      </c>
      <c r="G322" s="20" t="s">
        <v>717</v>
      </c>
      <c r="H322" s="20" t="s">
        <v>726</v>
      </c>
    </row>
    <row r="323" spans="1:8">
      <c r="A323" s="20" t="s">
        <v>264</v>
      </c>
      <c r="B323" s="20" t="s">
        <v>258</v>
      </c>
      <c r="C323" s="20" t="s">
        <v>265</v>
      </c>
      <c r="D323" s="20" t="s">
        <v>722</v>
      </c>
      <c r="E323" s="21">
        <v>0.27215189873417722</v>
      </c>
      <c r="F323" s="20" t="s">
        <v>770</v>
      </c>
      <c r="G323" s="20" t="s">
        <v>717</v>
      </c>
      <c r="H323" s="20" t="s">
        <v>726</v>
      </c>
    </row>
    <row r="324" spans="1:8">
      <c r="A324" s="20" t="s">
        <v>264</v>
      </c>
      <c r="B324" s="20" t="s">
        <v>258</v>
      </c>
      <c r="C324" s="20" t="s">
        <v>265</v>
      </c>
      <c r="D324" s="20" t="s">
        <v>727</v>
      </c>
      <c r="E324" s="21">
        <v>0.1012658227848101</v>
      </c>
      <c r="F324" s="20" t="s">
        <v>770</v>
      </c>
      <c r="G324" s="20" t="s">
        <v>717</v>
      </c>
      <c r="H324" s="20" t="s">
        <v>726</v>
      </c>
    </row>
    <row r="325" spans="1:8">
      <c r="A325" s="20" t="s">
        <v>264</v>
      </c>
      <c r="B325" s="20" t="s">
        <v>258</v>
      </c>
      <c r="C325" s="20" t="s">
        <v>265</v>
      </c>
      <c r="D325" s="20" t="s">
        <v>762</v>
      </c>
      <c r="E325" s="21">
        <v>0.12658227848101269</v>
      </c>
      <c r="F325" s="20" t="s">
        <v>770</v>
      </c>
      <c r="G325" s="20" t="s">
        <v>717</v>
      </c>
      <c r="H325" s="20" t="s">
        <v>726</v>
      </c>
    </row>
    <row r="326" spans="1:8">
      <c r="A326" s="20" t="s">
        <v>264</v>
      </c>
      <c r="B326" s="20" t="s">
        <v>258</v>
      </c>
      <c r="C326" s="20" t="s">
        <v>265</v>
      </c>
      <c r="D326" s="20" t="s">
        <v>771</v>
      </c>
      <c r="E326" s="21">
        <v>8.2278481012658222E-2</v>
      </c>
      <c r="F326" s="20" t="s">
        <v>770</v>
      </c>
      <c r="G326" s="20" t="s">
        <v>717</v>
      </c>
      <c r="H326" s="20" t="s">
        <v>726</v>
      </c>
    </row>
    <row r="327" spans="1:8">
      <c r="A327" s="20" t="s">
        <v>266</v>
      </c>
      <c r="B327" s="20" t="s">
        <v>258</v>
      </c>
      <c r="C327" s="20" t="s">
        <v>267</v>
      </c>
      <c r="D327" s="20" t="s">
        <v>721</v>
      </c>
      <c r="E327" s="21">
        <v>0.41772151898734172</v>
      </c>
      <c r="F327" s="20" t="s">
        <v>769</v>
      </c>
      <c r="G327" s="20" t="s">
        <v>717</v>
      </c>
      <c r="H327" s="20" t="s">
        <v>726</v>
      </c>
    </row>
    <row r="328" spans="1:8">
      <c r="A328" s="20" t="s">
        <v>266</v>
      </c>
      <c r="B328" s="20" t="s">
        <v>258</v>
      </c>
      <c r="C328" s="20" t="s">
        <v>267</v>
      </c>
      <c r="D328" s="20" t="s">
        <v>722</v>
      </c>
      <c r="E328" s="21">
        <v>0.27215189873417722</v>
      </c>
      <c r="F328" s="20" t="s">
        <v>770</v>
      </c>
      <c r="G328" s="20" t="s">
        <v>717</v>
      </c>
      <c r="H328" s="20" t="s">
        <v>726</v>
      </c>
    </row>
    <row r="329" spans="1:8">
      <c r="A329" s="20" t="s">
        <v>266</v>
      </c>
      <c r="B329" s="20" t="s">
        <v>258</v>
      </c>
      <c r="C329" s="20" t="s">
        <v>267</v>
      </c>
      <c r="D329" s="20" t="s">
        <v>727</v>
      </c>
      <c r="E329" s="21">
        <v>0.1012658227848101</v>
      </c>
      <c r="F329" s="20" t="s">
        <v>770</v>
      </c>
      <c r="G329" s="20" t="s">
        <v>717</v>
      </c>
      <c r="H329" s="20" t="s">
        <v>726</v>
      </c>
    </row>
    <row r="330" spans="1:8">
      <c r="A330" s="20" t="s">
        <v>266</v>
      </c>
      <c r="B330" s="20" t="s">
        <v>258</v>
      </c>
      <c r="C330" s="20" t="s">
        <v>267</v>
      </c>
      <c r="D330" s="20" t="s">
        <v>762</v>
      </c>
      <c r="E330" s="21">
        <v>0.12658227848101269</v>
      </c>
      <c r="F330" s="20" t="s">
        <v>770</v>
      </c>
      <c r="G330" s="20" t="s">
        <v>717</v>
      </c>
      <c r="H330" s="20" t="s">
        <v>726</v>
      </c>
    </row>
    <row r="331" spans="1:8">
      <c r="A331" s="20" t="s">
        <v>266</v>
      </c>
      <c r="B331" s="20" t="s">
        <v>258</v>
      </c>
      <c r="C331" s="20" t="s">
        <v>267</v>
      </c>
      <c r="D331" s="20" t="s">
        <v>771</v>
      </c>
      <c r="E331" s="21">
        <v>8.2278481012658222E-2</v>
      </c>
      <c r="F331" s="20" t="s">
        <v>770</v>
      </c>
      <c r="G331" s="20" t="s">
        <v>717</v>
      </c>
      <c r="H331" s="20" t="s">
        <v>726</v>
      </c>
    </row>
    <row r="332" spans="1:8">
      <c r="A332" s="20" t="s">
        <v>268</v>
      </c>
      <c r="B332" s="20" t="s">
        <v>258</v>
      </c>
      <c r="C332" s="20" t="s">
        <v>269</v>
      </c>
      <c r="D332" s="20" t="s">
        <v>721</v>
      </c>
      <c r="E332" s="21">
        <v>0.51079136690647486</v>
      </c>
      <c r="F332" s="20" t="s">
        <v>769</v>
      </c>
      <c r="G332" s="20" t="s">
        <v>717</v>
      </c>
      <c r="H332" s="20" t="s">
        <v>720</v>
      </c>
    </row>
    <row r="333" spans="1:8">
      <c r="A333" s="20" t="s">
        <v>268</v>
      </c>
      <c r="B333" s="20" t="s">
        <v>258</v>
      </c>
      <c r="C333" s="20" t="s">
        <v>269</v>
      </c>
      <c r="D333" s="20" t="s">
        <v>722</v>
      </c>
      <c r="E333" s="21">
        <v>0.17985611510791369</v>
      </c>
      <c r="F333" s="20" t="s">
        <v>770</v>
      </c>
      <c r="G333" s="20" t="s">
        <v>717</v>
      </c>
      <c r="H333" s="20" t="s">
        <v>720</v>
      </c>
    </row>
    <row r="334" spans="1:8">
      <c r="A334" s="20" t="s">
        <v>268</v>
      </c>
      <c r="B334" s="20" t="s">
        <v>258</v>
      </c>
      <c r="C334" s="20" t="s">
        <v>269</v>
      </c>
      <c r="D334" s="20" t="s">
        <v>727</v>
      </c>
      <c r="E334" s="21">
        <v>0.1366906474820144</v>
      </c>
      <c r="F334" s="20" t="s">
        <v>770</v>
      </c>
      <c r="G334" s="20" t="s">
        <v>717</v>
      </c>
      <c r="H334" s="20" t="s">
        <v>720</v>
      </c>
    </row>
    <row r="335" spans="1:8">
      <c r="A335" s="20" t="s">
        <v>268</v>
      </c>
      <c r="B335" s="20" t="s">
        <v>258</v>
      </c>
      <c r="C335" s="20" t="s">
        <v>269</v>
      </c>
      <c r="D335" s="20" t="s">
        <v>762</v>
      </c>
      <c r="E335" s="21">
        <v>0.1079136690647482</v>
      </c>
      <c r="F335" s="20" t="s">
        <v>770</v>
      </c>
      <c r="G335" s="20" t="s">
        <v>717</v>
      </c>
      <c r="H335" s="20" t="s">
        <v>720</v>
      </c>
    </row>
    <row r="336" spans="1:8">
      <c r="A336" s="20" t="s">
        <v>268</v>
      </c>
      <c r="B336" s="20" t="s">
        <v>258</v>
      </c>
      <c r="C336" s="20" t="s">
        <v>269</v>
      </c>
      <c r="D336" s="20" t="s">
        <v>771</v>
      </c>
      <c r="E336" s="21">
        <v>6.4748201438848921E-2</v>
      </c>
      <c r="F336" s="20" t="s">
        <v>770</v>
      </c>
      <c r="G336" s="20" t="s">
        <v>717</v>
      </c>
      <c r="H336" s="20" t="s">
        <v>720</v>
      </c>
    </row>
    <row r="337" spans="1:8">
      <c r="A337" s="20" t="s">
        <v>270</v>
      </c>
      <c r="B337" s="20" t="s">
        <v>258</v>
      </c>
      <c r="C337" s="20" t="s">
        <v>271</v>
      </c>
      <c r="D337" s="20" t="s">
        <v>721</v>
      </c>
      <c r="E337" s="21">
        <v>0.44099378881987572</v>
      </c>
      <c r="F337" s="20" t="s">
        <v>769</v>
      </c>
      <c r="G337" s="20" t="s">
        <v>717</v>
      </c>
      <c r="H337" s="20" t="s">
        <v>726</v>
      </c>
    </row>
    <row r="338" spans="1:8">
      <c r="A338" s="20" t="s">
        <v>270</v>
      </c>
      <c r="B338" s="20" t="s">
        <v>258</v>
      </c>
      <c r="C338" s="20" t="s">
        <v>271</v>
      </c>
      <c r="D338" s="20" t="s">
        <v>722</v>
      </c>
      <c r="E338" s="21">
        <v>0.20496894409937891</v>
      </c>
      <c r="F338" s="20" t="s">
        <v>770</v>
      </c>
      <c r="G338" s="20" t="s">
        <v>717</v>
      </c>
      <c r="H338" s="20" t="s">
        <v>726</v>
      </c>
    </row>
    <row r="339" spans="1:8">
      <c r="A339" s="20" t="s">
        <v>270</v>
      </c>
      <c r="B339" s="20" t="s">
        <v>258</v>
      </c>
      <c r="C339" s="20" t="s">
        <v>271</v>
      </c>
      <c r="D339" s="20" t="s">
        <v>727</v>
      </c>
      <c r="E339" s="21">
        <v>9.9378881987577633E-2</v>
      </c>
      <c r="F339" s="20" t="s">
        <v>770</v>
      </c>
      <c r="G339" s="20" t="s">
        <v>717</v>
      </c>
      <c r="H339" s="20" t="s">
        <v>726</v>
      </c>
    </row>
    <row r="340" spans="1:8">
      <c r="A340" s="20" t="s">
        <v>270</v>
      </c>
      <c r="B340" s="20" t="s">
        <v>258</v>
      </c>
      <c r="C340" s="20" t="s">
        <v>271</v>
      </c>
      <c r="D340" s="20" t="s">
        <v>762</v>
      </c>
      <c r="E340" s="21">
        <v>0.12422360248447201</v>
      </c>
      <c r="F340" s="20" t="s">
        <v>770</v>
      </c>
      <c r="G340" s="20" t="s">
        <v>717</v>
      </c>
      <c r="H340" s="20" t="s">
        <v>726</v>
      </c>
    </row>
    <row r="341" spans="1:8">
      <c r="A341" s="20" t="s">
        <v>270</v>
      </c>
      <c r="B341" s="20" t="s">
        <v>258</v>
      </c>
      <c r="C341" s="20" t="s">
        <v>271</v>
      </c>
      <c r="D341" s="20" t="s">
        <v>771</v>
      </c>
      <c r="E341" s="21">
        <v>0.13043478260869559</v>
      </c>
      <c r="F341" s="20" t="s">
        <v>770</v>
      </c>
      <c r="G341" s="20" t="s">
        <v>717</v>
      </c>
      <c r="H341" s="20" t="s">
        <v>726</v>
      </c>
    </row>
    <row r="342" spans="1:8">
      <c r="A342" s="20" t="s">
        <v>272</v>
      </c>
      <c r="B342" s="20" t="s">
        <v>258</v>
      </c>
      <c r="C342" s="20" t="s">
        <v>273</v>
      </c>
      <c r="D342" s="20" t="s">
        <v>721</v>
      </c>
      <c r="E342" s="21">
        <v>0.44936708860759489</v>
      </c>
      <c r="F342" s="20" t="s">
        <v>769</v>
      </c>
      <c r="G342" s="20" t="s">
        <v>717</v>
      </c>
      <c r="H342" s="20" t="s">
        <v>726</v>
      </c>
    </row>
    <row r="343" spans="1:8">
      <c r="A343" s="20" t="s">
        <v>272</v>
      </c>
      <c r="B343" s="20" t="s">
        <v>258</v>
      </c>
      <c r="C343" s="20" t="s">
        <v>273</v>
      </c>
      <c r="D343" s="20" t="s">
        <v>722</v>
      </c>
      <c r="E343" s="21">
        <v>0.20886075949367089</v>
      </c>
      <c r="F343" s="20" t="s">
        <v>770</v>
      </c>
      <c r="G343" s="20" t="s">
        <v>717</v>
      </c>
      <c r="H343" s="20" t="s">
        <v>726</v>
      </c>
    </row>
    <row r="344" spans="1:8">
      <c r="A344" s="20" t="s">
        <v>272</v>
      </c>
      <c r="B344" s="20" t="s">
        <v>258</v>
      </c>
      <c r="C344" s="20" t="s">
        <v>273</v>
      </c>
      <c r="D344" s="20" t="s">
        <v>727</v>
      </c>
      <c r="E344" s="21">
        <v>0.13291139240506331</v>
      </c>
      <c r="F344" s="20" t="s">
        <v>770</v>
      </c>
      <c r="G344" s="20" t="s">
        <v>717</v>
      </c>
      <c r="H344" s="20" t="s">
        <v>726</v>
      </c>
    </row>
    <row r="345" spans="1:8">
      <c r="A345" s="20" t="s">
        <v>272</v>
      </c>
      <c r="B345" s="20" t="s">
        <v>258</v>
      </c>
      <c r="C345" s="20" t="s">
        <v>273</v>
      </c>
      <c r="D345" s="20" t="s">
        <v>762</v>
      </c>
      <c r="E345" s="21">
        <v>0.12658227848101269</v>
      </c>
      <c r="F345" s="20" t="s">
        <v>770</v>
      </c>
      <c r="G345" s="20" t="s">
        <v>717</v>
      </c>
      <c r="H345" s="20" t="s">
        <v>726</v>
      </c>
    </row>
    <row r="346" spans="1:8">
      <c r="A346" s="20" t="s">
        <v>272</v>
      </c>
      <c r="B346" s="20" t="s">
        <v>258</v>
      </c>
      <c r="C346" s="20" t="s">
        <v>273</v>
      </c>
      <c r="D346" s="20" t="s">
        <v>771</v>
      </c>
      <c r="E346" s="21">
        <v>8.2278481012658222E-2</v>
      </c>
      <c r="F346" s="20" t="s">
        <v>770</v>
      </c>
      <c r="G346" s="20" t="s">
        <v>717</v>
      </c>
      <c r="H346" s="20" t="s">
        <v>726</v>
      </c>
    </row>
    <row r="347" spans="1:8">
      <c r="A347" s="20" t="s">
        <v>274</v>
      </c>
      <c r="B347" s="20" t="s">
        <v>258</v>
      </c>
      <c r="C347" s="20" t="s">
        <v>275</v>
      </c>
      <c r="D347" s="20" t="s">
        <v>721</v>
      </c>
      <c r="E347" s="21">
        <v>0.51079136690647486</v>
      </c>
      <c r="F347" s="20" t="s">
        <v>769</v>
      </c>
      <c r="G347" s="20" t="s">
        <v>717</v>
      </c>
      <c r="H347" s="20" t="s">
        <v>720</v>
      </c>
    </row>
    <row r="348" spans="1:8">
      <c r="A348" s="20" t="s">
        <v>274</v>
      </c>
      <c r="B348" s="20" t="s">
        <v>258</v>
      </c>
      <c r="C348" s="20" t="s">
        <v>275</v>
      </c>
      <c r="D348" s="20" t="s">
        <v>722</v>
      </c>
      <c r="E348" s="21">
        <v>0.17985611510791369</v>
      </c>
      <c r="F348" s="20" t="s">
        <v>770</v>
      </c>
      <c r="G348" s="20" t="s">
        <v>717</v>
      </c>
      <c r="H348" s="20" t="s">
        <v>720</v>
      </c>
    </row>
    <row r="349" spans="1:8">
      <c r="A349" s="20" t="s">
        <v>274</v>
      </c>
      <c r="B349" s="20" t="s">
        <v>258</v>
      </c>
      <c r="C349" s="20" t="s">
        <v>275</v>
      </c>
      <c r="D349" s="20" t="s">
        <v>727</v>
      </c>
      <c r="E349" s="21">
        <v>0.1366906474820144</v>
      </c>
      <c r="F349" s="20" t="s">
        <v>770</v>
      </c>
      <c r="G349" s="20" t="s">
        <v>717</v>
      </c>
      <c r="H349" s="20" t="s">
        <v>720</v>
      </c>
    </row>
    <row r="350" spans="1:8">
      <c r="A350" s="20" t="s">
        <v>274</v>
      </c>
      <c r="B350" s="20" t="s">
        <v>258</v>
      </c>
      <c r="C350" s="20" t="s">
        <v>275</v>
      </c>
      <c r="D350" s="20" t="s">
        <v>762</v>
      </c>
      <c r="E350" s="21">
        <v>0.1079136690647482</v>
      </c>
      <c r="F350" s="20" t="s">
        <v>770</v>
      </c>
      <c r="G350" s="20" t="s">
        <v>717</v>
      </c>
      <c r="H350" s="20" t="s">
        <v>720</v>
      </c>
    </row>
    <row r="351" spans="1:8">
      <c r="A351" s="20" t="s">
        <v>274</v>
      </c>
      <c r="B351" s="20" t="s">
        <v>258</v>
      </c>
      <c r="C351" s="20" t="s">
        <v>275</v>
      </c>
      <c r="D351" s="20" t="s">
        <v>771</v>
      </c>
      <c r="E351" s="21">
        <v>6.4748201438848921E-2</v>
      </c>
      <c r="F351" s="20" t="s">
        <v>770</v>
      </c>
      <c r="G351" s="20" t="s">
        <v>717</v>
      </c>
      <c r="H351" s="20" t="s">
        <v>720</v>
      </c>
    </row>
    <row r="352" spans="1:8">
      <c r="A352" s="20" t="s">
        <v>276</v>
      </c>
      <c r="B352" s="20" t="s">
        <v>277</v>
      </c>
      <c r="C352" s="20" t="s">
        <v>278</v>
      </c>
      <c r="D352" s="20" t="s">
        <v>721</v>
      </c>
      <c r="E352" s="21">
        <v>0.44936708860759489</v>
      </c>
      <c r="F352" s="20" t="s">
        <v>769</v>
      </c>
      <c r="G352" s="20" t="s">
        <v>717</v>
      </c>
      <c r="H352" s="20" t="s">
        <v>726</v>
      </c>
    </row>
    <row r="353" spans="1:8">
      <c r="A353" s="20" t="s">
        <v>276</v>
      </c>
      <c r="B353" s="20" t="s">
        <v>277</v>
      </c>
      <c r="C353" s="20" t="s">
        <v>278</v>
      </c>
      <c r="D353" s="20" t="s">
        <v>722</v>
      </c>
      <c r="E353" s="21">
        <v>0.20886075949367089</v>
      </c>
      <c r="F353" s="20" t="s">
        <v>770</v>
      </c>
      <c r="G353" s="20" t="s">
        <v>717</v>
      </c>
      <c r="H353" s="20" t="s">
        <v>726</v>
      </c>
    </row>
    <row r="354" spans="1:8">
      <c r="A354" s="20" t="s">
        <v>276</v>
      </c>
      <c r="B354" s="20" t="s">
        <v>277</v>
      </c>
      <c r="C354" s="20" t="s">
        <v>278</v>
      </c>
      <c r="D354" s="20" t="s">
        <v>727</v>
      </c>
      <c r="E354" s="21">
        <v>0.13291139240506331</v>
      </c>
      <c r="F354" s="20" t="s">
        <v>770</v>
      </c>
      <c r="G354" s="20" t="s">
        <v>717</v>
      </c>
      <c r="H354" s="20" t="s">
        <v>726</v>
      </c>
    </row>
    <row r="355" spans="1:8">
      <c r="A355" s="20" t="s">
        <v>276</v>
      </c>
      <c r="B355" s="20" t="s">
        <v>277</v>
      </c>
      <c r="C355" s="20" t="s">
        <v>278</v>
      </c>
      <c r="D355" s="20" t="s">
        <v>762</v>
      </c>
      <c r="E355" s="21">
        <v>7.5949367088607597E-2</v>
      </c>
      <c r="F355" s="20" t="s">
        <v>770</v>
      </c>
      <c r="G355" s="20" t="s">
        <v>717</v>
      </c>
      <c r="H355" s="20" t="s">
        <v>726</v>
      </c>
    </row>
    <row r="356" spans="1:8">
      <c r="A356" s="20" t="s">
        <v>276</v>
      </c>
      <c r="B356" s="20" t="s">
        <v>277</v>
      </c>
      <c r="C356" s="20" t="s">
        <v>278</v>
      </c>
      <c r="D356" s="20" t="s">
        <v>771</v>
      </c>
      <c r="E356" s="21">
        <v>0.13291139240506331</v>
      </c>
      <c r="F356" s="20" t="s">
        <v>770</v>
      </c>
      <c r="G356" s="20" t="s">
        <v>717</v>
      </c>
      <c r="H356" s="20" t="s">
        <v>726</v>
      </c>
    </row>
    <row r="357" spans="1:8">
      <c r="A357" s="20" t="s">
        <v>280</v>
      </c>
      <c r="B357" s="20" t="s">
        <v>277</v>
      </c>
      <c r="C357" s="20" t="s">
        <v>281</v>
      </c>
      <c r="D357" s="20" t="s">
        <v>721</v>
      </c>
      <c r="E357" s="21">
        <v>0.44936708860759489</v>
      </c>
      <c r="F357" s="20" t="s">
        <v>769</v>
      </c>
      <c r="G357" s="20" t="s">
        <v>717</v>
      </c>
      <c r="H357" s="20" t="s">
        <v>726</v>
      </c>
    </row>
    <row r="358" spans="1:8">
      <c r="A358" s="20" t="s">
        <v>280</v>
      </c>
      <c r="B358" s="20" t="s">
        <v>277</v>
      </c>
      <c r="C358" s="20" t="s">
        <v>281</v>
      </c>
      <c r="D358" s="20" t="s">
        <v>722</v>
      </c>
      <c r="E358" s="21">
        <v>0.20886075949367089</v>
      </c>
      <c r="F358" s="20" t="s">
        <v>770</v>
      </c>
      <c r="G358" s="20" t="s">
        <v>717</v>
      </c>
      <c r="H358" s="20" t="s">
        <v>726</v>
      </c>
    </row>
    <row r="359" spans="1:8">
      <c r="A359" s="20" t="s">
        <v>280</v>
      </c>
      <c r="B359" s="20" t="s">
        <v>277</v>
      </c>
      <c r="C359" s="20" t="s">
        <v>281</v>
      </c>
      <c r="D359" s="20" t="s">
        <v>727</v>
      </c>
      <c r="E359" s="21">
        <v>0.13291139240506331</v>
      </c>
      <c r="F359" s="20" t="s">
        <v>770</v>
      </c>
      <c r="G359" s="20" t="s">
        <v>717</v>
      </c>
      <c r="H359" s="20" t="s">
        <v>726</v>
      </c>
    </row>
    <row r="360" spans="1:8">
      <c r="A360" s="20" t="s">
        <v>280</v>
      </c>
      <c r="B360" s="20" t="s">
        <v>277</v>
      </c>
      <c r="C360" s="20" t="s">
        <v>281</v>
      </c>
      <c r="D360" s="20" t="s">
        <v>762</v>
      </c>
      <c r="E360" s="21">
        <v>7.5949367088607597E-2</v>
      </c>
      <c r="F360" s="20" t="s">
        <v>770</v>
      </c>
      <c r="G360" s="20" t="s">
        <v>717</v>
      </c>
      <c r="H360" s="20" t="s">
        <v>726</v>
      </c>
    </row>
    <row r="361" spans="1:8">
      <c r="A361" s="20" t="s">
        <v>280</v>
      </c>
      <c r="B361" s="20" t="s">
        <v>277</v>
      </c>
      <c r="C361" s="20" t="s">
        <v>281</v>
      </c>
      <c r="D361" s="20" t="s">
        <v>771</v>
      </c>
      <c r="E361" s="21">
        <v>0.13291139240506331</v>
      </c>
      <c r="F361" s="20" t="s">
        <v>770</v>
      </c>
      <c r="G361" s="20" t="s">
        <v>717</v>
      </c>
      <c r="H361" s="20" t="s">
        <v>726</v>
      </c>
    </row>
    <row r="362" spans="1:8">
      <c r="A362" s="20" t="s">
        <v>282</v>
      </c>
      <c r="B362" s="20" t="s">
        <v>277</v>
      </c>
      <c r="C362" s="20" t="s">
        <v>283</v>
      </c>
      <c r="D362" s="20" t="s">
        <v>721</v>
      </c>
      <c r="E362" s="21">
        <v>0.5220588235294118</v>
      </c>
      <c r="F362" s="20" t="s">
        <v>769</v>
      </c>
      <c r="G362" s="20" t="s">
        <v>717</v>
      </c>
      <c r="H362" s="20" t="s">
        <v>720</v>
      </c>
    </row>
    <row r="363" spans="1:8">
      <c r="A363" s="20" t="s">
        <v>282</v>
      </c>
      <c r="B363" s="20" t="s">
        <v>277</v>
      </c>
      <c r="C363" s="20" t="s">
        <v>283</v>
      </c>
      <c r="D363" s="20" t="s">
        <v>722</v>
      </c>
      <c r="E363" s="21">
        <v>0.18382352941176469</v>
      </c>
      <c r="F363" s="20" t="s">
        <v>770</v>
      </c>
      <c r="G363" s="20" t="s">
        <v>717</v>
      </c>
      <c r="H363" s="20" t="s">
        <v>720</v>
      </c>
    </row>
    <row r="364" spans="1:8">
      <c r="A364" s="20" t="s">
        <v>282</v>
      </c>
      <c r="B364" s="20" t="s">
        <v>277</v>
      </c>
      <c r="C364" s="20" t="s">
        <v>283</v>
      </c>
      <c r="D364" s="20" t="s">
        <v>727</v>
      </c>
      <c r="E364" s="21">
        <v>0.1764705882352941</v>
      </c>
      <c r="F364" s="20" t="s">
        <v>770</v>
      </c>
      <c r="G364" s="20" t="s">
        <v>717</v>
      </c>
      <c r="H364" s="20" t="s">
        <v>720</v>
      </c>
    </row>
    <row r="365" spans="1:8">
      <c r="A365" s="20" t="s">
        <v>282</v>
      </c>
      <c r="B365" s="20" t="s">
        <v>277</v>
      </c>
      <c r="C365" s="20" t="s">
        <v>283</v>
      </c>
      <c r="D365" s="20" t="s">
        <v>762</v>
      </c>
      <c r="E365" s="21">
        <v>5.1470588235294129E-2</v>
      </c>
      <c r="F365" s="20" t="s">
        <v>770</v>
      </c>
      <c r="G365" s="20" t="s">
        <v>717</v>
      </c>
      <c r="H365" s="20" t="s">
        <v>720</v>
      </c>
    </row>
    <row r="366" spans="1:8">
      <c r="A366" s="20" t="s">
        <v>282</v>
      </c>
      <c r="B366" s="20" t="s">
        <v>277</v>
      </c>
      <c r="C366" s="20" t="s">
        <v>283</v>
      </c>
      <c r="D366" s="20" t="s">
        <v>771</v>
      </c>
      <c r="E366" s="21">
        <v>6.6176470588235295E-2</v>
      </c>
      <c r="F366" s="20" t="s">
        <v>770</v>
      </c>
      <c r="G366" s="20" t="s">
        <v>717</v>
      </c>
      <c r="H366" s="20" t="s">
        <v>720</v>
      </c>
    </row>
    <row r="367" spans="1:8">
      <c r="A367" s="20" t="s">
        <v>284</v>
      </c>
      <c r="B367" s="20" t="s">
        <v>277</v>
      </c>
      <c r="C367" s="20" t="s">
        <v>285</v>
      </c>
      <c r="D367" s="20" t="s">
        <v>721</v>
      </c>
      <c r="E367" s="21">
        <v>0.44936708860759489</v>
      </c>
      <c r="F367" s="20" t="s">
        <v>769</v>
      </c>
      <c r="G367" s="20" t="s">
        <v>717</v>
      </c>
      <c r="H367" s="20" t="s">
        <v>726</v>
      </c>
    </row>
    <row r="368" spans="1:8">
      <c r="A368" s="20" t="s">
        <v>284</v>
      </c>
      <c r="B368" s="20" t="s">
        <v>277</v>
      </c>
      <c r="C368" s="20" t="s">
        <v>285</v>
      </c>
      <c r="D368" s="20" t="s">
        <v>722</v>
      </c>
      <c r="E368" s="21">
        <v>0.20886075949367089</v>
      </c>
      <c r="F368" s="20" t="s">
        <v>770</v>
      </c>
      <c r="G368" s="20" t="s">
        <v>717</v>
      </c>
      <c r="H368" s="20" t="s">
        <v>726</v>
      </c>
    </row>
    <row r="369" spans="1:8">
      <c r="A369" s="20" t="s">
        <v>284</v>
      </c>
      <c r="B369" s="20" t="s">
        <v>277</v>
      </c>
      <c r="C369" s="20" t="s">
        <v>285</v>
      </c>
      <c r="D369" s="20" t="s">
        <v>727</v>
      </c>
      <c r="E369" s="21">
        <v>0.13291139240506331</v>
      </c>
      <c r="F369" s="20" t="s">
        <v>770</v>
      </c>
      <c r="G369" s="20" t="s">
        <v>717</v>
      </c>
      <c r="H369" s="20" t="s">
        <v>726</v>
      </c>
    </row>
    <row r="370" spans="1:8">
      <c r="A370" s="20" t="s">
        <v>284</v>
      </c>
      <c r="B370" s="20" t="s">
        <v>277</v>
      </c>
      <c r="C370" s="20" t="s">
        <v>285</v>
      </c>
      <c r="D370" s="20" t="s">
        <v>762</v>
      </c>
      <c r="E370" s="21">
        <v>7.5949367088607597E-2</v>
      </c>
      <c r="F370" s="20" t="s">
        <v>770</v>
      </c>
      <c r="G370" s="20" t="s">
        <v>717</v>
      </c>
      <c r="H370" s="20" t="s">
        <v>726</v>
      </c>
    </row>
    <row r="371" spans="1:8">
      <c r="A371" s="20" t="s">
        <v>284</v>
      </c>
      <c r="B371" s="20" t="s">
        <v>277</v>
      </c>
      <c r="C371" s="20" t="s">
        <v>285</v>
      </c>
      <c r="D371" s="20" t="s">
        <v>771</v>
      </c>
      <c r="E371" s="21">
        <v>0.13291139240506331</v>
      </c>
      <c r="F371" s="20" t="s">
        <v>770</v>
      </c>
      <c r="G371" s="20" t="s">
        <v>717</v>
      </c>
      <c r="H371" s="20" t="s">
        <v>726</v>
      </c>
    </row>
    <row r="372" spans="1:8">
      <c r="A372" s="20" t="s">
        <v>286</v>
      </c>
      <c r="B372" s="20" t="s">
        <v>277</v>
      </c>
      <c r="C372" s="20" t="s">
        <v>287</v>
      </c>
      <c r="D372" s="20" t="s">
        <v>721</v>
      </c>
      <c r="E372" s="21">
        <v>0.5220588235294118</v>
      </c>
      <c r="F372" s="20" t="s">
        <v>769</v>
      </c>
      <c r="G372" s="20" t="s">
        <v>717</v>
      </c>
      <c r="H372" s="20" t="s">
        <v>720</v>
      </c>
    </row>
    <row r="373" spans="1:8">
      <c r="A373" s="20" t="s">
        <v>286</v>
      </c>
      <c r="B373" s="20" t="s">
        <v>277</v>
      </c>
      <c r="C373" s="20" t="s">
        <v>287</v>
      </c>
      <c r="D373" s="20" t="s">
        <v>722</v>
      </c>
      <c r="E373" s="21">
        <v>0.18382352941176469</v>
      </c>
      <c r="F373" s="20" t="s">
        <v>770</v>
      </c>
      <c r="G373" s="20" t="s">
        <v>717</v>
      </c>
      <c r="H373" s="20" t="s">
        <v>720</v>
      </c>
    </row>
    <row r="374" spans="1:8">
      <c r="A374" s="20" t="s">
        <v>286</v>
      </c>
      <c r="B374" s="20" t="s">
        <v>277</v>
      </c>
      <c r="C374" s="20" t="s">
        <v>287</v>
      </c>
      <c r="D374" s="20" t="s">
        <v>727</v>
      </c>
      <c r="E374" s="21">
        <v>0.1764705882352941</v>
      </c>
      <c r="F374" s="20" t="s">
        <v>770</v>
      </c>
      <c r="G374" s="20" t="s">
        <v>717</v>
      </c>
      <c r="H374" s="20" t="s">
        <v>720</v>
      </c>
    </row>
    <row r="375" spans="1:8">
      <c r="A375" s="20" t="s">
        <v>286</v>
      </c>
      <c r="B375" s="20" t="s">
        <v>277</v>
      </c>
      <c r="C375" s="20" t="s">
        <v>287</v>
      </c>
      <c r="D375" s="20" t="s">
        <v>762</v>
      </c>
      <c r="E375" s="21">
        <v>5.1470588235294129E-2</v>
      </c>
      <c r="F375" s="20" t="s">
        <v>770</v>
      </c>
      <c r="G375" s="20" t="s">
        <v>717</v>
      </c>
      <c r="H375" s="20" t="s">
        <v>720</v>
      </c>
    </row>
    <row r="376" spans="1:8">
      <c r="A376" s="20" t="s">
        <v>286</v>
      </c>
      <c r="B376" s="20" t="s">
        <v>277</v>
      </c>
      <c r="C376" s="20" t="s">
        <v>287</v>
      </c>
      <c r="D376" s="20" t="s">
        <v>771</v>
      </c>
      <c r="E376" s="21">
        <v>6.6176470588235295E-2</v>
      </c>
      <c r="F376" s="20" t="s">
        <v>770</v>
      </c>
      <c r="G376" s="20" t="s">
        <v>717</v>
      </c>
      <c r="H376" s="20" t="s">
        <v>720</v>
      </c>
    </row>
    <row r="377" spans="1:8">
      <c r="A377" s="20" t="s">
        <v>288</v>
      </c>
      <c r="B377" s="20" t="s">
        <v>277</v>
      </c>
      <c r="C377" s="20" t="s">
        <v>289</v>
      </c>
      <c r="D377" s="20" t="s">
        <v>721</v>
      </c>
      <c r="E377" s="21">
        <v>0.5220588235294118</v>
      </c>
      <c r="F377" s="20" t="s">
        <v>769</v>
      </c>
      <c r="G377" s="20" t="s">
        <v>717</v>
      </c>
      <c r="H377" s="20" t="s">
        <v>720</v>
      </c>
    </row>
    <row r="378" spans="1:8">
      <c r="A378" s="20" t="s">
        <v>288</v>
      </c>
      <c r="B378" s="20" t="s">
        <v>277</v>
      </c>
      <c r="C378" s="20" t="s">
        <v>289</v>
      </c>
      <c r="D378" s="20" t="s">
        <v>722</v>
      </c>
      <c r="E378" s="21">
        <v>0.18382352941176469</v>
      </c>
      <c r="F378" s="20" t="s">
        <v>770</v>
      </c>
      <c r="G378" s="20" t="s">
        <v>717</v>
      </c>
      <c r="H378" s="20" t="s">
        <v>720</v>
      </c>
    </row>
    <row r="379" spans="1:8">
      <c r="A379" s="20" t="s">
        <v>288</v>
      </c>
      <c r="B379" s="20" t="s">
        <v>277</v>
      </c>
      <c r="C379" s="20" t="s">
        <v>289</v>
      </c>
      <c r="D379" s="20" t="s">
        <v>727</v>
      </c>
      <c r="E379" s="21">
        <v>0.1764705882352941</v>
      </c>
      <c r="F379" s="20" t="s">
        <v>770</v>
      </c>
      <c r="G379" s="20" t="s">
        <v>717</v>
      </c>
      <c r="H379" s="20" t="s">
        <v>720</v>
      </c>
    </row>
    <row r="380" spans="1:8">
      <c r="A380" s="20" t="s">
        <v>288</v>
      </c>
      <c r="B380" s="20" t="s">
        <v>277</v>
      </c>
      <c r="C380" s="20" t="s">
        <v>289</v>
      </c>
      <c r="D380" s="20" t="s">
        <v>762</v>
      </c>
      <c r="E380" s="21">
        <v>5.1470588235294129E-2</v>
      </c>
      <c r="F380" s="20" t="s">
        <v>770</v>
      </c>
      <c r="G380" s="20" t="s">
        <v>717</v>
      </c>
      <c r="H380" s="20" t="s">
        <v>720</v>
      </c>
    </row>
    <row r="381" spans="1:8">
      <c r="A381" s="20" t="s">
        <v>288</v>
      </c>
      <c r="B381" s="20" t="s">
        <v>277</v>
      </c>
      <c r="C381" s="20" t="s">
        <v>289</v>
      </c>
      <c r="D381" s="20" t="s">
        <v>771</v>
      </c>
      <c r="E381" s="21">
        <v>6.6176470588235295E-2</v>
      </c>
      <c r="F381" s="20" t="s">
        <v>770</v>
      </c>
      <c r="G381" s="20" t="s">
        <v>717</v>
      </c>
      <c r="H381" s="20" t="s">
        <v>720</v>
      </c>
    </row>
    <row r="382" spans="1:8">
      <c r="A382" s="20" t="s">
        <v>290</v>
      </c>
      <c r="B382" s="20" t="s">
        <v>277</v>
      </c>
      <c r="C382" s="20" t="s">
        <v>291</v>
      </c>
      <c r="D382" s="20" t="s">
        <v>721</v>
      </c>
      <c r="E382" s="21">
        <v>0.42580645161290309</v>
      </c>
      <c r="F382" s="20" t="s">
        <v>769</v>
      </c>
      <c r="G382" s="20" t="s">
        <v>717</v>
      </c>
      <c r="H382" s="20" t="s">
        <v>726</v>
      </c>
    </row>
    <row r="383" spans="1:8">
      <c r="A383" s="20" t="s">
        <v>290</v>
      </c>
      <c r="B383" s="20" t="s">
        <v>277</v>
      </c>
      <c r="C383" s="20" t="s">
        <v>291</v>
      </c>
      <c r="D383" s="20" t="s">
        <v>722</v>
      </c>
      <c r="E383" s="21">
        <v>0.27741935483870972</v>
      </c>
      <c r="F383" s="20" t="s">
        <v>770</v>
      </c>
      <c r="G383" s="20" t="s">
        <v>717</v>
      </c>
      <c r="H383" s="20" t="s">
        <v>726</v>
      </c>
    </row>
    <row r="384" spans="1:8">
      <c r="A384" s="20" t="s">
        <v>290</v>
      </c>
      <c r="B384" s="20" t="s">
        <v>277</v>
      </c>
      <c r="C384" s="20" t="s">
        <v>291</v>
      </c>
      <c r="D384" s="20" t="s">
        <v>727</v>
      </c>
      <c r="E384" s="21">
        <v>0.13548387096774189</v>
      </c>
      <c r="F384" s="20" t="s">
        <v>770</v>
      </c>
      <c r="G384" s="20" t="s">
        <v>717</v>
      </c>
      <c r="H384" s="20" t="s">
        <v>726</v>
      </c>
    </row>
    <row r="385" spans="1:8">
      <c r="A385" s="20" t="s">
        <v>290</v>
      </c>
      <c r="B385" s="20" t="s">
        <v>277</v>
      </c>
      <c r="C385" s="20" t="s">
        <v>291</v>
      </c>
      <c r="D385" s="20" t="s">
        <v>762</v>
      </c>
      <c r="E385" s="21">
        <v>7.7419354838709681E-2</v>
      </c>
      <c r="F385" s="20" t="s">
        <v>770</v>
      </c>
      <c r="G385" s="20" t="s">
        <v>717</v>
      </c>
      <c r="H385" s="20" t="s">
        <v>726</v>
      </c>
    </row>
    <row r="386" spans="1:8">
      <c r="A386" s="20" t="s">
        <v>290</v>
      </c>
      <c r="B386" s="20" t="s">
        <v>277</v>
      </c>
      <c r="C386" s="20" t="s">
        <v>291</v>
      </c>
      <c r="D386" s="20" t="s">
        <v>771</v>
      </c>
      <c r="E386" s="21">
        <v>8.387096774193549E-2</v>
      </c>
      <c r="F386" s="20" t="s">
        <v>770</v>
      </c>
      <c r="G386" s="20" t="s">
        <v>717</v>
      </c>
      <c r="H386" s="20" t="s">
        <v>726</v>
      </c>
    </row>
    <row r="387" spans="1:8">
      <c r="A387" s="20" t="s">
        <v>292</v>
      </c>
      <c r="B387" s="20" t="s">
        <v>277</v>
      </c>
      <c r="C387" s="20" t="s">
        <v>293</v>
      </c>
      <c r="D387" s="20" t="s">
        <v>721</v>
      </c>
      <c r="E387" s="21">
        <v>0.5220588235294118</v>
      </c>
      <c r="F387" s="20" t="s">
        <v>769</v>
      </c>
      <c r="G387" s="20" t="s">
        <v>717</v>
      </c>
      <c r="H387" s="20" t="s">
        <v>720</v>
      </c>
    </row>
    <row r="388" spans="1:8">
      <c r="A388" s="20" t="s">
        <v>292</v>
      </c>
      <c r="B388" s="20" t="s">
        <v>277</v>
      </c>
      <c r="C388" s="20" t="s">
        <v>293</v>
      </c>
      <c r="D388" s="20" t="s">
        <v>722</v>
      </c>
      <c r="E388" s="21">
        <v>0.18382352941176469</v>
      </c>
      <c r="F388" s="20" t="s">
        <v>770</v>
      </c>
      <c r="G388" s="20" t="s">
        <v>717</v>
      </c>
      <c r="H388" s="20" t="s">
        <v>720</v>
      </c>
    </row>
    <row r="389" spans="1:8">
      <c r="A389" s="20" t="s">
        <v>292</v>
      </c>
      <c r="B389" s="20" t="s">
        <v>277</v>
      </c>
      <c r="C389" s="20" t="s">
        <v>293</v>
      </c>
      <c r="D389" s="20" t="s">
        <v>727</v>
      </c>
      <c r="E389" s="21">
        <v>0.1764705882352941</v>
      </c>
      <c r="F389" s="20" t="s">
        <v>770</v>
      </c>
      <c r="G389" s="20" t="s">
        <v>717</v>
      </c>
      <c r="H389" s="20" t="s">
        <v>720</v>
      </c>
    </row>
    <row r="390" spans="1:8">
      <c r="A390" s="20" t="s">
        <v>292</v>
      </c>
      <c r="B390" s="20" t="s">
        <v>277</v>
      </c>
      <c r="C390" s="20" t="s">
        <v>293</v>
      </c>
      <c r="D390" s="20" t="s">
        <v>762</v>
      </c>
      <c r="E390" s="21">
        <v>5.1470588235294129E-2</v>
      </c>
      <c r="F390" s="20" t="s">
        <v>770</v>
      </c>
      <c r="G390" s="20" t="s">
        <v>717</v>
      </c>
      <c r="H390" s="20" t="s">
        <v>720</v>
      </c>
    </row>
    <row r="391" spans="1:8">
      <c r="A391" s="20" t="s">
        <v>292</v>
      </c>
      <c r="B391" s="20" t="s">
        <v>277</v>
      </c>
      <c r="C391" s="20" t="s">
        <v>293</v>
      </c>
      <c r="D391" s="20" t="s">
        <v>771</v>
      </c>
      <c r="E391" s="21">
        <v>6.6176470588235295E-2</v>
      </c>
      <c r="F391" s="20" t="s">
        <v>770</v>
      </c>
      <c r="G391" s="20" t="s">
        <v>717</v>
      </c>
      <c r="H391" s="20" t="s">
        <v>720</v>
      </c>
    </row>
    <row r="392" spans="1:8">
      <c r="A392" s="20" t="s">
        <v>294</v>
      </c>
      <c r="B392" s="20" t="s">
        <v>295</v>
      </c>
      <c r="C392" s="20" t="s">
        <v>296</v>
      </c>
      <c r="D392" s="20" t="s">
        <v>721</v>
      </c>
      <c r="E392" s="21">
        <v>0.41772151898734172</v>
      </c>
      <c r="F392" s="20" t="s">
        <v>769</v>
      </c>
      <c r="G392" s="20" t="s">
        <v>717</v>
      </c>
      <c r="H392" s="20" t="s">
        <v>726</v>
      </c>
    </row>
    <row r="393" spans="1:8">
      <c r="A393" s="20" t="s">
        <v>294</v>
      </c>
      <c r="B393" s="20" t="s">
        <v>295</v>
      </c>
      <c r="C393" s="20" t="s">
        <v>296</v>
      </c>
      <c r="D393" s="20" t="s">
        <v>722</v>
      </c>
      <c r="E393" s="21">
        <v>0.27215189873417722</v>
      </c>
      <c r="F393" s="20" t="s">
        <v>770</v>
      </c>
      <c r="G393" s="20" t="s">
        <v>717</v>
      </c>
      <c r="H393" s="20" t="s">
        <v>726</v>
      </c>
    </row>
    <row r="394" spans="1:8">
      <c r="A394" s="20" t="s">
        <v>294</v>
      </c>
      <c r="B394" s="20" t="s">
        <v>295</v>
      </c>
      <c r="C394" s="20" t="s">
        <v>296</v>
      </c>
      <c r="D394" s="20" t="s">
        <v>727</v>
      </c>
      <c r="E394" s="21">
        <v>0.1012658227848101</v>
      </c>
      <c r="F394" s="20" t="s">
        <v>770</v>
      </c>
      <c r="G394" s="20" t="s">
        <v>717</v>
      </c>
      <c r="H394" s="20" t="s">
        <v>726</v>
      </c>
    </row>
    <row r="395" spans="1:8">
      <c r="A395" s="20" t="s">
        <v>294</v>
      </c>
      <c r="B395" s="20" t="s">
        <v>295</v>
      </c>
      <c r="C395" s="20" t="s">
        <v>296</v>
      </c>
      <c r="D395" s="20" t="s">
        <v>762</v>
      </c>
      <c r="E395" s="21">
        <v>0.12658227848101269</v>
      </c>
      <c r="F395" s="20" t="s">
        <v>770</v>
      </c>
      <c r="G395" s="20" t="s">
        <v>717</v>
      </c>
      <c r="H395" s="20" t="s">
        <v>726</v>
      </c>
    </row>
    <row r="396" spans="1:8">
      <c r="A396" s="20" t="s">
        <v>294</v>
      </c>
      <c r="B396" s="20" t="s">
        <v>295</v>
      </c>
      <c r="C396" s="20" t="s">
        <v>296</v>
      </c>
      <c r="D396" s="20" t="s">
        <v>771</v>
      </c>
      <c r="E396" s="21">
        <v>8.2278481012658222E-2</v>
      </c>
      <c r="F396" s="20" t="s">
        <v>770</v>
      </c>
      <c r="G396" s="20" t="s">
        <v>717</v>
      </c>
      <c r="H396" s="20" t="s">
        <v>726</v>
      </c>
    </row>
    <row r="397" spans="1:8">
      <c r="A397" s="20" t="s">
        <v>299</v>
      </c>
      <c r="B397" s="20" t="s">
        <v>295</v>
      </c>
      <c r="C397" s="20" t="s">
        <v>300</v>
      </c>
      <c r="D397" s="20" t="s">
        <v>721</v>
      </c>
      <c r="E397" s="21">
        <v>0.41772151898734172</v>
      </c>
      <c r="F397" s="20" t="s">
        <v>769</v>
      </c>
      <c r="G397" s="20" t="s">
        <v>717</v>
      </c>
      <c r="H397" s="20" t="s">
        <v>726</v>
      </c>
    </row>
    <row r="398" spans="1:8">
      <c r="A398" s="20" t="s">
        <v>299</v>
      </c>
      <c r="B398" s="20" t="s">
        <v>295</v>
      </c>
      <c r="C398" s="20" t="s">
        <v>300</v>
      </c>
      <c r="D398" s="20" t="s">
        <v>722</v>
      </c>
      <c r="E398" s="21">
        <v>0.27215189873417722</v>
      </c>
      <c r="F398" s="20" t="s">
        <v>770</v>
      </c>
      <c r="G398" s="20" t="s">
        <v>717</v>
      </c>
      <c r="H398" s="20" t="s">
        <v>726</v>
      </c>
    </row>
    <row r="399" spans="1:8">
      <c r="A399" s="20" t="s">
        <v>299</v>
      </c>
      <c r="B399" s="20" t="s">
        <v>295</v>
      </c>
      <c r="C399" s="20" t="s">
        <v>300</v>
      </c>
      <c r="D399" s="20" t="s">
        <v>727</v>
      </c>
      <c r="E399" s="21">
        <v>0.1012658227848101</v>
      </c>
      <c r="F399" s="20" t="s">
        <v>770</v>
      </c>
      <c r="G399" s="20" t="s">
        <v>717</v>
      </c>
      <c r="H399" s="20" t="s">
        <v>726</v>
      </c>
    </row>
    <row r="400" spans="1:8">
      <c r="A400" s="20" t="s">
        <v>299</v>
      </c>
      <c r="B400" s="20" t="s">
        <v>295</v>
      </c>
      <c r="C400" s="20" t="s">
        <v>300</v>
      </c>
      <c r="D400" s="20" t="s">
        <v>762</v>
      </c>
      <c r="E400" s="21">
        <v>0.12658227848101269</v>
      </c>
      <c r="F400" s="20" t="s">
        <v>770</v>
      </c>
      <c r="G400" s="20" t="s">
        <v>717</v>
      </c>
      <c r="H400" s="20" t="s">
        <v>726</v>
      </c>
    </row>
    <row r="401" spans="1:8">
      <c r="A401" s="20" t="s">
        <v>299</v>
      </c>
      <c r="B401" s="20" t="s">
        <v>295</v>
      </c>
      <c r="C401" s="20" t="s">
        <v>300</v>
      </c>
      <c r="D401" s="20" t="s">
        <v>771</v>
      </c>
      <c r="E401" s="21">
        <v>8.2278481012658222E-2</v>
      </c>
      <c r="F401" s="20" t="s">
        <v>770</v>
      </c>
      <c r="G401" s="20" t="s">
        <v>717</v>
      </c>
      <c r="H401" s="20" t="s">
        <v>726</v>
      </c>
    </row>
    <row r="402" spans="1:8">
      <c r="A402" s="20" t="s">
        <v>301</v>
      </c>
      <c r="B402" s="20" t="s">
        <v>295</v>
      </c>
      <c r="C402" s="20" t="s">
        <v>302</v>
      </c>
      <c r="D402" s="20" t="s">
        <v>721</v>
      </c>
      <c r="E402" s="21">
        <v>0.41772151898734172</v>
      </c>
      <c r="F402" s="20" t="s">
        <v>769</v>
      </c>
      <c r="G402" s="20" t="s">
        <v>717</v>
      </c>
      <c r="H402" s="20" t="s">
        <v>726</v>
      </c>
    </row>
    <row r="403" spans="1:8">
      <c r="A403" s="20" t="s">
        <v>301</v>
      </c>
      <c r="B403" s="20" t="s">
        <v>295</v>
      </c>
      <c r="C403" s="20" t="s">
        <v>302</v>
      </c>
      <c r="D403" s="20" t="s">
        <v>722</v>
      </c>
      <c r="E403" s="21">
        <v>0.27215189873417722</v>
      </c>
      <c r="F403" s="20" t="s">
        <v>770</v>
      </c>
      <c r="G403" s="20" t="s">
        <v>717</v>
      </c>
      <c r="H403" s="20" t="s">
        <v>726</v>
      </c>
    </row>
    <row r="404" spans="1:8">
      <c r="A404" s="20" t="s">
        <v>301</v>
      </c>
      <c r="B404" s="20" t="s">
        <v>295</v>
      </c>
      <c r="C404" s="20" t="s">
        <v>302</v>
      </c>
      <c r="D404" s="20" t="s">
        <v>727</v>
      </c>
      <c r="E404" s="21">
        <v>0.1012658227848101</v>
      </c>
      <c r="F404" s="20" t="s">
        <v>770</v>
      </c>
      <c r="G404" s="20" t="s">
        <v>717</v>
      </c>
      <c r="H404" s="20" t="s">
        <v>726</v>
      </c>
    </row>
    <row r="405" spans="1:8">
      <c r="A405" s="20" t="s">
        <v>301</v>
      </c>
      <c r="B405" s="20" t="s">
        <v>295</v>
      </c>
      <c r="C405" s="20" t="s">
        <v>302</v>
      </c>
      <c r="D405" s="20" t="s">
        <v>762</v>
      </c>
      <c r="E405" s="21">
        <v>0.12658227848101269</v>
      </c>
      <c r="F405" s="20" t="s">
        <v>770</v>
      </c>
      <c r="G405" s="20" t="s">
        <v>717</v>
      </c>
      <c r="H405" s="20" t="s">
        <v>726</v>
      </c>
    </row>
    <row r="406" spans="1:8">
      <c r="A406" s="20" t="s">
        <v>301</v>
      </c>
      <c r="B406" s="20" t="s">
        <v>295</v>
      </c>
      <c r="C406" s="20" t="s">
        <v>302</v>
      </c>
      <c r="D406" s="20" t="s">
        <v>771</v>
      </c>
      <c r="E406" s="21">
        <v>8.2278481012658222E-2</v>
      </c>
      <c r="F406" s="20" t="s">
        <v>770</v>
      </c>
      <c r="G406" s="20" t="s">
        <v>717</v>
      </c>
      <c r="H406" s="20" t="s">
        <v>726</v>
      </c>
    </row>
    <row r="407" spans="1:8">
      <c r="A407" s="20" t="s">
        <v>303</v>
      </c>
      <c r="B407" s="20" t="s">
        <v>295</v>
      </c>
      <c r="C407" s="20" t="s">
        <v>304</v>
      </c>
      <c r="D407" s="20" t="s">
        <v>721</v>
      </c>
      <c r="E407" s="21">
        <v>0.23308270676691731</v>
      </c>
      <c r="F407" s="20" t="s">
        <v>770</v>
      </c>
      <c r="G407" s="20" t="s">
        <v>718</v>
      </c>
      <c r="H407" s="20" t="s">
        <v>720</v>
      </c>
    </row>
    <row r="408" spans="1:8">
      <c r="A408" s="20" t="s">
        <v>303</v>
      </c>
      <c r="B408" s="20" t="s">
        <v>295</v>
      </c>
      <c r="C408" s="20" t="s">
        <v>304</v>
      </c>
      <c r="D408" s="20" t="s">
        <v>722</v>
      </c>
      <c r="E408" s="21">
        <v>0.36842105263157893</v>
      </c>
      <c r="F408" s="20" t="s">
        <v>769</v>
      </c>
      <c r="G408" s="20" t="s">
        <v>718</v>
      </c>
      <c r="H408" s="20" t="s">
        <v>720</v>
      </c>
    </row>
    <row r="409" spans="1:8">
      <c r="A409" s="20" t="s">
        <v>303</v>
      </c>
      <c r="B409" s="20" t="s">
        <v>295</v>
      </c>
      <c r="C409" s="20" t="s">
        <v>304</v>
      </c>
      <c r="D409" s="20" t="s">
        <v>727</v>
      </c>
      <c r="E409" s="21">
        <v>0.14285714285714279</v>
      </c>
      <c r="F409" s="20" t="s">
        <v>770</v>
      </c>
      <c r="G409" s="20" t="s">
        <v>718</v>
      </c>
      <c r="H409" s="20" t="s">
        <v>720</v>
      </c>
    </row>
    <row r="410" spans="1:8">
      <c r="A410" s="20" t="s">
        <v>303</v>
      </c>
      <c r="B410" s="20" t="s">
        <v>295</v>
      </c>
      <c r="C410" s="20" t="s">
        <v>304</v>
      </c>
      <c r="D410" s="20" t="s">
        <v>762</v>
      </c>
      <c r="E410" s="21">
        <v>0.15037593984962411</v>
      </c>
      <c r="F410" s="20" t="s">
        <v>770</v>
      </c>
      <c r="G410" s="20" t="s">
        <v>718</v>
      </c>
      <c r="H410" s="20" t="s">
        <v>720</v>
      </c>
    </row>
    <row r="411" spans="1:8">
      <c r="A411" s="20" t="s">
        <v>303</v>
      </c>
      <c r="B411" s="20" t="s">
        <v>295</v>
      </c>
      <c r="C411" s="20" t="s">
        <v>304</v>
      </c>
      <c r="D411" s="20" t="s">
        <v>771</v>
      </c>
      <c r="E411" s="21">
        <v>0.10526315789473691</v>
      </c>
      <c r="F411" s="20" t="s">
        <v>770</v>
      </c>
      <c r="G411" s="20" t="s">
        <v>718</v>
      </c>
      <c r="H411" s="20" t="s">
        <v>720</v>
      </c>
    </row>
    <row r="412" spans="1:8">
      <c r="A412" s="20" t="s">
        <v>305</v>
      </c>
      <c r="B412" s="20" t="s">
        <v>295</v>
      </c>
      <c r="C412" s="20" t="s">
        <v>306</v>
      </c>
      <c r="D412" s="20" t="s">
        <v>721</v>
      </c>
      <c r="E412" s="21">
        <v>0.41772151898734172</v>
      </c>
      <c r="F412" s="20" t="s">
        <v>769</v>
      </c>
      <c r="G412" s="20" t="s">
        <v>717</v>
      </c>
      <c r="H412" s="20" t="s">
        <v>726</v>
      </c>
    </row>
    <row r="413" spans="1:8">
      <c r="A413" s="20" t="s">
        <v>305</v>
      </c>
      <c r="B413" s="20" t="s">
        <v>295</v>
      </c>
      <c r="C413" s="20" t="s">
        <v>306</v>
      </c>
      <c r="D413" s="20" t="s">
        <v>722</v>
      </c>
      <c r="E413" s="21">
        <v>0.27215189873417722</v>
      </c>
      <c r="F413" s="20" t="s">
        <v>770</v>
      </c>
      <c r="G413" s="20" t="s">
        <v>717</v>
      </c>
      <c r="H413" s="20" t="s">
        <v>726</v>
      </c>
    </row>
    <row r="414" spans="1:8">
      <c r="A414" s="20" t="s">
        <v>305</v>
      </c>
      <c r="B414" s="20" t="s">
        <v>295</v>
      </c>
      <c r="C414" s="20" t="s">
        <v>306</v>
      </c>
      <c r="D414" s="20" t="s">
        <v>727</v>
      </c>
      <c r="E414" s="21">
        <v>0.1012658227848101</v>
      </c>
      <c r="F414" s="20" t="s">
        <v>770</v>
      </c>
      <c r="G414" s="20" t="s">
        <v>717</v>
      </c>
      <c r="H414" s="20" t="s">
        <v>726</v>
      </c>
    </row>
    <row r="415" spans="1:8">
      <c r="A415" s="20" t="s">
        <v>305</v>
      </c>
      <c r="B415" s="20" t="s">
        <v>295</v>
      </c>
      <c r="C415" s="20" t="s">
        <v>306</v>
      </c>
      <c r="D415" s="20" t="s">
        <v>762</v>
      </c>
      <c r="E415" s="21">
        <v>0.12658227848101269</v>
      </c>
      <c r="F415" s="20" t="s">
        <v>770</v>
      </c>
      <c r="G415" s="20" t="s">
        <v>717</v>
      </c>
      <c r="H415" s="20" t="s">
        <v>726</v>
      </c>
    </row>
    <row r="416" spans="1:8">
      <c r="A416" s="20" t="s">
        <v>305</v>
      </c>
      <c r="B416" s="20" t="s">
        <v>295</v>
      </c>
      <c r="C416" s="20" t="s">
        <v>306</v>
      </c>
      <c r="D416" s="20" t="s">
        <v>771</v>
      </c>
      <c r="E416" s="21">
        <v>8.2278481012658222E-2</v>
      </c>
      <c r="F416" s="20" t="s">
        <v>770</v>
      </c>
      <c r="G416" s="20" t="s">
        <v>717</v>
      </c>
      <c r="H416" s="20" t="s">
        <v>726</v>
      </c>
    </row>
    <row r="417" spans="1:8">
      <c r="A417" s="20" t="s">
        <v>307</v>
      </c>
      <c r="B417" s="20" t="s">
        <v>295</v>
      </c>
      <c r="C417" s="20" t="s">
        <v>308</v>
      </c>
      <c r="D417" s="20" t="s">
        <v>721</v>
      </c>
      <c r="E417" s="21">
        <v>0.41772151898734172</v>
      </c>
      <c r="F417" s="20" t="s">
        <v>769</v>
      </c>
      <c r="G417" s="20" t="s">
        <v>717</v>
      </c>
      <c r="H417" s="20" t="s">
        <v>726</v>
      </c>
    </row>
    <row r="418" spans="1:8">
      <c r="A418" s="20" t="s">
        <v>307</v>
      </c>
      <c r="B418" s="20" t="s">
        <v>295</v>
      </c>
      <c r="C418" s="20" t="s">
        <v>308</v>
      </c>
      <c r="D418" s="20" t="s">
        <v>722</v>
      </c>
      <c r="E418" s="21">
        <v>0.27215189873417722</v>
      </c>
      <c r="F418" s="20" t="s">
        <v>770</v>
      </c>
      <c r="G418" s="20" t="s">
        <v>717</v>
      </c>
      <c r="H418" s="20" t="s">
        <v>726</v>
      </c>
    </row>
    <row r="419" spans="1:8">
      <c r="A419" s="20" t="s">
        <v>307</v>
      </c>
      <c r="B419" s="20" t="s">
        <v>295</v>
      </c>
      <c r="C419" s="20" t="s">
        <v>308</v>
      </c>
      <c r="D419" s="20" t="s">
        <v>727</v>
      </c>
      <c r="E419" s="21">
        <v>0.1012658227848101</v>
      </c>
      <c r="F419" s="20" t="s">
        <v>770</v>
      </c>
      <c r="G419" s="20" t="s">
        <v>717</v>
      </c>
      <c r="H419" s="20" t="s">
        <v>726</v>
      </c>
    </row>
    <row r="420" spans="1:8">
      <c r="A420" s="20" t="s">
        <v>307</v>
      </c>
      <c r="B420" s="20" t="s">
        <v>295</v>
      </c>
      <c r="C420" s="20" t="s">
        <v>308</v>
      </c>
      <c r="D420" s="20" t="s">
        <v>762</v>
      </c>
      <c r="E420" s="21">
        <v>0.12658227848101269</v>
      </c>
      <c r="F420" s="20" t="s">
        <v>770</v>
      </c>
      <c r="G420" s="20" t="s">
        <v>717</v>
      </c>
      <c r="H420" s="20" t="s">
        <v>726</v>
      </c>
    </row>
    <row r="421" spans="1:8">
      <c r="A421" s="20" t="s">
        <v>307</v>
      </c>
      <c r="B421" s="20" t="s">
        <v>295</v>
      </c>
      <c r="C421" s="20" t="s">
        <v>308</v>
      </c>
      <c r="D421" s="20" t="s">
        <v>771</v>
      </c>
      <c r="E421" s="21">
        <v>8.2278481012658222E-2</v>
      </c>
      <c r="F421" s="20" t="s">
        <v>770</v>
      </c>
      <c r="G421" s="20" t="s">
        <v>717</v>
      </c>
      <c r="H421" s="20" t="s">
        <v>726</v>
      </c>
    </row>
    <row r="422" spans="1:8">
      <c r="A422" s="20" t="s">
        <v>309</v>
      </c>
      <c r="B422" s="20" t="s">
        <v>295</v>
      </c>
      <c r="C422" s="20" t="s">
        <v>310</v>
      </c>
      <c r="D422" s="20" t="s">
        <v>721</v>
      </c>
      <c r="E422" s="21">
        <v>0.41772151898734172</v>
      </c>
      <c r="F422" s="20" t="s">
        <v>769</v>
      </c>
      <c r="G422" s="20" t="s">
        <v>717</v>
      </c>
      <c r="H422" s="20" t="s">
        <v>726</v>
      </c>
    </row>
    <row r="423" spans="1:8">
      <c r="A423" s="20" t="s">
        <v>309</v>
      </c>
      <c r="B423" s="20" t="s">
        <v>295</v>
      </c>
      <c r="C423" s="20" t="s">
        <v>310</v>
      </c>
      <c r="D423" s="20" t="s">
        <v>722</v>
      </c>
      <c r="E423" s="21">
        <v>0.27215189873417722</v>
      </c>
      <c r="F423" s="20" t="s">
        <v>770</v>
      </c>
      <c r="G423" s="20" t="s">
        <v>717</v>
      </c>
      <c r="H423" s="20" t="s">
        <v>726</v>
      </c>
    </row>
    <row r="424" spans="1:8">
      <c r="A424" s="20" t="s">
        <v>309</v>
      </c>
      <c r="B424" s="20" t="s">
        <v>295</v>
      </c>
      <c r="C424" s="20" t="s">
        <v>310</v>
      </c>
      <c r="D424" s="20" t="s">
        <v>727</v>
      </c>
      <c r="E424" s="21">
        <v>0.1012658227848101</v>
      </c>
      <c r="F424" s="20" t="s">
        <v>770</v>
      </c>
      <c r="G424" s="20" t="s">
        <v>717</v>
      </c>
      <c r="H424" s="20" t="s">
        <v>726</v>
      </c>
    </row>
    <row r="425" spans="1:8">
      <c r="A425" s="20" t="s">
        <v>309</v>
      </c>
      <c r="B425" s="20" t="s">
        <v>295</v>
      </c>
      <c r="C425" s="20" t="s">
        <v>310</v>
      </c>
      <c r="D425" s="20" t="s">
        <v>762</v>
      </c>
      <c r="E425" s="21">
        <v>0.12658227848101269</v>
      </c>
      <c r="F425" s="20" t="s">
        <v>770</v>
      </c>
      <c r="G425" s="20" t="s">
        <v>717</v>
      </c>
      <c r="H425" s="20" t="s">
        <v>726</v>
      </c>
    </row>
    <row r="426" spans="1:8">
      <c r="A426" s="20" t="s">
        <v>309</v>
      </c>
      <c r="B426" s="20" t="s">
        <v>295</v>
      </c>
      <c r="C426" s="20" t="s">
        <v>310</v>
      </c>
      <c r="D426" s="20" t="s">
        <v>771</v>
      </c>
      <c r="E426" s="21">
        <v>8.2278481012658222E-2</v>
      </c>
      <c r="F426" s="20" t="s">
        <v>770</v>
      </c>
      <c r="G426" s="20" t="s">
        <v>717</v>
      </c>
      <c r="H426" s="20" t="s">
        <v>726</v>
      </c>
    </row>
    <row r="427" spans="1:8">
      <c r="A427" s="20" t="s">
        <v>311</v>
      </c>
      <c r="B427" s="20" t="s">
        <v>312</v>
      </c>
      <c r="C427" s="20" t="s">
        <v>313</v>
      </c>
      <c r="D427" s="20" t="s">
        <v>721</v>
      </c>
      <c r="E427" s="21">
        <v>0.28244274809160302</v>
      </c>
      <c r="F427" s="20" t="s">
        <v>770</v>
      </c>
      <c r="G427" s="20" t="s">
        <v>718</v>
      </c>
      <c r="H427" s="20" t="s">
        <v>720</v>
      </c>
    </row>
    <row r="428" spans="1:8">
      <c r="A428" s="20" t="s">
        <v>311</v>
      </c>
      <c r="B428" s="20" t="s">
        <v>312</v>
      </c>
      <c r="C428" s="20" t="s">
        <v>313</v>
      </c>
      <c r="D428" s="20" t="s">
        <v>722</v>
      </c>
      <c r="E428" s="21">
        <v>0.37404580152671751</v>
      </c>
      <c r="F428" s="20" t="s">
        <v>769</v>
      </c>
      <c r="G428" s="20" t="s">
        <v>718</v>
      </c>
      <c r="H428" s="20" t="s">
        <v>720</v>
      </c>
    </row>
    <row r="429" spans="1:8">
      <c r="A429" s="20" t="s">
        <v>311</v>
      </c>
      <c r="B429" s="20" t="s">
        <v>312</v>
      </c>
      <c r="C429" s="20" t="s">
        <v>313</v>
      </c>
      <c r="D429" s="20" t="s">
        <v>727</v>
      </c>
      <c r="E429" s="21">
        <v>0.14503816793893129</v>
      </c>
      <c r="F429" s="20" t="s">
        <v>770</v>
      </c>
      <c r="G429" s="20" t="s">
        <v>718</v>
      </c>
      <c r="H429" s="20" t="s">
        <v>720</v>
      </c>
    </row>
    <row r="430" spans="1:8">
      <c r="A430" s="20" t="s">
        <v>311</v>
      </c>
      <c r="B430" s="20" t="s">
        <v>312</v>
      </c>
      <c r="C430" s="20" t="s">
        <v>313</v>
      </c>
      <c r="D430" s="20" t="s">
        <v>762</v>
      </c>
      <c r="E430" s="21">
        <v>9.160305343511449E-2</v>
      </c>
      <c r="F430" s="20" t="s">
        <v>770</v>
      </c>
      <c r="G430" s="20" t="s">
        <v>718</v>
      </c>
      <c r="H430" s="20" t="s">
        <v>720</v>
      </c>
    </row>
    <row r="431" spans="1:8">
      <c r="A431" s="20" t="s">
        <v>311</v>
      </c>
      <c r="B431" s="20" t="s">
        <v>312</v>
      </c>
      <c r="C431" s="20" t="s">
        <v>313</v>
      </c>
      <c r="D431" s="20" t="s">
        <v>771</v>
      </c>
      <c r="E431" s="21">
        <v>0.1068702290076336</v>
      </c>
      <c r="F431" s="20" t="s">
        <v>770</v>
      </c>
      <c r="G431" s="20" t="s">
        <v>718</v>
      </c>
      <c r="H431" s="20" t="s">
        <v>720</v>
      </c>
    </row>
    <row r="432" spans="1:8">
      <c r="A432" s="20" t="s">
        <v>315</v>
      </c>
      <c r="B432" s="20" t="s">
        <v>312</v>
      </c>
      <c r="C432" s="20" t="s">
        <v>312</v>
      </c>
      <c r="D432" s="20" t="s">
        <v>721</v>
      </c>
      <c r="E432" s="21">
        <v>0.2578125</v>
      </c>
      <c r="F432" s="20" t="s">
        <v>770</v>
      </c>
      <c r="G432" s="20" t="s">
        <v>724</v>
      </c>
      <c r="H432" s="20" t="s">
        <v>726</v>
      </c>
    </row>
    <row r="433" spans="1:8">
      <c r="A433" s="20" t="s">
        <v>315</v>
      </c>
      <c r="B433" s="20" t="s">
        <v>312</v>
      </c>
      <c r="C433" s="20" t="s">
        <v>312</v>
      </c>
      <c r="D433" s="20" t="s">
        <v>722</v>
      </c>
      <c r="E433" s="21">
        <v>0.2265625</v>
      </c>
      <c r="F433" s="20" t="s">
        <v>770</v>
      </c>
      <c r="G433" s="20" t="s">
        <v>724</v>
      </c>
      <c r="H433" s="20" t="s">
        <v>726</v>
      </c>
    </row>
    <row r="434" spans="1:8">
      <c r="A434" s="20" t="s">
        <v>315</v>
      </c>
      <c r="B434" s="20" t="s">
        <v>312</v>
      </c>
      <c r="C434" s="20" t="s">
        <v>312</v>
      </c>
      <c r="D434" s="20" t="s">
        <v>727</v>
      </c>
      <c r="E434" s="21">
        <v>0.328125</v>
      </c>
      <c r="F434" s="20" t="s">
        <v>769</v>
      </c>
      <c r="G434" s="20" t="s">
        <v>724</v>
      </c>
      <c r="H434" s="20" t="s">
        <v>726</v>
      </c>
    </row>
    <row r="435" spans="1:8">
      <c r="A435" s="20" t="s">
        <v>315</v>
      </c>
      <c r="B435" s="20" t="s">
        <v>312</v>
      </c>
      <c r="C435" s="20" t="s">
        <v>312</v>
      </c>
      <c r="D435" s="20" t="s">
        <v>762</v>
      </c>
      <c r="E435" s="21">
        <v>0.1171875</v>
      </c>
      <c r="F435" s="20" t="s">
        <v>770</v>
      </c>
      <c r="G435" s="20" t="s">
        <v>724</v>
      </c>
      <c r="H435" s="20" t="s">
        <v>726</v>
      </c>
    </row>
    <row r="436" spans="1:8">
      <c r="A436" s="20" t="s">
        <v>315</v>
      </c>
      <c r="B436" s="20" t="s">
        <v>312</v>
      </c>
      <c r="C436" s="20" t="s">
        <v>312</v>
      </c>
      <c r="D436" s="20" t="s">
        <v>771</v>
      </c>
      <c r="E436" s="21">
        <v>7.03125E-2</v>
      </c>
      <c r="F436" s="20" t="s">
        <v>770</v>
      </c>
      <c r="G436" s="20" t="s">
        <v>724</v>
      </c>
      <c r="H436" s="20" t="s">
        <v>726</v>
      </c>
    </row>
    <row r="437" spans="1:8">
      <c r="A437" s="20" t="s">
        <v>316</v>
      </c>
      <c r="B437" s="20" t="s">
        <v>312</v>
      </c>
      <c r="C437" s="20" t="s">
        <v>317</v>
      </c>
      <c r="D437" s="20" t="s">
        <v>721</v>
      </c>
      <c r="E437" s="21">
        <v>0.22018348623853209</v>
      </c>
      <c r="F437" s="20" t="s">
        <v>770</v>
      </c>
      <c r="G437" s="20" t="s">
        <v>718</v>
      </c>
      <c r="H437" s="20" t="s">
        <v>720</v>
      </c>
    </row>
    <row r="438" spans="1:8">
      <c r="A438" s="20" t="s">
        <v>316</v>
      </c>
      <c r="B438" s="20" t="s">
        <v>312</v>
      </c>
      <c r="C438" s="20" t="s">
        <v>317</v>
      </c>
      <c r="D438" s="20" t="s">
        <v>722</v>
      </c>
      <c r="E438" s="21">
        <v>0.43119266055045868</v>
      </c>
      <c r="F438" s="20" t="s">
        <v>769</v>
      </c>
      <c r="G438" s="20" t="s">
        <v>718</v>
      </c>
      <c r="H438" s="20" t="s">
        <v>720</v>
      </c>
    </row>
    <row r="439" spans="1:8">
      <c r="A439" s="20" t="s">
        <v>316</v>
      </c>
      <c r="B439" s="20" t="s">
        <v>312</v>
      </c>
      <c r="C439" s="20" t="s">
        <v>317</v>
      </c>
      <c r="D439" s="20" t="s">
        <v>727</v>
      </c>
      <c r="E439" s="21">
        <v>0.14678899082568811</v>
      </c>
      <c r="F439" s="20" t="s">
        <v>770</v>
      </c>
      <c r="G439" s="20" t="s">
        <v>718</v>
      </c>
      <c r="H439" s="20" t="s">
        <v>720</v>
      </c>
    </row>
    <row r="440" spans="1:8">
      <c r="A440" s="20" t="s">
        <v>316</v>
      </c>
      <c r="B440" s="20" t="s">
        <v>312</v>
      </c>
      <c r="C440" s="20" t="s">
        <v>317</v>
      </c>
      <c r="D440" s="20" t="s">
        <v>762</v>
      </c>
      <c r="E440" s="21">
        <v>0.1100917431192661</v>
      </c>
      <c r="F440" s="20" t="s">
        <v>770</v>
      </c>
      <c r="G440" s="20" t="s">
        <v>718</v>
      </c>
      <c r="H440" s="20" t="s">
        <v>720</v>
      </c>
    </row>
    <row r="441" spans="1:8">
      <c r="A441" s="20" t="s">
        <v>316</v>
      </c>
      <c r="B441" s="20" t="s">
        <v>312</v>
      </c>
      <c r="C441" s="20" t="s">
        <v>317</v>
      </c>
      <c r="D441" s="20" t="s">
        <v>771</v>
      </c>
      <c r="E441" s="21">
        <v>9.1743119266055065E-2</v>
      </c>
      <c r="F441" s="20" t="s">
        <v>770</v>
      </c>
      <c r="G441" s="20" t="s">
        <v>718</v>
      </c>
      <c r="H441" s="20" t="s">
        <v>720</v>
      </c>
    </row>
    <row r="442" spans="1:8">
      <c r="A442" s="20" t="s">
        <v>318</v>
      </c>
      <c r="B442" s="20" t="s">
        <v>312</v>
      </c>
      <c r="C442" s="20" t="s">
        <v>319</v>
      </c>
      <c r="D442" s="20" t="s">
        <v>721</v>
      </c>
      <c r="E442" s="21">
        <v>0.53383458646616533</v>
      </c>
      <c r="F442" s="20" t="s">
        <v>769</v>
      </c>
      <c r="G442" s="20" t="s">
        <v>717</v>
      </c>
      <c r="H442" s="20" t="s">
        <v>720</v>
      </c>
    </row>
    <row r="443" spans="1:8">
      <c r="A443" s="20" t="s">
        <v>318</v>
      </c>
      <c r="B443" s="20" t="s">
        <v>312</v>
      </c>
      <c r="C443" s="20" t="s">
        <v>319</v>
      </c>
      <c r="D443" s="20" t="s">
        <v>722</v>
      </c>
      <c r="E443" s="21">
        <v>0.17293233082706769</v>
      </c>
      <c r="F443" s="20" t="s">
        <v>770</v>
      </c>
      <c r="G443" s="20" t="s">
        <v>717</v>
      </c>
      <c r="H443" s="20" t="s">
        <v>720</v>
      </c>
    </row>
    <row r="444" spans="1:8">
      <c r="A444" s="20" t="s">
        <v>318</v>
      </c>
      <c r="B444" s="20" t="s">
        <v>312</v>
      </c>
      <c r="C444" s="20" t="s">
        <v>319</v>
      </c>
      <c r="D444" s="20" t="s">
        <v>727</v>
      </c>
      <c r="E444" s="21">
        <v>0.14285714285714279</v>
      </c>
      <c r="F444" s="20" t="s">
        <v>770</v>
      </c>
      <c r="G444" s="20" t="s">
        <v>717</v>
      </c>
      <c r="H444" s="20" t="s">
        <v>720</v>
      </c>
    </row>
    <row r="445" spans="1:8">
      <c r="A445" s="20" t="s">
        <v>318</v>
      </c>
      <c r="B445" s="20" t="s">
        <v>312</v>
      </c>
      <c r="C445" s="20" t="s">
        <v>319</v>
      </c>
      <c r="D445" s="20" t="s">
        <v>762</v>
      </c>
      <c r="E445" s="21">
        <v>0.11278195488721809</v>
      </c>
      <c r="F445" s="20" t="s">
        <v>770</v>
      </c>
      <c r="G445" s="20" t="s">
        <v>717</v>
      </c>
      <c r="H445" s="20" t="s">
        <v>720</v>
      </c>
    </row>
    <row r="446" spans="1:8">
      <c r="A446" s="20" t="s">
        <v>318</v>
      </c>
      <c r="B446" s="20" t="s">
        <v>312</v>
      </c>
      <c r="C446" s="20" t="s">
        <v>319</v>
      </c>
      <c r="D446" s="20" t="s">
        <v>771</v>
      </c>
      <c r="E446" s="21">
        <v>3.7593984962406013E-2</v>
      </c>
      <c r="F446" s="20" t="s">
        <v>770</v>
      </c>
      <c r="G446" s="20" t="s">
        <v>717</v>
      </c>
      <c r="H446" s="20" t="s">
        <v>720</v>
      </c>
    </row>
    <row r="447" spans="1:8">
      <c r="A447" s="20" t="s">
        <v>320</v>
      </c>
      <c r="B447" s="20" t="s">
        <v>312</v>
      </c>
      <c r="C447" s="20" t="s">
        <v>321</v>
      </c>
      <c r="D447" s="20" t="s">
        <v>721</v>
      </c>
      <c r="E447" s="21">
        <v>0.52032520325203246</v>
      </c>
      <c r="F447" s="20" t="s">
        <v>769</v>
      </c>
      <c r="G447" s="20" t="s">
        <v>717</v>
      </c>
      <c r="H447" s="20" t="s">
        <v>720</v>
      </c>
    </row>
    <row r="448" spans="1:8">
      <c r="A448" s="20" t="s">
        <v>320</v>
      </c>
      <c r="B448" s="20" t="s">
        <v>312</v>
      </c>
      <c r="C448" s="20" t="s">
        <v>321</v>
      </c>
      <c r="D448" s="20" t="s">
        <v>722</v>
      </c>
      <c r="E448" s="21">
        <v>0.18699186991869921</v>
      </c>
      <c r="F448" s="20" t="s">
        <v>770</v>
      </c>
      <c r="G448" s="20" t="s">
        <v>717</v>
      </c>
      <c r="H448" s="20" t="s">
        <v>720</v>
      </c>
    </row>
    <row r="449" spans="1:8">
      <c r="A449" s="20" t="s">
        <v>320</v>
      </c>
      <c r="B449" s="20" t="s">
        <v>312</v>
      </c>
      <c r="C449" s="20" t="s">
        <v>321</v>
      </c>
      <c r="D449" s="20" t="s">
        <v>727</v>
      </c>
      <c r="E449" s="21">
        <v>0.13008130081300809</v>
      </c>
      <c r="F449" s="20" t="s">
        <v>770</v>
      </c>
      <c r="G449" s="20" t="s">
        <v>717</v>
      </c>
      <c r="H449" s="20" t="s">
        <v>720</v>
      </c>
    </row>
    <row r="450" spans="1:8">
      <c r="A450" s="20" t="s">
        <v>320</v>
      </c>
      <c r="B450" s="20" t="s">
        <v>312</v>
      </c>
      <c r="C450" s="20" t="s">
        <v>321</v>
      </c>
      <c r="D450" s="20" t="s">
        <v>762</v>
      </c>
      <c r="E450" s="21">
        <v>0.12195121951219511</v>
      </c>
      <c r="F450" s="20" t="s">
        <v>770</v>
      </c>
      <c r="G450" s="20" t="s">
        <v>717</v>
      </c>
      <c r="H450" s="20" t="s">
        <v>720</v>
      </c>
    </row>
    <row r="451" spans="1:8">
      <c r="A451" s="20" t="s">
        <v>320</v>
      </c>
      <c r="B451" s="20" t="s">
        <v>312</v>
      </c>
      <c r="C451" s="20" t="s">
        <v>321</v>
      </c>
      <c r="D451" s="20" t="s">
        <v>771</v>
      </c>
      <c r="E451" s="21">
        <v>4.0650406504065047E-2</v>
      </c>
      <c r="F451" s="20" t="s">
        <v>770</v>
      </c>
      <c r="G451" s="20" t="s">
        <v>717</v>
      </c>
      <c r="H451" s="20" t="s">
        <v>720</v>
      </c>
    </row>
    <row r="452" spans="1:8">
      <c r="A452" s="20" t="s">
        <v>322</v>
      </c>
      <c r="B452" s="20" t="s">
        <v>312</v>
      </c>
      <c r="C452" s="20" t="s">
        <v>323</v>
      </c>
      <c r="D452" s="20" t="s">
        <v>721</v>
      </c>
      <c r="E452" s="21">
        <v>0.248</v>
      </c>
      <c r="F452" s="20" t="s">
        <v>770</v>
      </c>
      <c r="G452" s="20" t="s">
        <v>718</v>
      </c>
      <c r="H452" s="20" t="s">
        <v>720</v>
      </c>
    </row>
    <row r="453" spans="1:8">
      <c r="A453" s="20" t="s">
        <v>322</v>
      </c>
      <c r="B453" s="20" t="s">
        <v>312</v>
      </c>
      <c r="C453" s="20" t="s">
        <v>323</v>
      </c>
      <c r="D453" s="20" t="s">
        <v>722</v>
      </c>
      <c r="E453" s="21">
        <v>0.39200000000000002</v>
      </c>
      <c r="F453" s="20" t="s">
        <v>769</v>
      </c>
      <c r="G453" s="20" t="s">
        <v>718</v>
      </c>
      <c r="H453" s="20" t="s">
        <v>720</v>
      </c>
    </row>
    <row r="454" spans="1:8">
      <c r="A454" s="20" t="s">
        <v>322</v>
      </c>
      <c r="B454" s="20" t="s">
        <v>312</v>
      </c>
      <c r="C454" s="20" t="s">
        <v>323</v>
      </c>
      <c r="D454" s="20" t="s">
        <v>727</v>
      </c>
      <c r="E454" s="21">
        <v>0.152</v>
      </c>
      <c r="F454" s="20" t="s">
        <v>770</v>
      </c>
      <c r="G454" s="20" t="s">
        <v>718</v>
      </c>
      <c r="H454" s="20" t="s">
        <v>720</v>
      </c>
    </row>
    <row r="455" spans="1:8">
      <c r="A455" s="20" t="s">
        <v>322</v>
      </c>
      <c r="B455" s="20" t="s">
        <v>312</v>
      </c>
      <c r="C455" s="20" t="s">
        <v>323</v>
      </c>
      <c r="D455" s="20" t="s">
        <v>762</v>
      </c>
      <c r="E455" s="21">
        <v>9.6000000000000002E-2</v>
      </c>
      <c r="F455" s="20" t="s">
        <v>770</v>
      </c>
      <c r="G455" s="20" t="s">
        <v>718</v>
      </c>
      <c r="H455" s="20" t="s">
        <v>720</v>
      </c>
    </row>
    <row r="456" spans="1:8">
      <c r="A456" s="20" t="s">
        <v>322</v>
      </c>
      <c r="B456" s="20" t="s">
        <v>312</v>
      </c>
      <c r="C456" s="20" t="s">
        <v>323</v>
      </c>
      <c r="D456" s="20" t="s">
        <v>771</v>
      </c>
      <c r="E456" s="21">
        <v>0.112</v>
      </c>
      <c r="F456" s="20" t="s">
        <v>770</v>
      </c>
      <c r="G456" s="20" t="s">
        <v>718</v>
      </c>
      <c r="H456" s="20" t="s">
        <v>720</v>
      </c>
    </row>
    <row r="457" spans="1:8">
      <c r="A457" s="20" t="s">
        <v>324</v>
      </c>
      <c r="B457" s="20" t="s">
        <v>325</v>
      </c>
      <c r="C457" s="20" t="s">
        <v>326</v>
      </c>
      <c r="D457" s="20" t="s">
        <v>721</v>
      </c>
      <c r="E457" s="21">
        <v>0.45833333333333331</v>
      </c>
      <c r="F457" s="20" t="s">
        <v>769</v>
      </c>
      <c r="G457" s="20" t="s">
        <v>717</v>
      </c>
      <c r="H457" s="20" t="s">
        <v>720</v>
      </c>
    </row>
    <row r="458" spans="1:8">
      <c r="A458" s="20" t="s">
        <v>324</v>
      </c>
      <c r="B458" s="20" t="s">
        <v>325</v>
      </c>
      <c r="C458" s="20" t="s">
        <v>326</v>
      </c>
      <c r="D458" s="20" t="s">
        <v>722</v>
      </c>
      <c r="E458" s="21">
        <v>0.29861111111111122</v>
      </c>
      <c r="F458" s="20" t="s">
        <v>770</v>
      </c>
      <c r="G458" s="20" t="s">
        <v>717</v>
      </c>
      <c r="H458" s="20" t="s">
        <v>720</v>
      </c>
    </row>
    <row r="459" spans="1:8">
      <c r="A459" s="20" t="s">
        <v>324</v>
      </c>
      <c r="B459" s="20" t="s">
        <v>325</v>
      </c>
      <c r="C459" s="20" t="s">
        <v>326</v>
      </c>
      <c r="D459" s="20" t="s">
        <v>727</v>
      </c>
      <c r="E459" s="21">
        <v>0.13194444444444439</v>
      </c>
      <c r="F459" s="20" t="s">
        <v>770</v>
      </c>
      <c r="G459" s="20" t="s">
        <v>717</v>
      </c>
      <c r="H459" s="20" t="s">
        <v>720</v>
      </c>
    </row>
    <row r="460" spans="1:8">
      <c r="A460" s="20" t="s">
        <v>324</v>
      </c>
      <c r="B460" s="20" t="s">
        <v>325</v>
      </c>
      <c r="C460" s="20" t="s">
        <v>326</v>
      </c>
      <c r="D460" s="20" t="s">
        <v>762</v>
      </c>
      <c r="E460" s="21">
        <v>4.8611111111111119E-2</v>
      </c>
      <c r="F460" s="20" t="s">
        <v>770</v>
      </c>
      <c r="G460" s="20" t="s">
        <v>717</v>
      </c>
      <c r="H460" s="20" t="s">
        <v>720</v>
      </c>
    </row>
    <row r="461" spans="1:8">
      <c r="A461" s="20" t="s">
        <v>324</v>
      </c>
      <c r="B461" s="20" t="s">
        <v>325</v>
      </c>
      <c r="C461" s="20" t="s">
        <v>326</v>
      </c>
      <c r="D461" s="20" t="s">
        <v>771</v>
      </c>
      <c r="E461" s="21">
        <v>6.25E-2</v>
      </c>
      <c r="F461" s="20" t="s">
        <v>770</v>
      </c>
      <c r="G461" s="20" t="s">
        <v>717</v>
      </c>
      <c r="H461" s="20" t="s">
        <v>720</v>
      </c>
    </row>
    <row r="462" spans="1:8">
      <c r="A462" s="20" t="s">
        <v>328</v>
      </c>
      <c r="B462" s="20" t="s">
        <v>325</v>
      </c>
      <c r="C462" s="20" t="s">
        <v>329</v>
      </c>
      <c r="D462" s="20" t="s">
        <v>721</v>
      </c>
      <c r="E462" s="21">
        <v>0.45833333333333331</v>
      </c>
      <c r="F462" s="20" t="s">
        <v>769</v>
      </c>
      <c r="G462" s="20" t="s">
        <v>717</v>
      </c>
      <c r="H462" s="20" t="s">
        <v>720</v>
      </c>
    </row>
    <row r="463" spans="1:8">
      <c r="A463" s="20" t="s">
        <v>328</v>
      </c>
      <c r="B463" s="20" t="s">
        <v>325</v>
      </c>
      <c r="C463" s="20" t="s">
        <v>329</v>
      </c>
      <c r="D463" s="20" t="s">
        <v>722</v>
      </c>
      <c r="E463" s="21">
        <v>0.29861111111111122</v>
      </c>
      <c r="F463" s="20" t="s">
        <v>770</v>
      </c>
      <c r="G463" s="20" t="s">
        <v>717</v>
      </c>
      <c r="H463" s="20" t="s">
        <v>720</v>
      </c>
    </row>
    <row r="464" spans="1:8">
      <c r="A464" s="20" t="s">
        <v>328</v>
      </c>
      <c r="B464" s="20" t="s">
        <v>325</v>
      </c>
      <c r="C464" s="20" t="s">
        <v>329</v>
      </c>
      <c r="D464" s="20" t="s">
        <v>727</v>
      </c>
      <c r="E464" s="21">
        <v>0.13194444444444439</v>
      </c>
      <c r="F464" s="20" t="s">
        <v>770</v>
      </c>
      <c r="G464" s="20" t="s">
        <v>717</v>
      </c>
      <c r="H464" s="20" t="s">
        <v>720</v>
      </c>
    </row>
    <row r="465" spans="1:8">
      <c r="A465" s="20" t="s">
        <v>328</v>
      </c>
      <c r="B465" s="20" t="s">
        <v>325</v>
      </c>
      <c r="C465" s="20" t="s">
        <v>329</v>
      </c>
      <c r="D465" s="20" t="s">
        <v>762</v>
      </c>
      <c r="E465" s="21">
        <v>4.8611111111111119E-2</v>
      </c>
      <c r="F465" s="20" t="s">
        <v>770</v>
      </c>
      <c r="G465" s="20" t="s">
        <v>717</v>
      </c>
      <c r="H465" s="20" t="s">
        <v>720</v>
      </c>
    </row>
    <row r="466" spans="1:8">
      <c r="A466" s="20" t="s">
        <v>328</v>
      </c>
      <c r="B466" s="20" t="s">
        <v>325</v>
      </c>
      <c r="C466" s="20" t="s">
        <v>329</v>
      </c>
      <c r="D466" s="20" t="s">
        <v>771</v>
      </c>
      <c r="E466" s="21">
        <v>6.25E-2</v>
      </c>
      <c r="F466" s="20" t="s">
        <v>770</v>
      </c>
      <c r="G466" s="20" t="s">
        <v>717</v>
      </c>
      <c r="H466" s="20" t="s">
        <v>720</v>
      </c>
    </row>
    <row r="467" spans="1:8">
      <c r="A467" s="20" t="s">
        <v>330</v>
      </c>
      <c r="B467" s="20" t="s">
        <v>325</v>
      </c>
      <c r="C467" s="20" t="s">
        <v>331</v>
      </c>
      <c r="D467" s="20" t="s">
        <v>721</v>
      </c>
      <c r="E467" s="21">
        <v>0.45833333333333331</v>
      </c>
      <c r="F467" s="20" t="s">
        <v>769</v>
      </c>
      <c r="G467" s="20" t="s">
        <v>717</v>
      </c>
      <c r="H467" s="20" t="s">
        <v>720</v>
      </c>
    </row>
    <row r="468" spans="1:8">
      <c r="A468" s="20" t="s">
        <v>330</v>
      </c>
      <c r="B468" s="20" t="s">
        <v>325</v>
      </c>
      <c r="C468" s="20" t="s">
        <v>331</v>
      </c>
      <c r="D468" s="20" t="s">
        <v>722</v>
      </c>
      <c r="E468" s="21">
        <v>0.29861111111111122</v>
      </c>
      <c r="F468" s="20" t="s">
        <v>770</v>
      </c>
      <c r="G468" s="20" t="s">
        <v>717</v>
      </c>
      <c r="H468" s="20" t="s">
        <v>720</v>
      </c>
    </row>
    <row r="469" spans="1:8">
      <c r="A469" s="20" t="s">
        <v>330</v>
      </c>
      <c r="B469" s="20" t="s">
        <v>325</v>
      </c>
      <c r="C469" s="20" t="s">
        <v>331</v>
      </c>
      <c r="D469" s="20" t="s">
        <v>727</v>
      </c>
      <c r="E469" s="21">
        <v>0.13194444444444439</v>
      </c>
      <c r="F469" s="20" t="s">
        <v>770</v>
      </c>
      <c r="G469" s="20" t="s">
        <v>717</v>
      </c>
      <c r="H469" s="20" t="s">
        <v>720</v>
      </c>
    </row>
    <row r="470" spans="1:8">
      <c r="A470" s="20" t="s">
        <v>330</v>
      </c>
      <c r="B470" s="20" t="s">
        <v>325</v>
      </c>
      <c r="C470" s="20" t="s">
        <v>331</v>
      </c>
      <c r="D470" s="20" t="s">
        <v>762</v>
      </c>
      <c r="E470" s="21">
        <v>4.8611111111111119E-2</v>
      </c>
      <c r="F470" s="20" t="s">
        <v>770</v>
      </c>
      <c r="G470" s="20" t="s">
        <v>717</v>
      </c>
      <c r="H470" s="20" t="s">
        <v>720</v>
      </c>
    </row>
    <row r="471" spans="1:8">
      <c r="A471" s="20" t="s">
        <v>330</v>
      </c>
      <c r="B471" s="20" t="s">
        <v>325</v>
      </c>
      <c r="C471" s="20" t="s">
        <v>331</v>
      </c>
      <c r="D471" s="20" t="s">
        <v>771</v>
      </c>
      <c r="E471" s="21">
        <v>6.25E-2</v>
      </c>
      <c r="F471" s="20" t="s">
        <v>770</v>
      </c>
      <c r="G471" s="20" t="s">
        <v>717</v>
      </c>
      <c r="H471" s="20" t="s">
        <v>720</v>
      </c>
    </row>
    <row r="472" spans="1:8">
      <c r="A472" s="20" t="s">
        <v>332</v>
      </c>
      <c r="B472" s="20" t="s">
        <v>325</v>
      </c>
      <c r="C472" s="20" t="s">
        <v>333</v>
      </c>
      <c r="D472" s="20" t="s">
        <v>721</v>
      </c>
      <c r="E472" s="21">
        <v>0.51079136690647486</v>
      </c>
      <c r="F472" s="20" t="s">
        <v>769</v>
      </c>
      <c r="G472" s="20" t="s">
        <v>717</v>
      </c>
      <c r="H472" s="20" t="s">
        <v>720</v>
      </c>
    </row>
    <row r="473" spans="1:8">
      <c r="A473" s="20" t="s">
        <v>332</v>
      </c>
      <c r="B473" s="20" t="s">
        <v>325</v>
      </c>
      <c r="C473" s="20" t="s">
        <v>333</v>
      </c>
      <c r="D473" s="20" t="s">
        <v>722</v>
      </c>
      <c r="E473" s="21">
        <v>0.17985611510791369</v>
      </c>
      <c r="F473" s="20" t="s">
        <v>770</v>
      </c>
      <c r="G473" s="20" t="s">
        <v>717</v>
      </c>
      <c r="H473" s="20" t="s">
        <v>720</v>
      </c>
    </row>
    <row r="474" spans="1:8">
      <c r="A474" s="20" t="s">
        <v>332</v>
      </c>
      <c r="B474" s="20" t="s">
        <v>325</v>
      </c>
      <c r="C474" s="20" t="s">
        <v>333</v>
      </c>
      <c r="D474" s="20" t="s">
        <v>727</v>
      </c>
      <c r="E474" s="21">
        <v>0.1366906474820144</v>
      </c>
      <c r="F474" s="20" t="s">
        <v>770</v>
      </c>
      <c r="G474" s="20" t="s">
        <v>717</v>
      </c>
      <c r="H474" s="20" t="s">
        <v>720</v>
      </c>
    </row>
    <row r="475" spans="1:8">
      <c r="A475" s="20" t="s">
        <v>332</v>
      </c>
      <c r="B475" s="20" t="s">
        <v>325</v>
      </c>
      <c r="C475" s="20" t="s">
        <v>333</v>
      </c>
      <c r="D475" s="20" t="s">
        <v>762</v>
      </c>
      <c r="E475" s="21">
        <v>0.1079136690647482</v>
      </c>
      <c r="F475" s="20" t="s">
        <v>770</v>
      </c>
      <c r="G475" s="20" t="s">
        <v>717</v>
      </c>
      <c r="H475" s="20" t="s">
        <v>720</v>
      </c>
    </row>
    <row r="476" spans="1:8">
      <c r="A476" s="20" t="s">
        <v>332</v>
      </c>
      <c r="B476" s="20" t="s">
        <v>325</v>
      </c>
      <c r="C476" s="20" t="s">
        <v>333</v>
      </c>
      <c r="D476" s="20" t="s">
        <v>771</v>
      </c>
      <c r="E476" s="21">
        <v>6.4748201438848921E-2</v>
      </c>
      <c r="F476" s="20" t="s">
        <v>770</v>
      </c>
      <c r="G476" s="20" t="s">
        <v>717</v>
      </c>
      <c r="H476" s="20" t="s">
        <v>720</v>
      </c>
    </row>
    <row r="477" spans="1:8">
      <c r="A477" s="20" t="s">
        <v>334</v>
      </c>
      <c r="B477" s="20" t="s">
        <v>325</v>
      </c>
      <c r="C477" s="20" t="s">
        <v>335</v>
      </c>
      <c r="D477" s="20" t="s">
        <v>721</v>
      </c>
      <c r="E477" s="21">
        <v>0.45833333333333331</v>
      </c>
      <c r="F477" s="20" t="s">
        <v>769</v>
      </c>
      <c r="G477" s="20" t="s">
        <v>717</v>
      </c>
      <c r="H477" s="20" t="s">
        <v>720</v>
      </c>
    </row>
    <row r="478" spans="1:8">
      <c r="A478" s="20" t="s">
        <v>334</v>
      </c>
      <c r="B478" s="20" t="s">
        <v>325</v>
      </c>
      <c r="C478" s="20" t="s">
        <v>335</v>
      </c>
      <c r="D478" s="20" t="s">
        <v>722</v>
      </c>
      <c r="E478" s="21">
        <v>0.29861111111111122</v>
      </c>
      <c r="F478" s="20" t="s">
        <v>770</v>
      </c>
      <c r="G478" s="20" t="s">
        <v>717</v>
      </c>
      <c r="H478" s="20" t="s">
        <v>720</v>
      </c>
    </row>
    <row r="479" spans="1:8">
      <c r="A479" s="20" t="s">
        <v>334</v>
      </c>
      <c r="B479" s="20" t="s">
        <v>325</v>
      </c>
      <c r="C479" s="20" t="s">
        <v>335</v>
      </c>
      <c r="D479" s="20" t="s">
        <v>727</v>
      </c>
      <c r="E479" s="21">
        <v>0.13194444444444439</v>
      </c>
      <c r="F479" s="20" t="s">
        <v>770</v>
      </c>
      <c r="G479" s="20" t="s">
        <v>717</v>
      </c>
      <c r="H479" s="20" t="s">
        <v>720</v>
      </c>
    </row>
    <row r="480" spans="1:8">
      <c r="A480" s="20" t="s">
        <v>334</v>
      </c>
      <c r="B480" s="20" t="s">
        <v>325</v>
      </c>
      <c r="C480" s="20" t="s">
        <v>335</v>
      </c>
      <c r="D480" s="20" t="s">
        <v>762</v>
      </c>
      <c r="E480" s="21">
        <v>4.8611111111111119E-2</v>
      </c>
      <c r="F480" s="20" t="s">
        <v>770</v>
      </c>
      <c r="G480" s="20" t="s">
        <v>717</v>
      </c>
      <c r="H480" s="20" t="s">
        <v>720</v>
      </c>
    </row>
    <row r="481" spans="1:8">
      <c r="A481" s="20" t="s">
        <v>334</v>
      </c>
      <c r="B481" s="20" t="s">
        <v>325</v>
      </c>
      <c r="C481" s="20" t="s">
        <v>335</v>
      </c>
      <c r="D481" s="20" t="s">
        <v>771</v>
      </c>
      <c r="E481" s="21">
        <v>6.25E-2</v>
      </c>
      <c r="F481" s="20" t="s">
        <v>770</v>
      </c>
      <c r="G481" s="20" t="s">
        <v>717</v>
      </c>
      <c r="H481" s="20" t="s">
        <v>720</v>
      </c>
    </row>
    <row r="482" spans="1:8">
      <c r="A482" s="20" t="s">
        <v>336</v>
      </c>
      <c r="B482" s="20" t="s">
        <v>325</v>
      </c>
      <c r="C482" s="20" t="s">
        <v>337</v>
      </c>
      <c r="D482" s="20" t="s">
        <v>721</v>
      </c>
      <c r="E482" s="21">
        <v>0.45833333333333331</v>
      </c>
      <c r="F482" s="20" t="s">
        <v>769</v>
      </c>
      <c r="G482" s="20" t="s">
        <v>717</v>
      </c>
      <c r="H482" s="20" t="s">
        <v>720</v>
      </c>
    </row>
    <row r="483" spans="1:8">
      <c r="A483" s="20" t="s">
        <v>336</v>
      </c>
      <c r="B483" s="20" t="s">
        <v>325</v>
      </c>
      <c r="C483" s="20" t="s">
        <v>337</v>
      </c>
      <c r="D483" s="20" t="s">
        <v>722</v>
      </c>
      <c r="E483" s="21">
        <v>0.29861111111111122</v>
      </c>
      <c r="F483" s="20" t="s">
        <v>770</v>
      </c>
      <c r="G483" s="20" t="s">
        <v>717</v>
      </c>
      <c r="H483" s="20" t="s">
        <v>720</v>
      </c>
    </row>
    <row r="484" spans="1:8">
      <c r="A484" s="20" t="s">
        <v>336</v>
      </c>
      <c r="B484" s="20" t="s">
        <v>325</v>
      </c>
      <c r="C484" s="20" t="s">
        <v>337</v>
      </c>
      <c r="D484" s="20" t="s">
        <v>727</v>
      </c>
      <c r="E484" s="21">
        <v>0.13194444444444439</v>
      </c>
      <c r="F484" s="20" t="s">
        <v>770</v>
      </c>
      <c r="G484" s="20" t="s">
        <v>717</v>
      </c>
      <c r="H484" s="20" t="s">
        <v>720</v>
      </c>
    </row>
    <row r="485" spans="1:8">
      <c r="A485" s="20" t="s">
        <v>336</v>
      </c>
      <c r="B485" s="20" t="s">
        <v>325</v>
      </c>
      <c r="C485" s="20" t="s">
        <v>337</v>
      </c>
      <c r="D485" s="20" t="s">
        <v>762</v>
      </c>
      <c r="E485" s="21">
        <v>4.8611111111111119E-2</v>
      </c>
      <c r="F485" s="20" t="s">
        <v>770</v>
      </c>
      <c r="G485" s="20" t="s">
        <v>717</v>
      </c>
      <c r="H485" s="20" t="s">
        <v>720</v>
      </c>
    </row>
    <row r="486" spans="1:8">
      <c r="A486" s="20" t="s">
        <v>336</v>
      </c>
      <c r="B486" s="20" t="s">
        <v>325</v>
      </c>
      <c r="C486" s="20" t="s">
        <v>337</v>
      </c>
      <c r="D486" s="20" t="s">
        <v>771</v>
      </c>
      <c r="E486" s="21">
        <v>6.25E-2</v>
      </c>
      <c r="F486" s="20" t="s">
        <v>770</v>
      </c>
      <c r="G486" s="20" t="s">
        <v>717</v>
      </c>
      <c r="H486" s="20" t="s">
        <v>720</v>
      </c>
    </row>
    <row r="487" spans="1:8">
      <c r="A487" s="20" t="s">
        <v>338</v>
      </c>
      <c r="B487" s="20" t="s">
        <v>325</v>
      </c>
      <c r="C487" s="20" t="s">
        <v>325</v>
      </c>
      <c r="D487" s="20" t="s">
        <v>721</v>
      </c>
      <c r="E487" s="21">
        <v>0.45833333333333331</v>
      </c>
      <c r="F487" s="20" t="s">
        <v>769</v>
      </c>
      <c r="G487" s="20" t="s">
        <v>717</v>
      </c>
      <c r="H487" s="20" t="s">
        <v>720</v>
      </c>
    </row>
    <row r="488" spans="1:8">
      <c r="A488" s="20" t="s">
        <v>338</v>
      </c>
      <c r="B488" s="20" t="s">
        <v>325</v>
      </c>
      <c r="C488" s="20" t="s">
        <v>325</v>
      </c>
      <c r="D488" s="20" t="s">
        <v>722</v>
      </c>
      <c r="E488" s="21">
        <v>0.29861111111111122</v>
      </c>
      <c r="F488" s="20" t="s">
        <v>770</v>
      </c>
      <c r="G488" s="20" t="s">
        <v>717</v>
      </c>
      <c r="H488" s="20" t="s">
        <v>720</v>
      </c>
    </row>
    <row r="489" spans="1:8">
      <c r="A489" s="20" t="s">
        <v>338</v>
      </c>
      <c r="B489" s="20" t="s">
        <v>325</v>
      </c>
      <c r="C489" s="20" t="s">
        <v>325</v>
      </c>
      <c r="D489" s="20" t="s">
        <v>727</v>
      </c>
      <c r="E489" s="21">
        <v>0.13194444444444439</v>
      </c>
      <c r="F489" s="20" t="s">
        <v>770</v>
      </c>
      <c r="G489" s="20" t="s">
        <v>717</v>
      </c>
      <c r="H489" s="20" t="s">
        <v>720</v>
      </c>
    </row>
    <row r="490" spans="1:8">
      <c r="A490" s="20" t="s">
        <v>338</v>
      </c>
      <c r="B490" s="20" t="s">
        <v>325</v>
      </c>
      <c r="C490" s="20" t="s">
        <v>325</v>
      </c>
      <c r="D490" s="20" t="s">
        <v>762</v>
      </c>
      <c r="E490" s="21">
        <v>4.8611111111111119E-2</v>
      </c>
      <c r="F490" s="20" t="s">
        <v>770</v>
      </c>
      <c r="G490" s="20" t="s">
        <v>717</v>
      </c>
      <c r="H490" s="20" t="s">
        <v>720</v>
      </c>
    </row>
    <row r="491" spans="1:8">
      <c r="A491" s="20" t="s">
        <v>338</v>
      </c>
      <c r="B491" s="20" t="s">
        <v>325</v>
      </c>
      <c r="C491" s="20" t="s">
        <v>325</v>
      </c>
      <c r="D491" s="20" t="s">
        <v>771</v>
      </c>
      <c r="E491" s="21">
        <v>6.25E-2</v>
      </c>
      <c r="F491" s="20" t="s">
        <v>770</v>
      </c>
      <c r="G491" s="20" t="s">
        <v>717</v>
      </c>
      <c r="H491" s="20" t="s">
        <v>720</v>
      </c>
    </row>
    <row r="492" spans="1:8">
      <c r="A492" s="20" t="s">
        <v>339</v>
      </c>
      <c r="B492" s="20" t="s">
        <v>325</v>
      </c>
      <c r="C492" s="20" t="s">
        <v>340</v>
      </c>
      <c r="D492" s="20" t="s">
        <v>721</v>
      </c>
      <c r="E492" s="21">
        <v>0.45833333333333331</v>
      </c>
      <c r="F492" s="20" t="s">
        <v>769</v>
      </c>
      <c r="G492" s="20" t="s">
        <v>717</v>
      </c>
      <c r="H492" s="20" t="s">
        <v>720</v>
      </c>
    </row>
    <row r="493" spans="1:8">
      <c r="A493" s="20" t="s">
        <v>339</v>
      </c>
      <c r="B493" s="20" t="s">
        <v>325</v>
      </c>
      <c r="C493" s="20" t="s">
        <v>340</v>
      </c>
      <c r="D493" s="20" t="s">
        <v>722</v>
      </c>
      <c r="E493" s="21">
        <v>0.29861111111111122</v>
      </c>
      <c r="F493" s="20" t="s">
        <v>770</v>
      </c>
      <c r="G493" s="20" t="s">
        <v>717</v>
      </c>
      <c r="H493" s="20" t="s">
        <v>720</v>
      </c>
    </row>
    <row r="494" spans="1:8">
      <c r="A494" s="20" t="s">
        <v>339</v>
      </c>
      <c r="B494" s="20" t="s">
        <v>325</v>
      </c>
      <c r="C494" s="20" t="s">
        <v>340</v>
      </c>
      <c r="D494" s="20" t="s">
        <v>727</v>
      </c>
      <c r="E494" s="21">
        <v>0.13194444444444439</v>
      </c>
      <c r="F494" s="20" t="s">
        <v>770</v>
      </c>
      <c r="G494" s="20" t="s">
        <v>717</v>
      </c>
      <c r="H494" s="20" t="s">
        <v>720</v>
      </c>
    </row>
    <row r="495" spans="1:8">
      <c r="A495" s="20" t="s">
        <v>339</v>
      </c>
      <c r="B495" s="20" t="s">
        <v>325</v>
      </c>
      <c r="C495" s="20" t="s">
        <v>340</v>
      </c>
      <c r="D495" s="20" t="s">
        <v>762</v>
      </c>
      <c r="E495" s="21">
        <v>4.8611111111111119E-2</v>
      </c>
      <c r="F495" s="20" t="s">
        <v>770</v>
      </c>
      <c r="G495" s="20" t="s">
        <v>717</v>
      </c>
      <c r="H495" s="20" t="s">
        <v>720</v>
      </c>
    </row>
    <row r="496" spans="1:8">
      <c r="A496" s="20" t="s">
        <v>339</v>
      </c>
      <c r="B496" s="20" t="s">
        <v>325</v>
      </c>
      <c r="C496" s="20" t="s">
        <v>340</v>
      </c>
      <c r="D496" s="20" t="s">
        <v>771</v>
      </c>
      <c r="E496" s="21">
        <v>6.25E-2</v>
      </c>
      <c r="F496" s="20" t="s">
        <v>770</v>
      </c>
      <c r="G496" s="20" t="s">
        <v>717</v>
      </c>
      <c r="H496" s="20" t="s">
        <v>720</v>
      </c>
    </row>
    <row r="497" spans="1:8">
      <c r="A497" s="20" t="s">
        <v>341</v>
      </c>
      <c r="B497" s="20" t="s">
        <v>325</v>
      </c>
      <c r="C497" s="20" t="s">
        <v>342</v>
      </c>
      <c r="D497" s="20" t="s">
        <v>721</v>
      </c>
      <c r="E497" s="21">
        <v>0.46093749999999989</v>
      </c>
      <c r="F497" s="20" t="s">
        <v>769</v>
      </c>
      <c r="G497" s="20" t="s">
        <v>717</v>
      </c>
      <c r="H497" s="20" t="s">
        <v>720</v>
      </c>
    </row>
    <row r="498" spans="1:8">
      <c r="A498" s="20" t="s">
        <v>341</v>
      </c>
      <c r="B498" s="20" t="s">
        <v>325</v>
      </c>
      <c r="C498" s="20" t="s">
        <v>342</v>
      </c>
      <c r="D498" s="20" t="s">
        <v>722</v>
      </c>
      <c r="E498" s="21">
        <v>0.32031250000000011</v>
      </c>
      <c r="F498" s="20" t="s">
        <v>770</v>
      </c>
      <c r="G498" s="20" t="s">
        <v>717</v>
      </c>
      <c r="H498" s="20" t="s">
        <v>720</v>
      </c>
    </row>
    <row r="499" spans="1:8">
      <c r="A499" s="20" t="s">
        <v>341</v>
      </c>
      <c r="B499" s="20" t="s">
        <v>325</v>
      </c>
      <c r="C499" s="20" t="s">
        <v>342</v>
      </c>
      <c r="D499" s="20" t="s">
        <v>727</v>
      </c>
      <c r="E499" s="21">
        <v>0.125</v>
      </c>
      <c r="F499" s="20" t="s">
        <v>770</v>
      </c>
      <c r="G499" s="20" t="s">
        <v>717</v>
      </c>
      <c r="H499" s="20" t="s">
        <v>720</v>
      </c>
    </row>
    <row r="500" spans="1:8">
      <c r="A500" s="20" t="s">
        <v>341</v>
      </c>
      <c r="B500" s="20" t="s">
        <v>325</v>
      </c>
      <c r="C500" s="20" t="s">
        <v>342</v>
      </c>
      <c r="D500" s="20" t="s">
        <v>762</v>
      </c>
      <c r="E500" s="21">
        <v>5.4687500000000007E-2</v>
      </c>
      <c r="F500" s="20" t="s">
        <v>770</v>
      </c>
      <c r="G500" s="20" t="s">
        <v>717</v>
      </c>
      <c r="H500" s="20" t="s">
        <v>720</v>
      </c>
    </row>
    <row r="501" spans="1:8">
      <c r="A501" s="20" t="s">
        <v>341</v>
      </c>
      <c r="B501" s="20" t="s">
        <v>325</v>
      </c>
      <c r="C501" s="20" t="s">
        <v>342</v>
      </c>
      <c r="D501" s="20" t="s">
        <v>771</v>
      </c>
      <c r="E501" s="21">
        <v>3.9062500000000007E-2</v>
      </c>
      <c r="F501" s="20" t="s">
        <v>770</v>
      </c>
      <c r="G501" s="20" t="s">
        <v>717</v>
      </c>
      <c r="H501" s="20" t="s">
        <v>720</v>
      </c>
    </row>
    <row r="502" spans="1:8">
      <c r="A502" s="20" t="s">
        <v>343</v>
      </c>
      <c r="B502" s="20" t="s">
        <v>325</v>
      </c>
      <c r="C502" s="20" t="s">
        <v>344</v>
      </c>
      <c r="D502" s="20" t="s">
        <v>721</v>
      </c>
      <c r="E502" s="21">
        <v>0.45833333333333331</v>
      </c>
      <c r="F502" s="20" t="s">
        <v>769</v>
      </c>
      <c r="G502" s="20" t="s">
        <v>717</v>
      </c>
      <c r="H502" s="20" t="s">
        <v>720</v>
      </c>
    </row>
    <row r="503" spans="1:8">
      <c r="A503" s="20" t="s">
        <v>343</v>
      </c>
      <c r="B503" s="20" t="s">
        <v>325</v>
      </c>
      <c r="C503" s="20" t="s">
        <v>344</v>
      </c>
      <c r="D503" s="20" t="s">
        <v>722</v>
      </c>
      <c r="E503" s="21">
        <v>0.29861111111111122</v>
      </c>
      <c r="F503" s="20" t="s">
        <v>770</v>
      </c>
      <c r="G503" s="20" t="s">
        <v>717</v>
      </c>
      <c r="H503" s="20" t="s">
        <v>720</v>
      </c>
    </row>
    <row r="504" spans="1:8">
      <c r="A504" s="20" t="s">
        <v>343</v>
      </c>
      <c r="B504" s="20" t="s">
        <v>325</v>
      </c>
      <c r="C504" s="20" t="s">
        <v>344</v>
      </c>
      <c r="D504" s="20" t="s">
        <v>727</v>
      </c>
      <c r="E504" s="21">
        <v>0.13194444444444439</v>
      </c>
      <c r="F504" s="20" t="s">
        <v>770</v>
      </c>
      <c r="G504" s="20" t="s">
        <v>717</v>
      </c>
      <c r="H504" s="20" t="s">
        <v>720</v>
      </c>
    </row>
    <row r="505" spans="1:8">
      <c r="A505" s="20" t="s">
        <v>343</v>
      </c>
      <c r="B505" s="20" t="s">
        <v>325</v>
      </c>
      <c r="C505" s="20" t="s">
        <v>344</v>
      </c>
      <c r="D505" s="20" t="s">
        <v>762</v>
      </c>
      <c r="E505" s="21">
        <v>4.8611111111111119E-2</v>
      </c>
      <c r="F505" s="20" t="s">
        <v>770</v>
      </c>
      <c r="G505" s="20" t="s">
        <v>717</v>
      </c>
      <c r="H505" s="20" t="s">
        <v>720</v>
      </c>
    </row>
    <row r="506" spans="1:8">
      <c r="A506" s="20" t="s">
        <v>343</v>
      </c>
      <c r="B506" s="20" t="s">
        <v>325</v>
      </c>
      <c r="C506" s="20" t="s">
        <v>344</v>
      </c>
      <c r="D506" s="20" t="s">
        <v>771</v>
      </c>
      <c r="E506" s="21">
        <v>6.25E-2</v>
      </c>
      <c r="F506" s="20" t="s">
        <v>770</v>
      </c>
      <c r="G506" s="20" t="s">
        <v>717</v>
      </c>
      <c r="H506" s="20" t="s">
        <v>720</v>
      </c>
    </row>
    <row r="507" spans="1:8">
      <c r="A507" s="20" t="s">
        <v>345</v>
      </c>
      <c r="B507" s="20" t="s">
        <v>346</v>
      </c>
      <c r="C507" s="20" t="s">
        <v>347</v>
      </c>
      <c r="D507" s="20" t="s">
        <v>721</v>
      </c>
      <c r="E507" s="21">
        <v>0.52032520325203246</v>
      </c>
      <c r="F507" s="20" t="s">
        <v>769</v>
      </c>
      <c r="G507" s="20" t="s">
        <v>717</v>
      </c>
      <c r="H507" s="20" t="s">
        <v>720</v>
      </c>
    </row>
    <row r="508" spans="1:8">
      <c r="A508" s="20" t="s">
        <v>345</v>
      </c>
      <c r="B508" s="20" t="s">
        <v>346</v>
      </c>
      <c r="C508" s="20" t="s">
        <v>347</v>
      </c>
      <c r="D508" s="20" t="s">
        <v>722</v>
      </c>
      <c r="E508" s="21">
        <v>0.18699186991869921</v>
      </c>
      <c r="F508" s="20" t="s">
        <v>770</v>
      </c>
      <c r="G508" s="20" t="s">
        <v>717</v>
      </c>
      <c r="H508" s="20" t="s">
        <v>720</v>
      </c>
    </row>
    <row r="509" spans="1:8">
      <c r="A509" s="20" t="s">
        <v>345</v>
      </c>
      <c r="B509" s="20" t="s">
        <v>346</v>
      </c>
      <c r="C509" s="20" t="s">
        <v>347</v>
      </c>
      <c r="D509" s="20" t="s">
        <v>727</v>
      </c>
      <c r="E509" s="21">
        <v>0.13008130081300809</v>
      </c>
      <c r="F509" s="20" t="s">
        <v>770</v>
      </c>
      <c r="G509" s="20" t="s">
        <v>717</v>
      </c>
      <c r="H509" s="20" t="s">
        <v>720</v>
      </c>
    </row>
    <row r="510" spans="1:8">
      <c r="A510" s="20" t="s">
        <v>345</v>
      </c>
      <c r="B510" s="20" t="s">
        <v>346</v>
      </c>
      <c r="C510" s="20" t="s">
        <v>347</v>
      </c>
      <c r="D510" s="20" t="s">
        <v>762</v>
      </c>
      <c r="E510" s="21">
        <v>5.6910569105691061E-2</v>
      </c>
      <c r="F510" s="20" t="s">
        <v>770</v>
      </c>
      <c r="G510" s="20" t="s">
        <v>717</v>
      </c>
      <c r="H510" s="20" t="s">
        <v>720</v>
      </c>
    </row>
    <row r="511" spans="1:8">
      <c r="A511" s="20" t="s">
        <v>345</v>
      </c>
      <c r="B511" s="20" t="s">
        <v>346</v>
      </c>
      <c r="C511" s="20" t="s">
        <v>347</v>
      </c>
      <c r="D511" s="20" t="s">
        <v>771</v>
      </c>
      <c r="E511" s="21">
        <v>0.1056910569105691</v>
      </c>
      <c r="F511" s="20" t="s">
        <v>770</v>
      </c>
      <c r="G511" s="20" t="s">
        <v>717</v>
      </c>
      <c r="H511" s="20" t="s">
        <v>720</v>
      </c>
    </row>
    <row r="512" spans="1:8">
      <c r="A512" s="20" t="s">
        <v>350</v>
      </c>
      <c r="B512" s="20" t="s">
        <v>346</v>
      </c>
      <c r="C512" s="20" t="s">
        <v>351</v>
      </c>
      <c r="D512" s="20" t="s">
        <v>721</v>
      </c>
      <c r="E512" s="21">
        <v>0.51079136690647486</v>
      </c>
      <c r="F512" s="20" t="s">
        <v>769</v>
      </c>
      <c r="G512" s="20" t="s">
        <v>717</v>
      </c>
      <c r="H512" s="20" t="s">
        <v>720</v>
      </c>
    </row>
    <row r="513" spans="1:8">
      <c r="A513" s="20" t="s">
        <v>350</v>
      </c>
      <c r="B513" s="20" t="s">
        <v>346</v>
      </c>
      <c r="C513" s="20" t="s">
        <v>351</v>
      </c>
      <c r="D513" s="20" t="s">
        <v>722</v>
      </c>
      <c r="E513" s="21">
        <v>0.17985611510791369</v>
      </c>
      <c r="F513" s="20" t="s">
        <v>770</v>
      </c>
      <c r="G513" s="20" t="s">
        <v>717</v>
      </c>
      <c r="H513" s="20" t="s">
        <v>720</v>
      </c>
    </row>
    <row r="514" spans="1:8">
      <c r="A514" s="20" t="s">
        <v>350</v>
      </c>
      <c r="B514" s="20" t="s">
        <v>346</v>
      </c>
      <c r="C514" s="20" t="s">
        <v>351</v>
      </c>
      <c r="D514" s="20" t="s">
        <v>727</v>
      </c>
      <c r="E514" s="21">
        <v>0.1366906474820144</v>
      </c>
      <c r="F514" s="20" t="s">
        <v>770</v>
      </c>
      <c r="G514" s="20" t="s">
        <v>717</v>
      </c>
      <c r="H514" s="20" t="s">
        <v>720</v>
      </c>
    </row>
    <row r="515" spans="1:8">
      <c r="A515" s="20" t="s">
        <v>350</v>
      </c>
      <c r="B515" s="20" t="s">
        <v>346</v>
      </c>
      <c r="C515" s="20" t="s">
        <v>351</v>
      </c>
      <c r="D515" s="20" t="s">
        <v>762</v>
      </c>
      <c r="E515" s="21">
        <v>0.1079136690647482</v>
      </c>
      <c r="F515" s="20" t="s">
        <v>770</v>
      </c>
      <c r="G515" s="20" t="s">
        <v>717</v>
      </c>
      <c r="H515" s="20" t="s">
        <v>720</v>
      </c>
    </row>
    <row r="516" spans="1:8">
      <c r="A516" s="20" t="s">
        <v>350</v>
      </c>
      <c r="B516" s="20" t="s">
        <v>346</v>
      </c>
      <c r="C516" s="20" t="s">
        <v>351</v>
      </c>
      <c r="D516" s="20" t="s">
        <v>771</v>
      </c>
      <c r="E516" s="21">
        <v>6.4748201438848921E-2</v>
      </c>
      <c r="F516" s="20" t="s">
        <v>770</v>
      </c>
      <c r="G516" s="20" t="s">
        <v>717</v>
      </c>
      <c r="H516" s="20" t="s">
        <v>720</v>
      </c>
    </row>
    <row r="517" spans="1:8">
      <c r="A517" s="20" t="s">
        <v>352</v>
      </c>
      <c r="B517" s="20" t="s">
        <v>346</v>
      </c>
      <c r="C517" s="20" t="s">
        <v>353</v>
      </c>
      <c r="D517" s="20" t="s">
        <v>721</v>
      </c>
      <c r="E517" s="21">
        <v>0.45833333333333331</v>
      </c>
      <c r="F517" s="20" t="s">
        <v>769</v>
      </c>
      <c r="G517" s="20" t="s">
        <v>717</v>
      </c>
      <c r="H517" s="20" t="s">
        <v>720</v>
      </c>
    </row>
    <row r="518" spans="1:8">
      <c r="A518" s="20" t="s">
        <v>352</v>
      </c>
      <c r="B518" s="20" t="s">
        <v>346</v>
      </c>
      <c r="C518" s="20" t="s">
        <v>353</v>
      </c>
      <c r="D518" s="20" t="s">
        <v>722</v>
      </c>
      <c r="E518" s="21">
        <v>0.29861111111111122</v>
      </c>
      <c r="F518" s="20" t="s">
        <v>770</v>
      </c>
      <c r="G518" s="20" t="s">
        <v>717</v>
      </c>
      <c r="H518" s="20" t="s">
        <v>720</v>
      </c>
    </row>
    <row r="519" spans="1:8">
      <c r="A519" s="20" t="s">
        <v>352</v>
      </c>
      <c r="B519" s="20" t="s">
        <v>346</v>
      </c>
      <c r="C519" s="20" t="s">
        <v>353</v>
      </c>
      <c r="D519" s="20" t="s">
        <v>727</v>
      </c>
      <c r="E519" s="21">
        <v>0.13194444444444439</v>
      </c>
      <c r="F519" s="20" t="s">
        <v>770</v>
      </c>
      <c r="G519" s="20" t="s">
        <v>717</v>
      </c>
      <c r="H519" s="20" t="s">
        <v>720</v>
      </c>
    </row>
    <row r="520" spans="1:8">
      <c r="A520" s="20" t="s">
        <v>352</v>
      </c>
      <c r="B520" s="20" t="s">
        <v>346</v>
      </c>
      <c r="C520" s="20" t="s">
        <v>353</v>
      </c>
      <c r="D520" s="20" t="s">
        <v>762</v>
      </c>
      <c r="E520" s="21">
        <v>4.8611111111111119E-2</v>
      </c>
      <c r="F520" s="20" t="s">
        <v>770</v>
      </c>
      <c r="G520" s="20" t="s">
        <v>717</v>
      </c>
      <c r="H520" s="20" t="s">
        <v>720</v>
      </c>
    </row>
    <row r="521" spans="1:8">
      <c r="A521" s="20" t="s">
        <v>352</v>
      </c>
      <c r="B521" s="20" t="s">
        <v>346</v>
      </c>
      <c r="C521" s="20" t="s">
        <v>353</v>
      </c>
      <c r="D521" s="20" t="s">
        <v>771</v>
      </c>
      <c r="E521" s="21">
        <v>6.25E-2</v>
      </c>
      <c r="F521" s="20" t="s">
        <v>770</v>
      </c>
      <c r="G521" s="20" t="s">
        <v>717</v>
      </c>
      <c r="H521" s="20" t="s">
        <v>720</v>
      </c>
    </row>
    <row r="522" spans="1:8">
      <c r="A522" s="20" t="s">
        <v>354</v>
      </c>
      <c r="B522" s="20" t="s">
        <v>346</v>
      </c>
      <c r="C522" s="20" t="s">
        <v>355</v>
      </c>
      <c r="D522" s="20" t="s">
        <v>721</v>
      </c>
      <c r="E522" s="21">
        <v>0.43442622950819659</v>
      </c>
      <c r="F522" s="20" t="s">
        <v>769</v>
      </c>
      <c r="G522" s="20" t="s">
        <v>717</v>
      </c>
      <c r="H522" s="20" t="s">
        <v>720</v>
      </c>
    </row>
    <row r="523" spans="1:8">
      <c r="A523" s="20" t="s">
        <v>354</v>
      </c>
      <c r="B523" s="20" t="s">
        <v>346</v>
      </c>
      <c r="C523" s="20" t="s">
        <v>355</v>
      </c>
      <c r="D523" s="20" t="s">
        <v>722</v>
      </c>
      <c r="E523" s="21">
        <v>0.33606557377049179</v>
      </c>
      <c r="F523" s="20" t="s">
        <v>770</v>
      </c>
      <c r="G523" s="20" t="s">
        <v>717</v>
      </c>
      <c r="H523" s="20" t="s">
        <v>720</v>
      </c>
    </row>
    <row r="524" spans="1:8">
      <c r="A524" s="20" t="s">
        <v>354</v>
      </c>
      <c r="B524" s="20" t="s">
        <v>346</v>
      </c>
      <c r="C524" s="20" t="s">
        <v>355</v>
      </c>
      <c r="D524" s="20" t="s">
        <v>727</v>
      </c>
      <c r="E524" s="21">
        <v>0.13114754098360659</v>
      </c>
      <c r="F524" s="20" t="s">
        <v>770</v>
      </c>
      <c r="G524" s="20" t="s">
        <v>717</v>
      </c>
      <c r="H524" s="20" t="s">
        <v>720</v>
      </c>
    </row>
    <row r="525" spans="1:8">
      <c r="A525" s="20" t="s">
        <v>354</v>
      </c>
      <c r="B525" s="20" t="s">
        <v>346</v>
      </c>
      <c r="C525" s="20" t="s">
        <v>355</v>
      </c>
      <c r="D525" s="20" t="s">
        <v>762</v>
      </c>
      <c r="E525" s="21">
        <v>5.7377049180327877E-2</v>
      </c>
      <c r="F525" s="20" t="s">
        <v>770</v>
      </c>
      <c r="G525" s="20" t="s">
        <v>717</v>
      </c>
      <c r="H525" s="20" t="s">
        <v>720</v>
      </c>
    </row>
    <row r="526" spans="1:8">
      <c r="A526" s="20" t="s">
        <v>354</v>
      </c>
      <c r="B526" s="20" t="s">
        <v>346</v>
      </c>
      <c r="C526" s="20" t="s">
        <v>355</v>
      </c>
      <c r="D526" s="20" t="s">
        <v>771</v>
      </c>
      <c r="E526" s="21">
        <v>4.0983606557377053E-2</v>
      </c>
      <c r="F526" s="20" t="s">
        <v>770</v>
      </c>
      <c r="G526" s="20" t="s">
        <v>717</v>
      </c>
      <c r="H526" s="20" t="s">
        <v>720</v>
      </c>
    </row>
    <row r="527" spans="1:8">
      <c r="A527" s="20" t="s">
        <v>356</v>
      </c>
      <c r="B527" s="20" t="s">
        <v>346</v>
      </c>
      <c r="C527" s="20" t="s">
        <v>357</v>
      </c>
      <c r="D527" s="20" t="s">
        <v>721</v>
      </c>
      <c r="E527" s="21">
        <v>0.51079136690647486</v>
      </c>
      <c r="F527" s="20" t="s">
        <v>769</v>
      </c>
      <c r="G527" s="20" t="s">
        <v>717</v>
      </c>
      <c r="H527" s="20" t="s">
        <v>720</v>
      </c>
    </row>
    <row r="528" spans="1:8">
      <c r="A528" s="20" t="s">
        <v>356</v>
      </c>
      <c r="B528" s="20" t="s">
        <v>346</v>
      </c>
      <c r="C528" s="20" t="s">
        <v>357</v>
      </c>
      <c r="D528" s="20" t="s">
        <v>722</v>
      </c>
      <c r="E528" s="21">
        <v>0.17985611510791369</v>
      </c>
      <c r="F528" s="20" t="s">
        <v>770</v>
      </c>
      <c r="G528" s="20" t="s">
        <v>717</v>
      </c>
      <c r="H528" s="20" t="s">
        <v>720</v>
      </c>
    </row>
    <row r="529" spans="1:8">
      <c r="A529" s="20" t="s">
        <v>356</v>
      </c>
      <c r="B529" s="20" t="s">
        <v>346</v>
      </c>
      <c r="C529" s="20" t="s">
        <v>357</v>
      </c>
      <c r="D529" s="20" t="s">
        <v>727</v>
      </c>
      <c r="E529" s="21">
        <v>0.1366906474820144</v>
      </c>
      <c r="F529" s="20" t="s">
        <v>770</v>
      </c>
      <c r="G529" s="20" t="s">
        <v>717</v>
      </c>
      <c r="H529" s="20" t="s">
        <v>720</v>
      </c>
    </row>
    <row r="530" spans="1:8">
      <c r="A530" s="20" t="s">
        <v>356</v>
      </c>
      <c r="B530" s="20" t="s">
        <v>346</v>
      </c>
      <c r="C530" s="20" t="s">
        <v>357</v>
      </c>
      <c r="D530" s="20" t="s">
        <v>762</v>
      </c>
      <c r="E530" s="21">
        <v>0.1079136690647482</v>
      </c>
      <c r="F530" s="20" t="s">
        <v>770</v>
      </c>
      <c r="G530" s="20" t="s">
        <v>717</v>
      </c>
      <c r="H530" s="20" t="s">
        <v>720</v>
      </c>
    </row>
    <row r="531" spans="1:8">
      <c r="A531" s="20" t="s">
        <v>356</v>
      </c>
      <c r="B531" s="20" t="s">
        <v>346</v>
      </c>
      <c r="C531" s="20" t="s">
        <v>357</v>
      </c>
      <c r="D531" s="20" t="s">
        <v>771</v>
      </c>
      <c r="E531" s="21">
        <v>6.4748201438848921E-2</v>
      </c>
      <c r="F531" s="20" t="s">
        <v>770</v>
      </c>
      <c r="G531" s="20" t="s">
        <v>717</v>
      </c>
      <c r="H531" s="20" t="s">
        <v>720</v>
      </c>
    </row>
    <row r="532" spans="1:8">
      <c r="A532" s="20" t="s">
        <v>358</v>
      </c>
      <c r="B532" s="20" t="s">
        <v>346</v>
      </c>
      <c r="C532" s="20" t="s">
        <v>359</v>
      </c>
      <c r="D532" s="20" t="s">
        <v>721</v>
      </c>
      <c r="E532" s="21">
        <v>0.51079136690647486</v>
      </c>
      <c r="F532" s="20" t="s">
        <v>769</v>
      </c>
      <c r="G532" s="20" t="s">
        <v>717</v>
      </c>
      <c r="H532" s="20" t="s">
        <v>720</v>
      </c>
    </row>
    <row r="533" spans="1:8">
      <c r="A533" s="20" t="s">
        <v>358</v>
      </c>
      <c r="B533" s="20" t="s">
        <v>346</v>
      </c>
      <c r="C533" s="20" t="s">
        <v>359</v>
      </c>
      <c r="D533" s="20" t="s">
        <v>722</v>
      </c>
      <c r="E533" s="21">
        <v>0.17985611510791369</v>
      </c>
      <c r="F533" s="20" t="s">
        <v>770</v>
      </c>
      <c r="G533" s="20" t="s">
        <v>717</v>
      </c>
      <c r="H533" s="20" t="s">
        <v>720</v>
      </c>
    </row>
    <row r="534" spans="1:8">
      <c r="A534" s="20" t="s">
        <v>358</v>
      </c>
      <c r="B534" s="20" t="s">
        <v>346</v>
      </c>
      <c r="C534" s="20" t="s">
        <v>359</v>
      </c>
      <c r="D534" s="20" t="s">
        <v>727</v>
      </c>
      <c r="E534" s="21">
        <v>0.1366906474820144</v>
      </c>
      <c r="F534" s="20" t="s">
        <v>770</v>
      </c>
      <c r="G534" s="20" t="s">
        <v>717</v>
      </c>
      <c r="H534" s="20" t="s">
        <v>720</v>
      </c>
    </row>
    <row r="535" spans="1:8">
      <c r="A535" s="20" t="s">
        <v>358</v>
      </c>
      <c r="B535" s="20" t="s">
        <v>346</v>
      </c>
      <c r="C535" s="20" t="s">
        <v>359</v>
      </c>
      <c r="D535" s="20" t="s">
        <v>762</v>
      </c>
      <c r="E535" s="21">
        <v>0.1079136690647482</v>
      </c>
      <c r="F535" s="20" t="s">
        <v>770</v>
      </c>
      <c r="G535" s="20" t="s">
        <v>717</v>
      </c>
      <c r="H535" s="20" t="s">
        <v>720</v>
      </c>
    </row>
    <row r="536" spans="1:8">
      <c r="A536" s="20" t="s">
        <v>358</v>
      </c>
      <c r="B536" s="20" t="s">
        <v>346</v>
      </c>
      <c r="C536" s="20" t="s">
        <v>359</v>
      </c>
      <c r="D536" s="20" t="s">
        <v>771</v>
      </c>
      <c r="E536" s="21">
        <v>6.4748201438848921E-2</v>
      </c>
      <c r="F536" s="20" t="s">
        <v>770</v>
      </c>
      <c r="G536" s="20" t="s">
        <v>717</v>
      </c>
      <c r="H536" s="20" t="s">
        <v>720</v>
      </c>
    </row>
    <row r="537" spans="1:8">
      <c r="A537" s="20" t="s">
        <v>360</v>
      </c>
      <c r="B537" s="20" t="s">
        <v>346</v>
      </c>
      <c r="C537" s="20" t="s">
        <v>361</v>
      </c>
      <c r="D537" s="20" t="s">
        <v>721</v>
      </c>
      <c r="E537" s="21">
        <v>0.46093749999999989</v>
      </c>
      <c r="F537" s="20" t="s">
        <v>769</v>
      </c>
      <c r="G537" s="20" t="s">
        <v>717</v>
      </c>
      <c r="H537" s="20" t="s">
        <v>720</v>
      </c>
    </row>
    <row r="538" spans="1:8">
      <c r="A538" s="20" t="s">
        <v>360</v>
      </c>
      <c r="B538" s="20" t="s">
        <v>346</v>
      </c>
      <c r="C538" s="20" t="s">
        <v>361</v>
      </c>
      <c r="D538" s="20" t="s">
        <v>722</v>
      </c>
      <c r="E538" s="21">
        <v>0.32031250000000011</v>
      </c>
      <c r="F538" s="20" t="s">
        <v>770</v>
      </c>
      <c r="G538" s="20" t="s">
        <v>717</v>
      </c>
      <c r="H538" s="20" t="s">
        <v>720</v>
      </c>
    </row>
    <row r="539" spans="1:8">
      <c r="A539" s="20" t="s">
        <v>360</v>
      </c>
      <c r="B539" s="20" t="s">
        <v>346</v>
      </c>
      <c r="C539" s="20" t="s">
        <v>361</v>
      </c>
      <c r="D539" s="20" t="s">
        <v>727</v>
      </c>
      <c r="E539" s="21">
        <v>0.125</v>
      </c>
      <c r="F539" s="20" t="s">
        <v>770</v>
      </c>
      <c r="G539" s="20" t="s">
        <v>717</v>
      </c>
      <c r="H539" s="20" t="s">
        <v>720</v>
      </c>
    </row>
    <row r="540" spans="1:8">
      <c r="A540" s="20" t="s">
        <v>360</v>
      </c>
      <c r="B540" s="20" t="s">
        <v>346</v>
      </c>
      <c r="C540" s="20" t="s">
        <v>361</v>
      </c>
      <c r="D540" s="20" t="s">
        <v>762</v>
      </c>
      <c r="E540" s="21">
        <v>5.4687500000000007E-2</v>
      </c>
      <c r="F540" s="20" t="s">
        <v>770</v>
      </c>
      <c r="G540" s="20" t="s">
        <v>717</v>
      </c>
      <c r="H540" s="20" t="s">
        <v>720</v>
      </c>
    </row>
    <row r="541" spans="1:8">
      <c r="A541" s="20" t="s">
        <v>360</v>
      </c>
      <c r="B541" s="20" t="s">
        <v>346</v>
      </c>
      <c r="C541" s="20" t="s">
        <v>361</v>
      </c>
      <c r="D541" s="20" t="s">
        <v>771</v>
      </c>
      <c r="E541" s="21">
        <v>3.9062500000000007E-2</v>
      </c>
      <c r="F541" s="20" t="s">
        <v>770</v>
      </c>
      <c r="G541" s="20" t="s">
        <v>717</v>
      </c>
      <c r="H541" s="20" t="s">
        <v>720</v>
      </c>
    </row>
    <row r="542" spans="1:8">
      <c r="A542" s="20" t="s">
        <v>362</v>
      </c>
      <c r="B542" s="20" t="s">
        <v>346</v>
      </c>
      <c r="C542" s="20" t="s">
        <v>363</v>
      </c>
      <c r="D542" s="20" t="s">
        <v>721</v>
      </c>
      <c r="E542" s="21">
        <v>0.5220588235294118</v>
      </c>
      <c r="F542" s="20" t="s">
        <v>769</v>
      </c>
      <c r="G542" s="20" t="s">
        <v>717</v>
      </c>
      <c r="H542" s="20" t="s">
        <v>720</v>
      </c>
    </row>
    <row r="543" spans="1:8">
      <c r="A543" s="20" t="s">
        <v>362</v>
      </c>
      <c r="B543" s="20" t="s">
        <v>346</v>
      </c>
      <c r="C543" s="20" t="s">
        <v>363</v>
      </c>
      <c r="D543" s="20" t="s">
        <v>722</v>
      </c>
      <c r="E543" s="21">
        <v>0.18382352941176469</v>
      </c>
      <c r="F543" s="20" t="s">
        <v>770</v>
      </c>
      <c r="G543" s="20" t="s">
        <v>717</v>
      </c>
      <c r="H543" s="20" t="s">
        <v>720</v>
      </c>
    </row>
    <row r="544" spans="1:8">
      <c r="A544" s="20" t="s">
        <v>362</v>
      </c>
      <c r="B544" s="20" t="s">
        <v>346</v>
      </c>
      <c r="C544" s="20" t="s">
        <v>363</v>
      </c>
      <c r="D544" s="20" t="s">
        <v>727</v>
      </c>
      <c r="E544" s="21">
        <v>0.1764705882352941</v>
      </c>
      <c r="F544" s="20" t="s">
        <v>770</v>
      </c>
      <c r="G544" s="20" t="s">
        <v>717</v>
      </c>
      <c r="H544" s="20" t="s">
        <v>720</v>
      </c>
    </row>
    <row r="545" spans="1:8">
      <c r="A545" s="20" t="s">
        <v>362</v>
      </c>
      <c r="B545" s="20" t="s">
        <v>346</v>
      </c>
      <c r="C545" s="20" t="s">
        <v>363</v>
      </c>
      <c r="D545" s="20" t="s">
        <v>762</v>
      </c>
      <c r="E545" s="21">
        <v>5.1470588235294129E-2</v>
      </c>
      <c r="F545" s="20" t="s">
        <v>770</v>
      </c>
      <c r="G545" s="20" t="s">
        <v>717</v>
      </c>
      <c r="H545" s="20" t="s">
        <v>720</v>
      </c>
    </row>
    <row r="546" spans="1:8">
      <c r="A546" s="20" t="s">
        <v>362</v>
      </c>
      <c r="B546" s="20" t="s">
        <v>346</v>
      </c>
      <c r="C546" s="20" t="s">
        <v>363</v>
      </c>
      <c r="D546" s="20" t="s">
        <v>771</v>
      </c>
      <c r="E546" s="21">
        <v>6.6176470588235295E-2</v>
      </c>
      <c r="F546" s="20" t="s">
        <v>770</v>
      </c>
      <c r="G546" s="20" t="s">
        <v>717</v>
      </c>
      <c r="H546" s="20" t="s">
        <v>720</v>
      </c>
    </row>
    <row r="547" spans="1:8">
      <c r="A547" s="20" t="s">
        <v>364</v>
      </c>
      <c r="B547" s="20" t="s">
        <v>346</v>
      </c>
      <c r="C547" s="20" t="s">
        <v>365</v>
      </c>
      <c r="D547" s="20" t="s">
        <v>721</v>
      </c>
      <c r="E547" s="21">
        <v>0.45833333333333331</v>
      </c>
      <c r="F547" s="20" t="s">
        <v>769</v>
      </c>
      <c r="G547" s="20" t="s">
        <v>717</v>
      </c>
      <c r="H547" s="20" t="s">
        <v>720</v>
      </c>
    </row>
    <row r="548" spans="1:8">
      <c r="A548" s="20" t="s">
        <v>364</v>
      </c>
      <c r="B548" s="20" t="s">
        <v>346</v>
      </c>
      <c r="C548" s="20" t="s">
        <v>365</v>
      </c>
      <c r="D548" s="20" t="s">
        <v>722</v>
      </c>
      <c r="E548" s="21">
        <v>0.29861111111111122</v>
      </c>
      <c r="F548" s="20" t="s">
        <v>770</v>
      </c>
      <c r="G548" s="20" t="s">
        <v>717</v>
      </c>
      <c r="H548" s="20" t="s">
        <v>720</v>
      </c>
    </row>
    <row r="549" spans="1:8">
      <c r="A549" s="20" t="s">
        <v>364</v>
      </c>
      <c r="B549" s="20" t="s">
        <v>346</v>
      </c>
      <c r="C549" s="20" t="s">
        <v>365</v>
      </c>
      <c r="D549" s="20" t="s">
        <v>727</v>
      </c>
      <c r="E549" s="21">
        <v>0.13194444444444439</v>
      </c>
      <c r="F549" s="20" t="s">
        <v>770</v>
      </c>
      <c r="G549" s="20" t="s">
        <v>717</v>
      </c>
      <c r="H549" s="20" t="s">
        <v>720</v>
      </c>
    </row>
    <row r="550" spans="1:8">
      <c r="A550" s="20" t="s">
        <v>364</v>
      </c>
      <c r="B550" s="20" t="s">
        <v>346</v>
      </c>
      <c r="C550" s="20" t="s">
        <v>365</v>
      </c>
      <c r="D550" s="20" t="s">
        <v>762</v>
      </c>
      <c r="E550" s="21">
        <v>4.8611111111111119E-2</v>
      </c>
      <c r="F550" s="20" t="s">
        <v>770</v>
      </c>
      <c r="G550" s="20" t="s">
        <v>717</v>
      </c>
      <c r="H550" s="20" t="s">
        <v>720</v>
      </c>
    </row>
    <row r="551" spans="1:8">
      <c r="A551" s="20" t="s">
        <v>364</v>
      </c>
      <c r="B551" s="20" t="s">
        <v>346</v>
      </c>
      <c r="C551" s="20" t="s">
        <v>365</v>
      </c>
      <c r="D551" s="20" t="s">
        <v>771</v>
      </c>
      <c r="E551" s="21">
        <v>6.25E-2</v>
      </c>
      <c r="F551" s="20" t="s">
        <v>770</v>
      </c>
      <c r="G551" s="20" t="s">
        <v>717</v>
      </c>
      <c r="H551" s="20" t="s">
        <v>720</v>
      </c>
    </row>
    <row r="552" spans="1:8">
      <c r="A552" s="20" t="s">
        <v>366</v>
      </c>
      <c r="B552" s="20" t="s">
        <v>367</v>
      </c>
      <c r="C552" s="20" t="s">
        <v>368</v>
      </c>
      <c r="D552" s="20" t="s">
        <v>721</v>
      </c>
      <c r="E552" s="21">
        <v>0.26618705035971219</v>
      </c>
      <c r="F552" s="20" t="s">
        <v>770</v>
      </c>
      <c r="G552" s="20" t="s">
        <v>718</v>
      </c>
      <c r="H552" s="20" t="s">
        <v>720</v>
      </c>
    </row>
    <row r="553" spans="1:8">
      <c r="A553" s="20" t="s">
        <v>366</v>
      </c>
      <c r="B553" s="20" t="s">
        <v>367</v>
      </c>
      <c r="C553" s="20" t="s">
        <v>368</v>
      </c>
      <c r="D553" s="20" t="s">
        <v>722</v>
      </c>
      <c r="E553" s="21">
        <v>0.35251798561151082</v>
      </c>
      <c r="F553" s="20" t="s">
        <v>769</v>
      </c>
      <c r="G553" s="20" t="s">
        <v>718</v>
      </c>
      <c r="H553" s="20" t="s">
        <v>720</v>
      </c>
    </row>
    <row r="554" spans="1:8">
      <c r="A554" s="20" t="s">
        <v>366</v>
      </c>
      <c r="B554" s="20" t="s">
        <v>367</v>
      </c>
      <c r="C554" s="20" t="s">
        <v>368</v>
      </c>
      <c r="D554" s="20" t="s">
        <v>727</v>
      </c>
      <c r="E554" s="21">
        <v>0.1366906474820144</v>
      </c>
      <c r="F554" s="20" t="s">
        <v>770</v>
      </c>
      <c r="G554" s="20" t="s">
        <v>718</v>
      </c>
      <c r="H554" s="20" t="s">
        <v>720</v>
      </c>
    </row>
    <row r="555" spans="1:8">
      <c r="A555" s="20" t="s">
        <v>366</v>
      </c>
      <c r="B555" s="20" t="s">
        <v>367</v>
      </c>
      <c r="C555" s="20" t="s">
        <v>368</v>
      </c>
      <c r="D555" s="20" t="s">
        <v>762</v>
      </c>
      <c r="E555" s="21">
        <v>0.14388489208633101</v>
      </c>
      <c r="F555" s="20" t="s">
        <v>770</v>
      </c>
      <c r="G555" s="20" t="s">
        <v>718</v>
      </c>
      <c r="H555" s="20" t="s">
        <v>720</v>
      </c>
    </row>
    <row r="556" spans="1:8">
      <c r="A556" s="20" t="s">
        <v>366</v>
      </c>
      <c r="B556" s="20" t="s">
        <v>367</v>
      </c>
      <c r="C556" s="20" t="s">
        <v>368</v>
      </c>
      <c r="D556" s="20" t="s">
        <v>771</v>
      </c>
      <c r="E556" s="21">
        <v>0.10071942446043169</v>
      </c>
      <c r="F556" s="20" t="s">
        <v>770</v>
      </c>
      <c r="G556" s="20" t="s">
        <v>718</v>
      </c>
      <c r="H556" s="20" t="s">
        <v>720</v>
      </c>
    </row>
    <row r="557" spans="1:8">
      <c r="A557" s="20" t="s">
        <v>373</v>
      </c>
      <c r="B557" s="20" t="s">
        <v>367</v>
      </c>
      <c r="C557" s="20" t="s">
        <v>374</v>
      </c>
      <c r="D557" s="20" t="s">
        <v>721</v>
      </c>
      <c r="E557" s="21">
        <v>0.41772151898734172</v>
      </c>
      <c r="F557" s="20" t="s">
        <v>769</v>
      </c>
      <c r="G557" s="20" t="s">
        <v>717</v>
      </c>
      <c r="H557" s="20" t="s">
        <v>726</v>
      </c>
    </row>
    <row r="558" spans="1:8">
      <c r="A558" s="20" t="s">
        <v>373</v>
      </c>
      <c r="B558" s="20" t="s">
        <v>367</v>
      </c>
      <c r="C558" s="20" t="s">
        <v>374</v>
      </c>
      <c r="D558" s="20" t="s">
        <v>722</v>
      </c>
      <c r="E558" s="21">
        <v>0.27215189873417722</v>
      </c>
      <c r="F558" s="20" t="s">
        <v>770</v>
      </c>
      <c r="G558" s="20" t="s">
        <v>717</v>
      </c>
      <c r="H558" s="20" t="s">
        <v>726</v>
      </c>
    </row>
    <row r="559" spans="1:8">
      <c r="A559" s="20" t="s">
        <v>373</v>
      </c>
      <c r="B559" s="20" t="s">
        <v>367</v>
      </c>
      <c r="C559" s="20" t="s">
        <v>374</v>
      </c>
      <c r="D559" s="20" t="s">
        <v>727</v>
      </c>
      <c r="E559" s="21">
        <v>0.1012658227848101</v>
      </c>
      <c r="F559" s="20" t="s">
        <v>770</v>
      </c>
      <c r="G559" s="20" t="s">
        <v>717</v>
      </c>
      <c r="H559" s="20" t="s">
        <v>726</v>
      </c>
    </row>
    <row r="560" spans="1:8">
      <c r="A560" s="20" t="s">
        <v>373</v>
      </c>
      <c r="B560" s="20" t="s">
        <v>367</v>
      </c>
      <c r="C560" s="20" t="s">
        <v>374</v>
      </c>
      <c r="D560" s="20" t="s">
        <v>762</v>
      </c>
      <c r="E560" s="21">
        <v>0.12658227848101269</v>
      </c>
      <c r="F560" s="20" t="s">
        <v>770</v>
      </c>
      <c r="G560" s="20" t="s">
        <v>717</v>
      </c>
      <c r="H560" s="20" t="s">
        <v>726</v>
      </c>
    </row>
    <row r="561" spans="1:8">
      <c r="A561" s="20" t="s">
        <v>373</v>
      </c>
      <c r="B561" s="20" t="s">
        <v>367</v>
      </c>
      <c r="C561" s="20" t="s">
        <v>374</v>
      </c>
      <c r="D561" s="20" t="s">
        <v>771</v>
      </c>
      <c r="E561" s="21">
        <v>8.2278481012658222E-2</v>
      </c>
      <c r="F561" s="20" t="s">
        <v>770</v>
      </c>
      <c r="G561" s="20" t="s">
        <v>717</v>
      </c>
      <c r="H561" s="20" t="s">
        <v>726</v>
      </c>
    </row>
    <row r="562" spans="1:8">
      <c r="A562" s="20" t="s">
        <v>375</v>
      </c>
      <c r="B562" s="20" t="s">
        <v>367</v>
      </c>
      <c r="C562" s="20" t="s">
        <v>376</v>
      </c>
      <c r="D562" s="20" t="s">
        <v>721</v>
      </c>
      <c r="E562" s="21">
        <v>0.52032520325203246</v>
      </c>
      <c r="F562" s="20" t="s">
        <v>769</v>
      </c>
      <c r="G562" s="20" t="s">
        <v>717</v>
      </c>
      <c r="H562" s="20" t="s">
        <v>720</v>
      </c>
    </row>
    <row r="563" spans="1:8">
      <c r="A563" s="20" t="s">
        <v>375</v>
      </c>
      <c r="B563" s="20" t="s">
        <v>367</v>
      </c>
      <c r="C563" s="20" t="s">
        <v>376</v>
      </c>
      <c r="D563" s="20" t="s">
        <v>722</v>
      </c>
      <c r="E563" s="21">
        <v>0.18699186991869921</v>
      </c>
      <c r="F563" s="20" t="s">
        <v>770</v>
      </c>
      <c r="G563" s="20" t="s">
        <v>717</v>
      </c>
      <c r="H563" s="20" t="s">
        <v>720</v>
      </c>
    </row>
    <row r="564" spans="1:8">
      <c r="A564" s="20" t="s">
        <v>375</v>
      </c>
      <c r="B564" s="20" t="s">
        <v>367</v>
      </c>
      <c r="C564" s="20" t="s">
        <v>376</v>
      </c>
      <c r="D564" s="20" t="s">
        <v>727</v>
      </c>
      <c r="E564" s="21">
        <v>0.13008130081300809</v>
      </c>
      <c r="F564" s="20" t="s">
        <v>770</v>
      </c>
      <c r="G564" s="20" t="s">
        <v>717</v>
      </c>
      <c r="H564" s="20" t="s">
        <v>720</v>
      </c>
    </row>
    <row r="565" spans="1:8">
      <c r="A565" s="20" t="s">
        <v>375</v>
      </c>
      <c r="B565" s="20" t="s">
        <v>367</v>
      </c>
      <c r="C565" s="20" t="s">
        <v>376</v>
      </c>
      <c r="D565" s="20" t="s">
        <v>762</v>
      </c>
      <c r="E565" s="21">
        <v>0.12195121951219511</v>
      </c>
      <c r="F565" s="20" t="s">
        <v>770</v>
      </c>
      <c r="G565" s="20" t="s">
        <v>717</v>
      </c>
      <c r="H565" s="20" t="s">
        <v>720</v>
      </c>
    </row>
    <row r="566" spans="1:8">
      <c r="A566" s="20" t="s">
        <v>375</v>
      </c>
      <c r="B566" s="20" t="s">
        <v>367</v>
      </c>
      <c r="C566" s="20" t="s">
        <v>376</v>
      </c>
      <c r="D566" s="20" t="s">
        <v>771</v>
      </c>
      <c r="E566" s="21">
        <v>4.0650406504065047E-2</v>
      </c>
      <c r="F566" s="20" t="s">
        <v>770</v>
      </c>
      <c r="G566" s="20" t="s">
        <v>717</v>
      </c>
      <c r="H566" s="20" t="s">
        <v>720</v>
      </c>
    </row>
    <row r="567" spans="1:8">
      <c r="A567" s="20" t="s">
        <v>377</v>
      </c>
      <c r="B567" s="20" t="s">
        <v>367</v>
      </c>
      <c r="C567" s="20" t="s">
        <v>378</v>
      </c>
      <c r="D567" s="20" t="s">
        <v>721</v>
      </c>
      <c r="E567" s="21">
        <v>0.51079136690647486</v>
      </c>
      <c r="F567" s="20" t="s">
        <v>769</v>
      </c>
      <c r="G567" s="20" t="s">
        <v>717</v>
      </c>
      <c r="H567" s="20" t="s">
        <v>720</v>
      </c>
    </row>
    <row r="568" spans="1:8">
      <c r="A568" s="20" t="s">
        <v>377</v>
      </c>
      <c r="B568" s="20" t="s">
        <v>367</v>
      </c>
      <c r="C568" s="20" t="s">
        <v>378</v>
      </c>
      <c r="D568" s="20" t="s">
        <v>722</v>
      </c>
      <c r="E568" s="21">
        <v>0.17985611510791369</v>
      </c>
      <c r="F568" s="20" t="s">
        <v>770</v>
      </c>
      <c r="G568" s="20" t="s">
        <v>717</v>
      </c>
      <c r="H568" s="20" t="s">
        <v>720</v>
      </c>
    </row>
    <row r="569" spans="1:8">
      <c r="A569" s="20" t="s">
        <v>377</v>
      </c>
      <c r="B569" s="20" t="s">
        <v>367</v>
      </c>
      <c r="C569" s="20" t="s">
        <v>378</v>
      </c>
      <c r="D569" s="20" t="s">
        <v>727</v>
      </c>
      <c r="E569" s="21">
        <v>0.1366906474820144</v>
      </c>
      <c r="F569" s="20" t="s">
        <v>770</v>
      </c>
      <c r="G569" s="20" t="s">
        <v>717</v>
      </c>
      <c r="H569" s="20" t="s">
        <v>720</v>
      </c>
    </row>
    <row r="570" spans="1:8">
      <c r="A570" s="20" t="s">
        <v>377</v>
      </c>
      <c r="B570" s="20" t="s">
        <v>367</v>
      </c>
      <c r="C570" s="20" t="s">
        <v>378</v>
      </c>
      <c r="D570" s="20" t="s">
        <v>762</v>
      </c>
      <c r="E570" s="21">
        <v>0.1079136690647482</v>
      </c>
      <c r="F570" s="20" t="s">
        <v>770</v>
      </c>
      <c r="G570" s="20" t="s">
        <v>717</v>
      </c>
      <c r="H570" s="20" t="s">
        <v>720</v>
      </c>
    </row>
    <row r="571" spans="1:8">
      <c r="A571" s="20" t="s">
        <v>377</v>
      </c>
      <c r="B571" s="20" t="s">
        <v>367</v>
      </c>
      <c r="C571" s="20" t="s">
        <v>378</v>
      </c>
      <c r="D571" s="20" t="s">
        <v>771</v>
      </c>
      <c r="E571" s="21">
        <v>6.4748201438848921E-2</v>
      </c>
      <c r="F571" s="20" t="s">
        <v>770</v>
      </c>
      <c r="G571" s="20" t="s">
        <v>717</v>
      </c>
      <c r="H571" s="20" t="s">
        <v>720</v>
      </c>
    </row>
    <row r="572" spans="1:8">
      <c r="A572" s="20" t="s">
        <v>379</v>
      </c>
      <c r="B572" s="20" t="s">
        <v>367</v>
      </c>
      <c r="C572" s="20" t="s">
        <v>380</v>
      </c>
      <c r="D572" s="20" t="s">
        <v>721</v>
      </c>
      <c r="E572" s="21">
        <v>0.41772151898734172</v>
      </c>
      <c r="F572" s="20" t="s">
        <v>769</v>
      </c>
      <c r="G572" s="20" t="s">
        <v>717</v>
      </c>
      <c r="H572" s="20" t="s">
        <v>726</v>
      </c>
    </row>
    <row r="573" spans="1:8">
      <c r="A573" s="20" t="s">
        <v>379</v>
      </c>
      <c r="B573" s="20" t="s">
        <v>367</v>
      </c>
      <c r="C573" s="20" t="s">
        <v>380</v>
      </c>
      <c r="D573" s="20" t="s">
        <v>722</v>
      </c>
      <c r="E573" s="21">
        <v>0.27215189873417722</v>
      </c>
      <c r="F573" s="20" t="s">
        <v>770</v>
      </c>
      <c r="G573" s="20" t="s">
        <v>717</v>
      </c>
      <c r="H573" s="20" t="s">
        <v>726</v>
      </c>
    </row>
    <row r="574" spans="1:8">
      <c r="A574" s="20" t="s">
        <v>379</v>
      </c>
      <c r="B574" s="20" t="s">
        <v>367</v>
      </c>
      <c r="C574" s="20" t="s">
        <v>380</v>
      </c>
      <c r="D574" s="20" t="s">
        <v>727</v>
      </c>
      <c r="E574" s="21">
        <v>0.1012658227848101</v>
      </c>
      <c r="F574" s="20" t="s">
        <v>770</v>
      </c>
      <c r="G574" s="20" t="s">
        <v>717</v>
      </c>
      <c r="H574" s="20" t="s">
        <v>726</v>
      </c>
    </row>
    <row r="575" spans="1:8">
      <c r="A575" s="20" t="s">
        <v>379</v>
      </c>
      <c r="B575" s="20" t="s">
        <v>367</v>
      </c>
      <c r="C575" s="20" t="s">
        <v>380</v>
      </c>
      <c r="D575" s="20" t="s">
        <v>762</v>
      </c>
      <c r="E575" s="21">
        <v>0.12658227848101269</v>
      </c>
      <c r="F575" s="20" t="s">
        <v>770</v>
      </c>
      <c r="G575" s="20" t="s">
        <v>717</v>
      </c>
      <c r="H575" s="20" t="s">
        <v>726</v>
      </c>
    </row>
    <row r="576" spans="1:8">
      <c r="A576" s="20" t="s">
        <v>379</v>
      </c>
      <c r="B576" s="20" t="s">
        <v>367</v>
      </c>
      <c r="C576" s="20" t="s">
        <v>380</v>
      </c>
      <c r="D576" s="20" t="s">
        <v>771</v>
      </c>
      <c r="E576" s="21">
        <v>8.2278481012658222E-2</v>
      </c>
      <c r="F576" s="20" t="s">
        <v>770</v>
      </c>
      <c r="G576" s="20" t="s">
        <v>717</v>
      </c>
      <c r="H576" s="20" t="s">
        <v>726</v>
      </c>
    </row>
    <row r="577" spans="1:8">
      <c r="A577" s="20" t="s">
        <v>381</v>
      </c>
      <c r="B577" s="20" t="s">
        <v>382</v>
      </c>
      <c r="C577" s="20" t="s">
        <v>382</v>
      </c>
      <c r="D577" s="20" t="s">
        <v>721</v>
      </c>
      <c r="E577" s="21">
        <v>0.45833333333333331</v>
      </c>
      <c r="F577" s="20" t="s">
        <v>769</v>
      </c>
      <c r="G577" s="20" t="s">
        <v>717</v>
      </c>
      <c r="H577" s="20" t="s">
        <v>720</v>
      </c>
    </row>
    <row r="578" spans="1:8">
      <c r="A578" s="20" t="s">
        <v>381</v>
      </c>
      <c r="B578" s="20" t="s">
        <v>382</v>
      </c>
      <c r="C578" s="20" t="s">
        <v>382</v>
      </c>
      <c r="D578" s="20" t="s">
        <v>722</v>
      </c>
      <c r="E578" s="21">
        <v>0.29861111111111122</v>
      </c>
      <c r="F578" s="20" t="s">
        <v>770</v>
      </c>
      <c r="G578" s="20" t="s">
        <v>717</v>
      </c>
      <c r="H578" s="20" t="s">
        <v>720</v>
      </c>
    </row>
    <row r="579" spans="1:8">
      <c r="A579" s="20" t="s">
        <v>381</v>
      </c>
      <c r="B579" s="20" t="s">
        <v>382</v>
      </c>
      <c r="C579" s="20" t="s">
        <v>382</v>
      </c>
      <c r="D579" s="20" t="s">
        <v>727</v>
      </c>
      <c r="E579" s="21">
        <v>0.13194444444444439</v>
      </c>
      <c r="F579" s="20" t="s">
        <v>770</v>
      </c>
      <c r="G579" s="20" t="s">
        <v>717</v>
      </c>
      <c r="H579" s="20" t="s">
        <v>720</v>
      </c>
    </row>
    <row r="580" spans="1:8">
      <c r="A580" s="20" t="s">
        <v>381</v>
      </c>
      <c r="B580" s="20" t="s">
        <v>382</v>
      </c>
      <c r="C580" s="20" t="s">
        <v>382</v>
      </c>
      <c r="D580" s="20" t="s">
        <v>762</v>
      </c>
      <c r="E580" s="21">
        <v>4.8611111111111119E-2</v>
      </c>
      <c r="F580" s="20" t="s">
        <v>770</v>
      </c>
      <c r="G580" s="20" t="s">
        <v>717</v>
      </c>
      <c r="H580" s="20" t="s">
        <v>720</v>
      </c>
    </row>
    <row r="581" spans="1:8">
      <c r="A581" s="20" t="s">
        <v>381</v>
      </c>
      <c r="B581" s="20" t="s">
        <v>382</v>
      </c>
      <c r="C581" s="20" t="s">
        <v>382</v>
      </c>
      <c r="D581" s="20" t="s">
        <v>771</v>
      </c>
      <c r="E581" s="21">
        <v>6.25E-2</v>
      </c>
      <c r="F581" s="20" t="s">
        <v>770</v>
      </c>
      <c r="G581" s="20" t="s">
        <v>717</v>
      </c>
      <c r="H581" s="20" t="s">
        <v>720</v>
      </c>
    </row>
    <row r="582" spans="1:8">
      <c r="A582" s="20" t="s">
        <v>385</v>
      </c>
      <c r="B582" s="20" t="s">
        <v>382</v>
      </c>
      <c r="C582" s="20" t="s">
        <v>386</v>
      </c>
      <c r="D582" s="20" t="s">
        <v>721</v>
      </c>
      <c r="E582" s="21">
        <v>0.45833333333333331</v>
      </c>
      <c r="F582" s="20" t="s">
        <v>769</v>
      </c>
      <c r="G582" s="20" t="s">
        <v>717</v>
      </c>
      <c r="H582" s="20" t="s">
        <v>720</v>
      </c>
    </row>
    <row r="583" spans="1:8">
      <c r="A583" s="20" t="s">
        <v>385</v>
      </c>
      <c r="B583" s="20" t="s">
        <v>382</v>
      </c>
      <c r="C583" s="20" t="s">
        <v>386</v>
      </c>
      <c r="D583" s="20" t="s">
        <v>722</v>
      </c>
      <c r="E583" s="21">
        <v>0.29861111111111122</v>
      </c>
      <c r="F583" s="20" t="s">
        <v>770</v>
      </c>
      <c r="G583" s="20" t="s">
        <v>717</v>
      </c>
      <c r="H583" s="20" t="s">
        <v>720</v>
      </c>
    </row>
    <row r="584" spans="1:8">
      <c r="A584" s="20" t="s">
        <v>385</v>
      </c>
      <c r="B584" s="20" t="s">
        <v>382</v>
      </c>
      <c r="C584" s="20" t="s">
        <v>386</v>
      </c>
      <c r="D584" s="20" t="s">
        <v>727</v>
      </c>
      <c r="E584" s="21">
        <v>0.13194444444444439</v>
      </c>
      <c r="F584" s="20" t="s">
        <v>770</v>
      </c>
      <c r="G584" s="20" t="s">
        <v>717</v>
      </c>
      <c r="H584" s="20" t="s">
        <v>720</v>
      </c>
    </row>
    <row r="585" spans="1:8">
      <c r="A585" s="20" t="s">
        <v>385</v>
      </c>
      <c r="B585" s="20" t="s">
        <v>382</v>
      </c>
      <c r="C585" s="20" t="s">
        <v>386</v>
      </c>
      <c r="D585" s="20" t="s">
        <v>762</v>
      </c>
      <c r="E585" s="21">
        <v>4.8611111111111119E-2</v>
      </c>
      <c r="F585" s="20" t="s">
        <v>770</v>
      </c>
      <c r="G585" s="20" t="s">
        <v>717</v>
      </c>
      <c r="H585" s="20" t="s">
        <v>720</v>
      </c>
    </row>
    <row r="586" spans="1:8">
      <c r="A586" s="20" t="s">
        <v>385</v>
      </c>
      <c r="B586" s="20" t="s">
        <v>382</v>
      </c>
      <c r="C586" s="20" t="s">
        <v>386</v>
      </c>
      <c r="D586" s="20" t="s">
        <v>771</v>
      </c>
      <c r="E586" s="21">
        <v>6.25E-2</v>
      </c>
      <c r="F586" s="20" t="s">
        <v>770</v>
      </c>
      <c r="G586" s="20" t="s">
        <v>717</v>
      </c>
      <c r="H586" s="20" t="s">
        <v>720</v>
      </c>
    </row>
    <row r="587" spans="1:8">
      <c r="A587" s="20" t="s">
        <v>387</v>
      </c>
      <c r="B587" s="20" t="s">
        <v>382</v>
      </c>
      <c r="C587" s="20" t="s">
        <v>388</v>
      </c>
      <c r="D587" s="20" t="s">
        <v>721</v>
      </c>
      <c r="E587" s="21">
        <v>0.45833333333333331</v>
      </c>
      <c r="F587" s="20" t="s">
        <v>769</v>
      </c>
      <c r="G587" s="20" t="s">
        <v>717</v>
      </c>
      <c r="H587" s="20" t="s">
        <v>720</v>
      </c>
    </row>
    <row r="588" spans="1:8">
      <c r="A588" s="20" t="s">
        <v>387</v>
      </c>
      <c r="B588" s="20" t="s">
        <v>382</v>
      </c>
      <c r="C588" s="20" t="s">
        <v>388</v>
      </c>
      <c r="D588" s="20" t="s">
        <v>722</v>
      </c>
      <c r="E588" s="21">
        <v>0.29861111111111122</v>
      </c>
      <c r="F588" s="20" t="s">
        <v>770</v>
      </c>
      <c r="G588" s="20" t="s">
        <v>717</v>
      </c>
      <c r="H588" s="20" t="s">
        <v>720</v>
      </c>
    </row>
    <row r="589" spans="1:8">
      <c r="A589" s="20" t="s">
        <v>387</v>
      </c>
      <c r="B589" s="20" t="s">
        <v>382</v>
      </c>
      <c r="C589" s="20" t="s">
        <v>388</v>
      </c>
      <c r="D589" s="20" t="s">
        <v>727</v>
      </c>
      <c r="E589" s="21">
        <v>0.13194444444444439</v>
      </c>
      <c r="F589" s="20" t="s">
        <v>770</v>
      </c>
      <c r="G589" s="20" t="s">
        <v>717</v>
      </c>
      <c r="H589" s="20" t="s">
        <v>720</v>
      </c>
    </row>
    <row r="590" spans="1:8">
      <c r="A590" s="20" t="s">
        <v>387</v>
      </c>
      <c r="B590" s="20" t="s">
        <v>382</v>
      </c>
      <c r="C590" s="20" t="s">
        <v>388</v>
      </c>
      <c r="D590" s="20" t="s">
        <v>762</v>
      </c>
      <c r="E590" s="21">
        <v>4.8611111111111119E-2</v>
      </c>
      <c r="F590" s="20" t="s">
        <v>770</v>
      </c>
      <c r="G590" s="20" t="s">
        <v>717</v>
      </c>
      <c r="H590" s="20" t="s">
        <v>720</v>
      </c>
    </row>
    <row r="591" spans="1:8">
      <c r="A591" s="20" t="s">
        <v>387</v>
      </c>
      <c r="B591" s="20" t="s">
        <v>382</v>
      </c>
      <c r="C591" s="20" t="s">
        <v>388</v>
      </c>
      <c r="D591" s="20" t="s">
        <v>771</v>
      </c>
      <c r="E591" s="21">
        <v>6.25E-2</v>
      </c>
      <c r="F591" s="20" t="s">
        <v>770</v>
      </c>
      <c r="G591" s="20" t="s">
        <v>717</v>
      </c>
      <c r="H591" s="20" t="s">
        <v>720</v>
      </c>
    </row>
    <row r="592" spans="1:8">
      <c r="A592" s="20" t="s">
        <v>389</v>
      </c>
      <c r="B592" s="20" t="s">
        <v>382</v>
      </c>
      <c r="C592" s="20" t="s">
        <v>390</v>
      </c>
      <c r="D592" s="20" t="s">
        <v>721</v>
      </c>
      <c r="E592" s="21">
        <v>0.43478260869565211</v>
      </c>
      <c r="F592" s="20" t="s">
        <v>769</v>
      </c>
      <c r="G592" s="20" t="s">
        <v>717</v>
      </c>
      <c r="H592" s="20" t="s">
        <v>720</v>
      </c>
    </row>
    <row r="593" spans="1:8">
      <c r="A593" s="20" t="s">
        <v>389</v>
      </c>
      <c r="B593" s="20" t="s">
        <v>382</v>
      </c>
      <c r="C593" s="20" t="s">
        <v>390</v>
      </c>
      <c r="D593" s="20" t="s">
        <v>722</v>
      </c>
      <c r="E593" s="21">
        <v>0.31159420289855072</v>
      </c>
      <c r="F593" s="20" t="s">
        <v>770</v>
      </c>
      <c r="G593" s="20" t="s">
        <v>717</v>
      </c>
      <c r="H593" s="20" t="s">
        <v>720</v>
      </c>
    </row>
    <row r="594" spans="1:8">
      <c r="A594" s="20" t="s">
        <v>389</v>
      </c>
      <c r="B594" s="20" t="s">
        <v>382</v>
      </c>
      <c r="C594" s="20" t="s">
        <v>390</v>
      </c>
      <c r="D594" s="20" t="s">
        <v>727</v>
      </c>
      <c r="E594" s="21">
        <v>0.13768115942028991</v>
      </c>
      <c r="F594" s="20" t="s">
        <v>770</v>
      </c>
      <c r="G594" s="20" t="s">
        <v>717</v>
      </c>
      <c r="H594" s="20" t="s">
        <v>720</v>
      </c>
    </row>
    <row r="595" spans="1:8">
      <c r="A595" s="20" t="s">
        <v>389</v>
      </c>
      <c r="B595" s="20" t="s">
        <v>382</v>
      </c>
      <c r="C595" s="20" t="s">
        <v>390</v>
      </c>
      <c r="D595" s="20" t="s">
        <v>762</v>
      </c>
      <c r="E595" s="21">
        <v>5.0724637681159417E-2</v>
      </c>
      <c r="F595" s="20" t="s">
        <v>770</v>
      </c>
      <c r="G595" s="20" t="s">
        <v>717</v>
      </c>
      <c r="H595" s="20" t="s">
        <v>720</v>
      </c>
    </row>
    <row r="596" spans="1:8">
      <c r="A596" s="20" t="s">
        <v>389</v>
      </c>
      <c r="B596" s="20" t="s">
        <v>382</v>
      </c>
      <c r="C596" s="20" t="s">
        <v>390</v>
      </c>
      <c r="D596" s="20" t="s">
        <v>771</v>
      </c>
      <c r="E596" s="21">
        <v>6.5217391304347824E-2</v>
      </c>
      <c r="F596" s="20" t="s">
        <v>770</v>
      </c>
      <c r="G596" s="20" t="s">
        <v>717</v>
      </c>
      <c r="H596" s="20" t="s">
        <v>720</v>
      </c>
    </row>
    <row r="597" spans="1:8">
      <c r="A597" s="20" t="s">
        <v>391</v>
      </c>
      <c r="B597" s="20" t="s">
        <v>382</v>
      </c>
      <c r="C597" s="20" t="s">
        <v>392</v>
      </c>
      <c r="D597" s="20" t="s">
        <v>721</v>
      </c>
      <c r="E597" s="21">
        <v>0.45833333333333331</v>
      </c>
      <c r="F597" s="20" t="s">
        <v>769</v>
      </c>
      <c r="G597" s="20" t="s">
        <v>717</v>
      </c>
      <c r="H597" s="20" t="s">
        <v>720</v>
      </c>
    </row>
    <row r="598" spans="1:8">
      <c r="A598" s="20" t="s">
        <v>391</v>
      </c>
      <c r="B598" s="20" t="s">
        <v>382</v>
      </c>
      <c r="C598" s="20" t="s">
        <v>392</v>
      </c>
      <c r="D598" s="20" t="s">
        <v>722</v>
      </c>
      <c r="E598" s="21">
        <v>0.29861111111111122</v>
      </c>
      <c r="F598" s="20" t="s">
        <v>770</v>
      </c>
      <c r="G598" s="20" t="s">
        <v>717</v>
      </c>
      <c r="H598" s="20" t="s">
        <v>720</v>
      </c>
    </row>
    <row r="599" spans="1:8">
      <c r="A599" s="20" t="s">
        <v>391</v>
      </c>
      <c r="B599" s="20" t="s">
        <v>382</v>
      </c>
      <c r="C599" s="20" t="s">
        <v>392</v>
      </c>
      <c r="D599" s="20" t="s">
        <v>727</v>
      </c>
      <c r="E599" s="21">
        <v>0.13194444444444439</v>
      </c>
      <c r="F599" s="20" t="s">
        <v>770</v>
      </c>
      <c r="G599" s="20" t="s">
        <v>717</v>
      </c>
      <c r="H599" s="20" t="s">
        <v>720</v>
      </c>
    </row>
    <row r="600" spans="1:8">
      <c r="A600" s="20" t="s">
        <v>391</v>
      </c>
      <c r="B600" s="20" t="s">
        <v>382</v>
      </c>
      <c r="C600" s="20" t="s">
        <v>392</v>
      </c>
      <c r="D600" s="20" t="s">
        <v>762</v>
      </c>
      <c r="E600" s="21">
        <v>4.8611111111111119E-2</v>
      </c>
      <c r="F600" s="20" t="s">
        <v>770</v>
      </c>
      <c r="G600" s="20" t="s">
        <v>717</v>
      </c>
      <c r="H600" s="20" t="s">
        <v>720</v>
      </c>
    </row>
    <row r="601" spans="1:8">
      <c r="A601" s="20" t="s">
        <v>391</v>
      </c>
      <c r="B601" s="20" t="s">
        <v>382</v>
      </c>
      <c r="C601" s="20" t="s">
        <v>392</v>
      </c>
      <c r="D601" s="20" t="s">
        <v>771</v>
      </c>
      <c r="E601" s="21">
        <v>6.25E-2</v>
      </c>
      <c r="F601" s="20" t="s">
        <v>770</v>
      </c>
      <c r="G601" s="20" t="s">
        <v>717</v>
      </c>
      <c r="H601" s="20" t="s">
        <v>720</v>
      </c>
    </row>
    <row r="602" spans="1:8">
      <c r="A602" s="20" t="s">
        <v>393</v>
      </c>
      <c r="B602" s="20" t="s">
        <v>382</v>
      </c>
      <c r="C602" s="20" t="s">
        <v>394</v>
      </c>
      <c r="D602" s="20" t="s">
        <v>721</v>
      </c>
      <c r="E602" s="21">
        <v>0.27777777777777768</v>
      </c>
      <c r="F602" s="20" t="s">
        <v>770</v>
      </c>
      <c r="G602" s="20" t="s">
        <v>724</v>
      </c>
      <c r="H602" s="20" t="s">
        <v>726</v>
      </c>
    </row>
    <row r="603" spans="1:8">
      <c r="A603" s="20" t="s">
        <v>393</v>
      </c>
      <c r="B603" s="20" t="s">
        <v>382</v>
      </c>
      <c r="C603" s="20" t="s">
        <v>394</v>
      </c>
      <c r="D603" s="20" t="s">
        <v>722</v>
      </c>
      <c r="E603" s="21">
        <v>0.21527777777777779</v>
      </c>
      <c r="F603" s="20" t="s">
        <v>770</v>
      </c>
      <c r="G603" s="20" t="s">
        <v>724</v>
      </c>
      <c r="H603" s="20" t="s">
        <v>726</v>
      </c>
    </row>
    <row r="604" spans="1:8">
      <c r="A604" s="20" t="s">
        <v>393</v>
      </c>
      <c r="B604" s="20" t="s">
        <v>382</v>
      </c>
      <c r="C604" s="20" t="s">
        <v>394</v>
      </c>
      <c r="D604" s="20" t="s">
        <v>727</v>
      </c>
      <c r="E604" s="21">
        <v>0.3125</v>
      </c>
      <c r="F604" s="20" t="s">
        <v>769</v>
      </c>
      <c r="G604" s="20" t="s">
        <v>724</v>
      </c>
      <c r="H604" s="20" t="s">
        <v>726</v>
      </c>
    </row>
    <row r="605" spans="1:8">
      <c r="A605" s="20" t="s">
        <v>393</v>
      </c>
      <c r="B605" s="20" t="s">
        <v>382</v>
      </c>
      <c r="C605" s="20" t="s">
        <v>394</v>
      </c>
      <c r="D605" s="20" t="s">
        <v>762</v>
      </c>
      <c r="E605" s="21">
        <v>0.1041666666666667</v>
      </c>
      <c r="F605" s="20" t="s">
        <v>770</v>
      </c>
      <c r="G605" s="20" t="s">
        <v>724</v>
      </c>
      <c r="H605" s="20" t="s">
        <v>726</v>
      </c>
    </row>
    <row r="606" spans="1:8">
      <c r="A606" s="20" t="s">
        <v>393</v>
      </c>
      <c r="B606" s="20" t="s">
        <v>382</v>
      </c>
      <c r="C606" s="20" t="s">
        <v>394</v>
      </c>
      <c r="D606" s="20" t="s">
        <v>771</v>
      </c>
      <c r="E606" s="21">
        <v>9.0277777777777776E-2</v>
      </c>
      <c r="F606" s="20" t="s">
        <v>770</v>
      </c>
      <c r="G606" s="20" t="s">
        <v>724</v>
      </c>
      <c r="H606" s="20" t="s">
        <v>726</v>
      </c>
    </row>
    <row r="607" spans="1:8">
      <c r="A607" s="20" t="s">
        <v>395</v>
      </c>
      <c r="B607" s="20" t="s">
        <v>382</v>
      </c>
      <c r="C607" s="20" t="s">
        <v>396</v>
      </c>
      <c r="D607" s="20" t="s">
        <v>721</v>
      </c>
      <c r="E607" s="21">
        <v>0.51079136690647486</v>
      </c>
      <c r="F607" s="20" t="s">
        <v>769</v>
      </c>
      <c r="G607" s="20" t="s">
        <v>717</v>
      </c>
      <c r="H607" s="20" t="s">
        <v>720</v>
      </c>
    </row>
    <row r="608" spans="1:8">
      <c r="A608" s="20" t="s">
        <v>395</v>
      </c>
      <c r="B608" s="20" t="s">
        <v>382</v>
      </c>
      <c r="C608" s="20" t="s">
        <v>396</v>
      </c>
      <c r="D608" s="20" t="s">
        <v>722</v>
      </c>
      <c r="E608" s="21">
        <v>0.17985611510791369</v>
      </c>
      <c r="F608" s="20" t="s">
        <v>770</v>
      </c>
      <c r="G608" s="20" t="s">
        <v>717</v>
      </c>
      <c r="H608" s="20" t="s">
        <v>720</v>
      </c>
    </row>
    <row r="609" spans="1:8">
      <c r="A609" s="20" t="s">
        <v>395</v>
      </c>
      <c r="B609" s="20" t="s">
        <v>382</v>
      </c>
      <c r="C609" s="20" t="s">
        <v>396</v>
      </c>
      <c r="D609" s="20" t="s">
        <v>727</v>
      </c>
      <c r="E609" s="21">
        <v>0.1366906474820144</v>
      </c>
      <c r="F609" s="20" t="s">
        <v>770</v>
      </c>
      <c r="G609" s="20" t="s">
        <v>717</v>
      </c>
      <c r="H609" s="20" t="s">
        <v>720</v>
      </c>
    </row>
    <row r="610" spans="1:8">
      <c r="A610" s="20" t="s">
        <v>395</v>
      </c>
      <c r="B610" s="20" t="s">
        <v>382</v>
      </c>
      <c r="C610" s="20" t="s">
        <v>396</v>
      </c>
      <c r="D610" s="20" t="s">
        <v>762</v>
      </c>
      <c r="E610" s="21">
        <v>0.1079136690647482</v>
      </c>
      <c r="F610" s="20" t="s">
        <v>770</v>
      </c>
      <c r="G610" s="20" t="s">
        <v>717</v>
      </c>
      <c r="H610" s="20" t="s">
        <v>720</v>
      </c>
    </row>
    <row r="611" spans="1:8">
      <c r="A611" s="20" t="s">
        <v>395</v>
      </c>
      <c r="B611" s="20" t="s">
        <v>382</v>
      </c>
      <c r="C611" s="20" t="s">
        <v>396</v>
      </c>
      <c r="D611" s="20" t="s">
        <v>771</v>
      </c>
      <c r="E611" s="21">
        <v>6.4748201438848921E-2</v>
      </c>
      <c r="F611" s="20" t="s">
        <v>770</v>
      </c>
      <c r="G611" s="20" t="s">
        <v>717</v>
      </c>
      <c r="H611" s="20" t="s">
        <v>720</v>
      </c>
    </row>
    <row r="612" spans="1:8">
      <c r="A612" s="20" t="s">
        <v>397</v>
      </c>
      <c r="B612" s="20" t="s">
        <v>382</v>
      </c>
      <c r="C612" s="20" t="s">
        <v>398</v>
      </c>
      <c r="D612" s="20" t="s">
        <v>721</v>
      </c>
      <c r="E612" s="21">
        <v>0.248</v>
      </c>
      <c r="F612" s="20" t="s">
        <v>770</v>
      </c>
      <c r="G612" s="20" t="s">
        <v>718</v>
      </c>
      <c r="H612" s="20" t="s">
        <v>720</v>
      </c>
    </row>
    <row r="613" spans="1:8">
      <c r="A613" s="20" t="s">
        <v>397</v>
      </c>
      <c r="B613" s="20" t="s">
        <v>382</v>
      </c>
      <c r="C613" s="20" t="s">
        <v>398</v>
      </c>
      <c r="D613" s="20" t="s">
        <v>722</v>
      </c>
      <c r="E613" s="21">
        <v>0.39200000000000002</v>
      </c>
      <c r="F613" s="20" t="s">
        <v>769</v>
      </c>
      <c r="G613" s="20" t="s">
        <v>718</v>
      </c>
      <c r="H613" s="20" t="s">
        <v>720</v>
      </c>
    </row>
    <row r="614" spans="1:8">
      <c r="A614" s="20" t="s">
        <v>397</v>
      </c>
      <c r="B614" s="20" t="s">
        <v>382</v>
      </c>
      <c r="C614" s="20" t="s">
        <v>398</v>
      </c>
      <c r="D614" s="20" t="s">
        <v>727</v>
      </c>
      <c r="E614" s="21">
        <v>0.152</v>
      </c>
      <c r="F614" s="20" t="s">
        <v>770</v>
      </c>
      <c r="G614" s="20" t="s">
        <v>718</v>
      </c>
      <c r="H614" s="20" t="s">
        <v>720</v>
      </c>
    </row>
    <row r="615" spans="1:8">
      <c r="A615" s="20" t="s">
        <v>397</v>
      </c>
      <c r="B615" s="20" t="s">
        <v>382</v>
      </c>
      <c r="C615" s="20" t="s">
        <v>398</v>
      </c>
      <c r="D615" s="20" t="s">
        <v>762</v>
      </c>
      <c r="E615" s="21">
        <v>9.6000000000000002E-2</v>
      </c>
      <c r="F615" s="20" t="s">
        <v>770</v>
      </c>
      <c r="G615" s="20" t="s">
        <v>718</v>
      </c>
      <c r="H615" s="20" t="s">
        <v>720</v>
      </c>
    </row>
    <row r="616" spans="1:8">
      <c r="A616" s="20" t="s">
        <v>397</v>
      </c>
      <c r="B616" s="20" t="s">
        <v>382</v>
      </c>
      <c r="C616" s="20" t="s">
        <v>398</v>
      </c>
      <c r="D616" s="20" t="s">
        <v>771</v>
      </c>
      <c r="E616" s="21">
        <v>0.112</v>
      </c>
      <c r="F616" s="20" t="s">
        <v>770</v>
      </c>
      <c r="G616" s="20" t="s">
        <v>718</v>
      </c>
      <c r="H616" s="20" t="s">
        <v>720</v>
      </c>
    </row>
    <row r="617" spans="1:8">
      <c r="A617" s="20" t="s">
        <v>399</v>
      </c>
      <c r="B617" s="20" t="s">
        <v>382</v>
      </c>
      <c r="C617" s="20" t="s">
        <v>400</v>
      </c>
      <c r="D617" s="20" t="s">
        <v>721</v>
      </c>
      <c r="E617" s="21">
        <v>0.45833333333333331</v>
      </c>
      <c r="F617" s="20" t="s">
        <v>769</v>
      </c>
      <c r="G617" s="20" t="s">
        <v>717</v>
      </c>
      <c r="H617" s="20" t="s">
        <v>720</v>
      </c>
    </row>
    <row r="618" spans="1:8">
      <c r="A618" s="20" t="s">
        <v>399</v>
      </c>
      <c r="B618" s="20" t="s">
        <v>382</v>
      </c>
      <c r="C618" s="20" t="s">
        <v>400</v>
      </c>
      <c r="D618" s="20" t="s">
        <v>722</v>
      </c>
      <c r="E618" s="21">
        <v>0.29861111111111122</v>
      </c>
      <c r="F618" s="20" t="s">
        <v>770</v>
      </c>
      <c r="G618" s="20" t="s">
        <v>717</v>
      </c>
      <c r="H618" s="20" t="s">
        <v>720</v>
      </c>
    </row>
    <row r="619" spans="1:8">
      <c r="A619" s="20" t="s">
        <v>399</v>
      </c>
      <c r="B619" s="20" t="s">
        <v>382</v>
      </c>
      <c r="C619" s="20" t="s">
        <v>400</v>
      </c>
      <c r="D619" s="20" t="s">
        <v>727</v>
      </c>
      <c r="E619" s="21">
        <v>0.13194444444444439</v>
      </c>
      <c r="F619" s="20" t="s">
        <v>770</v>
      </c>
      <c r="G619" s="20" t="s">
        <v>717</v>
      </c>
      <c r="H619" s="20" t="s">
        <v>720</v>
      </c>
    </row>
    <row r="620" spans="1:8">
      <c r="A620" s="20" t="s">
        <v>399</v>
      </c>
      <c r="B620" s="20" t="s">
        <v>382</v>
      </c>
      <c r="C620" s="20" t="s">
        <v>400</v>
      </c>
      <c r="D620" s="20" t="s">
        <v>762</v>
      </c>
      <c r="E620" s="21">
        <v>4.8611111111111119E-2</v>
      </c>
      <c r="F620" s="20" t="s">
        <v>770</v>
      </c>
      <c r="G620" s="20" t="s">
        <v>717</v>
      </c>
      <c r="H620" s="20" t="s">
        <v>720</v>
      </c>
    </row>
    <row r="621" spans="1:8">
      <c r="A621" s="20" t="s">
        <v>399</v>
      </c>
      <c r="B621" s="20" t="s">
        <v>382</v>
      </c>
      <c r="C621" s="20" t="s">
        <v>400</v>
      </c>
      <c r="D621" s="20" t="s">
        <v>771</v>
      </c>
      <c r="E621" s="21">
        <v>6.25E-2</v>
      </c>
      <c r="F621" s="20" t="s">
        <v>770</v>
      </c>
      <c r="G621" s="20" t="s">
        <v>717</v>
      </c>
      <c r="H621" s="20" t="s">
        <v>720</v>
      </c>
    </row>
    <row r="622" spans="1:8">
      <c r="A622" s="20" t="s">
        <v>401</v>
      </c>
      <c r="B622" s="20" t="s">
        <v>382</v>
      </c>
      <c r="C622" s="20" t="s">
        <v>402</v>
      </c>
      <c r="D622" s="20" t="s">
        <v>721</v>
      </c>
      <c r="E622" s="21">
        <v>0.28244274809160302</v>
      </c>
      <c r="F622" s="20" t="s">
        <v>770</v>
      </c>
      <c r="G622" s="20" t="s">
        <v>718</v>
      </c>
      <c r="H622" s="20" t="s">
        <v>720</v>
      </c>
    </row>
    <row r="623" spans="1:8">
      <c r="A623" s="20" t="s">
        <v>401</v>
      </c>
      <c r="B623" s="20" t="s">
        <v>382</v>
      </c>
      <c r="C623" s="20" t="s">
        <v>402</v>
      </c>
      <c r="D623" s="20" t="s">
        <v>722</v>
      </c>
      <c r="E623" s="21">
        <v>0.37404580152671751</v>
      </c>
      <c r="F623" s="20" t="s">
        <v>769</v>
      </c>
      <c r="G623" s="20" t="s">
        <v>718</v>
      </c>
      <c r="H623" s="20" t="s">
        <v>720</v>
      </c>
    </row>
    <row r="624" spans="1:8">
      <c r="A624" s="20" t="s">
        <v>401</v>
      </c>
      <c r="B624" s="20" t="s">
        <v>382</v>
      </c>
      <c r="C624" s="20" t="s">
        <v>402</v>
      </c>
      <c r="D624" s="20" t="s">
        <v>727</v>
      </c>
      <c r="E624" s="21">
        <v>0.14503816793893129</v>
      </c>
      <c r="F624" s="20" t="s">
        <v>770</v>
      </c>
      <c r="G624" s="20" t="s">
        <v>718</v>
      </c>
      <c r="H624" s="20" t="s">
        <v>720</v>
      </c>
    </row>
    <row r="625" spans="1:8">
      <c r="A625" s="20" t="s">
        <v>401</v>
      </c>
      <c r="B625" s="20" t="s">
        <v>382</v>
      </c>
      <c r="C625" s="20" t="s">
        <v>402</v>
      </c>
      <c r="D625" s="20" t="s">
        <v>762</v>
      </c>
      <c r="E625" s="21">
        <v>9.160305343511449E-2</v>
      </c>
      <c r="F625" s="20" t="s">
        <v>770</v>
      </c>
      <c r="G625" s="20" t="s">
        <v>718</v>
      </c>
      <c r="H625" s="20" t="s">
        <v>720</v>
      </c>
    </row>
    <row r="626" spans="1:8">
      <c r="A626" s="20" t="s">
        <v>401</v>
      </c>
      <c r="B626" s="20" t="s">
        <v>382</v>
      </c>
      <c r="C626" s="20" t="s">
        <v>402</v>
      </c>
      <c r="D626" s="20" t="s">
        <v>771</v>
      </c>
      <c r="E626" s="21">
        <v>0.1068702290076336</v>
      </c>
      <c r="F626" s="20" t="s">
        <v>770</v>
      </c>
      <c r="G626" s="20" t="s">
        <v>718</v>
      </c>
      <c r="H626" s="20" t="s">
        <v>720</v>
      </c>
    </row>
    <row r="627" spans="1:8">
      <c r="A627" s="20" t="s">
        <v>496</v>
      </c>
      <c r="B627" s="20" t="s">
        <v>96</v>
      </c>
      <c r="C627" s="20" t="s">
        <v>497</v>
      </c>
      <c r="D627" s="20" t="s">
        <v>721</v>
      </c>
      <c r="E627" s="21">
        <v>0.59285714285714286</v>
      </c>
      <c r="F627" s="20" t="s">
        <v>769</v>
      </c>
      <c r="G627" s="20" t="s">
        <v>717</v>
      </c>
      <c r="H627" s="20" t="s">
        <v>730</v>
      </c>
    </row>
    <row r="628" spans="1:8">
      <c r="A628" s="20" t="s">
        <v>496</v>
      </c>
      <c r="B628" s="20" t="s">
        <v>96</v>
      </c>
      <c r="C628" s="20" t="s">
        <v>497</v>
      </c>
      <c r="D628" s="20" t="s">
        <v>722</v>
      </c>
      <c r="E628" s="21">
        <v>0.17857142857142849</v>
      </c>
      <c r="F628" s="20" t="s">
        <v>770</v>
      </c>
      <c r="G628" s="20" t="s">
        <v>717</v>
      </c>
      <c r="H628" s="20" t="s">
        <v>730</v>
      </c>
    </row>
    <row r="629" spans="1:8">
      <c r="A629" s="20" t="s">
        <v>496</v>
      </c>
      <c r="B629" s="20" t="s">
        <v>96</v>
      </c>
      <c r="C629" s="20" t="s">
        <v>497</v>
      </c>
      <c r="D629" s="20" t="s">
        <v>727</v>
      </c>
      <c r="E629" s="21">
        <v>0.1142857142857143</v>
      </c>
      <c r="F629" s="20" t="s">
        <v>770</v>
      </c>
      <c r="G629" s="20" t="s">
        <v>717</v>
      </c>
      <c r="H629" s="20" t="s">
        <v>730</v>
      </c>
    </row>
    <row r="630" spans="1:8">
      <c r="A630" s="20" t="s">
        <v>496</v>
      </c>
      <c r="B630" s="20" t="s">
        <v>96</v>
      </c>
      <c r="C630" s="20" t="s">
        <v>497</v>
      </c>
      <c r="D630" s="20" t="s">
        <v>762</v>
      </c>
      <c r="E630" s="21">
        <v>0.05</v>
      </c>
      <c r="F630" s="20" t="s">
        <v>770</v>
      </c>
      <c r="G630" s="20" t="s">
        <v>717</v>
      </c>
      <c r="H630" s="20" t="s">
        <v>730</v>
      </c>
    </row>
    <row r="631" spans="1:8">
      <c r="A631" s="20" t="s">
        <v>496</v>
      </c>
      <c r="B631" s="20" t="s">
        <v>96</v>
      </c>
      <c r="C631" s="20" t="s">
        <v>497</v>
      </c>
      <c r="D631" s="20" t="s">
        <v>771</v>
      </c>
      <c r="E631" s="21">
        <v>6.4285714285714279E-2</v>
      </c>
      <c r="F631" s="20" t="s">
        <v>770</v>
      </c>
      <c r="G631" s="20" t="s">
        <v>717</v>
      </c>
      <c r="H631" s="20" t="s">
        <v>730</v>
      </c>
    </row>
    <row r="632" spans="1:8">
      <c r="A632" s="20" t="s">
        <v>503</v>
      </c>
      <c r="B632" s="20" t="s">
        <v>128</v>
      </c>
      <c r="C632" s="20" t="s">
        <v>504</v>
      </c>
      <c r="D632" s="20" t="s">
        <v>721</v>
      </c>
      <c r="E632" s="21">
        <v>0.2877697841726618</v>
      </c>
      <c r="F632" s="20" t="s">
        <v>770</v>
      </c>
      <c r="G632" s="20" t="s">
        <v>724</v>
      </c>
      <c r="H632" s="20" t="s">
        <v>730</v>
      </c>
    </row>
    <row r="633" spans="1:8">
      <c r="A633" s="20" t="s">
        <v>503</v>
      </c>
      <c r="B633" s="20" t="s">
        <v>128</v>
      </c>
      <c r="C633" s="20" t="s">
        <v>504</v>
      </c>
      <c r="D633" s="20" t="s">
        <v>722</v>
      </c>
      <c r="E633" s="21">
        <v>0.16546762589928049</v>
      </c>
      <c r="F633" s="20" t="s">
        <v>770</v>
      </c>
      <c r="G633" s="20" t="s">
        <v>724</v>
      </c>
      <c r="H633" s="20" t="s">
        <v>730</v>
      </c>
    </row>
    <row r="634" spans="1:8">
      <c r="A634" s="20" t="s">
        <v>503</v>
      </c>
      <c r="B634" s="20" t="s">
        <v>128</v>
      </c>
      <c r="C634" s="20" t="s">
        <v>504</v>
      </c>
      <c r="D634" s="20" t="s">
        <v>727</v>
      </c>
      <c r="E634" s="21">
        <v>0.41007194244604322</v>
      </c>
      <c r="F634" s="20" t="s">
        <v>769</v>
      </c>
      <c r="G634" s="20" t="s">
        <v>724</v>
      </c>
      <c r="H634" s="20" t="s">
        <v>730</v>
      </c>
    </row>
    <row r="635" spans="1:8">
      <c r="A635" s="20" t="s">
        <v>503</v>
      </c>
      <c r="B635" s="20" t="s">
        <v>128</v>
      </c>
      <c r="C635" s="20" t="s">
        <v>504</v>
      </c>
      <c r="D635" s="20" t="s">
        <v>762</v>
      </c>
      <c r="E635" s="21">
        <v>7.1942446043165464E-2</v>
      </c>
      <c r="F635" s="20" t="s">
        <v>770</v>
      </c>
      <c r="G635" s="20" t="s">
        <v>724</v>
      </c>
      <c r="H635" s="20" t="s">
        <v>730</v>
      </c>
    </row>
    <row r="636" spans="1:8">
      <c r="A636" s="20" t="s">
        <v>503</v>
      </c>
      <c r="B636" s="20" t="s">
        <v>128</v>
      </c>
      <c r="C636" s="20" t="s">
        <v>504</v>
      </c>
      <c r="D636" s="20" t="s">
        <v>771</v>
      </c>
      <c r="E636" s="21">
        <v>6.4748201438848907E-2</v>
      </c>
      <c r="F636" s="20" t="s">
        <v>770</v>
      </c>
      <c r="G636" s="20" t="s">
        <v>724</v>
      </c>
      <c r="H636" s="20" t="s">
        <v>730</v>
      </c>
    </row>
    <row r="637" spans="1:8">
      <c r="A637" s="20" t="s">
        <v>507</v>
      </c>
      <c r="B637" s="20" t="s">
        <v>150</v>
      </c>
      <c r="C637" s="20" t="s">
        <v>508</v>
      </c>
      <c r="D637" s="20" t="s">
        <v>721</v>
      </c>
      <c r="E637" s="21">
        <v>0.3172413793103448</v>
      </c>
      <c r="F637" s="20" t="s">
        <v>770</v>
      </c>
      <c r="G637" s="20" t="s">
        <v>724</v>
      </c>
      <c r="H637" s="20" t="s">
        <v>730</v>
      </c>
    </row>
    <row r="638" spans="1:8">
      <c r="A638" s="20" t="s">
        <v>507</v>
      </c>
      <c r="B638" s="20" t="s">
        <v>150</v>
      </c>
      <c r="C638" s="20" t="s">
        <v>508</v>
      </c>
      <c r="D638" s="20" t="s">
        <v>722</v>
      </c>
      <c r="E638" s="21">
        <v>0.1586206896551724</v>
      </c>
      <c r="F638" s="20" t="s">
        <v>770</v>
      </c>
      <c r="G638" s="20" t="s">
        <v>724</v>
      </c>
      <c r="H638" s="20" t="s">
        <v>730</v>
      </c>
    </row>
    <row r="639" spans="1:8">
      <c r="A639" s="20" t="s">
        <v>507</v>
      </c>
      <c r="B639" s="20" t="s">
        <v>150</v>
      </c>
      <c r="C639" s="20" t="s">
        <v>508</v>
      </c>
      <c r="D639" s="20" t="s">
        <v>727</v>
      </c>
      <c r="E639" s="21">
        <v>0.39310344827586208</v>
      </c>
      <c r="F639" s="20" t="s">
        <v>769</v>
      </c>
      <c r="G639" s="20" t="s">
        <v>724</v>
      </c>
      <c r="H639" s="20" t="s">
        <v>730</v>
      </c>
    </row>
    <row r="640" spans="1:8">
      <c r="A640" s="20" t="s">
        <v>507</v>
      </c>
      <c r="B640" s="20" t="s">
        <v>150</v>
      </c>
      <c r="C640" s="20" t="s">
        <v>508</v>
      </c>
      <c r="D640" s="20" t="s">
        <v>762</v>
      </c>
      <c r="E640" s="21">
        <v>6.8965517241379309E-2</v>
      </c>
      <c r="F640" s="20" t="s">
        <v>770</v>
      </c>
      <c r="G640" s="20" t="s">
        <v>724</v>
      </c>
      <c r="H640" s="20" t="s">
        <v>730</v>
      </c>
    </row>
    <row r="641" spans="1:8">
      <c r="A641" s="20" t="s">
        <v>507</v>
      </c>
      <c r="B641" s="20" t="s">
        <v>150</v>
      </c>
      <c r="C641" s="20" t="s">
        <v>508</v>
      </c>
      <c r="D641" s="20" t="s">
        <v>771</v>
      </c>
      <c r="E641" s="21">
        <v>6.2068965517241372E-2</v>
      </c>
      <c r="F641" s="20" t="s">
        <v>770</v>
      </c>
      <c r="G641" s="20" t="s">
        <v>724</v>
      </c>
      <c r="H641" s="20" t="s">
        <v>730</v>
      </c>
    </row>
    <row r="642" spans="1:8">
      <c r="A642" s="20" t="s">
        <v>511</v>
      </c>
      <c r="B642" s="20" t="s">
        <v>150</v>
      </c>
      <c r="C642" s="20" t="s">
        <v>512</v>
      </c>
      <c r="D642" s="20" t="s">
        <v>721</v>
      </c>
      <c r="E642" s="21">
        <v>0.27777777777777768</v>
      </c>
      <c r="F642" s="20" t="s">
        <v>770</v>
      </c>
      <c r="G642" s="20" t="s">
        <v>724</v>
      </c>
      <c r="H642" s="20" t="s">
        <v>726</v>
      </c>
    </row>
    <row r="643" spans="1:8">
      <c r="A643" s="20" t="s">
        <v>511</v>
      </c>
      <c r="B643" s="20" t="s">
        <v>150</v>
      </c>
      <c r="C643" s="20" t="s">
        <v>512</v>
      </c>
      <c r="D643" s="20" t="s">
        <v>722</v>
      </c>
      <c r="E643" s="21">
        <v>0.21527777777777779</v>
      </c>
      <c r="F643" s="20" t="s">
        <v>770</v>
      </c>
      <c r="G643" s="20" t="s">
        <v>724</v>
      </c>
      <c r="H643" s="20" t="s">
        <v>726</v>
      </c>
    </row>
    <row r="644" spans="1:8">
      <c r="A644" s="20" t="s">
        <v>511</v>
      </c>
      <c r="B644" s="20" t="s">
        <v>150</v>
      </c>
      <c r="C644" s="20" t="s">
        <v>512</v>
      </c>
      <c r="D644" s="20" t="s">
        <v>727</v>
      </c>
      <c r="E644" s="21">
        <v>0.3125</v>
      </c>
      <c r="F644" s="20" t="s">
        <v>769</v>
      </c>
      <c r="G644" s="20" t="s">
        <v>724</v>
      </c>
      <c r="H644" s="20" t="s">
        <v>726</v>
      </c>
    </row>
    <row r="645" spans="1:8">
      <c r="A645" s="20" t="s">
        <v>511</v>
      </c>
      <c r="B645" s="20" t="s">
        <v>150</v>
      </c>
      <c r="C645" s="20" t="s">
        <v>512</v>
      </c>
      <c r="D645" s="20" t="s">
        <v>762</v>
      </c>
      <c r="E645" s="21">
        <v>0.1041666666666667</v>
      </c>
      <c r="F645" s="20" t="s">
        <v>770</v>
      </c>
      <c r="G645" s="20" t="s">
        <v>724</v>
      </c>
      <c r="H645" s="20" t="s">
        <v>726</v>
      </c>
    </row>
    <row r="646" spans="1:8">
      <c r="A646" s="20" t="s">
        <v>511</v>
      </c>
      <c r="B646" s="20" t="s">
        <v>150</v>
      </c>
      <c r="C646" s="20" t="s">
        <v>512</v>
      </c>
      <c r="D646" s="20" t="s">
        <v>771</v>
      </c>
      <c r="E646" s="21">
        <v>9.0277777777777776E-2</v>
      </c>
      <c r="F646" s="20" t="s">
        <v>770</v>
      </c>
      <c r="G646" s="20" t="s">
        <v>724</v>
      </c>
      <c r="H646" s="20" t="s">
        <v>726</v>
      </c>
    </row>
    <row r="647" spans="1:8" ht="27.6">
      <c r="A647" s="20" t="s">
        <v>519</v>
      </c>
      <c r="B647" s="20" t="s">
        <v>188</v>
      </c>
      <c r="C647" s="20" t="s">
        <v>520</v>
      </c>
      <c r="D647" s="20" t="s">
        <v>721</v>
      </c>
      <c r="E647" s="21">
        <v>0.59285714285714286</v>
      </c>
      <c r="F647" s="20" t="s">
        <v>769</v>
      </c>
      <c r="G647" s="20" t="s">
        <v>717</v>
      </c>
      <c r="H647" s="20" t="s">
        <v>730</v>
      </c>
    </row>
    <row r="648" spans="1:8" ht="27.6">
      <c r="A648" s="20" t="s">
        <v>519</v>
      </c>
      <c r="B648" s="20" t="s">
        <v>188</v>
      </c>
      <c r="C648" s="20" t="s">
        <v>520</v>
      </c>
      <c r="D648" s="20" t="s">
        <v>722</v>
      </c>
      <c r="E648" s="21">
        <v>0.17857142857142849</v>
      </c>
      <c r="F648" s="20" t="s">
        <v>770</v>
      </c>
      <c r="G648" s="20" t="s">
        <v>717</v>
      </c>
      <c r="H648" s="20" t="s">
        <v>730</v>
      </c>
    </row>
    <row r="649" spans="1:8" ht="27.6">
      <c r="A649" s="20" t="s">
        <v>519</v>
      </c>
      <c r="B649" s="20" t="s">
        <v>188</v>
      </c>
      <c r="C649" s="20" t="s">
        <v>520</v>
      </c>
      <c r="D649" s="20" t="s">
        <v>727</v>
      </c>
      <c r="E649" s="21">
        <v>0.1142857142857143</v>
      </c>
      <c r="F649" s="20" t="s">
        <v>770</v>
      </c>
      <c r="G649" s="20" t="s">
        <v>717</v>
      </c>
      <c r="H649" s="20" t="s">
        <v>730</v>
      </c>
    </row>
    <row r="650" spans="1:8" ht="27.6">
      <c r="A650" s="20" t="s">
        <v>519</v>
      </c>
      <c r="B650" s="20" t="s">
        <v>188</v>
      </c>
      <c r="C650" s="20" t="s">
        <v>520</v>
      </c>
      <c r="D650" s="20" t="s">
        <v>762</v>
      </c>
      <c r="E650" s="21">
        <v>0.05</v>
      </c>
      <c r="F650" s="20" t="s">
        <v>770</v>
      </c>
      <c r="G650" s="20" t="s">
        <v>717</v>
      </c>
      <c r="H650" s="20" t="s">
        <v>730</v>
      </c>
    </row>
    <row r="651" spans="1:8" ht="27.6">
      <c r="A651" s="20" t="s">
        <v>519</v>
      </c>
      <c r="B651" s="20" t="s">
        <v>188</v>
      </c>
      <c r="C651" s="20" t="s">
        <v>520</v>
      </c>
      <c r="D651" s="20" t="s">
        <v>771</v>
      </c>
      <c r="E651" s="21">
        <v>6.4285714285714279E-2</v>
      </c>
      <c r="F651" s="20" t="s">
        <v>770</v>
      </c>
      <c r="G651" s="20" t="s">
        <v>717</v>
      </c>
      <c r="H651" s="20" t="s">
        <v>730</v>
      </c>
    </row>
    <row r="652" spans="1:8">
      <c r="A652" s="20" t="s">
        <v>521</v>
      </c>
      <c r="B652" s="20" t="s">
        <v>191</v>
      </c>
      <c r="C652" s="20" t="s">
        <v>522</v>
      </c>
      <c r="D652" s="20" t="s">
        <v>721</v>
      </c>
      <c r="E652" s="21">
        <v>0.47333333333333327</v>
      </c>
      <c r="F652" s="20" t="s">
        <v>769</v>
      </c>
      <c r="G652" s="20" t="s">
        <v>717</v>
      </c>
      <c r="H652" s="20" t="s">
        <v>726</v>
      </c>
    </row>
    <row r="653" spans="1:8">
      <c r="A653" s="20" t="s">
        <v>521</v>
      </c>
      <c r="B653" s="20" t="s">
        <v>191</v>
      </c>
      <c r="C653" s="20" t="s">
        <v>522</v>
      </c>
      <c r="D653" s="20" t="s">
        <v>722</v>
      </c>
      <c r="E653" s="21">
        <v>0.22000000000000011</v>
      </c>
      <c r="F653" s="20" t="s">
        <v>770</v>
      </c>
      <c r="G653" s="20" t="s">
        <v>717</v>
      </c>
      <c r="H653" s="20" t="s">
        <v>726</v>
      </c>
    </row>
    <row r="654" spans="1:8">
      <c r="A654" s="20" t="s">
        <v>521</v>
      </c>
      <c r="B654" s="20" t="s">
        <v>191</v>
      </c>
      <c r="C654" s="20" t="s">
        <v>522</v>
      </c>
      <c r="D654" s="20" t="s">
        <v>727</v>
      </c>
      <c r="E654" s="21">
        <v>0.14000000000000001</v>
      </c>
      <c r="F654" s="20" t="s">
        <v>770</v>
      </c>
      <c r="G654" s="20" t="s">
        <v>717</v>
      </c>
      <c r="H654" s="20" t="s">
        <v>726</v>
      </c>
    </row>
    <row r="655" spans="1:8">
      <c r="A655" s="20" t="s">
        <v>521</v>
      </c>
      <c r="B655" s="20" t="s">
        <v>191</v>
      </c>
      <c r="C655" s="20" t="s">
        <v>522</v>
      </c>
      <c r="D655" s="20" t="s">
        <v>762</v>
      </c>
      <c r="E655" s="21">
        <v>0.08</v>
      </c>
      <c r="F655" s="20" t="s">
        <v>770</v>
      </c>
      <c r="G655" s="20" t="s">
        <v>717</v>
      </c>
      <c r="H655" s="20" t="s">
        <v>726</v>
      </c>
    </row>
    <row r="656" spans="1:8">
      <c r="A656" s="20" t="s">
        <v>521</v>
      </c>
      <c r="B656" s="20" t="s">
        <v>191</v>
      </c>
      <c r="C656" s="20" t="s">
        <v>522</v>
      </c>
      <c r="D656" s="20" t="s">
        <v>771</v>
      </c>
      <c r="E656" s="21">
        <v>8.666666666666667E-2</v>
      </c>
      <c r="F656" s="20" t="s">
        <v>770</v>
      </c>
      <c r="G656" s="20" t="s">
        <v>717</v>
      </c>
      <c r="H656" s="20" t="s">
        <v>726</v>
      </c>
    </row>
    <row r="657" spans="1:8">
      <c r="A657" s="20" t="s">
        <v>524</v>
      </c>
      <c r="B657" s="20" t="s">
        <v>191</v>
      </c>
      <c r="C657" s="20" t="s">
        <v>525</v>
      </c>
      <c r="D657" s="20" t="s">
        <v>721</v>
      </c>
      <c r="E657" s="21">
        <v>0.46405228758169931</v>
      </c>
      <c r="F657" s="20" t="s">
        <v>769</v>
      </c>
      <c r="G657" s="20" t="s">
        <v>717</v>
      </c>
      <c r="H657" s="20" t="s">
        <v>726</v>
      </c>
    </row>
    <row r="658" spans="1:8">
      <c r="A658" s="20" t="s">
        <v>524</v>
      </c>
      <c r="B658" s="20" t="s">
        <v>191</v>
      </c>
      <c r="C658" s="20" t="s">
        <v>525</v>
      </c>
      <c r="D658" s="20" t="s">
        <v>722</v>
      </c>
      <c r="E658" s="21">
        <v>0.21568627450980399</v>
      </c>
      <c r="F658" s="20" t="s">
        <v>770</v>
      </c>
      <c r="G658" s="20" t="s">
        <v>717</v>
      </c>
      <c r="H658" s="20" t="s">
        <v>726</v>
      </c>
    </row>
    <row r="659" spans="1:8">
      <c r="A659" s="20" t="s">
        <v>524</v>
      </c>
      <c r="B659" s="20" t="s">
        <v>191</v>
      </c>
      <c r="C659" s="20" t="s">
        <v>525</v>
      </c>
      <c r="D659" s="20" t="s">
        <v>727</v>
      </c>
      <c r="E659" s="21">
        <v>0.1045751633986928</v>
      </c>
      <c r="F659" s="20" t="s">
        <v>770</v>
      </c>
      <c r="G659" s="20" t="s">
        <v>717</v>
      </c>
      <c r="H659" s="20" t="s">
        <v>726</v>
      </c>
    </row>
    <row r="660" spans="1:8">
      <c r="A660" s="20" t="s">
        <v>524</v>
      </c>
      <c r="B660" s="20" t="s">
        <v>191</v>
      </c>
      <c r="C660" s="20" t="s">
        <v>525</v>
      </c>
      <c r="D660" s="20" t="s">
        <v>762</v>
      </c>
      <c r="E660" s="21">
        <v>0.13071895424836599</v>
      </c>
      <c r="F660" s="20" t="s">
        <v>770</v>
      </c>
      <c r="G660" s="20" t="s">
        <v>717</v>
      </c>
      <c r="H660" s="20" t="s">
        <v>726</v>
      </c>
    </row>
    <row r="661" spans="1:8">
      <c r="A661" s="20" t="s">
        <v>524</v>
      </c>
      <c r="B661" s="20" t="s">
        <v>191</v>
      </c>
      <c r="C661" s="20" t="s">
        <v>525</v>
      </c>
      <c r="D661" s="20" t="s">
        <v>771</v>
      </c>
      <c r="E661" s="21">
        <v>8.4967320261437912E-2</v>
      </c>
      <c r="F661" s="20" t="s">
        <v>770</v>
      </c>
      <c r="G661" s="20" t="s">
        <v>717</v>
      </c>
      <c r="H661" s="20" t="s">
        <v>726</v>
      </c>
    </row>
    <row r="662" spans="1:8">
      <c r="A662" s="20" t="s">
        <v>526</v>
      </c>
      <c r="B662" s="20" t="s">
        <v>206</v>
      </c>
      <c r="C662" s="20" t="s">
        <v>527</v>
      </c>
      <c r="D662" s="20" t="s">
        <v>721</v>
      </c>
      <c r="E662" s="21">
        <v>0.59285714285714286</v>
      </c>
      <c r="F662" s="20" t="s">
        <v>769</v>
      </c>
      <c r="G662" s="20" t="s">
        <v>717</v>
      </c>
      <c r="H662" s="20" t="s">
        <v>730</v>
      </c>
    </row>
    <row r="663" spans="1:8">
      <c r="A663" s="20" t="s">
        <v>526</v>
      </c>
      <c r="B663" s="20" t="s">
        <v>206</v>
      </c>
      <c r="C663" s="20" t="s">
        <v>527</v>
      </c>
      <c r="D663" s="20" t="s">
        <v>722</v>
      </c>
      <c r="E663" s="21">
        <v>0.17857142857142849</v>
      </c>
      <c r="F663" s="20" t="s">
        <v>770</v>
      </c>
      <c r="G663" s="20" t="s">
        <v>717</v>
      </c>
      <c r="H663" s="20" t="s">
        <v>730</v>
      </c>
    </row>
    <row r="664" spans="1:8">
      <c r="A664" s="20" t="s">
        <v>526</v>
      </c>
      <c r="B664" s="20" t="s">
        <v>206</v>
      </c>
      <c r="C664" s="20" t="s">
        <v>527</v>
      </c>
      <c r="D664" s="20" t="s">
        <v>727</v>
      </c>
      <c r="E664" s="21">
        <v>0.1142857142857143</v>
      </c>
      <c r="F664" s="20" t="s">
        <v>770</v>
      </c>
      <c r="G664" s="20" t="s">
        <v>717</v>
      </c>
      <c r="H664" s="20" t="s">
        <v>730</v>
      </c>
    </row>
    <row r="665" spans="1:8">
      <c r="A665" s="20" t="s">
        <v>526</v>
      </c>
      <c r="B665" s="20" t="s">
        <v>206</v>
      </c>
      <c r="C665" s="20" t="s">
        <v>527</v>
      </c>
      <c r="D665" s="20" t="s">
        <v>762</v>
      </c>
      <c r="E665" s="21">
        <v>0.05</v>
      </c>
      <c r="F665" s="20" t="s">
        <v>770</v>
      </c>
      <c r="G665" s="20" t="s">
        <v>717</v>
      </c>
      <c r="H665" s="20" t="s">
        <v>730</v>
      </c>
    </row>
    <row r="666" spans="1:8">
      <c r="A666" s="20" t="s">
        <v>526</v>
      </c>
      <c r="B666" s="20" t="s">
        <v>206</v>
      </c>
      <c r="C666" s="20" t="s">
        <v>527</v>
      </c>
      <c r="D666" s="20" t="s">
        <v>771</v>
      </c>
      <c r="E666" s="21">
        <v>6.4285714285714279E-2</v>
      </c>
      <c r="F666" s="20" t="s">
        <v>770</v>
      </c>
      <c r="G666" s="20" t="s">
        <v>717</v>
      </c>
      <c r="H666" s="20" t="s">
        <v>730</v>
      </c>
    </row>
    <row r="667" spans="1:8">
      <c r="A667" s="20" t="s">
        <v>530</v>
      </c>
      <c r="B667" s="20" t="s">
        <v>206</v>
      </c>
      <c r="C667" s="20" t="s">
        <v>531</v>
      </c>
      <c r="D667" s="20" t="s">
        <v>721</v>
      </c>
      <c r="E667" s="21">
        <v>0.59285714285714286</v>
      </c>
      <c r="F667" s="20" t="s">
        <v>769</v>
      </c>
      <c r="G667" s="20" t="s">
        <v>717</v>
      </c>
      <c r="H667" s="20" t="s">
        <v>730</v>
      </c>
    </row>
    <row r="668" spans="1:8">
      <c r="A668" s="20" t="s">
        <v>530</v>
      </c>
      <c r="B668" s="20" t="s">
        <v>206</v>
      </c>
      <c r="C668" s="20" t="s">
        <v>531</v>
      </c>
      <c r="D668" s="20" t="s">
        <v>722</v>
      </c>
      <c r="E668" s="21">
        <v>0.17857142857142849</v>
      </c>
      <c r="F668" s="20" t="s">
        <v>770</v>
      </c>
      <c r="G668" s="20" t="s">
        <v>717</v>
      </c>
      <c r="H668" s="20" t="s">
        <v>730</v>
      </c>
    </row>
    <row r="669" spans="1:8">
      <c r="A669" s="20" t="s">
        <v>530</v>
      </c>
      <c r="B669" s="20" t="s">
        <v>206</v>
      </c>
      <c r="C669" s="20" t="s">
        <v>531</v>
      </c>
      <c r="D669" s="20" t="s">
        <v>727</v>
      </c>
      <c r="E669" s="21">
        <v>0.1142857142857143</v>
      </c>
      <c r="F669" s="20" t="s">
        <v>770</v>
      </c>
      <c r="G669" s="20" t="s">
        <v>717</v>
      </c>
      <c r="H669" s="20" t="s">
        <v>730</v>
      </c>
    </row>
    <row r="670" spans="1:8">
      <c r="A670" s="20" t="s">
        <v>530</v>
      </c>
      <c r="B670" s="20" t="s">
        <v>206</v>
      </c>
      <c r="C670" s="20" t="s">
        <v>531</v>
      </c>
      <c r="D670" s="20" t="s">
        <v>762</v>
      </c>
      <c r="E670" s="21">
        <v>0.05</v>
      </c>
      <c r="F670" s="20" t="s">
        <v>770</v>
      </c>
      <c r="G670" s="20" t="s">
        <v>717</v>
      </c>
      <c r="H670" s="20" t="s">
        <v>730</v>
      </c>
    </row>
    <row r="671" spans="1:8">
      <c r="A671" s="20" t="s">
        <v>530</v>
      </c>
      <c r="B671" s="20" t="s">
        <v>206</v>
      </c>
      <c r="C671" s="20" t="s">
        <v>531</v>
      </c>
      <c r="D671" s="20" t="s">
        <v>771</v>
      </c>
      <c r="E671" s="21">
        <v>6.4285714285714279E-2</v>
      </c>
      <c r="F671" s="20" t="s">
        <v>770</v>
      </c>
      <c r="G671" s="20" t="s">
        <v>717</v>
      </c>
      <c r="H671" s="20" t="s">
        <v>730</v>
      </c>
    </row>
    <row r="672" spans="1:8">
      <c r="A672" s="20" t="s">
        <v>534</v>
      </c>
      <c r="B672" s="20" t="s">
        <v>258</v>
      </c>
      <c r="C672" s="20" t="s">
        <v>535</v>
      </c>
      <c r="D672" s="20" t="s">
        <v>721</v>
      </c>
      <c r="E672" s="21">
        <v>0.26315789473684209</v>
      </c>
      <c r="F672" s="20" t="s">
        <v>770</v>
      </c>
      <c r="G672" s="20" t="s">
        <v>724</v>
      </c>
      <c r="H672" s="20" t="s">
        <v>726</v>
      </c>
    </row>
    <row r="673" spans="1:8">
      <c r="A673" s="20" t="s">
        <v>534</v>
      </c>
      <c r="B673" s="20" t="s">
        <v>258</v>
      </c>
      <c r="C673" s="20" t="s">
        <v>535</v>
      </c>
      <c r="D673" s="20" t="s">
        <v>722</v>
      </c>
      <c r="E673" s="21">
        <v>0.23684210526315791</v>
      </c>
      <c r="F673" s="20" t="s">
        <v>770</v>
      </c>
      <c r="G673" s="20" t="s">
        <v>724</v>
      </c>
      <c r="H673" s="20" t="s">
        <v>726</v>
      </c>
    </row>
    <row r="674" spans="1:8">
      <c r="A674" s="20" t="s">
        <v>534</v>
      </c>
      <c r="B674" s="20" t="s">
        <v>258</v>
      </c>
      <c r="C674" s="20" t="s">
        <v>535</v>
      </c>
      <c r="D674" s="20" t="s">
        <v>727</v>
      </c>
      <c r="E674" s="21">
        <v>0.2960526315789474</v>
      </c>
      <c r="F674" s="20" t="s">
        <v>769</v>
      </c>
      <c r="G674" s="20" t="s">
        <v>724</v>
      </c>
      <c r="H674" s="20" t="s">
        <v>726</v>
      </c>
    </row>
    <row r="675" spans="1:8">
      <c r="A675" s="20" t="s">
        <v>534</v>
      </c>
      <c r="B675" s="20" t="s">
        <v>258</v>
      </c>
      <c r="C675" s="20" t="s">
        <v>535</v>
      </c>
      <c r="D675" s="20" t="s">
        <v>762</v>
      </c>
      <c r="E675" s="21">
        <v>9.8684210526315805E-2</v>
      </c>
      <c r="F675" s="20" t="s">
        <v>770</v>
      </c>
      <c r="G675" s="20" t="s">
        <v>724</v>
      </c>
      <c r="H675" s="20" t="s">
        <v>726</v>
      </c>
    </row>
    <row r="676" spans="1:8">
      <c r="A676" s="20" t="s">
        <v>534</v>
      </c>
      <c r="B676" s="20" t="s">
        <v>258</v>
      </c>
      <c r="C676" s="20" t="s">
        <v>535</v>
      </c>
      <c r="D676" s="20" t="s">
        <v>771</v>
      </c>
      <c r="E676" s="21">
        <v>0.10526315789473679</v>
      </c>
      <c r="F676" s="20" t="s">
        <v>770</v>
      </c>
      <c r="G676" s="20" t="s">
        <v>724</v>
      </c>
      <c r="H676" s="20" t="s">
        <v>726</v>
      </c>
    </row>
    <row r="677" spans="1:8">
      <c r="A677" s="20" t="s">
        <v>537</v>
      </c>
      <c r="B677" s="20" t="s">
        <v>277</v>
      </c>
      <c r="C677" s="20" t="s">
        <v>538</v>
      </c>
      <c r="D677" s="20" t="s">
        <v>721</v>
      </c>
      <c r="E677" s="21">
        <v>0.43999999999999989</v>
      </c>
      <c r="F677" s="20" t="s">
        <v>769</v>
      </c>
      <c r="G677" s="20" t="s">
        <v>717</v>
      </c>
      <c r="H677" s="20" t="s">
        <v>726</v>
      </c>
    </row>
    <row r="678" spans="1:8">
      <c r="A678" s="20" t="s">
        <v>537</v>
      </c>
      <c r="B678" s="20" t="s">
        <v>277</v>
      </c>
      <c r="C678" s="20" t="s">
        <v>538</v>
      </c>
      <c r="D678" s="20" t="s">
        <v>722</v>
      </c>
      <c r="E678" s="21">
        <v>0.28666666666666668</v>
      </c>
      <c r="F678" s="20" t="s">
        <v>770</v>
      </c>
      <c r="G678" s="20" t="s">
        <v>717</v>
      </c>
      <c r="H678" s="20" t="s">
        <v>726</v>
      </c>
    </row>
    <row r="679" spans="1:8">
      <c r="A679" s="20" t="s">
        <v>537</v>
      </c>
      <c r="B679" s="20" t="s">
        <v>277</v>
      </c>
      <c r="C679" s="20" t="s">
        <v>538</v>
      </c>
      <c r="D679" s="20" t="s">
        <v>727</v>
      </c>
      <c r="E679" s="21">
        <v>0.1066666666666667</v>
      </c>
      <c r="F679" s="20" t="s">
        <v>770</v>
      </c>
      <c r="G679" s="20" t="s">
        <v>717</v>
      </c>
      <c r="H679" s="20" t="s">
        <v>726</v>
      </c>
    </row>
    <row r="680" spans="1:8">
      <c r="A680" s="20" t="s">
        <v>537</v>
      </c>
      <c r="B680" s="20" t="s">
        <v>277</v>
      </c>
      <c r="C680" s="20" t="s">
        <v>538</v>
      </c>
      <c r="D680" s="20" t="s">
        <v>762</v>
      </c>
      <c r="E680" s="21">
        <v>0.08</v>
      </c>
      <c r="F680" s="20" t="s">
        <v>770</v>
      </c>
      <c r="G680" s="20" t="s">
        <v>717</v>
      </c>
      <c r="H680" s="20" t="s">
        <v>726</v>
      </c>
    </row>
    <row r="681" spans="1:8">
      <c r="A681" s="20" t="s">
        <v>537</v>
      </c>
      <c r="B681" s="20" t="s">
        <v>277</v>
      </c>
      <c r="C681" s="20" t="s">
        <v>538</v>
      </c>
      <c r="D681" s="20" t="s">
        <v>771</v>
      </c>
      <c r="E681" s="21">
        <v>8.666666666666667E-2</v>
      </c>
      <c r="F681" s="20" t="s">
        <v>770</v>
      </c>
      <c r="G681" s="20" t="s">
        <v>717</v>
      </c>
      <c r="H681" s="20" t="s">
        <v>726</v>
      </c>
    </row>
    <row r="682" spans="1:8">
      <c r="A682" s="20" t="s">
        <v>539</v>
      </c>
      <c r="B682" s="20" t="s">
        <v>277</v>
      </c>
      <c r="C682" s="20" t="s">
        <v>540</v>
      </c>
      <c r="D682" s="20" t="s">
        <v>721</v>
      </c>
      <c r="E682" s="21">
        <v>0.46405228758169931</v>
      </c>
      <c r="F682" s="20" t="s">
        <v>769</v>
      </c>
      <c r="G682" s="20" t="s">
        <v>717</v>
      </c>
      <c r="H682" s="20" t="s">
        <v>726</v>
      </c>
    </row>
    <row r="683" spans="1:8">
      <c r="A683" s="20" t="s">
        <v>539</v>
      </c>
      <c r="B683" s="20" t="s">
        <v>277</v>
      </c>
      <c r="C683" s="20" t="s">
        <v>540</v>
      </c>
      <c r="D683" s="20" t="s">
        <v>722</v>
      </c>
      <c r="E683" s="21">
        <v>0.21568627450980399</v>
      </c>
      <c r="F683" s="20" t="s">
        <v>770</v>
      </c>
      <c r="G683" s="20" t="s">
        <v>717</v>
      </c>
      <c r="H683" s="20" t="s">
        <v>726</v>
      </c>
    </row>
    <row r="684" spans="1:8">
      <c r="A684" s="20" t="s">
        <v>539</v>
      </c>
      <c r="B684" s="20" t="s">
        <v>277</v>
      </c>
      <c r="C684" s="20" t="s">
        <v>540</v>
      </c>
      <c r="D684" s="20" t="s">
        <v>727</v>
      </c>
      <c r="E684" s="21">
        <v>0.1045751633986928</v>
      </c>
      <c r="F684" s="20" t="s">
        <v>770</v>
      </c>
      <c r="G684" s="20" t="s">
        <v>717</v>
      </c>
      <c r="H684" s="20" t="s">
        <v>726</v>
      </c>
    </row>
    <row r="685" spans="1:8">
      <c r="A685" s="20" t="s">
        <v>539</v>
      </c>
      <c r="B685" s="20" t="s">
        <v>277</v>
      </c>
      <c r="C685" s="20" t="s">
        <v>540</v>
      </c>
      <c r="D685" s="20" t="s">
        <v>762</v>
      </c>
      <c r="E685" s="21">
        <v>0.13071895424836599</v>
      </c>
      <c r="F685" s="20" t="s">
        <v>770</v>
      </c>
      <c r="G685" s="20" t="s">
        <v>717</v>
      </c>
      <c r="H685" s="20" t="s">
        <v>726</v>
      </c>
    </row>
    <row r="686" spans="1:8">
      <c r="A686" s="20" t="s">
        <v>539</v>
      </c>
      <c r="B686" s="20" t="s">
        <v>277</v>
      </c>
      <c r="C686" s="20" t="s">
        <v>540</v>
      </c>
      <c r="D686" s="20" t="s">
        <v>771</v>
      </c>
      <c r="E686" s="21">
        <v>8.4967320261437912E-2</v>
      </c>
      <c r="F686" s="20" t="s">
        <v>770</v>
      </c>
      <c r="G686" s="20" t="s">
        <v>717</v>
      </c>
      <c r="H686" s="20" t="s">
        <v>726</v>
      </c>
    </row>
    <row r="687" spans="1:8">
      <c r="A687" s="20" t="s">
        <v>543</v>
      </c>
      <c r="B687" s="20" t="s">
        <v>295</v>
      </c>
      <c r="C687" s="20" t="s">
        <v>544</v>
      </c>
      <c r="D687" s="20" t="s">
        <v>721</v>
      </c>
      <c r="E687" s="21">
        <v>0.21088435374149661</v>
      </c>
      <c r="F687" s="20" t="s">
        <v>770</v>
      </c>
      <c r="G687" s="20" t="s">
        <v>718</v>
      </c>
      <c r="H687" s="20" t="s">
        <v>726</v>
      </c>
    </row>
    <row r="688" spans="1:8">
      <c r="A688" s="20" t="s">
        <v>543</v>
      </c>
      <c r="B688" s="20" t="s">
        <v>295</v>
      </c>
      <c r="C688" s="20" t="s">
        <v>544</v>
      </c>
      <c r="D688" s="20" t="s">
        <v>722</v>
      </c>
      <c r="E688" s="21">
        <v>0.38775510204081642</v>
      </c>
      <c r="F688" s="20" t="s">
        <v>769</v>
      </c>
      <c r="G688" s="20" t="s">
        <v>718</v>
      </c>
      <c r="H688" s="20" t="s">
        <v>726</v>
      </c>
    </row>
    <row r="689" spans="1:8">
      <c r="A689" s="20" t="s">
        <v>543</v>
      </c>
      <c r="B689" s="20" t="s">
        <v>295</v>
      </c>
      <c r="C689" s="20" t="s">
        <v>544</v>
      </c>
      <c r="D689" s="20" t="s">
        <v>727</v>
      </c>
      <c r="E689" s="21">
        <v>0.108843537414966</v>
      </c>
      <c r="F689" s="20" t="s">
        <v>770</v>
      </c>
      <c r="G689" s="20" t="s">
        <v>718</v>
      </c>
      <c r="H689" s="20" t="s">
        <v>726</v>
      </c>
    </row>
    <row r="690" spans="1:8">
      <c r="A690" s="20" t="s">
        <v>543</v>
      </c>
      <c r="B690" s="20" t="s">
        <v>295</v>
      </c>
      <c r="C690" s="20" t="s">
        <v>544</v>
      </c>
      <c r="D690" s="20" t="s">
        <v>762</v>
      </c>
      <c r="E690" s="21">
        <v>0.11564625850340141</v>
      </c>
      <c r="F690" s="20" t="s">
        <v>770</v>
      </c>
      <c r="G690" s="20" t="s">
        <v>718</v>
      </c>
      <c r="H690" s="20" t="s">
        <v>726</v>
      </c>
    </row>
    <row r="691" spans="1:8">
      <c r="A691" s="20" t="s">
        <v>543</v>
      </c>
      <c r="B691" s="20" t="s">
        <v>295</v>
      </c>
      <c r="C691" s="20" t="s">
        <v>544</v>
      </c>
      <c r="D691" s="20" t="s">
        <v>771</v>
      </c>
      <c r="E691" s="21">
        <v>0.1768707482993197</v>
      </c>
      <c r="F691" s="20" t="s">
        <v>770</v>
      </c>
      <c r="G691" s="20" t="s">
        <v>718</v>
      </c>
      <c r="H691" s="20" t="s">
        <v>726</v>
      </c>
    </row>
    <row r="692" spans="1:8">
      <c r="A692" s="20" t="s">
        <v>545</v>
      </c>
      <c r="B692" s="20" t="s">
        <v>312</v>
      </c>
      <c r="C692" s="20" t="s">
        <v>546</v>
      </c>
      <c r="D692" s="20" t="s">
        <v>721</v>
      </c>
      <c r="E692" s="21">
        <v>0.2313432835820895</v>
      </c>
      <c r="F692" s="20" t="s">
        <v>770</v>
      </c>
      <c r="G692" s="20" t="s">
        <v>718</v>
      </c>
      <c r="H692" s="20" t="s">
        <v>730</v>
      </c>
    </row>
    <row r="693" spans="1:8">
      <c r="A693" s="20" t="s">
        <v>545</v>
      </c>
      <c r="B693" s="20" t="s">
        <v>312</v>
      </c>
      <c r="C693" s="20" t="s">
        <v>546</v>
      </c>
      <c r="D693" s="20" t="s">
        <v>722</v>
      </c>
      <c r="E693" s="21">
        <v>0.45522388059701502</v>
      </c>
      <c r="F693" s="20" t="s">
        <v>769</v>
      </c>
      <c r="G693" s="20" t="s">
        <v>718</v>
      </c>
      <c r="H693" s="20" t="s">
        <v>730</v>
      </c>
    </row>
    <row r="694" spans="1:8">
      <c r="A694" s="20" t="s">
        <v>545</v>
      </c>
      <c r="B694" s="20" t="s">
        <v>312</v>
      </c>
      <c r="C694" s="20" t="s">
        <v>546</v>
      </c>
      <c r="D694" s="20" t="s">
        <v>727</v>
      </c>
      <c r="E694" s="21">
        <v>0.11940298507462691</v>
      </c>
      <c r="F694" s="20" t="s">
        <v>770</v>
      </c>
      <c r="G694" s="20" t="s">
        <v>718</v>
      </c>
      <c r="H694" s="20" t="s">
        <v>730</v>
      </c>
    </row>
    <row r="695" spans="1:8">
      <c r="A695" s="20" t="s">
        <v>545</v>
      </c>
      <c r="B695" s="20" t="s">
        <v>312</v>
      </c>
      <c r="C695" s="20" t="s">
        <v>546</v>
      </c>
      <c r="D695" s="20" t="s">
        <v>762</v>
      </c>
      <c r="E695" s="21">
        <v>8.9552238805970144E-2</v>
      </c>
      <c r="F695" s="20" t="s">
        <v>770</v>
      </c>
      <c r="G695" s="20" t="s">
        <v>718</v>
      </c>
      <c r="H695" s="20" t="s">
        <v>730</v>
      </c>
    </row>
    <row r="696" spans="1:8">
      <c r="A696" s="20" t="s">
        <v>545</v>
      </c>
      <c r="B696" s="20" t="s">
        <v>312</v>
      </c>
      <c r="C696" s="20" t="s">
        <v>546</v>
      </c>
      <c r="D696" s="20" t="s">
        <v>771</v>
      </c>
      <c r="E696" s="21">
        <v>0.1044776119402985</v>
      </c>
      <c r="F696" s="20" t="s">
        <v>770</v>
      </c>
      <c r="G696" s="20" t="s">
        <v>718</v>
      </c>
      <c r="H696" s="20" t="s">
        <v>730</v>
      </c>
    </row>
    <row r="697" spans="1:8">
      <c r="A697" s="20" t="s">
        <v>548</v>
      </c>
      <c r="B697" s="20" t="s">
        <v>312</v>
      </c>
      <c r="C697" s="20" t="s">
        <v>549</v>
      </c>
      <c r="D697" s="20" t="s">
        <v>721</v>
      </c>
      <c r="E697" s="21">
        <v>0.58870967741935487</v>
      </c>
      <c r="F697" s="20" t="s">
        <v>769</v>
      </c>
      <c r="G697" s="20" t="s">
        <v>717</v>
      </c>
      <c r="H697" s="20" t="s">
        <v>730</v>
      </c>
    </row>
    <row r="698" spans="1:8">
      <c r="A698" s="20" t="s">
        <v>548</v>
      </c>
      <c r="B698" s="20" t="s">
        <v>312</v>
      </c>
      <c r="C698" s="20" t="s">
        <v>549</v>
      </c>
      <c r="D698" s="20" t="s">
        <v>722</v>
      </c>
      <c r="E698" s="21">
        <v>0.18548387096774191</v>
      </c>
      <c r="F698" s="20" t="s">
        <v>770</v>
      </c>
      <c r="G698" s="20" t="s">
        <v>717</v>
      </c>
      <c r="H698" s="20" t="s">
        <v>730</v>
      </c>
    </row>
    <row r="699" spans="1:8">
      <c r="A699" s="20" t="s">
        <v>548</v>
      </c>
      <c r="B699" s="20" t="s">
        <v>312</v>
      </c>
      <c r="C699" s="20" t="s">
        <v>549</v>
      </c>
      <c r="D699" s="20" t="s">
        <v>727</v>
      </c>
      <c r="E699" s="21">
        <v>0.1290322580645161</v>
      </c>
      <c r="F699" s="20" t="s">
        <v>770</v>
      </c>
      <c r="G699" s="20" t="s">
        <v>717</v>
      </c>
      <c r="H699" s="20" t="s">
        <v>730</v>
      </c>
    </row>
    <row r="700" spans="1:8">
      <c r="A700" s="20" t="s">
        <v>548</v>
      </c>
      <c r="B700" s="20" t="s">
        <v>312</v>
      </c>
      <c r="C700" s="20" t="s">
        <v>549</v>
      </c>
      <c r="D700" s="20" t="s">
        <v>762</v>
      </c>
      <c r="E700" s="21">
        <v>5.6451612903225812E-2</v>
      </c>
      <c r="F700" s="20" t="s">
        <v>770</v>
      </c>
      <c r="G700" s="20" t="s">
        <v>717</v>
      </c>
      <c r="H700" s="20" t="s">
        <v>730</v>
      </c>
    </row>
    <row r="701" spans="1:8">
      <c r="A701" s="20" t="s">
        <v>548</v>
      </c>
      <c r="B701" s="20" t="s">
        <v>312</v>
      </c>
      <c r="C701" s="20" t="s">
        <v>549</v>
      </c>
      <c r="D701" s="20" t="s">
        <v>771</v>
      </c>
      <c r="E701" s="21">
        <v>4.0322580645161303E-2</v>
      </c>
      <c r="F701" s="20" t="s">
        <v>770</v>
      </c>
      <c r="G701" s="20" t="s">
        <v>717</v>
      </c>
      <c r="H701" s="20" t="s">
        <v>730</v>
      </c>
    </row>
    <row r="702" spans="1:8">
      <c r="A702" s="20" t="s">
        <v>552</v>
      </c>
      <c r="B702" s="20" t="s">
        <v>312</v>
      </c>
      <c r="C702" s="20" t="s">
        <v>553</v>
      </c>
      <c r="D702" s="20" t="s">
        <v>721</v>
      </c>
      <c r="E702" s="21">
        <v>0.18320610687022901</v>
      </c>
      <c r="F702" s="20" t="s">
        <v>770</v>
      </c>
      <c r="G702" s="20" t="s">
        <v>718</v>
      </c>
      <c r="H702" s="20" t="s">
        <v>726</v>
      </c>
    </row>
    <row r="703" spans="1:8">
      <c r="A703" s="20" t="s">
        <v>552</v>
      </c>
      <c r="B703" s="20" t="s">
        <v>312</v>
      </c>
      <c r="C703" s="20" t="s">
        <v>553</v>
      </c>
      <c r="D703" s="20" t="s">
        <v>722</v>
      </c>
      <c r="E703" s="21">
        <v>0.41984732824427479</v>
      </c>
      <c r="F703" s="20" t="s">
        <v>769</v>
      </c>
      <c r="G703" s="20" t="s">
        <v>718</v>
      </c>
      <c r="H703" s="20" t="s">
        <v>726</v>
      </c>
    </row>
    <row r="704" spans="1:8">
      <c r="A704" s="20" t="s">
        <v>552</v>
      </c>
      <c r="B704" s="20" t="s">
        <v>312</v>
      </c>
      <c r="C704" s="20" t="s">
        <v>553</v>
      </c>
      <c r="D704" s="20" t="s">
        <v>727</v>
      </c>
      <c r="E704" s="21">
        <v>9.9236641221374045E-2</v>
      </c>
      <c r="F704" s="20" t="s">
        <v>770</v>
      </c>
      <c r="G704" s="20" t="s">
        <v>718</v>
      </c>
      <c r="H704" s="20" t="s">
        <v>726</v>
      </c>
    </row>
    <row r="705" spans="1:8">
      <c r="A705" s="20" t="s">
        <v>552</v>
      </c>
      <c r="B705" s="20" t="s">
        <v>312</v>
      </c>
      <c r="C705" s="20" t="s">
        <v>553</v>
      </c>
      <c r="D705" s="20" t="s">
        <v>762</v>
      </c>
      <c r="E705" s="21">
        <v>0.19083969465648851</v>
      </c>
      <c r="F705" s="20" t="s">
        <v>770</v>
      </c>
      <c r="G705" s="20" t="s">
        <v>718</v>
      </c>
      <c r="H705" s="20" t="s">
        <v>726</v>
      </c>
    </row>
    <row r="706" spans="1:8">
      <c r="A706" s="20" t="s">
        <v>552</v>
      </c>
      <c r="B706" s="20" t="s">
        <v>312</v>
      </c>
      <c r="C706" s="20" t="s">
        <v>553</v>
      </c>
      <c r="D706" s="20" t="s">
        <v>771</v>
      </c>
      <c r="E706" s="21">
        <v>0.1068702290076336</v>
      </c>
      <c r="F706" s="20" t="s">
        <v>770</v>
      </c>
      <c r="G706" s="20" t="s">
        <v>718</v>
      </c>
      <c r="H706" s="20" t="s">
        <v>726</v>
      </c>
    </row>
    <row r="707" spans="1:8">
      <c r="A707" s="20" t="s">
        <v>554</v>
      </c>
      <c r="B707" s="20" t="s">
        <v>325</v>
      </c>
      <c r="C707" s="20" t="s">
        <v>555</v>
      </c>
      <c r="D707" s="20" t="s">
        <v>721</v>
      </c>
      <c r="E707" s="21">
        <v>0.27777777777777768</v>
      </c>
      <c r="F707" s="20" t="s">
        <v>770</v>
      </c>
      <c r="G707" s="20" t="s">
        <v>724</v>
      </c>
      <c r="H707" s="20" t="s">
        <v>726</v>
      </c>
    </row>
    <row r="708" spans="1:8">
      <c r="A708" s="20" t="s">
        <v>554</v>
      </c>
      <c r="B708" s="20" t="s">
        <v>325</v>
      </c>
      <c r="C708" s="20" t="s">
        <v>555</v>
      </c>
      <c r="D708" s="20" t="s">
        <v>722</v>
      </c>
      <c r="E708" s="21">
        <v>0.21527777777777779</v>
      </c>
      <c r="F708" s="20" t="s">
        <v>770</v>
      </c>
      <c r="G708" s="20" t="s">
        <v>724</v>
      </c>
      <c r="H708" s="20" t="s">
        <v>726</v>
      </c>
    </row>
    <row r="709" spans="1:8">
      <c r="A709" s="20" t="s">
        <v>554</v>
      </c>
      <c r="B709" s="20" t="s">
        <v>325</v>
      </c>
      <c r="C709" s="20" t="s">
        <v>555</v>
      </c>
      <c r="D709" s="20" t="s">
        <v>727</v>
      </c>
      <c r="E709" s="21">
        <v>0.3125</v>
      </c>
      <c r="F709" s="20" t="s">
        <v>769</v>
      </c>
      <c r="G709" s="20" t="s">
        <v>724</v>
      </c>
      <c r="H709" s="20" t="s">
        <v>726</v>
      </c>
    </row>
    <row r="710" spans="1:8">
      <c r="A710" s="20" t="s">
        <v>554</v>
      </c>
      <c r="B710" s="20" t="s">
        <v>325</v>
      </c>
      <c r="C710" s="20" t="s">
        <v>555</v>
      </c>
      <c r="D710" s="20" t="s">
        <v>762</v>
      </c>
      <c r="E710" s="21">
        <v>0.1041666666666667</v>
      </c>
      <c r="F710" s="20" t="s">
        <v>770</v>
      </c>
      <c r="G710" s="20" t="s">
        <v>724</v>
      </c>
      <c r="H710" s="20" t="s">
        <v>726</v>
      </c>
    </row>
    <row r="711" spans="1:8">
      <c r="A711" s="20" t="s">
        <v>554</v>
      </c>
      <c r="B711" s="20" t="s">
        <v>325</v>
      </c>
      <c r="C711" s="20" t="s">
        <v>555</v>
      </c>
      <c r="D711" s="20" t="s">
        <v>771</v>
      </c>
      <c r="E711" s="21">
        <v>9.0277777777777776E-2</v>
      </c>
      <c r="F711" s="20" t="s">
        <v>770</v>
      </c>
      <c r="G711" s="20" t="s">
        <v>724</v>
      </c>
      <c r="H711" s="20" t="s">
        <v>726</v>
      </c>
    </row>
    <row r="712" spans="1:8">
      <c r="A712" s="20" t="s">
        <v>556</v>
      </c>
      <c r="B712" s="20" t="s">
        <v>325</v>
      </c>
      <c r="C712" s="20" t="s">
        <v>557</v>
      </c>
      <c r="D712" s="20" t="s">
        <v>721</v>
      </c>
      <c r="E712" s="21">
        <v>0.44029850746268651</v>
      </c>
      <c r="F712" s="20" t="s">
        <v>769</v>
      </c>
      <c r="G712" s="20" t="s">
        <v>717</v>
      </c>
      <c r="H712" s="20" t="s">
        <v>726</v>
      </c>
    </row>
    <row r="713" spans="1:8">
      <c r="A713" s="20" t="s">
        <v>556</v>
      </c>
      <c r="B713" s="20" t="s">
        <v>325</v>
      </c>
      <c r="C713" s="20" t="s">
        <v>557</v>
      </c>
      <c r="D713" s="20" t="s">
        <v>722</v>
      </c>
      <c r="E713" s="21">
        <v>0.30597014925373139</v>
      </c>
      <c r="F713" s="20" t="s">
        <v>770</v>
      </c>
      <c r="G713" s="20" t="s">
        <v>717</v>
      </c>
      <c r="H713" s="20" t="s">
        <v>726</v>
      </c>
    </row>
    <row r="714" spans="1:8">
      <c r="A714" s="20" t="s">
        <v>556</v>
      </c>
      <c r="B714" s="20" t="s">
        <v>325</v>
      </c>
      <c r="C714" s="20" t="s">
        <v>557</v>
      </c>
      <c r="D714" s="20" t="s">
        <v>727</v>
      </c>
      <c r="E714" s="21">
        <v>9.7014925373134345E-2</v>
      </c>
      <c r="F714" s="20" t="s">
        <v>770</v>
      </c>
      <c r="G714" s="20" t="s">
        <v>717</v>
      </c>
      <c r="H714" s="20" t="s">
        <v>726</v>
      </c>
    </row>
    <row r="715" spans="1:8">
      <c r="A715" s="20" t="s">
        <v>556</v>
      </c>
      <c r="B715" s="20" t="s">
        <v>325</v>
      </c>
      <c r="C715" s="20" t="s">
        <v>557</v>
      </c>
      <c r="D715" s="20" t="s">
        <v>762</v>
      </c>
      <c r="E715" s="21">
        <v>8.9552238805970172E-2</v>
      </c>
      <c r="F715" s="20" t="s">
        <v>770</v>
      </c>
      <c r="G715" s="20" t="s">
        <v>717</v>
      </c>
      <c r="H715" s="20" t="s">
        <v>726</v>
      </c>
    </row>
    <row r="716" spans="1:8">
      <c r="A716" s="20" t="s">
        <v>556</v>
      </c>
      <c r="B716" s="20" t="s">
        <v>325</v>
      </c>
      <c r="C716" s="20" t="s">
        <v>557</v>
      </c>
      <c r="D716" s="20" t="s">
        <v>771</v>
      </c>
      <c r="E716" s="21">
        <v>6.7164179104477612E-2</v>
      </c>
      <c r="F716" s="20" t="s">
        <v>770</v>
      </c>
      <c r="G716" s="20" t="s">
        <v>717</v>
      </c>
      <c r="H716" s="20" t="s">
        <v>726</v>
      </c>
    </row>
    <row r="717" spans="1:8">
      <c r="A717" s="20" t="s">
        <v>619</v>
      </c>
      <c r="B717" s="20" t="s">
        <v>55</v>
      </c>
      <c r="C717" s="20" t="s">
        <v>620</v>
      </c>
      <c r="D717" s="20" t="s">
        <v>721</v>
      </c>
      <c r="E717" s="21">
        <v>0.31496062992125978</v>
      </c>
      <c r="F717" s="20" t="s">
        <v>770</v>
      </c>
      <c r="G717" s="20" t="s">
        <v>724</v>
      </c>
      <c r="H717" s="20" t="s">
        <v>764</v>
      </c>
    </row>
    <row r="718" spans="1:8">
      <c r="A718" s="20" t="s">
        <v>619</v>
      </c>
      <c r="B718" s="20" t="s">
        <v>55</v>
      </c>
      <c r="C718" s="20" t="s">
        <v>620</v>
      </c>
      <c r="D718" s="20" t="s">
        <v>722</v>
      </c>
      <c r="E718" s="21">
        <v>0.18110236220472439</v>
      </c>
      <c r="F718" s="20" t="s">
        <v>770</v>
      </c>
      <c r="G718" s="20" t="s">
        <v>724</v>
      </c>
      <c r="H718" s="20" t="s">
        <v>764</v>
      </c>
    </row>
    <row r="719" spans="1:8">
      <c r="A719" s="20" t="s">
        <v>619</v>
      </c>
      <c r="B719" s="20" t="s">
        <v>55</v>
      </c>
      <c r="C719" s="20" t="s">
        <v>620</v>
      </c>
      <c r="D719" s="20" t="s">
        <v>727</v>
      </c>
      <c r="E719" s="21">
        <v>0.35433070866141742</v>
      </c>
      <c r="F719" s="20" t="s">
        <v>769</v>
      </c>
      <c r="G719" s="20" t="s">
        <v>724</v>
      </c>
      <c r="H719" s="20" t="s">
        <v>764</v>
      </c>
    </row>
    <row r="720" spans="1:8">
      <c r="A720" s="20" t="s">
        <v>619</v>
      </c>
      <c r="B720" s="20" t="s">
        <v>55</v>
      </c>
      <c r="C720" s="20" t="s">
        <v>620</v>
      </c>
      <c r="D720" s="20" t="s">
        <v>762</v>
      </c>
      <c r="E720" s="21">
        <v>7.874015748031496E-2</v>
      </c>
      <c r="F720" s="20" t="s">
        <v>770</v>
      </c>
      <c r="G720" s="20" t="s">
        <v>724</v>
      </c>
      <c r="H720" s="20" t="s">
        <v>764</v>
      </c>
    </row>
    <row r="721" spans="1:8">
      <c r="A721" s="20" t="s">
        <v>619</v>
      </c>
      <c r="B721" s="20" t="s">
        <v>55</v>
      </c>
      <c r="C721" s="20" t="s">
        <v>620</v>
      </c>
      <c r="D721" s="20" t="s">
        <v>771</v>
      </c>
      <c r="E721" s="21">
        <v>7.0866141732283464E-2</v>
      </c>
      <c r="F721" s="20" t="s">
        <v>770</v>
      </c>
      <c r="G721" s="20" t="s">
        <v>724</v>
      </c>
      <c r="H721" s="20" t="s">
        <v>764</v>
      </c>
    </row>
    <row r="722" spans="1:8">
      <c r="A722" s="20" t="s">
        <v>626</v>
      </c>
      <c r="B722" s="20" t="s">
        <v>382</v>
      </c>
      <c r="C722" s="20" t="s">
        <v>627</v>
      </c>
      <c r="D722" s="20" t="s">
        <v>721</v>
      </c>
      <c r="E722" s="21">
        <v>0.53278688524590168</v>
      </c>
      <c r="F722" s="20" t="s">
        <v>769</v>
      </c>
      <c r="G722" s="20" t="s">
        <v>717</v>
      </c>
      <c r="H722" s="20" t="s">
        <v>764</v>
      </c>
    </row>
    <row r="723" spans="1:8">
      <c r="A723" s="20" t="s">
        <v>626</v>
      </c>
      <c r="B723" s="20" t="s">
        <v>382</v>
      </c>
      <c r="C723" s="20" t="s">
        <v>627</v>
      </c>
      <c r="D723" s="20" t="s">
        <v>722</v>
      </c>
      <c r="E723" s="21">
        <v>0.20491803278688531</v>
      </c>
      <c r="F723" s="20" t="s">
        <v>770</v>
      </c>
      <c r="G723" s="20" t="s">
        <v>717</v>
      </c>
      <c r="H723" s="20" t="s">
        <v>764</v>
      </c>
    </row>
    <row r="724" spans="1:8">
      <c r="A724" s="20" t="s">
        <v>626</v>
      </c>
      <c r="B724" s="20" t="s">
        <v>382</v>
      </c>
      <c r="C724" s="20" t="s">
        <v>627</v>
      </c>
      <c r="D724" s="20" t="s">
        <v>727</v>
      </c>
      <c r="E724" s="21">
        <v>0.13114754098360659</v>
      </c>
      <c r="F724" s="20" t="s">
        <v>770</v>
      </c>
      <c r="G724" s="20" t="s">
        <v>717</v>
      </c>
      <c r="H724" s="20" t="s">
        <v>764</v>
      </c>
    </row>
    <row r="725" spans="1:8">
      <c r="A725" s="20" t="s">
        <v>626</v>
      </c>
      <c r="B725" s="20" t="s">
        <v>382</v>
      </c>
      <c r="C725" s="20" t="s">
        <v>627</v>
      </c>
      <c r="D725" s="20" t="s">
        <v>762</v>
      </c>
      <c r="E725" s="21">
        <v>5.7377049180327877E-2</v>
      </c>
      <c r="F725" s="20" t="s">
        <v>770</v>
      </c>
      <c r="G725" s="20" t="s">
        <v>717</v>
      </c>
      <c r="H725" s="20" t="s">
        <v>764</v>
      </c>
    </row>
    <row r="726" spans="1:8">
      <c r="A726" s="20" t="s">
        <v>626</v>
      </c>
      <c r="B726" s="20" t="s">
        <v>382</v>
      </c>
      <c r="C726" s="20" t="s">
        <v>627</v>
      </c>
      <c r="D726" s="20" t="s">
        <v>771</v>
      </c>
      <c r="E726" s="21">
        <v>7.3770491803278687E-2</v>
      </c>
      <c r="F726" s="20" t="s">
        <v>770</v>
      </c>
      <c r="G726" s="20" t="s">
        <v>717</v>
      </c>
      <c r="H726" s="20" t="s">
        <v>764</v>
      </c>
    </row>
    <row r="727" spans="1:8">
      <c r="A727" s="20" t="s">
        <v>628</v>
      </c>
      <c r="B727" s="20" t="s">
        <v>382</v>
      </c>
      <c r="C727" s="20" t="s">
        <v>629</v>
      </c>
      <c r="D727" s="20" t="s">
        <v>721</v>
      </c>
      <c r="E727" s="21">
        <v>0.5714285714285714</v>
      </c>
      <c r="F727" s="20" t="s">
        <v>769</v>
      </c>
      <c r="G727" s="20" t="s">
        <v>717</v>
      </c>
      <c r="H727" s="20" t="s">
        <v>764</v>
      </c>
    </row>
    <row r="728" spans="1:8">
      <c r="A728" s="20" t="s">
        <v>628</v>
      </c>
      <c r="B728" s="20" t="s">
        <v>382</v>
      </c>
      <c r="C728" s="20" t="s">
        <v>629</v>
      </c>
      <c r="D728" s="20" t="s">
        <v>722</v>
      </c>
      <c r="E728" s="21">
        <v>0.2053571428571429</v>
      </c>
      <c r="F728" s="20" t="s">
        <v>770</v>
      </c>
      <c r="G728" s="20" t="s">
        <v>717</v>
      </c>
      <c r="H728" s="20" t="s">
        <v>764</v>
      </c>
    </row>
    <row r="729" spans="1:8">
      <c r="A729" s="20" t="s">
        <v>628</v>
      </c>
      <c r="B729" s="20" t="s">
        <v>382</v>
      </c>
      <c r="C729" s="20" t="s">
        <v>629</v>
      </c>
      <c r="D729" s="20" t="s">
        <v>727</v>
      </c>
      <c r="E729" s="21">
        <v>0.1160714285714286</v>
      </c>
      <c r="F729" s="20" t="s">
        <v>770</v>
      </c>
      <c r="G729" s="20" t="s">
        <v>717</v>
      </c>
      <c r="H729" s="20" t="s">
        <v>764</v>
      </c>
    </row>
    <row r="730" spans="1:8">
      <c r="A730" s="20" t="s">
        <v>628</v>
      </c>
      <c r="B730" s="20" t="s">
        <v>382</v>
      </c>
      <c r="C730" s="20" t="s">
        <v>629</v>
      </c>
      <c r="D730" s="20" t="s">
        <v>762</v>
      </c>
      <c r="E730" s="21">
        <v>6.2500000000000014E-2</v>
      </c>
      <c r="F730" s="20" t="s">
        <v>770</v>
      </c>
      <c r="G730" s="20" t="s">
        <v>717</v>
      </c>
      <c r="H730" s="20" t="s">
        <v>764</v>
      </c>
    </row>
    <row r="731" spans="1:8">
      <c r="A731" s="20" t="s">
        <v>628</v>
      </c>
      <c r="B731" s="20" t="s">
        <v>382</v>
      </c>
      <c r="C731" s="20" t="s">
        <v>629</v>
      </c>
      <c r="D731" s="20" t="s">
        <v>771</v>
      </c>
      <c r="E731" s="21">
        <v>4.4642857142857151E-2</v>
      </c>
      <c r="F731" s="20" t="s">
        <v>770</v>
      </c>
      <c r="G731" s="20" t="s">
        <v>717</v>
      </c>
      <c r="H731" s="20" t="s">
        <v>764</v>
      </c>
    </row>
    <row r="732" spans="1:8">
      <c r="A732" s="20" t="s">
        <v>630</v>
      </c>
      <c r="B732" s="20" t="s">
        <v>128</v>
      </c>
      <c r="C732" s="20" t="s">
        <v>631</v>
      </c>
      <c r="D732" s="20" t="s">
        <v>721</v>
      </c>
      <c r="E732" s="21">
        <v>0.5546875</v>
      </c>
      <c r="F732" s="20" t="s">
        <v>769</v>
      </c>
      <c r="G732" s="20" t="s">
        <v>717</v>
      </c>
      <c r="H732" s="20" t="s">
        <v>764</v>
      </c>
    </row>
    <row r="733" spans="1:8">
      <c r="A733" s="20" t="s">
        <v>630</v>
      </c>
      <c r="B733" s="20" t="s">
        <v>128</v>
      </c>
      <c r="C733" s="20" t="s">
        <v>631</v>
      </c>
      <c r="D733" s="20" t="s">
        <v>722</v>
      </c>
      <c r="E733" s="21">
        <v>0.1953125</v>
      </c>
      <c r="F733" s="20" t="s">
        <v>770</v>
      </c>
      <c r="G733" s="20" t="s">
        <v>717</v>
      </c>
      <c r="H733" s="20" t="s">
        <v>764</v>
      </c>
    </row>
    <row r="734" spans="1:8">
      <c r="A734" s="20" t="s">
        <v>630</v>
      </c>
      <c r="B734" s="20" t="s">
        <v>128</v>
      </c>
      <c r="C734" s="20" t="s">
        <v>631</v>
      </c>
      <c r="D734" s="20" t="s">
        <v>727</v>
      </c>
      <c r="E734" s="21">
        <v>0.125</v>
      </c>
      <c r="F734" s="20" t="s">
        <v>770</v>
      </c>
      <c r="G734" s="20" t="s">
        <v>717</v>
      </c>
      <c r="H734" s="20" t="s">
        <v>764</v>
      </c>
    </row>
    <row r="735" spans="1:8">
      <c r="A735" s="20" t="s">
        <v>630</v>
      </c>
      <c r="B735" s="20" t="s">
        <v>128</v>
      </c>
      <c r="C735" s="20" t="s">
        <v>631</v>
      </c>
      <c r="D735" s="20" t="s">
        <v>762</v>
      </c>
      <c r="E735" s="21">
        <v>5.4687500000000007E-2</v>
      </c>
      <c r="F735" s="20" t="s">
        <v>770</v>
      </c>
      <c r="G735" s="20" t="s">
        <v>717</v>
      </c>
      <c r="H735" s="20" t="s">
        <v>764</v>
      </c>
    </row>
    <row r="736" spans="1:8">
      <c r="A736" s="20" t="s">
        <v>630</v>
      </c>
      <c r="B736" s="20" t="s">
        <v>128</v>
      </c>
      <c r="C736" s="20" t="s">
        <v>631</v>
      </c>
      <c r="D736" s="20" t="s">
        <v>771</v>
      </c>
      <c r="E736" s="21">
        <v>7.03125E-2</v>
      </c>
      <c r="F736" s="20" t="s">
        <v>770</v>
      </c>
      <c r="G736" s="20" t="s">
        <v>717</v>
      </c>
      <c r="H736" s="20" t="s">
        <v>764</v>
      </c>
    </row>
    <row r="737" spans="1:8">
      <c r="A737" s="20" t="s">
        <v>633</v>
      </c>
      <c r="B737" s="20" t="s">
        <v>128</v>
      </c>
      <c r="C737" s="20" t="s">
        <v>634</v>
      </c>
      <c r="D737" s="20" t="s">
        <v>721</v>
      </c>
      <c r="E737" s="21">
        <v>0.5546875</v>
      </c>
      <c r="F737" s="20" t="s">
        <v>769</v>
      </c>
      <c r="G737" s="20" t="s">
        <v>717</v>
      </c>
      <c r="H737" s="20" t="s">
        <v>764</v>
      </c>
    </row>
    <row r="738" spans="1:8">
      <c r="A738" s="20" t="s">
        <v>633</v>
      </c>
      <c r="B738" s="20" t="s">
        <v>128</v>
      </c>
      <c r="C738" s="20" t="s">
        <v>634</v>
      </c>
      <c r="D738" s="20" t="s">
        <v>722</v>
      </c>
      <c r="E738" s="21">
        <v>0.1953125</v>
      </c>
      <c r="F738" s="20" t="s">
        <v>770</v>
      </c>
      <c r="G738" s="20" t="s">
        <v>717</v>
      </c>
      <c r="H738" s="20" t="s">
        <v>764</v>
      </c>
    </row>
    <row r="739" spans="1:8">
      <c r="A739" s="20" t="s">
        <v>633</v>
      </c>
      <c r="B739" s="20" t="s">
        <v>128</v>
      </c>
      <c r="C739" s="20" t="s">
        <v>634</v>
      </c>
      <c r="D739" s="20" t="s">
        <v>727</v>
      </c>
      <c r="E739" s="21">
        <v>0.125</v>
      </c>
      <c r="F739" s="20" t="s">
        <v>770</v>
      </c>
      <c r="G739" s="20" t="s">
        <v>717</v>
      </c>
      <c r="H739" s="20" t="s">
        <v>764</v>
      </c>
    </row>
    <row r="740" spans="1:8">
      <c r="A740" s="20" t="s">
        <v>633</v>
      </c>
      <c r="B740" s="20" t="s">
        <v>128</v>
      </c>
      <c r="C740" s="20" t="s">
        <v>634</v>
      </c>
      <c r="D740" s="20" t="s">
        <v>762</v>
      </c>
      <c r="E740" s="21">
        <v>5.4687500000000007E-2</v>
      </c>
      <c r="F740" s="20" t="s">
        <v>770</v>
      </c>
      <c r="G740" s="20" t="s">
        <v>717</v>
      </c>
      <c r="H740" s="20" t="s">
        <v>764</v>
      </c>
    </row>
    <row r="741" spans="1:8">
      <c r="A741" s="20" t="s">
        <v>633</v>
      </c>
      <c r="B741" s="20" t="s">
        <v>128</v>
      </c>
      <c r="C741" s="20" t="s">
        <v>634</v>
      </c>
      <c r="D741" s="20" t="s">
        <v>771</v>
      </c>
      <c r="E741" s="21">
        <v>7.03125E-2</v>
      </c>
      <c r="F741" s="20" t="s">
        <v>770</v>
      </c>
      <c r="G741" s="20" t="s">
        <v>717</v>
      </c>
      <c r="H741" s="20" t="s">
        <v>764</v>
      </c>
    </row>
    <row r="742" spans="1:8">
      <c r="A742" s="20" t="s">
        <v>635</v>
      </c>
      <c r="B742" s="20" t="s">
        <v>128</v>
      </c>
      <c r="C742" s="20" t="s">
        <v>636</v>
      </c>
      <c r="D742" s="20" t="s">
        <v>721</v>
      </c>
      <c r="E742" s="21">
        <v>0.5546875</v>
      </c>
      <c r="F742" s="20" t="s">
        <v>769</v>
      </c>
      <c r="G742" s="20" t="s">
        <v>717</v>
      </c>
      <c r="H742" s="20" t="s">
        <v>764</v>
      </c>
    </row>
    <row r="743" spans="1:8">
      <c r="A743" s="20" t="s">
        <v>635</v>
      </c>
      <c r="B743" s="20" t="s">
        <v>128</v>
      </c>
      <c r="C743" s="20" t="s">
        <v>636</v>
      </c>
      <c r="D743" s="20" t="s">
        <v>722</v>
      </c>
      <c r="E743" s="21">
        <v>0.1953125</v>
      </c>
      <c r="F743" s="20" t="s">
        <v>770</v>
      </c>
      <c r="G743" s="20" t="s">
        <v>717</v>
      </c>
      <c r="H743" s="20" t="s">
        <v>764</v>
      </c>
    </row>
    <row r="744" spans="1:8">
      <c r="A744" s="20" t="s">
        <v>635</v>
      </c>
      <c r="B744" s="20" t="s">
        <v>128</v>
      </c>
      <c r="C744" s="20" t="s">
        <v>636</v>
      </c>
      <c r="D744" s="20" t="s">
        <v>727</v>
      </c>
      <c r="E744" s="21">
        <v>0.125</v>
      </c>
      <c r="F744" s="20" t="s">
        <v>770</v>
      </c>
      <c r="G744" s="20" t="s">
        <v>717</v>
      </c>
      <c r="H744" s="20" t="s">
        <v>764</v>
      </c>
    </row>
    <row r="745" spans="1:8">
      <c r="A745" s="20" t="s">
        <v>635</v>
      </c>
      <c r="B745" s="20" t="s">
        <v>128</v>
      </c>
      <c r="C745" s="20" t="s">
        <v>636</v>
      </c>
      <c r="D745" s="20" t="s">
        <v>762</v>
      </c>
      <c r="E745" s="21">
        <v>5.4687500000000007E-2</v>
      </c>
      <c r="F745" s="20" t="s">
        <v>770</v>
      </c>
      <c r="G745" s="20" t="s">
        <v>717</v>
      </c>
      <c r="H745" s="20" t="s">
        <v>764</v>
      </c>
    </row>
    <row r="746" spans="1:8">
      <c r="A746" s="20" t="s">
        <v>635</v>
      </c>
      <c r="B746" s="20" t="s">
        <v>128</v>
      </c>
      <c r="C746" s="20" t="s">
        <v>636</v>
      </c>
      <c r="D746" s="20" t="s">
        <v>771</v>
      </c>
      <c r="E746" s="21">
        <v>7.03125E-2</v>
      </c>
      <c r="F746" s="20" t="s">
        <v>770</v>
      </c>
      <c r="G746" s="20" t="s">
        <v>717</v>
      </c>
      <c r="H746" s="20" t="s">
        <v>764</v>
      </c>
    </row>
    <row r="747" spans="1:8">
      <c r="A747" s="20" t="s">
        <v>642</v>
      </c>
      <c r="B747" s="20" t="s">
        <v>236</v>
      </c>
      <c r="C747" s="20" t="s">
        <v>643</v>
      </c>
      <c r="D747" s="20" t="s">
        <v>721</v>
      </c>
      <c r="E747" s="21">
        <v>0.5546875</v>
      </c>
      <c r="F747" s="20" t="s">
        <v>769</v>
      </c>
      <c r="G747" s="20" t="s">
        <v>717</v>
      </c>
      <c r="H747" s="20" t="s">
        <v>764</v>
      </c>
    </row>
    <row r="748" spans="1:8">
      <c r="A748" s="20" t="s">
        <v>642</v>
      </c>
      <c r="B748" s="20" t="s">
        <v>236</v>
      </c>
      <c r="C748" s="20" t="s">
        <v>643</v>
      </c>
      <c r="D748" s="20" t="s">
        <v>722</v>
      </c>
      <c r="E748" s="21">
        <v>0.1953125</v>
      </c>
      <c r="F748" s="20" t="s">
        <v>770</v>
      </c>
      <c r="G748" s="20" t="s">
        <v>717</v>
      </c>
      <c r="H748" s="20" t="s">
        <v>764</v>
      </c>
    </row>
    <row r="749" spans="1:8">
      <c r="A749" s="20" t="s">
        <v>642</v>
      </c>
      <c r="B749" s="20" t="s">
        <v>236</v>
      </c>
      <c r="C749" s="20" t="s">
        <v>643</v>
      </c>
      <c r="D749" s="20" t="s">
        <v>727</v>
      </c>
      <c r="E749" s="21">
        <v>0.125</v>
      </c>
      <c r="F749" s="20" t="s">
        <v>770</v>
      </c>
      <c r="G749" s="20" t="s">
        <v>717</v>
      </c>
      <c r="H749" s="20" t="s">
        <v>764</v>
      </c>
    </row>
    <row r="750" spans="1:8">
      <c r="A750" s="20" t="s">
        <v>642</v>
      </c>
      <c r="B750" s="20" t="s">
        <v>236</v>
      </c>
      <c r="C750" s="20" t="s">
        <v>643</v>
      </c>
      <c r="D750" s="20" t="s">
        <v>762</v>
      </c>
      <c r="E750" s="21">
        <v>5.4687500000000007E-2</v>
      </c>
      <c r="F750" s="20" t="s">
        <v>770</v>
      </c>
      <c r="G750" s="20" t="s">
        <v>717</v>
      </c>
      <c r="H750" s="20" t="s">
        <v>764</v>
      </c>
    </row>
    <row r="751" spans="1:8">
      <c r="A751" s="20" t="s">
        <v>642</v>
      </c>
      <c r="B751" s="20" t="s">
        <v>236</v>
      </c>
      <c r="C751" s="20" t="s">
        <v>643</v>
      </c>
      <c r="D751" s="20" t="s">
        <v>771</v>
      </c>
      <c r="E751" s="21">
        <v>7.03125E-2</v>
      </c>
      <c r="F751" s="20" t="s">
        <v>770</v>
      </c>
      <c r="G751" s="20" t="s">
        <v>717</v>
      </c>
      <c r="H751" s="20" t="s">
        <v>764</v>
      </c>
    </row>
    <row r="752" spans="1:8" ht="27.6">
      <c r="A752" s="20" t="s">
        <v>649</v>
      </c>
      <c r="B752" s="20" t="s">
        <v>172</v>
      </c>
      <c r="C752" s="20" t="s">
        <v>650</v>
      </c>
      <c r="D752" s="20" t="s">
        <v>721</v>
      </c>
      <c r="E752" s="21">
        <v>0.5714285714285714</v>
      </c>
      <c r="F752" s="20" t="s">
        <v>769</v>
      </c>
      <c r="G752" s="20" t="s">
        <v>717</v>
      </c>
      <c r="H752" s="20" t="s">
        <v>764</v>
      </c>
    </row>
    <row r="753" spans="1:8" ht="27.6">
      <c r="A753" s="20" t="s">
        <v>649</v>
      </c>
      <c r="B753" s="20" t="s">
        <v>172</v>
      </c>
      <c r="C753" s="20" t="s">
        <v>650</v>
      </c>
      <c r="D753" s="20" t="s">
        <v>722</v>
      </c>
      <c r="E753" s="21">
        <v>0.2053571428571429</v>
      </c>
      <c r="F753" s="20" t="s">
        <v>770</v>
      </c>
      <c r="G753" s="20" t="s">
        <v>717</v>
      </c>
      <c r="H753" s="20" t="s">
        <v>764</v>
      </c>
    </row>
    <row r="754" spans="1:8" ht="27.6">
      <c r="A754" s="20" t="s">
        <v>649</v>
      </c>
      <c r="B754" s="20" t="s">
        <v>172</v>
      </c>
      <c r="C754" s="20" t="s">
        <v>650</v>
      </c>
      <c r="D754" s="20" t="s">
        <v>727</v>
      </c>
      <c r="E754" s="21">
        <v>0.1160714285714286</v>
      </c>
      <c r="F754" s="20" t="s">
        <v>770</v>
      </c>
      <c r="G754" s="20" t="s">
        <v>717</v>
      </c>
      <c r="H754" s="20" t="s">
        <v>764</v>
      </c>
    </row>
    <row r="755" spans="1:8" ht="27.6">
      <c r="A755" s="20" t="s">
        <v>649</v>
      </c>
      <c r="B755" s="20" t="s">
        <v>172</v>
      </c>
      <c r="C755" s="20" t="s">
        <v>650</v>
      </c>
      <c r="D755" s="20" t="s">
        <v>762</v>
      </c>
      <c r="E755" s="21">
        <v>6.2500000000000014E-2</v>
      </c>
      <c r="F755" s="20" t="s">
        <v>770</v>
      </c>
      <c r="G755" s="20" t="s">
        <v>717</v>
      </c>
      <c r="H755" s="20" t="s">
        <v>764</v>
      </c>
    </row>
    <row r="756" spans="1:8" ht="27.6">
      <c r="A756" s="20" t="s">
        <v>649</v>
      </c>
      <c r="B756" s="20" t="s">
        <v>172</v>
      </c>
      <c r="C756" s="20" t="s">
        <v>650</v>
      </c>
      <c r="D756" s="20" t="s">
        <v>771</v>
      </c>
      <c r="E756" s="21">
        <v>4.4642857142857151E-2</v>
      </c>
      <c r="F756" s="20" t="s">
        <v>770</v>
      </c>
      <c r="G756" s="20" t="s">
        <v>717</v>
      </c>
      <c r="H756" s="20" t="s">
        <v>764</v>
      </c>
    </row>
    <row r="757" spans="1:8">
      <c r="A757" s="20" t="s">
        <v>651</v>
      </c>
      <c r="B757" s="20" t="s">
        <v>150</v>
      </c>
      <c r="C757" s="20" t="s">
        <v>652</v>
      </c>
      <c r="D757" s="20" t="s">
        <v>721</v>
      </c>
      <c r="E757" s="21">
        <v>0.5546875</v>
      </c>
      <c r="F757" s="20" t="s">
        <v>769</v>
      </c>
      <c r="G757" s="20" t="s">
        <v>717</v>
      </c>
      <c r="H757" s="20" t="s">
        <v>764</v>
      </c>
    </row>
    <row r="758" spans="1:8">
      <c r="A758" s="20" t="s">
        <v>651</v>
      </c>
      <c r="B758" s="20" t="s">
        <v>150</v>
      </c>
      <c r="C758" s="20" t="s">
        <v>652</v>
      </c>
      <c r="D758" s="20" t="s">
        <v>722</v>
      </c>
      <c r="E758" s="21">
        <v>0.1953125</v>
      </c>
      <c r="F758" s="20" t="s">
        <v>770</v>
      </c>
      <c r="G758" s="20" t="s">
        <v>717</v>
      </c>
      <c r="H758" s="20" t="s">
        <v>764</v>
      </c>
    </row>
    <row r="759" spans="1:8">
      <c r="A759" s="20" t="s">
        <v>651</v>
      </c>
      <c r="B759" s="20" t="s">
        <v>150</v>
      </c>
      <c r="C759" s="20" t="s">
        <v>652</v>
      </c>
      <c r="D759" s="20" t="s">
        <v>727</v>
      </c>
      <c r="E759" s="21">
        <v>0.125</v>
      </c>
      <c r="F759" s="20" t="s">
        <v>770</v>
      </c>
      <c r="G759" s="20" t="s">
        <v>717</v>
      </c>
      <c r="H759" s="20" t="s">
        <v>764</v>
      </c>
    </row>
    <row r="760" spans="1:8">
      <c r="A760" s="20" t="s">
        <v>651</v>
      </c>
      <c r="B760" s="20" t="s">
        <v>150</v>
      </c>
      <c r="C760" s="20" t="s">
        <v>652</v>
      </c>
      <c r="D760" s="20" t="s">
        <v>762</v>
      </c>
      <c r="E760" s="21">
        <v>5.4687500000000007E-2</v>
      </c>
      <c r="F760" s="20" t="s">
        <v>770</v>
      </c>
      <c r="G760" s="20" t="s">
        <v>717</v>
      </c>
      <c r="H760" s="20" t="s">
        <v>764</v>
      </c>
    </row>
    <row r="761" spans="1:8">
      <c r="A761" s="20" t="s">
        <v>651</v>
      </c>
      <c r="B761" s="20" t="s">
        <v>150</v>
      </c>
      <c r="C761" s="20" t="s">
        <v>652</v>
      </c>
      <c r="D761" s="20" t="s">
        <v>771</v>
      </c>
      <c r="E761" s="21">
        <v>7.03125E-2</v>
      </c>
      <c r="F761" s="20" t="s">
        <v>770</v>
      </c>
      <c r="G761" s="20" t="s">
        <v>717</v>
      </c>
      <c r="H761" s="20" t="s">
        <v>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2015</vt:lpstr>
      <vt:lpstr>CORRELACION 2015 </vt:lpstr>
      <vt:lpstr>2019</vt:lpstr>
      <vt:lpstr>CORRELACION 2019</vt:lpstr>
      <vt:lpstr>2023</vt:lpstr>
      <vt:lpstr>CORRELACION 2023</vt:lpstr>
      <vt:lpstr>2027</vt:lpstr>
      <vt:lpstr>CORRELACION 2027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NURY ASTRID</dc:creator>
  <cp:lastModifiedBy>NURY ASTRID</cp:lastModifiedBy>
  <dcterms:created xsi:type="dcterms:W3CDTF">2026-05-14T20:07:38Z</dcterms:created>
  <dcterms:modified xsi:type="dcterms:W3CDTF">2026-05-14T20:57:04Z</dcterms:modified>
</cp:coreProperties>
</file>